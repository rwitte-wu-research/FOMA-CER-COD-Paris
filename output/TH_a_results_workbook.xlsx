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_Projects\FOMA-CER-COD-Paris\output\"/>
    </mc:Choice>
  </mc:AlternateContent>
  <xr:revisionPtr revIDLastSave="0" documentId="11_A04FAF9A11AF69C956B54E979C8AFDEA48E47041" xr6:coauthVersionLast="47" xr6:coauthVersionMax="47" xr10:uidLastSave="{00000000-0000-0000-0000-000000000000}"/>
  <bookViews>
    <workbookView xWindow="-108" yWindow="-108" windowWidth="23256" windowHeight="13896" tabRatio="500" firstSheet="5" activeTab="7" xr2:uid="{00000000-000D-0000-FFFF-FFFF00000000}"/>
  </bookViews>
  <sheets>
    <sheet name="1_README" sheetId="1" r:id="rId1"/>
    <sheet name="2_Methodology" sheetId="2" r:id="rId2"/>
    <sheet name="3_Interpretation_Guide" sheetId="3" r:id="rId3"/>
    <sheet name="4_Formula_Reference" sheetId="4" r:id="rId4"/>
    <sheet name="5_Data_Provenance" sheetId="5" r:id="rId5"/>
    <sheet name="6_E_TOST_Battery" sheetId="6" r:id="rId6"/>
    <sheet name="7_H4_Break_Grid" sheetId="7" r:id="rId7"/>
    <sheet name="8_H6_H7_Transpl_Cumul" sheetId="8" r:id="rId8"/>
    <sheet name="9_H8_H9_Rolling_External" sheetId="9" r:id="rId9"/>
    <sheet name="10_H10_H11_pcurve_within" sheetId="10" r:id="rId10"/>
    <sheet name="Results_Long" sheetId="11" r:id="rId11"/>
    <sheet name="Manuscript_Inputs" sheetId="12" r:id="rId12"/>
    <sheet name="Manuscript_Text_Blocks" sheetId="13" r:id="rId13"/>
  </sheets>
  <definedNames>
    <definedName name="_xlnm._FilterDatabase" localSheetId="10" hidden="1">Results_Long!$A$1:$AJ$178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2" l="1"/>
  <c r="F9" i="12"/>
  <c r="E9" i="12"/>
  <c r="D9" i="12"/>
  <c r="C9" i="12"/>
  <c r="H9" i="12" s="1"/>
  <c r="J8" i="12"/>
  <c r="C8" i="12"/>
  <c r="J7" i="12"/>
  <c r="G7" i="12"/>
  <c r="F7" i="12"/>
  <c r="E7" i="12"/>
  <c r="D7" i="12"/>
  <c r="C7" i="12"/>
  <c r="H7" i="12" s="1"/>
  <c r="J6" i="12"/>
  <c r="G6" i="12"/>
  <c r="F6" i="12"/>
  <c r="E6" i="12"/>
  <c r="D6" i="12"/>
  <c r="C6" i="12"/>
  <c r="H6" i="12" s="1"/>
  <c r="F19" i="10"/>
  <c r="F18" i="10"/>
  <c r="F17" i="10"/>
  <c r="F14" i="10"/>
  <c r="F13" i="10"/>
  <c r="F12" i="10"/>
  <c r="F9" i="10"/>
  <c r="F8" i="10"/>
  <c r="F7" i="10"/>
  <c r="F6" i="10"/>
  <c r="F30" i="9"/>
  <c r="F29" i="9"/>
  <c r="F26" i="9"/>
  <c r="F25" i="9"/>
  <c r="F24" i="9"/>
  <c r="U23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U10" i="9"/>
  <c r="T10" i="9"/>
  <c r="S10" i="9"/>
  <c r="R10" i="9"/>
  <c r="Q10" i="9"/>
  <c r="P10" i="9"/>
  <c r="O10" i="9"/>
  <c r="N10" i="9"/>
  <c r="M10" i="9"/>
  <c r="L10" i="9"/>
  <c r="K10" i="9"/>
  <c r="J10" i="9"/>
  <c r="F10" i="9"/>
  <c r="F9" i="9"/>
  <c r="F8" i="9"/>
  <c r="F7" i="9"/>
  <c r="F6" i="9"/>
  <c r="F130" i="8"/>
  <c r="F129" i="8"/>
  <c r="F126" i="8"/>
  <c r="F125" i="8"/>
  <c r="F124" i="8"/>
  <c r="F123" i="8"/>
  <c r="F122" i="8"/>
  <c r="F121" i="8"/>
  <c r="F120" i="8"/>
  <c r="F119" i="8"/>
  <c r="F118" i="8"/>
  <c r="U117" i="8"/>
  <c r="T117" i="8"/>
  <c r="S117" i="8"/>
  <c r="R117" i="8"/>
  <c r="Q117" i="8"/>
  <c r="P117" i="8"/>
  <c r="O117" i="8"/>
  <c r="N117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U102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U88" i="8"/>
  <c r="T88" i="8"/>
  <c r="S88" i="8"/>
  <c r="R88" i="8"/>
  <c r="Q88" i="8"/>
  <c r="P88" i="8"/>
  <c r="O88" i="8"/>
  <c r="N88" i="8"/>
  <c r="M88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U73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U59" i="8"/>
  <c r="T59" i="8"/>
  <c r="S59" i="8"/>
  <c r="R59" i="8"/>
  <c r="Q59" i="8"/>
  <c r="P59" i="8"/>
  <c r="O59" i="8"/>
  <c r="N59" i="8"/>
  <c r="M59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U44" i="8"/>
  <c r="T44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U30" i="8"/>
  <c r="T30" i="8"/>
  <c r="S30" i="8"/>
  <c r="R30" i="8"/>
  <c r="Q30" i="8"/>
  <c r="P30" i="8"/>
  <c r="O30" i="8"/>
  <c r="N30" i="8"/>
  <c r="M30" i="8"/>
  <c r="L30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U15" i="8"/>
  <c r="T15" i="8"/>
  <c r="F15" i="8"/>
  <c r="F14" i="8"/>
  <c r="F11" i="8"/>
  <c r="F8" i="8"/>
  <c r="F7" i="8"/>
  <c r="F6" i="8"/>
  <c r="F18" i="7"/>
  <c r="F17" i="7"/>
  <c r="F16" i="7"/>
  <c r="F15" i="7"/>
  <c r="F14" i="7"/>
  <c r="F13" i="7"/>
  <c r="F12" i="7"/>
  <c r="F11" i="7"/>
  <c r="U10" i="7"/>
  <c r="T10" i="7"/>
  <c r="S10" i="7"/>
  <c r="R10" i="7"/>
  <c r="Q10" i="7"/>
  <c r="W10" i="7" s="1"/>
  <c r="P10" i="7"/>
  <c r="O10" i="7"/>
  <c r="N10" i="7"/>
  <c r="M10" i="7"/>
  <c r="L10" i="7"/>
  <c r="K10" i="7"/>
  <c r="F10" i="7"/>
  <c r="F9" i="7"/>
  <c r="F8" i="7"/>
  <c r="F7" i="7"/>
  <c r="F6" i="7"/>
  <c r="F15" i="6"/>
  <c r="F14" i="6"/>
  <c r="F13" i="6"/>
  <c r="F12" i="6"/>
  <c r="F11" i="6"/>
  <c r="F10" i="6"/>
  <c r="F9" i="6"/>
  <c r="F8" i="6"/>
  <c r="F7" i="6"/>
  <c r="F6" i="6"/>
  <c r="G19" i="10" l="1"/>
  <c r="I19" i="10"/>
  <c r="H19" i="10"/>
  <c r="I18" i="10"/>
  <c r="H18" i="10"/>
  <c r="G18" i="10"/>
  <c r="I17" i="10"/>
  <c r="G17" i="10"/>
  <c r="H17" i="10"/>
  <c r="L14" i="10"/>
  <c r="K14" i="10"/>
  <c r="G14" i="10"/>
  <c r="U14" i="10"/>
  <c r="M14" i="10"/>
  <c r="N14" i="10"/>
  <c r="J14" i="10"/>
  <c r="O14" i="10"/>
  <c r="P14" i="10"/>
  <c r="Q14" i="10"/>
  <c r="R14" i="10"/>
  <c r="I14" i="10"/>
  <c r="T14" i="10"/>
  <c r="S14" i="10"/>
  <c r="H14" i="10"/>
  <c r="H13" i="10"/>
  <c r="R13" i="10"/>
  <c r="L13" i="10"/>
  <c r="S13" i="10"/>
  <c r="U13" i="10"/>
  <c r="T13" i="10"/>
  <c r="Q13" i="10"/>
  <c r="P13" i="10"/>
  <c r="O13" i="10"/>
  <c r="N13" i="10"/>
  <c r="M13" i="10"/>
  <c r="K13" i="10"/>
  <c r="J13" i="10"/>
  <c r="I13" i="10"/>
  <c r="G13" i="10"/>
  <c r="U12" i="10"/>
  <c r="T12" i="10"/>
  <c r="J12" i="10"/>
  <c r="S12" i="10"/>
  <c r="G12" i="10"/>
  <c r="H12" i="10"/>
  <c r="I12" i="10"/>
  <c r="R12" i="10"/>
  <c r="Q12" i="10"/>
  <c r="P12" i="10"/>
  <c r="O12" i="10"/>
  <c r="N12" i="10"/>
  <c r="M12" i="10"/>
  <c r="L12" i="10"/>
  <c r="K12" i="10"/>
  <c r="N9" i="10"/>
  <c r="L9" i="10"/>
  <c r="K9" i="10"/>
  <c r="J9" i="10"/>
  <c r="I9" i="10"/>
  <c r="H9" i="10"/>
  <c r="G9" i="10"/>
  <c r="U9" i="10"/>
  <c r="M9" i="10"/>
  <c r="T9" i="10"/>
  <c r="S9" i="10"/>
  <c r="R9" i="10"/>
  <c r="Q9" i="10"/>
  <c r="P9" i="10"/>
  <c r="O9" i="10"/>
  <c r="L8" i="10"/>
  <c r="M8" i="10"/>
  <c r="N8" i="10"/>
  <c r="O8" i="10"/>
  <c r="P8" i="10"/>
  <c r="Q8" i="10"/>
  <c r="R8" i="10"/>
  <c r="S8" i="10"/>
  <c r="U8" i="10"/>
  <c r="T8" i="10"/>
  <c r="G8" i="10"/>
  <c r="I8" i="10"/>
  <c r="J8" i="10"/>
  <c r="H8" i="10"/>
  <c r="K8" i="10"/>
  <c r="G7" i="10"/>
  <c r="H7" i="10"/>
  <c r="I7" i="10"/>
  <c r="J7" i="10"/>
  <c r="K7" i="10"/>
  <c r="L7" i="10"/>
  <c r="M7" i="10"/>
  <c r="N7" i="10"/>
  <c r="O7" i="10"/>
  <c r="P7" i="10"/>
  <c r="R7" i="10"/>
  <c r="Q7" i="10"/>
  <c r="S7" i="10"/>
  <c r="T7" i="10"/>
  <c r="U7" i="10"/>
  <c r="N6" i="10"/>
  <c r="M6" i="10"/>
  <c r="L6" i="10"/>
  <c r="T6" i="10"/>
  <c r="K6" i="10"/>
  <c r="I6" i="10"/>
  <c r="G6" i="10"/>
  <c r="J6" i="10"/>
  <c r="H6" i="10"/>
  <c r="U6" i="10"/>
  <c r="S6" i="10"/>
  <c r="R6" i="10"/>
  <c r="Q6" i="10"/>
  <c r="P6" i="10"/>
  <c r="O6" i="10"/>
  <c r="U30" i="9"/>
  <c r="R30" i="9"/>
  <c r="J30" i="9"/>
  <c r="M30" i="9"/>
  <c r="T30" i="9"/>
  <c r="K30" i="9"/>
  <c r="N30" i="9"/>
  <c r="O30" i="9"/>
  <c r="P30" i="9"/>
  <c r="G30" i="9"/>
  <c r="H30" i="9"/>
  <c r="I30" i="9"/>
  <c r="L30" i="9"/>
  <c r="Q30" i="9"/>
  <c r="S30" i="9"/>
  <c r="I29" i="9"/>
  <c r="G29" i="9"/>
  <c r="N29" i="9"/>
  <c r="L29" i="9"/>
  <c r="O29" i="9"/>
  <c r="M29" i="9"/>
  <c r="K29" i="9"/>
  <c r="S29" i="9"/>
  <c r="H29" i="9"/>
  <c r="J29" i="9"/>
  <c r="U29" i="9"/>
  <c r="T29" i="9"/>
  <c r="R29" i="9"/>
  <c r="P29" i="9"/>
  <c r="Q29" i="9"/>
  <c r="U26" i="9"/>
  <c r="G26" i="9"/>
  <c r="I26" i="9"/>
  <c r="V26" i="9" s="1"/>
  <c r="K26" i="9"/>
  <c r="M26" i="9"/>
  <c r="O26" i="9"/>
  <c r="R26" i="9"/>
  <c r="H26" i="9"/>
  <c r="L26" i="9"/>
  <c r="P26" i="9"/>
  <c r="Q26" i="9"/>
  <c r="N26" i="9"/>
  <c r="S26" i="9"/>
  <c r="J26" i="9"/>
  <c r="T26" i="9"/>
  <c r="H25" i="9"/>
  <c r="G25" i="9"/>
  <c r="I25" i="9"/>
  <c r="V25" i="9" s="1"/>
  <c r="J25" i="9"/>
  <c r="K25" i="9"/>
  <c r="L25" i="9"/>
  <c r="M25" i="9"/>
  <c r="N25" i="9"/>
  <c r="O25" i="9"/>
  <c r="P25" i="9"/>
  <c r="Q25" i="9"/>
  <c r="R25" i="9"/>
  <c r="S25" i="9"/>
  <c r="T25" i="9"/>
  <c r="U25" i="9"/>
  <c r="P24" i="9"/>
  <c r="Q24" i="9"/>
  <c r="R24" i="9"/>
  <c r="S24" i="9"/>
  <c r="T24" i="9"/>
  <c r="U24" i="9"/>
  <c r="G24" i="9"/>
  <c r="H24" i="9"/>
  <c r="I24" i="9"/>
  <c r="V24" i="9" s="1"/>
  <c r="J24" i="9"/>
  <c r="K24" i="9"/>
  <c r="L24" i="9"/>
  <c r="N24" i="9"/>
  <c r="O24" i="9"/>
  <c r="M24" i="9"/>
  <c r="N23" i="9"/>
  <c r="M23" i="9"/>
  <c r="L23" i="9"/>
  <c r="K23" i="9"/>
  <c r="J23" i="9"/>
  <c r="I23" i="9"/>
  <c r="V23" i="9" s="1"/>
  <c r="H23" i="9"/>
  <c r="G23" i="9"/>
  <c r="T23" i="9"/>
  <c r="S23" i="9"/>
  <c r="R23" i="9"/>
  <c r="Q23" i="9"/>
  <c r="P23" i="9"/>
  <c r="O23" i="9"/>
  <c r="Q22" i="9"/>
  <c r="N22" i="9"/>
  <c r="G22" i="9"/>
  <c r="H22" i="9"/>
  <c r="I22" i="9"/>
  <c r="V22" i="9" s="1"/>
  <c r="J22" i="9"/>
  <c r="K22" i="9"/>
  <c r="L22" i="9"/>
  <c r="M22" i="9"/>
  <c r="O22" i="9"/>
  <c r="P22" i="9"/>
  <c r="R22" i="9"/>
  <c r="S22" i="9"/>
  <c r="T22" i="9"/>
  <c r="U22" i="9"/>
  <c r="N21" i="9"/>
  <c r="L21" i="9"/>
  <c r="K21" i="9"/>
  <c r="I21" i="9"/>
  <c r="V21" i="9" s="1"/>
  <c r="H21" i="9"/>
  <c r="G21" i="9"/>
  <c r="J21" i="9"/>
  <c r="M21" i="9"/>
  <c r="U21" i="9"/>
  <c r="T21" i="9"/>
  <c r="S21" i="9"/>
  <c r="R21" i="9"/>
  <c r="Q21" i="9"/>
  <c r="P21" i="9"/>
  <c r="O21" i="9"/>
  <c r="U20" i="9"/>
  <c r="T20" i="9"/>
  <c r="S20" i="9"/>
  <c r="R20" i="9"/>
  <c r="I20" i="9"/>
  <c r="V20" i="9" s="1"/>
  <c r="Q20" i="9"/>
  <c r="M20" i="9"/>
  <c r="P20" i="9"/>
  <c r="O20" i="9"/>
  <c r="L20" i="9"/>
  <c r="G20" i="9"/>
  <c r="H20" i="9"/>
  <c r="N20" i="9"/>
  <c r="J20" i="9"/>
  <c r="K20" i="9"/>
  <c r="O19" i="9"/>
  <c r="P19" i="9"/>
  <c r="Q19" i="9"/>
  <c r="R19" i="9"/>
  <c r="S19" i="9"/>
  <c r="T19" i="9"/>
  <c r="U19" i="9"/>
  <c r="I19" i="9"/>
  <c r="V19" i="9" s="1"/>
  <c r="G19" i="9"/>
  <c r="H19" i="9"/>
  <c r="J19" i="9"/>
  <c r="K19" i="9"/>
  <c r="L19" i="9"/>
  <c r="M19" i="9"/>
  <c r="N19" i="9"/>
  <c r="I18" i="9"/>
  <c r="V18" i="9" s="1"/>
  <c r="J18" i="9"/>
  <c r="K18" i="9"/>
  <c r="L18" i="9"/>
  <c r="N18" i="9"/>
  <c r="O18" i="9"/>
  <c r="R18" i="9"/>
  <c r="S18" i="9"/>
  <c r="M18" i="9"/>
  <c r="T18" i="9"/>
  <c r="U18" i="9"/>
  <c r="P18" i="9"/>
  <c r="Q18" i="9"/>
  <c r="G18" i="9"/>
  <c r="H18" i="9"/>
  <c r="O17" i="9"/>
  <c r="U17" i="9"/>
  <c r="T17" i="9"/>
  <c r="S17" i="9"/>
  <c r="Q17" i="9"/>
  <c r="N17" i="9"/>
  <c r="M17" i="9"/>
  <c r="L17" i="9"/>
  <c r="K17" i="9"/>
  <c r="J17" i="9"/>
  <c r="R17" i="9"/>
  <c r="P17" i="9"/>
  <c r="I17" i="9"/>
  <c r="V17" i="9" s="1"/>
  <c r="H17" i="9"/>
  <c r="G17" i="9"/>
  <c r="K16" i="9"/>
  <c r="G16" i="9"/>
  <c r="H16" i="9"/>
  <c r="J16" i="9"/>
  <c r="I16" i="9"/>
  <c r="V16" i="9" s="1"/>
  <c r="O16" i="9"/>
  <c r="Q16" i="9"/>
  <c r="R16" i="9"/>
  <c r="S16" i="9"/>
  <c r="T16" i="9"/>
  <c r="M16" i="9"/>
  <c r="U16" i="9"/>
  <c r="N16" i="9"/>
  <c r="L16" i="9"/>
  <c r="P16" i="9"/>
  <c r="M15" i="9"/>
  <c r="N15" i="9"/>
  <c r="O15" i="9"/>
  <c r="P15" i="9"/>
  <c r="Q15" i="9"/>
  <c r="R15" i="9"/>
  <c r="T15" i="9"/>
  <c r="U15" i="9"/>
  <c r="K15" i="9"/>
  <c r="L15" i="9"/>
  <c r="J15" i="9"/>
  <c r="I15" i="9"/>
  <c r="V15" i="9" s="1"/>
  <c r="H15" i="9"/>
  <c r="G15" i="9"/>
  <c r="S15" i="9"/>
  <c r="U14" i="9"/>
  <c r="T14" i="9"/>
  <c r="S14" i="9"/>
  <c r="R14" i="9"/>
  <c r="Q14" i="9"/>
  <c r="P14" i="9"/>
  <c r="O14" i="9"/>
  <c r="N14" i="9"/>
  <c r="M14" i="9"/>
  <c r="L14" i="9"/>
  <c r="J14" i="9"/>
  <c r="I14" i="9"/>
  <c r="V14" i="9" s="1"/>
  <c r="H14" i="9"/>
  <c r="G14" i="9"/>
  <c r="K14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V13" i="9" s="1"/>
  <c r="H13" i="9"/>
  <c r="G13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V12" i="9" s="1"/>
  <c r="H12" i="9"/>
  <c r="G12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V11" i="9" s="1"/>
  <c r="H11" i="9"/>
  <c r="G11" i="9"/>
  <c r="H10" i="9"/>
  <c r="G10" i="9"/>
  <c r="I10" i="9"/>
  <c r="V10" i="9" s="1"/>
  <c r="M9" i="9"/>
  <c r="N9" i="9"/>
  <c r="O9" i="9"/>
  <c r="Q9" i="9"/>
  <c r="R9" i="9"/>
  <c r="S9" i="9"/>
  <c r="T9" i="9"/>
  <c r="U9" i="9"/>
  <c r="P9" i="9"/>
  <c r="L9" i="9"/>
  <c r="K9" i="9"/>
  <c r="J9" i="9"/>
  <c r="I9" i="9"/>
  <c r="V9" i="9" s="1"/>
  <c r="H9" i="9"/>
  <c r="G9" i="9"/>
  <c r="O8" i="9"/>
  <c r="U8" i="9"/>
  <c r="T8" i="9"/>
  <c r="S8" i="9"/>
  <c r="R8" i="9"/>
  <c r="Q8" i="9"/>
  <c r="P8" i="9"/>
  <c r="N8" i="9"/>
  <c r="M8" i="9"/>
  <c r="L8" i="9"/>
  <c r="K8" i="9"/>
  <c r="J8" i="9"/>
  <c r="I8" i="9"/>
  <c r="V8" i="9" s="1"/>
  <c r="H8" i="9"/>
  <c r="G8" i="9"/>
  <c r="G7" i="9"/>
  <c r="H7" i="9"/>
  <c r="I7" i="9"/>
  <c r="V7" i="9" s="1"/>
  <c r="J7" i="9"/>
  <c r="K7" i="9"/>
  <c r="L7" i="9"/>
  <c r="M7" i="9"/>
  <c r="N7" i="9"/>
  <c r="O7" i="9"/>
  <c r="S7" i="9"/>
  <c r="R7" i="9"/>
  <c r="Q7" i="9"/>
  <c r="P7" i="9"/>
  <c r="U7" i="9"/>
  <c r="T7" i="9"/>
  <c r="Q6" i="9"/>
  <c r="P6" i="9"/>
  <c r="O6" i="9"/>
  <c r="N6" i="9"/>
  <c r="M6" i="9"/>
  <c r="L6" i="9"/>
  <c r="K6" i="9"/>
  <c r="J6" i="9"/>
  <c r="I6" i="9"/>
  <c r="V6" i="9" s="1"/>
  <c r="S6" i="9"/>
  <c r="T6" i="9"/>
  <c r="U6" i="9"/>
  <c r="G6" i="9"/>
  <c r="R6" i="9"/>
  <c r="H6" i="9"/>
  <c r="I130" i="8"/>
  <c r="H130" i="8"/>
  <c r="G130" i="8"/>
  <c r="I129" i="8"/>
  <c r="H129" i="8"/>
  <c r="G129" i="8"/>
  <c r="U126" i="8"/>
  <c r="T126" i="8"/>
  <c r="S126" i="8"/>
  <c r="R126" i="8"/>
  <c r="Q126" i="8"/>
  <c r="P126" i="8"/>
  <c r="O126" i="8"/>
  <c r="N126" i="8"/>
  <c r="M126" i="8"/>
  <c r="L126" i="8"/>
  <c r="K126" i="8"/>
  <c r="J126" i="8"/>
  <c r="I126" i="8"/>
  <c r="H126" i="8"/>
  <c r="G126" i="8"/>
  <c r="I125" i="8"/>
  <c r="U125" i="8"/>
  <c r="T125" i="8"/>
  <c r="S125" i="8"/>
  <c r="R125" i="8"/>
  <c r="Q125" i="8"/>
  <c r="P125" i="8"/>
  <c r="O125" i="8"/>
  <c r="G125" i="8"/>
  <c r="H125" i="8"/>
  <c r="J125" i="8"/>
  <c r="K125" i="8"/>
  <c r="L125" i="8"/>
  <c r="N125" i="8"/>
  <c r="M125" i="8"/>
  <c r="G124" i="8"/>
  <c r="T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U124" i="8"/>
  <c r="I123" i="8"/>
  <c r="H123" i="8"/>
  <c r="G123" i="8"/>
  <c r="M123" i="8"/>
  <c r="L123" i="8"/>
  <c r="K123" i="8"/>
  <c r="J123" i="8"/>
  <c r="P123" i="8"/>
  <c r="U123" i="8"/>
  <c r="T123" i="8"/>
  <c r="S123" i="8"/>
  <c r="R123" i="8"/>
  <c r="Q123" i="8"/>
  <c r="O123" i="8"/>
  <c r="N123" i="8"/>
  <c r="U122" i="8"/>
  <c r="T122" i="8"/>
  <c r="S122" i="8"/>
  <c r="R122" i="8"/>
  <c r="K122" i="8"/>
  <c r="L122" i="8"/>
  <c r="M122" i="8"/>
  <c r="N122" i="8"/>
  <c r="O122" i="8"/>
  <c r="Q122" i="8"/>
  <c r="H122" i="8"/>
  <c r="I122" i="8"/>
  <c r="P122" i="8"/>
  <c r="G122" i="8"/>
  <c r="J122" i="8"/>
  <c r="N121" i="8"/>
  <c r="M121" i="8"/>
  <c r="L121" i="8"/>
  <c r="K121" i="8"/>
  <c r="J121" i="8"/>
  <c r="U121" i="8"/>
  <c r="T121" i="8"/>
  <c r="S121" i="8"/>
  <c r="R121" i="8"/>
  <c r="Q121" i="8"/>
  <c r="P121" i="8"/>
  <c r="O121" i="8"/>
  <c r="I121" i="8"/>
  <c r="H121" i="8"/>
  <c r="G121" i="8"/>
  <c r="Q120" i="8"/>
  <c r="P120" i="8"/>
  <c r="O120" i="8"/>
  <c r="N120" i="8"/>
  <c r="M120" i="8"/>
  <c r="L120" i="8"/>
  <c r="K120" i="8"/>
  <c r="J120" i="8"/>
  <c r="I120" i="8"/>
  <c r="H120" i="8"/>
  <c r="G120" i="8"/>
  <c r="U120" i="8"/>
  <c r="T120" i="8"/>
  <c r="S120" i="8"/>
  <c r="R120" i="8"/>
  <c r="P119" i="8"/>
  <c r="U119" i="8"/>
  <c r="T119" i="8"/>
  <c r="S119" i="8"/>
  <c r="R119" i="8"/>
  <c r="Q119" i="8"/>
  <c r="O119" i="8"/>
  <c r="N119" i="8"/>
  <c r="M119" i="8"/>
  <c r="L119" i="8"/>
  <c r="K119" i="8"/>
  <c r="J119" i="8"/>
  <c r="I119" i="8"/>
  <c r="H119" i="8"/>
  <c r="G119" i="8"/>
  <c r="J118" i="8"/>
  <c r="K118" i="8"/>
  <c r="L118" i="8"/>
  <c r="M118" i="8"/>
  <c r="N118" i="8"/>
  <c r="P118" i="8"/>
  <c r="Q118" i="8"/>
  <c r="R118" i="8"/>
  <c r="S118" i="8"/>
  <c r="I118" i="8"/>
  <c r="U118" i="8"/>
  <c r="O118" i="8"/>
  <c r="G118" i="8"/>
  <c r="H118" i="8"/>
  <c r="T118" i="8"/>
  <c r="M117" i="8"/>
  <c r="L117" i="8"/>
  <c r="K117" i="8"/>
  <c r="J117" i="8"/>
  <c r="I117" i="8"/>
  <c r="H117" i="8"/>
  <c r="G117" i="8"/>
  <c r="U116" i="8"/>
  <c r="T116" i="8"/>
  <c r="S116" i="8"/>
  <c r="R116" i="8"/>
  <c r="Q116" i="8"/>
  <c r="P116" i="8"/>
  <c r="O116" i="8"/>
  <c r="N116" i="8"/>
  <c r="M116" i="8"/>
  <c r="L116" i="8"/>
  <c r="K116" i="8"/>
  <c r="J116" i="8"/>
  <c r="I116" i="8"/>
  <c r="H116" i="8"/>
  <c r="G116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I115" i="8"/>
  <c r="H115" i="8"/>
  <c r="G115" i="8"/>
  <c r="U114" i="8"/>
  <c r="T114" i="8"/>
  <c r="S114" i="8"/>
  <c r="R114" i="8"/>
  <c r="Q114" i="8"/>
  <c r="P114" i="8"/>
  <c r="O114" i="8"/>
  <c r="N114" i="8"/>
  <c r="M114" i="8"/>
  <c r="L114" i="8"/>
  <c r="K114" i="8"/>
  <c r="J114" i="8"/>
  <c r="I114" i="8"/>
  <c r="H114" i="8"/>
  <c r="G114" i="8"/>
  <c r="U113" i="8"/>
  <c r="T113" i="8"/>
  <c r="S113" i="8"/>
  <c r="Q113" i="8"/>
  <c r="P113" i="8"/>
  <c r="O113" i="8"/>
  <c r="N113" i="8"/>
  <c r="M113" i="8"/>
  <c r="L113" i="8"/>
  <c r="K113" i="8"/>
  <c r="J113" i="8"/>
  <c r="I113" i="8"/>
  <c r="R113" i="8"/>
  <c r="G113" i="8"/>
  <c r="H113" i="8"/>
  <c r="G112" i="8"/>
  <c r="U112" i="8"/>
  <c r="H112" i="8"/>
  <c r="T112" i="8"/>
  <c r="S112" i="8"/>
  <c r="R112" i="8"/>
  <c r="Q112" i="8"/>
  <c r="P112" i="8"/>
  <c r="O112" i="8"/>
  <c r="N112" i="8"/>
  <c r="M112" i="8"/>
  <c r="L112" i="8"/>
  <c r="K112" i="8"/>
  <c r="J112" i="8"/>
  <c r="I112" i="8"/>
  <c r="L111" i="8"/>
  <c r="K111" i="8"/>
  <c r="J111" i="8"/>
  <c r="R111" i="8"/>
  <c r="U111" i="8"/>
  <c r="T111" i="8"/>
  <c r="S111" i="8"/>
  <c r="Q111" i="8"/>
  <c r="P111" i="8"/>
  <c r="O111" i="8"/>
  <c r="N111" i="8"/>
  <c r="M111" i="8"/>
  <c r="G111" i="8"/>
  <c r="I111" i="8"/>
  <c r="H111" i="8"/>
  <c r="T110" i="8"/>
  <c r="S110" i="8"/>
  <c r="R110" i="8"/>
  <c r="P110" i="8"/>
  <c r="O110" i="8"/>
  <c r="N110" i="8"/>
  <c r="M110" i="8"/>
  <c r="L110" i="8"/>
  <c r="K110" i="8"/>
  <c r="J110" i="8"/>
  <c r="I110" i="8"/>
  <c r="H110" i="8"/>
  <c r="G110" i="8"/>
  <c r="Q110" i="8"/>
  <c r="U110" i="8"/>
  <c r="T109" i="8"/>
  <c r="U109" i="8"/>
  <c r="S109" i="8"/>
  <c r="R109" i="8"/>
  <c r="Q109" i="8"/>
  <c r="P109" i="8"/>
  <c r="O109" i="8"/>
  <c r="N109" i="8"/>
  <c r="M109" i="8"/>
  <c r="L109" i="8"/>
  <c r="K109" i="8"/>
  <c r="J109" i="8"/>
  <c r="I109" i="8"/>
  <c r="H109" i="8"/>
  <c r="G109" i="8"/>
  <c r="L108" i="8"/>
  <c r="P108" i="8"/>
  <c r="G108" i="8"/>
  <c r="H108" i="8"/>
  <c r="J108" i="8"/>
  <c r="I108" i="8"/>
  <c r="S108" i="8"/>
  <c r="M108" i="8"/>
  <c r="N108" i="8"/>
  <c r="O108" i="8"/>
  <c r="K108" i="8"/>
  <c r="Q108" i="8"/>
  <c r="R108" i="8"/>
  <c r="U108" i="8"/>
  <c r="T108" i="8"/>
  <c r="Q107" i="8"/>
  <c r="U107" i="8"/>
  <c r="T107" i="8"/>
  <c r="S107" i="8"/>
  <c r="R107" i="8"/>
  <c r="M107" i="8"/>
  <c r="P107" i="8"/>
  <c r="O107" i="8"/>
  <c r="N107" i="8"/>
  <c r="L107" i="8"/>
  <c r="J107" i="8"/>
  <c r="I107" i="8"/>
  <c r="H107" i="8"/>
  <c r="G107" i="8"/>
  <c r="K107" i="8"/>
  <c r="I106" i="8"/>
  <c r="Q106" i="8"/>
  <c r="O106" i="8"/>
  <c r="M106" i="8"/>
  <c r="L106" i="8"/>
  <c r="P106" i="8"/>
  <c r="K106" i="8"/>
  <c r="G106" i="8"/>
  <c r="J106" i="8"/>
  <c r="N106" i="8"/>
  <c r="T106" i="8"/>
  <c r="H106" i="8"/>
  <c r="S106" i="8"/>
  <c r="U106" i="8"/>
  <c r="R106" i="8"/>
  <c r="M105" i="8"/>
  <c r="L105" i="8"/>
  <c r="K105" i="8"/>
  <c r="J105" i="8"/>
  <c r="I105" i="8"/>
  <c r="H105" i="8"/>
  <c r="G105" i="8"/>
  <c r="Q105" i="8"/>
  <c r="R105" i="8"/>
  <c r="U105" i="8"/>
  <c r="T105" i="8"/>
  <c r="S105" i="8"/>
  <c r="P105" i="8"/>
  <c r="O105" i="8"/>
  <c r="N105" i="8"/>
  <c r="I104" i="8"/>
  <c r="H104" i="8"/>
  <c r="J104" i="8"/>
  <c r="G104" i="8"/>
  <c r="K104" i="8"/>
  <c r="L104" i="8"/>
  <c r="M104" i="8"/>
  <c r="N104" i="8"/>
  <c r="O104" i="8"/>
  <c r="P104" i="8"/>
  <c r="Q104" i="8"/>
  <c r="R104" i="8"/>
  <c r="S104" i="8"/>
  <c r="T104" i="8"/>
  <c r="U104" i="8"/>
  <c r="G103" i="8"/>
  <c r="N103" i="8"/>
  <c r="M103" i="8"/>
  <c r="L103" i="8"/>
  <c r="I103" i="8"/>
  <c r="H103" i="8"/>
  <c r="J103" i="8"/>
  <c r="R103" i="8"/>
  <c r="K103" i="8"/>
  <c r="U103" i="8"/>
  <c r="T103" i="8"/>
  <c r="S103" i="8"/>
  <c r="Q103" i="8"/>
  <c r="P103" i="8"/>
  <c r="O103" i="8"/>
  <c r="G102" i="8"/>
  <c r="H102" i="8"/>
  <c r="T102" i="8"/>
  <c r="I102" i="8"/>
  <c r="L102" i="8"/>
  <c r="K102" i="8"/>
  <c r="M102" i="8"/>
  <c r="N102" i="8"/>
  <c r="J102" i="8"/>
  <c r="O102" i="8"/>
  <c r="P102" i="8"/>
  <c r="Q102" i="8"/>
  <c r="R102" i="8"/>
  <c r="S102" i="8"/>
  <c r="J101" i="8"/>
  <c r="U101" i="8"/>
  <c r="T101" i="8"/>
  <c r="S101" i="8"/>
  <c r="R101" i="8"/>
  <c r="Q101" i="8"/>
  <c r="P101" i="8"/>
  <c r="O101" i="8"/>
  <c r="N101" i="8"/>
  <c r="M101" i="8"/>
  <c r="L101" i="8"/>
  <c r="K101" i="8"/>
  <c r="I101" i="8"/>
  <c r="H101" i="8"/>
  <c r="G101" i="8"/>
  <c r="I100" i="8"/>
  <c r="T100" i="8"/>
  <c r="G100" i="8"/>
  <c r="S100" i="8"/>
  <c r="R100" i="8"/>
  <c r="Q100" i="8"/>
  <c r="P100" i="8"/>
  <c r="N100" i="8"/>
  <c r="O100" i="8"/>
  <c r="M100" i="8"/>
  <c r="H100" i="8"/>
  <c r="L100" i="8"/>
  <c r="K100" i="8"/>
  <c r="J100" i="8"/>
  <c r="U100" i="8"/>
  <c r="Q99" i="8"/>
  <c r="J99" i="8"/>
  <c r="U99" i="8"/>
  <c r="T99" i="8"/>
  <c r="S99" i="8"/>
  <c r="R99" i="8"/>
  <c r="P99" i="8"/>
  <c r="O99" i="8"/>
  <c r="N99" i="8"/>
  <c r="M99" i="8"/>
  <c r="L99" i="8"/>
  <c r="K99" i="8"/>
  <c r="H99" i="8"/>
  <c r="I99" i="8"/>
  <c r="G99" i="8"/>
  <c r="H98" i="8"/>
  <c r="G98" i="8"/>
  <c r="I98" i="8"/>
  <c r="U98" i="8"/>
  <c r="T98" i="8"/>
  <c r="S98" i="8"/>
  <c r="R98" i="8"/>
  <c r="P98" i="8"/>
  <c r="Q98" i="8"/>
  <c r="O98" i="8"/>
  <c r="N98" i="8"/>
  <c r="M98" i="8"/>
  <c r="L98" i="8"/>
  <c r="K98" i="8"/>
  <c r="J98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G97" i="8"/>
  <c r="H97" i="8"/>
  <c r="G96" i="8"/>
  <c r="H96" i="8"/>
  <c r="I96" i="8"/>
  <c r="K96" i="8"/>
  <c r="L96" i="8"/>
  <c r="M96" i="8"/>
  <c r="N96" i="8"/>
  <c r="J96" i="8"/>
  <c r="O96" i="8"/>
  <c r="P96" i="8"/>
  <c r="Q96" i="8"/>
  <c r="R96" i="8"/>
  <c r="S96" i="8"/>
  <c r="T96" i="8"/>
  <c r="U96" i="8"/>
  <c r="I95" i="8"/>
  <c r="H95" i="8"/>
  <c r="U95" i="8"/>
  <c r="T95" i="8"/>
  <c r="S95" i="8"/>
  <c r="R95" i="8"/>
  <c r="Q95" i="8"/>
  <c r="P95" i="8"/>
  <c r="O95" i="8"/>
  <c r="G95" i="8"/>
  <c r="N95" i="8"/>
  <c r="M95" i="8"/>
  <c r="L95" i="8"/>
  <c r="K95" i="8"/>
  <c r="J95" i="8"/>
  <c r="N94" i="8"/>
  <c r="O94" i="8"/>
  <c r="P94" i="8"/>
  <c r="Q94" i="8"/>
  <c r="S94" i="8"/>
  <c r="T94" i="8"/>
  <c r="U94" i="8"/>
  <c r="R94" i="8"/>
  <c r="G94" i="8"/>
  <c r="H94" i="8"/>
  <c r="I94" i="8"/>
  <c r="J94" i="8"/>
  <c r="K94" i="8"/>
  <c r="L94" i="8"/>
  <c r="M94" i="8"/>
  <c r="R93" i="8"/>
  <c r="Q93" i="8"/>
  <c r="P93" i="8"/>
  <c r="O93" i="8"/>
  <c r="N93" i="8"/>
  <c r="M93" i="8"/>
  <c r="L93" i="8"/>
  <c r="T93" i="8"/>
  <c r="I93" i="8"/>
  <c r="J93" i="8"/>
  <c r="H93" i="8"/>
  <c r="G93" i="8"/>
  <c r="S93" i="8"/>
  <c r="K93" i="8"/>
  <c r="U93" i="8"/>
  <c r="R92" i="8"/>
  <c r="Q92" i="8"/>
  <c r="P92" i="8"/>
  <c r="O92" i="8"/>
  <c r="N92" i="8"/>
  <c r="M92" i="8"/>
  <c r="L92" i="8"/>
  <c r="K92" i="8"/>
  <c r="J92" i="8"/>
  <c r="I92" i="8"/>
  <c r="H92" i="8"/>
  <c r="G92" i="8"/>
  <c r="U92" i="8"/>
  <c r="T92" i="8"/>
  <c r="S92" i="8"/>
  <c r="N91" i="8"/>
  <c r="K91" i="8"/>
  <c r="J91" i="8"/>
  <c r="I91" i="8"/>
  <c r="H91" i="8"/>
  <c r="G91" i="8"/>
  <c r="L91" i="8"/>
  <c r="M91" i="8"/>
  <c r="O91" i="8"/>
  <c r="P91" i="8"/>
  <c r="Q91" i="8"/>
  <c r="R91" i="8"/>
  <c r="S91" i="8"/>
  <c r="T91" i="8"/>
  <c r="U91" i="8"/>
  <c r="H90" i="8"/>
  <c r="O90" i="8"/>
  <c r="N90" i="8"/>
  <c r="M90" i="8"/>
  <c r="L90" i="8"/>
  <c r="K90" i="8"/>
  <c r="J90" i="8"/>
  <c r="I90" i="8"/>
  <c r="U90" i="8"/>
  <c r="T90" i="8"/>
  <c r="S90" i="8"/>
  <c r="Q90" i="8"/>
  <c r="P90" i="8"/>
  <c r="G90" i="8"/>
  <c r="R90" i="8"/>
  <c r="Q89" i="8"/>
  <c r="S89" i="8"/>
  <c r="U89" i="8"/>
  <c r="R89" i="8"/>
  <c r="T89" i="8"/>
  <c r="H89" i="8"/>
  <c r="I89" i="8"/>
  <c r="J89" i="8"/>
  <c r="K89" i="8"/>
  <c r="L89" i="8"/>
  <c r="M89" i="8"/>
  <c r="N89" i="8"/>
  <c r="O89" i="8"/>
  <c r="P89" i="8"/>
  <c r="G89" i="8"/>
  <c r="G88" i="8"/>
  <c r="H88" i="8"/>
  <c r="I88" i="8"/>
  <c r="J88" i="8"/>
  <c r="K88" i="8"/>
  <c r="L88" i="8"/>
  <c r="H87" i="8"/>
  <c r="U87" i="8"/>
  <c r="R87" i="8"/>
  <c r="O87" i="8"/>
  <c r="N87" i="8"/>
  <c r="M87" i="8"/>
  <c r="P87" i="8"/>
  <c r="L87" i="8"/>
  <c r="K87" i="8"/>
  <c r="J87" i="8"/>
  <c r="I87" i="8"/>
  <c r="G87" i="8"/>
  <c r="S87" i="8"/>
  <c r="Q87" i="8"/>
  <c r="T87" i="8"/>
  <c r="O86" i="8"/>
  <c r="P86" i="8"/>
  <c r="Q86" i="8"/>
  <c r="R86" i="8"/>
  <c r="S86" i="8"/>
  <c r="T86" i="8"/>
  <c r="U86" i="8"/>
  <c r="G86" i="8"/>
  <c r="H86" i="8"/>
  <c r="I86" i="8"/>
  <c r="J86" i="8"/>
  <c r="K86" i="8"/>
  <c r="L86" i="8"/>
  <c r="M86" i="8"/>
  <c r="N86" i="8"/>
  <c r="T85" i="8"/>
  <c r="S85" i="8"/>
  <c r="R85" i="8"/>
  <c r="Q85" i="8"/>
  <c r="P85" i="8"/>
  <c r="O85" i="8"/>
  <c r="N85" i="8"/>
  <c r="M85" i="8"/>
  <c r="L85" i="8"/>
  <c r="K85" i="8"/>
  <c r="U85" i="8"/>
  <c r="J85" i="8"/>
  <c r="G85" i="8"/>
  <c r="I85" i="8"/>
  <c r="H85" i="8"/>
  <c r="S84" i="8"/>
  <c r="T84" i="8"/>
  <c r="U84" i="8"/>
  <c r="N84" i="8"/>
  <c r="I84" i="8"/>
  <c r="G84" i="8"/>
  <c r="H84" i="8"/>
  <c r="J84" i="8"/>
  <c r="K84" i="8"/>
  <c r="L84" i="8"/>
  <c r="M84" i="8"/>
  <c r="O84" i="8"/>
  <c r="P84" i="8"/>
  <c r="Q84" i="8"/>
  <c r="R84" i="8"/>
  <c r="S83" i="8"/>
  <c r="R83" i="8"/>
  <c r="Q83" i="8"/>
  <c r="P83" i="8"/>
  <c r="O83" i="8"/>
  <c r="N83" i="8"/>
  <c r="M83" i="8"/>
  <c r="L83" i="8"/>
  <c r="K83" i="8"/>
  <c r="J83" i="8"/>
  <c r="I83" i="8"/>
  <c r="H83" i="8"/>
  <c r="G83" i="8"/>
  <c r="U83" i="8"/>
  <c r="T83" i="8"/>
  <c r="G82" i="8"/>
  <c r="S82" i="8"/>
  <c r="T82" i="8"/>
  <c r="U82" i="8"/>
  <c r="N82" i="8"/>
  <c r="I82" i="8"/>
  <c r="J82" i="8"/>
  <c r="H82" i="8"/>
  <c r="K82" i="8"/>
  <c r="L82" i="8"/>
  <c r="M82" i="8"/>
  <c r="O82" i="8"/>
  <c r="P82" i="8"/>
  <c r="Q82" i="8"/>
  <c r="R82" i="8"/>
  <c r="U81" i="8"/>
  <c r="T81" i="8"/>
  <c r="S81" i="8"/>
  <c r="R81" i="8"/>
  <c r="Q81" i="8"/>
  <c r="P81" i="8"/>
  <c r="N81" i="8"/>
  <c r="M81" i="8"/>
  <c r="L81" i="8"/>
  <c r="K81" i="8"/>
  <c r="J81" i="8"/>
  <c r="I81" i="8"/>
  <c r="O81" i="8"/>
  <c r="G81" i="8"/>
  <c r="H81" i="8"/>
  <c r="H80" i="8"/>
  <c r="U80" i="8"/>
  <c r="T80" i="8"/>
  <c r="S80" i="8"/>
  <c r="R80" i="8"/>
  <c r="Q80" i="8"/>
  <c r="P80" i="8"/>
  <c r="O80" i="8"/>
  <c r="N80" i="8"/>
  <c r="M80" i="8"/>
  <c r="L80" i="8"/>
  <c r="K80" i="8"/>
  <c r="I80" i="8"/>
  <c r="G80" i="8"/>
  <c r="J80" i="8"/>
  <c r="J79" i="8"/>
  <c r="H79" i="8"/>
  <c r="U79" i="8"/>
  <c r="T79" i="8"/>
  <c r="G79" i="8"/>
  <c r="R79" i="8"/>
  <c r="Q79" i="8"/>
  <c r="I79" i="8"/>
  <c r="P79" i="8"/>
  <c r="S79" i="8"/>
  <c r="N79" i="8"/>
  <c r="M79" i="8"/>
  <c r="L79" i="8"/>
  <c r="K79" i="8"/>
  <c r="O79" i="8"/>
  <c r="S78" i="8"/>
  <c r="I78" i="8"/>
  <c r="G78" i="8"/>
  <c r="H78" i="8"/>
  <c r="J78" i="8"/>
  <c r="K78" i="8"/>
  <c r="L78" i="8"/>
  <c r="M78" i="8"/>
  <c r="N78" i="8"/>
  <c r="R78" i="8"/>
  <c r="O78" i="8"/>
  <c r="P78" i="8"/>
  <c r="Q78" i="8"/>
  <c r="T78" i="8"/>
  <c r="U78" i="8"/>
  <c r="U77" i="8"/>
  <c r="G77" i="8"/>
  <c r="S77" i="8"/>
  <c r="T77" i="8"/>
  <c r="I77" i="8"/>
  <c r="K77" i="8"/>
  <c r="H77" i="8"/>
  <c r="J77" i="8"/>
  <c r="L77" i="8"/>
  <c r="M77" i="8"/>
  <c r="N77" i="8"/>
  <c r="O77" i="8"/>
  <c r="P77" i="8"/>
  <c r="Q77" i="8"/>
  <c r="R77" i="8"/>
  <c r="S76" i="8"/>
  <c r="U76" i="8"/>
  <c r="T76" i="8"/>
  <c r="J76" i="8"/>
  <c r="G76" i="8"/>
  <c r="H76" i="8"/>
  <c r="I76" i="8"/>
  <c r="O76" i="8"/>
  <c r="K76" i="8"/>
  <c r="L76" i="8"/>
  <c r="M76" i="8"/>
  <c r="N76" i="8"/>
  <c r="P76" i="8"/>
  <c r="R76" i="8"/>
  <c r="Q76" i="8"/>
  <c r="S75" i="8"/>
  <c r="R75" i="8"/>
  <c r="Q75" i="8"/>
  <c r="O75" i="8"/>
  <c r="N75" i="8"/>
  <c r="M75" i="8"/>
  <c r="L75" i="8"/>
  <c r="K75" i="8"/>
  <c r="J75" i="8"/>
  <c r="G75" i="8"/>
  <c r="I75" i="8"/>
  <c r="P75" i="8"/>
  <c r="H75" i="8"/>
  <c r="U75" i="8"/>
  <c r="T75" i="8"/>
  <c r="Q74" i="8"/>
  <c r="P74" i="8"/>
  <c r="O74" i="8"/>
  <c r="N74" i="8"/>
  <c r="M74" i="8"/>
  <c r="L74" i="8"/>
  <c r="K74" i="8"/>
  <c r="J74" i="8"/>
  <c r="I74" i="8"/>
  <c r="H74" i="8"/>
  <c r="G74" i="8"/>
  <c r="U74" i="8"/>
  <c r="T74" i="8"/>
  <c r="S74" i="8"/>
  <c r="R74" i="8"/>
  <c r="N73" i="8"/>
  <c r="R73" i="8"/>
  <c r="Q73" i="8"/>
  <c r="P73" i="8"/>
  <c r="O73" i="8"/>
  <c r="M73" i="8"/>
  <c r="L73" i="8"/>
  <c r="K73" i="8"/>
  <c r="J73" i="8"/>
  <c r="I73" i="8"/>
  <c r="H73" i="8"/>
  <c r="G73" i="8"/>
  <c r="S73" i="8"/>
  <c r="T73" i="8"/>
  <c r="I72" i="8"/>
  <c r="H72" i="8"/>
  <c r="G72" i="8"/>
  <c r="M72" i="8"/>
  <c r="T72" i="8"/>
  <c r="U72" i="8"/>
  <c r="S72" i="8"/>
  <c r="R72" i="8"/>
  <c r="Q72" i="8"/>
  <c r="P72" i="8"/>
  <c r="O72" i="8"/>
  <c r="N72" i="8"/>
  <c r="L72" i="8"/>
  <c r="K72" i="8"/>
  <c r="J72" i="8"/>
  <c r="J71" i="8"/>
  <c r="I71" i="8"/>
  <c r="H71" i="8"/>
  <c r="G71" i="8"/>
  <c r="U71" i="8"/>
  <c r="T71" i="8"/>
  <c r="S71" i="8"/>
  <c r="R71" i="8"/>
  <c r="Q71" i="8"/>
  <c r="P71" i="8"/>
  <c r="O71" i="8"/>
  <c r="N71" i="8"/>
  <c r="M71" i="8"/>
  <c r="L71" i="8"/>
  <c r="K71" i="8"/>
  <c r="U70" i="8"/>
  <c r="T70" i="8"/>
  <c r="S70" i="8"/>
  <c r="R70" i="8"/>
  <c r="Q70" i="8"/>
  <c r="P70" i="8"/>
  <c r="O70" i="8"/>
  <c r="M70" i="8"/>
  <c r="L70" i="8"/>
  <c r="K70" i="8"/>
  <c r="J70" i="8"/>
  <c r="I70" i="8"/>
  <c r="H70" i="8"/>
  <c r="G70" i="8"/>
  <c r="N70" i="8"/>
  <c r="J69" i="8"/>
  <c r="I69" i="8"/>
  <c r="H69" i="8"/>
  <c r="G69" i="8"/>
  <c r="K69" i="8"/>
  <c r="U69" i="8"/>
  <c r="S69" i="8"/>
  <c r="R69" i="8"/>
  <c r="Q69" i="8"/>
  <c r="P69" i="8"/>
  <c r="O69" i="8"/>
  <c r="N69" i="8"/>
  <c r="M69" i="8"/>
  <c r="L69" i="8"/>
  <c r="T69" i="8"/>
  <c r="L68" i="8"/>
  <c r="K68" i="8"/>
  <c r="J68" i="8"/>
  <c r="I68" i="8"/>
  <c r="H68" i="8"/>
  <c r="G68" i="8"/>
  <c r="U68" i="8"/>
  <c r="T68" i="8"/>
  <c r="S68" i="8"/>
  <c r="R68" i="8"/>
  <c r="Q68" i="8"/>
  <c r="P68" i="8"/>
  <c r="O68" i="8"/>
  <c r="N68" i="8"/>
  <c r="M68" i="8"/>
  <c r="L67" i="8"/>
  <c r="M67" i="8"/>
  <c r="N67" i="8"/>
  <c r="O67" i="8"/>
  <c r="P67" i="8"/>
  <c r="Q67" i="8"/>
  <c r="S67" i="8"/>
  <c r="R67" i="8"/>
  <c r="I67" i="8"/>
  <c r="H67" i="8"/>
  <c r="G67" i="8"/>
  <c r="K67" i="8"/>
  <c r="T67" i="8"/>
  <c r="U67" i="8"/>
  <c r="J67" i="8"/>
  <c r="G66" i="8"/>
  <c r="Q66" i="8"/>
  <c r="P66" i="8"/>
  <c r="O66" i="8"/>
  <c r="M66" i="8"/>
  <c r="L66" i="8"/>
  <c r="K66" i="8"/>
  <c r="N66" i="8"/>
  <c r="I66" i="8"/>
  <c r="H66" i="8"/>
  <c r="J66" i="8"/>
  <c r="S66" i="8"/>
  <c r="T66" i="8"/>
  <c r="U66" i="8"/>
  <c r="R66" i="8"/>
  <c r="J65" i="8"/>
  <c r="I65" i="8"/>
  <c r="H65" i="8"/>
  <c r="G65" i="8"/>
  <c r="T65" i="8"/>
  <c r="N65" i="8"/>
  <c r="M65" i="8"/>
  <c r="U65" i="8"/>
  <c r="P65" i="8"/>
  <c r="L65" i="8"/>
  <c r="S65" i="8"/>
  <c r="R65" i="8"/>
  <c r="Q65" i="8"/>
  <c r="K65" i="8"/>
  <c r="O65" i="8"/>
  <c r="R64" i="8"/>
  <c r="S64" i="8"/>
  <c r="T64" i="8"/>
  <c r="G64" i="8"/>
  <c r="H64" i="8"/>
  <c r="I64" i="8"/>
  <c r="U64" i="8"/>
  <c r="J64" i="8"/>
  <c r="K64" i="8"/>
  <c r="L64" i="8"/>
  <c r="M64" i="8"/>
  <c r="N64" i="8"/>
  <c r="O64" i="8"/>
  <c r="P64" i="8"/>
  <c r="Q64" i="8"/>
  <c r="L63" i="8"/>
  <c r="K63" i="8"/>
  <c r="J63" i="8"/>
  <c r="I63" i="8"/>
  <c r="H63" i="8"/>
  <c r="G63" i="8"/>
  <c r="P63" i="8"/>
  <c r="U63" i="8"/>
  <c r="T63" i="8"/>
  <c r="R63" i="8"/>
  <c r="M63" i="8"/>
  <c r="Q63" i="8"/>
  <c r="O63" i="8"/>
  <c r="N63" i="8"/>
  <c r="S63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G62" i="8"/>
  <c r="H62" i="8"/>
  <c r="K61" i="8"/>
  <c r="J61" i="8"/>
  <c r="I61" i="8"/>
  <c r="P61" i="8"/>
  <c r="U61" i="8"/>
  <c r="T61" i="8"/>
  <c r="S61" i="8"/>
  <c r="R61" i="8"/>
  <c r="Q61" i="8"/>
  <c r="O61" i="8"/>
  <c r="N61" i="8"/>
  <c r="M61" i="8"/>
  <c r="L61" i="8"/>
  <c r="H61" i="8"/>
  <c r="G61" i="8"/>
  <c r="L60" i="8"/>
  <c r="G60" i="8"/>
  <c r="H60" i="8"/>
  <c r="I60" i="8"/>
  <c r="J60" i="8"/>
  <c r="K60" i="8"/>
  <c r="M60" i="8"/>
  <c r="N60" i="8"/>
  <c r="P60" i="8"/>
  <c r="Q60" i="8"/>
  <c r="R60" i="8"/>
  <c r="S60" i="8"/>
  <c r="T60" i="8"/>
  <c r="U60" i="8"/>
  <c r="O60" i="8"/>
  <c r="G59" i="8"/>
  <c r="L59" i="8"/>
  <c r="K59" i="8"/>
  <c r="J59" i="8"/>
  <c r="I59" i="8"/>
  <c r="H59" i="8"/>
  <c r="O58" i="8"/>
  <c r="N58" i="8"/>
  <c r="M58" i="8"/>
  <c r="J58" i="8"/>
  <c r="L58" i="8"/>
  <c r="K58" i="8"/>
  <c r="U58" i="8"/>
  <c r="I58" i="8"/>
  <c r="H58" i="8"/>
  <c r="G58" i="8"/>
  <c r="T58" i="8"/>
  <c r="S58" i="8"/>
  <c r="R58" i="8"/>
  <c r="Q58" i="8"/>
  <c r="P58" i="8"/>
  <c r="O57" i="8"/>
  <c r="N57" i="8"/>
  <c r="M57" i="8"/>
  <c r="L57" i="8"/>
  <c r="U57" i="8"/>
  <c r="J57" i="8"/>
  <c r="I57" i="8"/>
  <c r="H57" i="8"/>
  <c r="G57" i="8"/>
  <c r="T57" i="8"/>
  <c r="S57" i="8"/>
  <c r="R57" i="8"/>
  <c r="Q57" i="8"/>
  <c r="P57" i="8"/>
  <c r="K57" i="8"/>
  <c r="Q56" i="8"/>
  <c r="P56" i="8"/>
  <c r="O56" i="8"/>
  <c r="N56" i="8"/>
  <c r="M56" i="8"/>
  <c r="L56" i="8"/>
  <c r="K56" i="8"/>
  <c r="J56" i="8"/>
  <c r="I56" i="8"/>
  <c r="H56" i="8"/>
  <c r="G56" i="8"/>
  <c r="U56" i="8"/>
  <c r="T56" i="8"/>
  <c r="S56" i="8"/>
  <c r="R56" i="8"/>
  <c r="K55" i="8"/>
  <c r="L55" i="8"/>
  <c r="M55" i="8"/>
  <c r="Q55" i="8"/>
  <c r="N55" i="8"/>
  <c r="O55" i="8"/>
  <c r="P55" i="8"/>
  <c r="R55" i="8"/>
  <c r="S55" i="8"/>
  <c r="T55" i="8"/>
  <c r="U55" i="8"/>
  <c r="G55" i="8"/>
  <c r="H55" i="8"/>
  <c r="I55" i="8"/>
  <c r="J55" i="8"/>
  <c r="P54" i="8"/>
  <c r="M54" i="8"/>
  <c r="K54" i="8"/>
  <c r="L54" i="8"/>
  <c r="N54" i="8"/>
  <c r="O54" i="8"/>
  <c r="Q54" i="8"/>
  <c r="R54" i="8"/>
  <c r="S54" i="8"/>
  <c r="T54" i="8"/>
  <c r="U54" i="8"/>
  <c r="J54" i="8"/>
  <c r="I54" i="8"/>
  <c r="H54" i="8"/>
  <c r="G54" i="8"/>
  <c r="N53" i="8"/>
  <c r="M53" i="8"/>
  <c r="L53" i="8"/>
  <c r="K53" i="8"/>
  <c r="I53" i="8"/>
  <c r="H53" i="8"/>
  <c r="G53" i="8"/>
  <c r="J53" i="8"/>
  <c r="R53" i="8"/>
  <c r="Q53" i="8"/>
  <c r="P53" i="8"/>
  <c r="O53" i="8"/>
  <c r="U53" i="8"/>
  <c r="T53" i="8"/>
  <c r="S53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Q51" i="8"/>
  <c r="M51" i="8"/>
  <c r="R51" i="8"/>
  <c r="G51" i="8"/>
  <c r="T51" i="8"/>
  <c r="S51" i="8"/>
  <c r="H51" i="8"/>
  <c r="U51" i="8"/>
  <c r="L51" i="8"/>
  <c r="K51" i="8"/>
  <c r="J51" i="8"/>
  <c r="I51" i="8"/>
  <c r="N51" i="8"/>
  <c r="O51" i="8"/>
  <c r="P51" i="8"/>
  <c r="R50" i="8"/>
  <c r="Q50" i="8"/>
  <c r="P50" i="8"/>
  <c r="O50" i="8"/>
  <c r="N50" i="8"/>
  <c r="M50" i="8"/>
  <c r="L50" i="8"/>
  <c r="K50" i="8"/>
  <c r="G50" i="8"/>
  <c r="H50" i="8"/>
  <c r="I50" i="8"/>
  <c r="J50" i="8"/>
  <c r="U50" i="8"/>
  <c r="T50" i="8"/>
  <c r="S50" i="8"/>
  <c r="P49" i="8"/>
  <c r="Q49" i="8"/>
  <c r="R49" i="8"/>
  <c r="S49" i="8"/>
  <c r="T49" i="8"/>
  <c r="U49" i="8"/>
  <c r="G49" i="8"/>
  <c r="H49" i="8"/>
  <c r="I49" i="8"/>
  <c r="J49" i="8"/>
  <c r="K49" i="8"/>
  <c r="L49" i="8"/>
  <c r="M49" i="8"/>
  <c r="N49" i="8"/>
  <c r="O49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U48" i="8"/>
  <c r="O47" i="8"/>
  <c r="N47" i="8"/>
  <c r="M47" i="8"/>
  <c r="L47" i="8"/>
  <c r="K47" i="8"/>
  <c r="J47" i="8"/>
  <c r="I47" i="8"/>
  <c r="R47" i="8"/>
  <c r="H47" i="8"/>
  <c r="G47" i="8"/>
  <c r="U47" i="8"/>
  <c r="T47" i="8"/>
  <c r="S47" i="8"/>
  <c r="Q47" i="8"/>
  <c r="P47" i="8"/>
  <c r="U46" i="8"/>
  <c r="T46" i="8"/>
  <c r="S46" i="8"/>
  <c r="R46" i="8"/>
  <c r="Q46" i="8"/>
  <c r="P46" i="8"/>
  <c r="O46" i="8"/>
  <c r="G46" i="8"/>
  <c r="H46" i="8"/>
  <c r="I46" i="8"/>
  <c r="J46" i="8"/>
  <c r="K46" i="8"/>
  <c r="L46" i="8"/>
  <c r="N46" i="8"/>
  <c r="M46" i="8"/>
  <c r="K45" i="8"/>
  <c r="J45" i="8"/>
  <c r="H45" i="8"/>
  <c r="G45" i="8"/>
  <c r="P45" i="8"/>
  <c r="R45" i="8"/>
  <c r="Q45" i="8"/>
  <c r="S45" i="8"/>
  <c r="T45" i="8"/>
  <c r="U45" i="8"/>
  <c r="I45" i="8"/>
  <c r="O45" i="8"/>
  <c r="N45" i="8"/>
  <c r="M45" i="8"/>
  <c r="L45" i="8"/>
  <c r="N44" i="8"/>
  <c r="O44" i="8"/>
  <c r="P44" i="8"/>
  <c r="Q44" i="8"/>
  <c r="S44" i="8"/>
  <c r="H44" i="8"/>
  <c r="R44" i="8"/>
  <c r="G44" i="8"/>
  <c r="I44" i="8"/>
  <c r="J44" i="8"/>
  <c r="K44" i="8"/>
  <c r="L44" i="8"/>
  <c r="M44" i="8"/>
  <c r="Q43" i="8"/>
  <c r="P43" i="8"/>
  <c r="O43" i="8"/>
  <c r="N43" i="8"/>
  <c r="M43" i="8"/>
  <c r="L43" i="8"/>
  <c r="R43" i="8"/>
  <c r="S43" i="8"/>
  <c r="T43" i="8"/>
  <c r="U43" i="8"/>
  <c r="K43" i="8"/>
  <c r="J43" i="8"/>
  <c r="I43" i="8"/>
  <c r="H43" i="8"/>
  <c r="G43" i="8"/>
  <c r="K42" i="8"/>
  <c r="J42" i="8"/>
  <c r="I42" i="8"/>
  <c r="M42" i="8"/>
  <c r="H42" i="8"/>
  <c r="U42" i="8"/>
  <c r="T42" i="8"/>
  <c r="S42" i="8"/>
  <c r="R42" i="8"/>
  <c r="Q42" i="8"/>
  <c r="P42" i="8"/>
  <c r="O42" i="8"/>
  <c r="N42" i="8"/>
  <c r="G42" i="8"/>
  <c r="L42" i="8"/>
  <c r="S41" i="8"/>
  <c r="U41" i="8"/>
  <c r="H41" i="8"/>
  <c r="G41" i="8"/>
  <c r="K41" i="8"/>
  <c r="I41" i="8"/>
  <c r="J41" i="8"/>
  <c r="T41" i="8"/>
  <c r="L41" i="8"/>
  <c r="M41" i="8"/>
  <c r="N41" i="8"/>
  <c r="O41" i="8"/>
  <c r="P41" i="8"/>
  <c r="Q41" i="8"/>
  <c r="R41" i="8"/>
  <c r="J40" i="8"/>
  <c r="I40" i="8"/>
  <c r="H40" i="8"/>
  <c r="L40" i="8"/>
  <c r="M40" i="8"/>
  <c r="K40" i="8"/>
  <c r="N40" i="8"/>
  <c r="O40" i="8"/>
  <c r="P40" i="8"/>
  <c r="R40" i="8"/>
  <c r="Q40" i="8"/>
  <c r="S40" i="8"/>
  <c r="T40" i="8"/>
  <c r="U40" i="8"/>
  <c r="G40" i="8"/>
  <c r="G39" i="8"/>
  <c r="H39" i="8"/>
  <c r="I39" i="8"/>
  <c r="J39" i="8"/>
  <c r="K39" i="8"/>
  <c r="L39" i="8"/>
  <c r="M39" i="8"/>
  <c r="N39" i="8"/>
  <c r="O39" i="8"/>
  <c r="P39" i="8"/>
  <c r="Q39" i="8"/>
  <c r="R39" i="8"/>
  <c r="T39" i="8"/>
  <c r="U39" i="8"/>
  <c r="S39" i="8"/>
  <c r="P38" i="8"/>
  <c r="O38" i="8"/>
  <c r="N38" i="8"/>
  <c r="M38" i="8"/>
  <c r="L38" i="8"/>
  <c r="K38" i="8"/>
  <c r="J38" i="8"/>
  <c r="I38" i="8"/>
  <c r="H38" i="8"/>
  <c r="G38" i="8"/>
  <c r="U38" i="8"/>
  <c r="T38" i="8"/>
  <c r="S38" i="8"/>
  <c r="R38" i="8"/>
  <c r="Q38" i="8"/>
  <c r="K37" i="8"/>
  <c r="Q37" i="8"/>
  <c r="R37" i="8"/>
  <c r="S37" i="8"/>
  <c r="T37" i="8"/>
  <c r="U37" i="8"/>
  <c r="O37" i="8"/>
  <c r="N37" i="8"/>
  <c r="M37" i="8"/>
  <c r="L37" i="8"/>
  <c r="J37" i="8"/>
  <c r="I37" i="8"/>
  <c r="H37" i="8"/>
  <c r="G37" i="8"/>
  <c r="P37" i="8"/>
  <c r="L36" i="8"/>
  <c r="J36" i="8"/>
  <c r="K36" i="8"/>
  <c r="I36" i="8"/>
  <c r="H36" i="8"/>
  <c r="M36" i="8"/>
  <c r="N36" i="8"/>
  <c r="U36" i="8"/>
  <c r="T36" i="8"/>
  <c r="S36" i="8"/>
  <c r="R36" i="8"/>
  <c r="Q36" i="8"/>
  <c r="P36" i="8"/>
  <c r="O36" i="8"/>
  <c r="G36" i="8"/>
  <c r="K35" i="8"/>
  <c r="G35" i="8"/>
  <c r="H35" i="8"/>
  <c r="I35" i="8"/>
  <c r="J35" i="8"/>
  <c r="L35" i="8"/>
  <c r="M35" i="8"/>
  <c r="N35" i="8"/>
  <c r="O35" i="8"/>
  <c r="P35" i="8"/>
  <c r="Q35" i="8"/>
  <c r="R35" i="8"/>
  <c r="U35" i="8"/>
  <c r="T35" i="8"/>
  <c r="S35" i="8"/>
  <c r="R34" i="8"/>
  <c r="U34" i="8"/>
  <c r="Q34" i="8"/>
  <c r="S34" i="8"/>
  <c r="I34" i="8"/>
  <c r="J34" i="8"/>
  <c r="G34" i="8"/>
  <c r="P34" i="8"/>
  <c r="H34" i="8"/>
  <c r="K34" i="8"/>
  <c r="L34" i="8"/>
  <c r="M34" i="8"/>
  <c r="N34" i="8"/>
  <c r="O34" i="8"/>
  <c r="T34" i="8"/>
  <c r="U33" i="8"/>
  <c r="T33" i="8"/>
  <c r="S33" i="8"/>
  <c r="R33" i="8"/>
  <c r="Q33" i="8"/>
  <c r="P33" i="8"/>
  <c r="O33" i="8"/>
  <c r="N33" i="8"/>
  <c r="M33" i="8"/>
  <c r="K33" i="8"/>
  <c r="J33" i="8"/>
  <c r="I33" i="8"/>
  <c r="H33" i="8"/>
  <c r="G33" i="8"/>
  <c r="L33" i="8"/>
  <c r="U32" i="8"/>
  <c r="T32" i="8"/>
  <c r="S32" i="8"/>
  <c r="I32" i="8"/>
  <c r="R32" i="8"/>
  <c r="Q32" i="8"/>
  <c r="P32" i="8"/>
  <c r="O32" i="8"/>
  <c r="N32" i="8"/>
  <c r="M32" i="8"/>
  <c r="L32" i="8"/>
  <c r="K32" i="8"/>
  <c r="J32" i="8"/>
  <c r="H32" i="8"/>
  <c r="G32" i="8"/>
  <c r="U31" i="8"/>
  <c r="G31" i="8"/>
  <c r="H31" i="8"/>
  <c r="I31" i="8"/>
  <c r="J31" i="8"/>
  <c r="T31" i="8"/>
  <c r="S31" i="8"/>
  <c r="O31" i="8"/>
  <c r="L31" i="8"/>
  <c r="R31" i="8"/>
  <c r="Q31" i="8"/>
  <c r="P31" i="8"/>
  <c r="N31" i="8"/>
  <c r="M31" i="8"/>
  <c r="K31" i="8"/>
  <c r="I30" i="8"/>
  <c r="K30" i="8"/>
  <c r="J30" i="8"/>
  <c r="H30" i="8"/>
  <c r="G30" i="8"/>
  <c r="Q29" i="8"/>
  <c r="U29" i="8"/>
  <c r="T29" i="8"/>
  <c r="S29" i="8"/>
  <c r="R29" i="8"/>
  <c r="K29" i="8"/>
  <c r="J29" i="8"/>
  <c r="G29" i="8"/>
  <c r="I29" i="8"/>
  <c r="H29" i="8"/>
  <c r="L29" i="8"/>
  <c r="P29" i="8"/>
  <c r="O29" i="8"/>
  <c r="N29" i="8"/>
  <c r="M29" i="8"/>
  <c r="P28" i="8"/>
  <c r="J28" i="8"/>
  <c r="G28" i="8"/>
  <c r="T28" i="8"/>
  <c r="U28" i="8"/>
  <c r="H28" i="8"/>
  <c r="N28" i="8"/>
  <c r="I28" i="8"/>
  <c r="K28" i="8"/>
  <c r="L28" i="8"/>
  <c r="M28" i="8"/>
  <c r="O28" i="8"/>
  <c r="Q28" i="8"/>
  <c r="R28" i="8"/>
  <c r="S28" i="8"/>
  <c r="U27" i="8"/>
  <c r="T27" i="8"/>
  <c r="S27" i="8"/>
  <c r="G27" i="8"/>
  <c r="I27" i="8"/>
  <c r="J27" i="8"/>
  <c r="K27" i="8"/>
  <c r="M27" i="8"/>
  <c r="N27" i="8"/>
  <c r="L27" i="8"/>
  <c r="O27" i="8"/>
  <c r="P27" i="8"/>
  <c r="Q27" i="8"/>
  <c r="R27" i="8"/>
  <c r="H27" i="8"/>
  <c r="N26" i="8"/>
  <c r="M26" i="8"/>
  <c r="L26" i="8"/>
  <c r="K26" i="8"/>
  <c r="J26" i="8"/>
  <c r="I26" i="8"/>
  <c r="H26" i="8"/>
  <c r="G26" i="8"/>
  <c r="U26" i="8"/>
  <c r="T26" i="8"/>
  <c r="S26" i="8"/>
  <c r="R26" i="8"/>
  <c r="Q26" i="8"/>
  <c r="P26" i="8"/>
  <c r="O26" i="8"/>
  <c r="L25" i="8"/>
  <c r="M25" i="8"/>
  <c r="N25" i="8"/>
  <c r="O25" i="8"/>
  <c r="P25" i="8"/>
  <c r="R25" i="8"/>
  <c r="S25" i="8"/>
  <c r="T25" i="8"/>
  <c r="G25" i="8"/>
  <c r="H25" i="8"/>
  <c r="I25" i="8"/>
  <c r="J25" i="8"/>
  <c r="Q25" i="8"/>
  <c r="K25" i="8"/>
  <c r="U25" i="8"/>
  <c r="M24" i="8"/>
  <c r="L24" i="8"/>
  <c r="K24" i="8"/>
  <c r="J24" i="8"/>
  <c r="I24" i="8"/>
  <c r="H24" i="8"/>
  <c r="G24" i="8"/>
  <c r="T24" i="8"/>
  <c r="P24" i="8"/>
  <c r="U24" i="8"/>
  <c r="S24" i="8"/>
  <c r="R24" i="8"/>
  <c r="N24" i="8"/>
  <c r="O24" i="8"/>
  <c r="Q24" i="8"/>
  <c r="O23" i="8"/>
  <c r="P23" i="8"/>
  <c r="H23" i="8"/>
  <c r="Q23" i="8"/>
  <c r="R23" i="8"/>
  <c r="S23" i="8"/>
  <c r="T23" i="8"/>
  <c r="U23" i="8"/>
  <c r="I23" i="8"/>
  <c r="L23" i="8"/>
  <c r="J23" i="8"/>
  <c r="K23" i="8"/>
  <c r="G23" i="8"/>
  <c r="M23" i="8"/>
  <c r="N23" i="8"/>
  <c r="U22" i="8"/>
  <c r="T22" i="8"/>
  <c r="S22" i="8"/>
  <c r="R22" i="8"/>
  <c r="Q22" i="8"/>
  <c r="P22" i="8"/>
  <c r="O22" i="8"/>
  <c r="N22" i="8"/>
  <c r="M22" i="8"/>
  <c r="K22" i="8"/>
  <c r="J22" i="8"/>
  <c r="I22" i="8"/>
  <c r="H22" i="8"/>
  <c r="G22" i="8"/>
  <c r="L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G18" i="8"/>
  <c r="H18" i="8"/>
  <c r="T17" i="8"/>
  <c r="S17" i="8"/>
  <c r="R17" i="8"/>
  <c r="Q17" i="8"/>
  <c r="P17" i="8"/>
  <c r="O17" i="8"/>
  <c r="N17" i="8"/>
  <c r="M17" i="8"/>
  <c r="L17" i="8"/>
  <c r="I17" i="8"/>
  <c r="U17" i="8"/>
  <c r="H17" i="8"/>
  <c r="K17" i="8"/>
  <c r="J17" i="8"/>
  <c r="G17" i="8"/>
  <c r="P16" i="8"/>
  <c r="R16" i="8"/>
  <c r="S16" i="8"/>
  <c r="T16" i="8"/>
  <c r="U16" i="8"/>
  <c r="Q16" i="8"/>
  <c r="K16" i="8"/>
  <c r="G16" i="8"/>
  <c r="H16" i="8"/>
  <c r="I16" i="8"/>
  <c r="J16" i="8"/>
  <c r="L16" i="8"/>
  <c r="M16" i="8"/>
  <c r="N16" i="8"/>
  <c r="O16" i="8"/>
  <c r="K15" i="8"/>
  <c r="L15" i="8"/>
  <c r="M15" i="8"/>
  <c r="N15" i="8"/>
  <c r="O15" i="8"/>
  <c r="P15" i="8"/>
  <c r="R15" i="8"/>
  <c r="Q15" i="8"/>
  <c r="J15" i="8"/>
  <c r="I15" i="8"/>
  <c r="H15" i="8"/>
  <c r="G15" i="8"/>
  <c r="S15" i="8"/>
  <c r="U14" i="8"/>
  <c r="T14" i="8"/>
  <c r="S14" i="8"/>
  <c r="R14" i="8"/>
  <c r="Q14" i="8"/>
  <c r="P14" i="8"/>
  <c r="N14" i="8"/>
  <c r="M14" i="8"/>
  <c r="L14" i="8"/>
  <c r="K14" i="8"/>
  <c r="J14" i="8"/>
  <c r="I14" i="8"/>
  <c r="H14" i="8"/>
  <c r="G14" i="8"/>
  <c r="O14" i="8"/>
  <c r="I11" i="8"/>
  <c r="H11" i="8"/>
  <c r="G11" i="8"/>
  <c r="S8" i="8"/>
  <c r="H8" i="8"/>
  <c r="M8" i="8"/>
  <c r="I8" i="8"/>
  <c r="J8" i="8"/>
  <c r="K8" i="8"/>
  <c r="G8" i="8"/>
  <c r="R8" i="8"/>
  <c r="Q8" i="8"/>
  <c r="P8" i="8"/>
  <c r="O8" i="8"/>
  <c r="N8" i="8"/>
  <c r="L8" i="8"/>
  <c r="U8" i="8"/>
  <c r="T8" i="8"/>
  <c r="N7" i="8"/>
  <c r="G7" i="8"/>
  <c r="H7" i="8"/>
  <c r="M7" i="8"/>
  <c r="I7" i="8"/>
  <c r="J7" i="8"/>
  <c r="K7" i="8"/>
  <c r="L7" i="8"/>
  <c r="U7" i="8"/>
  <c r="T7" i="8"/>
  <c r="S7" i="8"/>
  <c r="R7" i="8"/>
  <c r="Q7" i="8"/>
  <c r="P7" i="8"/>
  <c r="O7" i="8"/>
  <c r="R6" i="8"/>
  <c r="Q6" i="8"/>
  <c r="U6" i="8"/>
  <c r="T6" i="8"/>
  <c r="S6" i="8"/>
  <c r="P6" i="8"/>
  <c r="O6" i="8"/>
  <c r="N6" i="8"/>
  <c r="M6" i="8"/>
  <c r="L6" i="8"/>
  <c r="K6" i="8"/>
  <c r="J6" i="8"/>
  <c r="I6" i="8"/>
  <c r="H6" i="8"/>
  <c r="G6" i="8"/>
  <c r="K18" i="7"/>
  <c r="N18" i="7"/>
  <c r="U18" i="7"/>
  <c r="T18" i="7"/>
  <c r="S18" i="7"/>
  <c r="R18" i="7"/>
  <c r="Q18" i="7"/>
  <c r="P18" i="7"/>
  <c r="O18" i="7"/>
  <c r="M18" i="7"/>
  <c r="L18" i="7"/>
  <c r="J18" i="7"/>
  <c r="I18" i="7"/>
  <c r="H18" i="7"/>
  <c r="G18" i="7"/>
  <c r="O17" i="7"/>
  <c r="P17" i="7"/>
  <c r="Q17" i="7"/>
  <c r="W17" i="7" s="1"/>
  <c r="S17" i="7"/>
  <c r="G17" i="7"/>
  <c r="M17" i="7"/>
  <c r="H17" i="7"/>
  <c r="I17" i="7"/>
  <c r="N17" i="7"/>
  <c r="K17" i="7"/>
  <c r="J17" i="7"/>
  <c r="L17" i="7"/>
  <c r="R17" i="7"/>
  <c r="U17" i="7"/>
  <c r="T17" i="7"/>
  <c r="S16" i="7"/>
  <c r="R16" i="7"/>
  <c r="Q16" i="7"/>
  <c r="W16" i="7" s="1"/>
  <c r="P16" i="7"/>
  <c r="O16" i="7"/>
  <c r="N16" i="7"/>
  <c r="M16" i="7"/>
  <c r="L16" i="7"/>
  <c r="K16" i="7"/>
  <c r="J16" i="7"/>
  <c r="I16" i="7"/>
  <c r="H16" i="7"/>
  <c r="G16" i="7"/>
  <c r="U16" i="7"/>
  <c r="T16" i="7"/>
  <c r="Q15" i="7"/>
  <c r="W15" i="7" s="1"/>
  <c r="S15" i="7"/>
  <c r="R15" i="7"/>
  <c r="L15" i="7"/>
  <c r="P15" i="7"/>
  <c r="G15" i="7"/>
  <c r="O15" i="7"/>
  <c r="N15" i="7"/>
  <c r="M15" i="7"/>
  <c r="H15" i="7"/>
  <c r="I15" i="7"/>
  <c r="J15" i="7"/>
  <c r="K15" i="7"/>
  <c r="U15" i="7"/>
  <c r="T15" i="7"/>
  <c r="O14" i="7"/>
  <c r="N14" i="7"/>
  <c r="L14" i="7"/>
  <c r="K14" i="7"/>
  <c r="I14" i="7"/>
  <c r="H14" i="7"/>
  <c r="G14" i="7"/>
  <c r="J14" i="7"/>
  <c r="M14" i="7"/>
  <c r="U14" i="7"/>
  <c r="T14" i="7"/>
  <c r="S14" i="7"/>
  <c r="R14" i="7"/>
  <c r="Q14" i="7"/>
  <c r="W14" i="7" s="1"/>
  <c r="P14" i="7"/>
  <c r="S13" i="7"/>
  <c r="R13" i="7"/>
  <c r="Q13" i="7"/>
  <c r="W13" i="7" s="1"/>
  <c r="P13" i="7"/>
  <c r="N13" i="7"/>
  <c r="M13" i="7"/>
  <c r="L13" i="7"/>
  <c r="I13" i="7"/>
  <c r="J13" i="7"/>
  <c r="O13" i="7"/>
  <c r="K13" i="7"/>
  <c r="H13" i="7"/>
  <c r="G13" i="7"/>
  <c r="U13" i="7"/>
  <c r="T13" i="7"/>
  <c r="S12" i="7"/>
  <c r="R12" i="7"/>
  <c r="Q12" i="7"/>
  <c r="W12" i="7" s="1"/>
  <c r="P12" i="7"/>
  <c r="O12" i="7"/>
  <c r="N12" i="7"/>
  <c r="M12" i="7"/>
  <c r="L12" i="7"/>
  <c r="K12" i="7"/>
  <c r="J12" i="7"/>
  <c r="I12" i="7"/>
  <c r="H12" i="7"/>
  <c r="G12" i="7"/>
  <c r="U12" i="7"/>
  <c r="T12" i="7"/>
  <c r="N11" i="7"/>
  <c r="S11" i="7"/>
  <c r="R11" i="7"/>
  <c r="Q11" i="7"/>
  <c r="W11" i="7" s="1"/>
  <c r="P11" i="7"/>
  <c r="O11" i="7"/>
  <c r="M11" i="7"/>
  <c r="L11" i="7"/>
  <c r="K11" i="7"/>
  <c r="J11" i="7"/>
  <c r="I11" i="7"/>
  <c r="H11" i="7"/>
  <c r="G11" i="7"/>
  <c r="U11" i="7"/>
  <c r="T11" i="7"/>
  <c r="G10" i="7"/>
  <c r="H10" i="7"/>
  <c r="I10" i="7"/>
  <c r="J10" i="7"/>
  <c r="U9" i="7"/>
  <c r="J9" i="7"/>
  <c r="H9" i="7"/>
  <c r="G9" i="7"/>
  <c r="I9" i="7"/>
  <c r="T9" i="7"/>
  <c r="S9" i="7"/>
  <c r="R9" i="7"/>
  <c r="Q9" i="7"/>
  <c r="W9" i="7" s="1"/>
  <c r="P9" i="7"/>
  <c r="O9" i="7"/>
  <c r="N9" i="7"/>
  <c r="M9" i="7"/>
  <c r="L9" i="7"/>
  <c r="K9" i="7"/>
  <c r="Q8" i="7"/>
  <c r="W8" i="7" s="1"/>
  <c r="R8" i="7"/>
  <c r="S8" i="7"/>
  <c r="T8" i="7"/>
  <c r="U8" i="7"/>
  <c r="N8" i="7"/>
  <c r="H8" i="7"/>
  <c r="G8" i="7"/>
  <c r="I8" i="7"/>
  <c r="J8" i="7"/>
  <c r="K8" i="7"/>
  <c r="L8" i="7"/>
  <c r="M8" i="7"/>
  <c r="O8" i="7"/>
  <c r="P8" i="7"/>
  <c r="N7" i="7"/>
  <c r="I7" i="7"/>
  <c r="P7" i="7"/>
  <c r="Q7" i="7"/>
  <c r="W7" i="7" s="1"/>
  <c r="H7" i="7"/>
  <c r="R7" i="7"/>
  <c r="K7" i="7"/>
  <c r="T7" i="7"/>
  <c r="U7" i="7"/>
  <c r="L7" i="7"/>
  <c r="M7" i="7"/>
  <c r="G7" i="7"/>
  <c r="S7" i="7"/>
  <c r="J7" i="7"/>
  <c r="O7" i="7"/>
  <c r="G6" i="7"/>
  <c r="H6" i="7"/>
  <c r="I6" i="7"/>
  <c r="J6" i="7"/>
  <c r="L6" i="7"/>
  <c r="O6" i="7"/>
  <c r="U6" i="7"/>
  <c r="T6" i="7"/>
  <c r="S6" i="7"/>
  <c r="R6" i="7"/>
  <c r="Q6" i="7"/>
  <c r="W6" i="7" s="1"/>
  <c r="P6" i="7"/>
  <c r="N6" i="7"/>
  <c r="M6" i="7"/>
  <c r="K6" i="7"/>
  <c r="K15" i="6"/>
  <c r="J15" i="6"/>
  <c r="I15" i="6"/>
  <c r="H15" i="6"/>
  <c r="G15" i="6"/>
  <c r="O15" i="6"/>
  <c r="U15" i="6"/>
  <c r="T15" i="6"/>
  <c r="S15" i="6"/>
  <c r="R15" i="6"/>
  <c r="Q15" i="6"/>
  <c r="P15" i="6"/>
  <c r="N15" i="6"/>
  <c r="M15" i="6"/>
  <c r="L15" i="6"/>
  <c r="Q14" i="6"/>
  <c r="P14" i="6"/>
  <c r="O14" i="6"/>
  <c r="N14" i="6"/>
  <c r="M14" i="6"/>
  <c r="J14" i="6"/>
  <c r="L14" i="6"/>
  <c r="I14" i="6"/>
  <c r="S14" i="6"/>
  <c r="H14" i="6"/>
  <c r="K14" i="6"/>
  <c r="G14" i="6"/>
  <c r="U14" i="6"/>
  <c r="T14" i="6"/>
  <c r="R14" i="6"/>
  <c r="G13" i="6"/>
  <c r="Q13" i="6"/>
  <c r="R13" i="6"/>
  <c r="H13" i="6"/>
  <c r="K13" i="6"/>
  <c r="I13" i="6"/>
  <c r="J13" i="6"/>
  <c r="U13" i="6"/>
  <c r="T13" i="6"/>
  <c r="S13" i="6"/>
  <c r="L13" i="6"/>
  <c r="M13" i="6"/>
  <c r="N13" i="6"/>
  <c r="O13" i="6"/>
  <c r="P13" i="6"/>
  <c r="M12" i="6"/>
  <c r="U12" i="6"/>
  <c r="T12" i="6"/>
  <c r="S12" i="6"/>
  <c r="R12" i="6"/>
  <c r="Q12" i="6"/>
  <c r="P12" i="6"/>
  <c r="O12" i="6"/>
  <c r="N12" i="6"/>
  <c r="L12" i="6"/>
  <c r="K12" i="6"/>
  <c r="J12" i="6"/>
  <c r="I12" i="6"/>
  <c r="H12" i="6"/>
  <c r="G12" i="6"/>
  <c r="H11" i="6"/>
  <c r="P11" i="6"/>
  <c r="N11" i="6"/>
  <c r="J11" i="6"/>
  <c r="K11" i="6"/>
  <c r="L11" i="6"/>
  <c r="M11" i="6"/>
  <c r="U11" i="6"/>
  <c r="O11" i="6"/>
  <c r="Q11" i="6"/>
  <c r="R11" i="6"/>
  <c r="S11" i="6"/>
  <c r="T11" i="6"/>
  <c r="G11" i="6"/>
  <c r="I11" i="6"/>
  <c r="T10" i="6"/>
  <c r="S10" i="6"/>
  <c r="R10" i="6"/>
  <c r="Q10" i="6"/>
  <c r="O10" i="6"/>
  <c r="N10" i="6"/>
  <c r="M10" i="6"/>
  <c r="L10" i="6"/>
  <c r="K10" i="6"/>
  <c r="J10" i="6"/>
  <c r="I10" i="6"/>
  <c r="H10" i="6"/>
  <c r="G10" i="6"/>
  <c r="P10" i="6"/>
  <c r="U10" i="6"/>
  <c r="I9" i="6"/>
  <c r="H9" i="6"/>
  <c r="G9" i="6"/>
  <c r="L9" i="6"/>
  <c r="S9" i="6"/>
  <c r="U9" i="6"/>
  <c r="K9" i="6"/>
  <c r="M9" i="6"/>
  <c r="N9" i="6"/>
  <c r="O9" i="6"/>
  <c r="P9" i="6"/>
  <c r="Q9" i="6"/>
  <c r="T9" i="6"/>
  <c r="R9" i="6"/>
  <c r="J9" i="6"/>
  <c r="I8" i="6"/>
  <c r="K8" i="6"/>
  <c r="N8" i="6"/>
  <c r="H8" i="6"/>
  <c r="J8" i="6"/>
  <c r="L8" i="6"/>
  <c r="M8" i="6"/>
  <c r="R8" i="6"/>
  <c r="P8" i="6"/>
  <c r="Q8" i="6"/>
  <c r="S8" i="6"/>
  <c r="T8" i="6"/>
  <c r="U8" i="6"/>
  <c r="O8" i="6"/>
  <c r="G8" i="6"/>
  <c r="P7" i="6"/>
  <c r="N7" i="6"/>
  <c r="L7" i="6"/>
  <c r="K7" i="6"/>
  <c r="I7" i="6"/>
  <c r="G7" i="6"/>
  <c r="U7" i="6"/>
  <c r="O7" i="6"/>
  <c r="H7" i="6"/>
  <c r="J7" i="6"/>
  <c r="M7" i="6"/>
  <c r="Q7" i="6"/>
  <c r="S7" i="6"/>
  <c r="T7" i="6"/>
  <c r="R7" i="6"/>
  <c r="U6" i="6"/>
  <c r="T6" i="6"/>
  <c r="S6" i="6"/>
  <c r="R6" i="6"/>
  <c r="Q6" i="6"/>
  <c r="P6" i="6"/>
  <c r="O6" i="6"/>
  <c r="N6" i="6"/>
  <c r="L6" i="6"/>
  <c r="K6" i="6"/>
  <c r="J6" i="6"/>
  <c r="I6" i="6"/>
  <c r="M6" i="6"/>
  <c r="H6" i="6"/>
  <c r="G6" i="6"/>
  <c r="W20" i="7" l="1"/>
  <c r="W22" i="7" l="1"/>
  <c r="W21" i="7"/>
  <c r="H8" i="12" s="1"/>
</calcChain>
</file>

<file path=xl/sharedStrings.xml><?xml version="1.0" encoding="utf-8"?>
<sst xmlns="http://schemas.openxmlformats.org/spreadsheetml/2006/main" count="2867" uniqueCount="1009">
  <si>
    <t>TH-a (Block E/H fast frequentist battery) · README</t>
  </si>
  <si>
    <t>Template: docs/results_workbook_template.md (binding; 13-tab SOMA)</t>
  </si>
  <si>
    <t>Run 2026-07-24 22:46 (canonical) · verifier R/06_verify_outputs.R 17/17 PASS · chat artefact check 2026-07-26 18/18 PASS · output/TH_a_results.csv 177x36</t>
  </si>
  <si>
    <t>Item</t>
  </si>
  <si>
    <t>Value</t>
  </si>
  <si>
    <t>Workbook version</t>
  </si>
  <si>
    <t>v1.0 (built post-run by project chat; verifier never reads this file)</t>
  </si>
  <si>
    <t>Method one-liner</t>
  </si>
  <si>
    <t>Fast frequentist E/H battery on the 3L-RVE spine: TOST equivalence (E1/E2), gate configuration (E3), sup-break grid (H4), Zarea transplant (H6), cumulative MA (H7), rolling windows (H8), external comparison (H9), conditional p-curve (H10), within-study display (H11).</t>
  </si>
  <si>
    <t>Scope</t>
  </si>
  <si>
    <t>Block E (E1-E3) + Block H fast analyses (H4 grid, H6-H11); estimation set 2,713 ES / 115 studies / 114 clusters; period domain 2,705 / 113 / 112.</t>
  </si>
  <si>
    <t>Repo / commit basis</t>
  </si>
  <si>
    <t>rwitte-wu-research/FOMA-CER-COD-Paris; chain 5a99de6 -&gt; e44fce7 (#12) -&gt; fce9d3a (#13) -&gt; dafd95e (#14); family commit lands on dafd95e (main = origin)</t>
  </si>
  <si>
    <t>Computational stack</t>
  </si>
  <si>
    <t>R 4.6.1 (ucrt) · metafor 5.0-1 · clubSandwich 0.7.0 · Matrix 1.7-5 · Windows 11 x64 (26200) · reference BLAS single-threaded + per-worker thread guards</t>
  </si>
  <si>
    <t>Scripts</t>
  </si>
  <si>
    <t>R/06_e_h_fast.R + R/06_verify_outputs.R (paired verifier, 17/17 PASS)</t>
  </si>
  <si>
    <t>Decision basis</t>
  </si>
  <si>
    <t>DEC-045 (E/H execution spec incl. supersessions S1-S9) · DEC-031f (optimizer ladder) · DEC-044 (framing A; language gate UNRESOLVED - see 3_Interpretation_Guide)</t>
  </si>
  <si>
    <t>Framing gate</t>
  </si>
  <si>
    <t>Framing gate [DEC-044]: all TOST flags and permutation p-values in this workbook are MECHANICAL values; no evidence-of-absence or verdict language is used anywhere; adjudication happens as the documented gate-resolution step after TH-b (H2a/H2b RoBMA).</t>
  </si>
  <si>
    <t>TAB-INDEX</t>
  </si>
  <si>
    <t>1_README | 2_Methodology | 3_Interpretation_Guide | 4_Formula_Reference | 5_Data_Provenance | 6_E_TOST_Battery | 7_H4_Break_Grid | 8_H6_H7_Transpl_Cumul | 9_H8_H9_Rolling_External | 10_H10_H11_pcurve_within | Results_Long | Manuscript_Inputs | Manuscript_Text_Blocks</t>
  </si>
  <si>
    <t>TH-a (Block E/H fast frequentist battery) · Methodology</t>
  </si>
  <si>
    <t>Quantity | Formula / Construction | Reference (project notation)</t>
  </si>
  <si>
    <t>Quantity</t>
  </si>
  <si>
    <t>Formula / Construction</t>
  </si>
  <si>
    <t>Reference</t>
  </si>
  <si>
    <t>Cell-means Paris model</t>
  </si>
  <si>
    <t>rma.mv with mods = ~ 0 + pp_cell on the period domain (2,705 ES / 113 studies / 112 clusters); diff = post - pre linear contrast; estimand identical to the T2/B1 moderator parameterization</t>
  </si>
  <si>
    <t>[DEC-024] [DEC-045 E-pins] [plan A.13]</t>
  </si>
  <si>
    <t>TOST equivalence machinery</t>
  </si>
  <si>
    <t>Two one-sided tests, each alpha = .05, equivalent to: 90% CI inside the band; TOST p = max(arm p); flag value = 1{90% CI inside band}; bands: E1 primary |r| = 0.070 (z = atanh = 0.070115), secondary 0.050; E2 secondary-SESOI band ±0.050 on the contrast</t>
  </si>
  <si>
    <t>Lakens (2017); Lakens et al. (2018) [PK]; [F27v2] [DEC-044 ladder]</t>
  </si>
  <si>
    <t>Inference spine</t>
  </si>
  <si>
    <t>3-level REML (random = ~1 | cluster_id/study/esid), CR2 cluster-robust SEs, Satterthwaite df; inference unit = cluster_id; rho = 0.6 CS working correlation in V</t>
  </si>
  <si>
    <t>Hedges et al. (2010); Pustejovsky &amp; Tipton (2022); Tipton &amp; Pustejovsky (2015) [PK]; [DEC-031]</t>
  </si>
  <si>
    <t>Optimizer ladder</t>
  </si>
  <si>
    <t>nlminb -&gt; BFGS -&gt; Nelder-Mead with metafor convergence certification on EVERY spine fit (148 certificates this run; 148/0 rung-1/fallback)</t>
  </si>
  <si>
    <t>[DEC-031f R2/R3] [DEC-045 every-spine-fit pin]</t>
  </si>
  <si>
    <t>H4 sup-break grid</t>
  </si>
  <si>
    <t>Cell-means break model per candidate year 2008-2019; admissible = Satterthwaite df &gt;= 5 on the break coefficient, computed ONCE on the observed design and held fixed for the TH-c permutation; observed statistic = sup |t|</t>
  </si>
  <si>
    <t>[DEC-024 transfer rule] [H-Q6/H-Q20] [DEC-045]</t>
  </si>
  <si>
    <t>H6 Zarea transplantation</t>
  </si>
  <si>
    <t>Zarea's Paris operationalization (study-midpoint rule WITH tie exclusion) applied within our 3L-RVE framework - the CODING is transplanted into the D31.1 spine, never the naive ES-level RE machinery</t>
  </si>
  <si>
    <t>[DEC-045/N8] (pinned wording)</t>
  </si>
  <si>
    <t>H7 cumulative MA</t>
  </si>
  <si>
    <t>Study-wise chronological refits; order = study median sample_mid, ties alphabetical; 113 steps; CI band from the first step with &gt;= 10 clusters (step 10)</t>
  </si>
  <si>
    <t>[DEC-045/H-Q17] [Annex H N10]</t>
  </si>
  <si>
    <t>H8 rolling windows</t>
  </si>
  <si>
    <t>Width 6 y, step 1 y, anchor 1998 (min sample_mid 1998.5); tiers: &gt;= 10 clusters full CR2 inference, 5-9 clusters descriptive point only, &lt; 5 not estimated</t>
  </si>
  <si>
    <t>[DEC-045 S6]</t>
  </si>
  <si>
    <t>H9 external comparison</t>
  </si>
  <si>
    <t>Descriptive channel comparison against the COE companion STUDY-LEVEL estimate (Table 3, 75 units); explicitly NO test (SE provenance incompatible)</t>
  </si>
  <si>
    <t>[DEC-045/H-Q10/N12]</t>
  </si>
  <si>
    <t>H10 conditional p-curve</t>
  </si>
  <si>
    <t>N13 rule: conditional on &gt;= 5 significant post-cell studies; selection = first-reported ES per post study (dat_prep row order); p reconstructed as 2*pnorm(-|zi|/sqrt(vi)); right-skew binomial + Stouffer, flatness vs. 33% power</t>
  </si>
  <si>
    <t>Simonsohn et al. (2014) [PK]; [Annex H/DEC-045 N13]</t>
  </si>
  <si>
    <t>H11 within-study display</t>
  </si>
  <si>
    <t>Studies with own pre- AND post-Paris ES, descriptive only, explicitly NO p-values; straddle inventory from pp_window_class == 'mixed'</t>
  </si>
  <si>
    <t>[DEC-045/N15/H-Q11]</t>
  </si>
  <si>
    <t>TH-a (Block E/H fast frequentist battery) · Interpretation Guide</t>
  </si>
  <si>
    <t>How to read each reported quantity; thresholds with citations</t>
  </si>
  <si>
    <t>Meaning</t>
  </si>
  <si>
    <t>Decision rule</t>
  </si>
  <si>
    <t>TOST flag ('value')</t>
  </si>
  <si>
    <t>1 = 90% CI inside the band, 0 = not; purely mechanical</t>
  </si>
  <si>
    <t>No equivalence language attached; gate-resolution step decides wording [DEC-044]</t>
  </si>
  <si>
    <t>TOST p</t>
  </si>
  <si>
    <t>max of the two one-sided arm p-values</t>
  </si>
  <si>
    <t>Compare to alpha = .05 mechanically; adjudication deferred</t>
  </si>
  <si>
    <t>diff rows</t>
  </si>
  <si>
    <t>Difference-of-z contrasts are z-only by convention; est_r = NA</t>
  </si>
  <si>
    <t>[template rule]</t>
  </si>
  <si>
    <t>Satterthwaite df</t>
  </si>
  <si>
    <t>Small-sample honest df per coefficient</t>
  </si>
  <si>
    <t>df &gt;= 4 required for trustworthy CR2 t-inference (Tipton &amp; Pustejovsky 2015 [PK]); H4 admissibility uses df &gt;= 5 [H-Q6]</t>
  </si>
  <si>
    <t>H4 sup |t|</t>
  </si>
  <si>
    <t>Largest absolute break statistic over the admissible candidate set</t>
  </si>
  <si>
    <t>Significance is NOT read from the pointwise p column; the reference distribution is the TH-c cluster time-translation permutation (single-home: TH_c workbook Tab '9_H4_Perm_Sup')</t>
  </si>
  <si>
    <t>H7 steps 1-9</t>
  </si>
  <si>
    <t>Cumulative estimates below the 10-cluster floor</t>
  </si>
  <si>
    <t>Point-only display; step_001 not_estimable by rule (single cluster; vcovCR guard, ERROR_LOG #12)</t>
  </si>
  <si>
    <t>H8 descriptive tier</t>
  </si>
  <si>
    <t>5-9 cluster windows</t>
  </si>
  <si>
    <t>Point estimate only, no CI/p by design [DEC-045 S6]</t>
  </si>
  <si>
    <t>H9 rows</t>
  </si>
  <si>
    <t>Own pooled (debt) vs. COE companion study-level</t>
  </si>
  <si>
    <t>Descriptive size comparison only; no formal test [N12]</t>
  </si>
  <si>
    <t>H10 tests</t>
  </si>
  <si>
    <t>Right-skew = evidential value; flatness = test against 33% power</t>
  </si>
  <si>
    <t>Read per Simonsohn et al. (2014); conditional battery, N13</t>
  </si>
  <si>
    <t>[DEC-044]</t>
  </si>
  <si>
    <t>TH-a (Block E/H fast frequentist battery) · Formula Reference</t>
  </si>
  <si>
    <t>Exact calls as implemented (from run notes / run_meta)</t>
  </si>
  <si>
    <t>R call</t>
  </si>
  <si>
    <t>Reference / script section</t>
  </si>
  <si>
    <t>Spine fit</t>
  </si>
  <si>
    <t>rma.mv(zi, V, mods = ~ 0 + pp_cell, random = ~ 1 | cluster_id/study/esid, method = 'REML', test = 't', sparse = TRUE) with optimizer ladder</t>
  </si>
  <si>
    <t>R/06 spine block</t>
  </si>
  <si>
    <t>CR2 inference</t>
  </si>
  <si>
    <t>clubSandwich::coef_test(fit, vcov = 'CR2', test = 'Satterthwaite'); CIs via conf_int(..., vcov = 'CR2')</t>
  </si>
  <si>
    <t>R/06</t>
  </si>
  <si>
    <t>Contrast (diff)</t>
  </si>
  <si>
    <t>clubSandwich::Wald_test / linear contrast c(-1, +1) on cell means, CR2, Satterthwaite df</t>
  </si>
  <si>
    <t>R/06 E2/H4/H6</t>
  </si>
  <si>
    <t>TOST arms</t>
  </si>
  <si>
    <t>pt((b - band)/se, df) upper arm; pt((b + band)/se, df, lower.tail = FALSE) lower arm; TOST p = max</t>
  </si>
  <si>
    <t>R/06 E-block [DEC-045 E-pins]</t>
  </si>
  <si>
    <t>90% CI (TOST rows)</t>
  </si>
  <si>
    <t>b ± qt(.95, df) * se</t>
  </si>
  <si>
    <t>Back-transform</t>
  </si>
  <si>
    <t>est_r = tanh(est_z); CI_r = tanh(CI_z) (never on diff rows)</t>
  </si>
  <si>
    <t>R/06 output writer</t>
  </si>
  <si>
    <t>H10 p reconstruction</t>
  </si>
  <si>
    <t>p_i = 2 * pnorm(-abs(zi)/sqrt(vi)); binomial: pbinom on p &lt; .025 half-share; Stouffer on pp-values; flatness vs. 33%-power NCP (sign-corrected, ERROR_LOG #11)</t>
  </si>
  <si>
    <t>R/06 H10 [N13]</t>
  </si>
  <si>
    <t>H7/H8 refits</t>
  </si>
  <si>
    <t>Same spine per cumulative step / rolling window subset; window filter on sample_mid in [a, a+6)</t>
  </si>
  <si>
    <t>R/06 H7/H8</t>
  </si>
  <si>
    <t>TH-a (Block E/H fast frequentist battery) · Data Provenance</t>
  </si>
  <si>
    <t>Estimation set, anchors, counters, environment, disclosures</t>
  </si>
  <si>
    <t>Source</t>
  </si>
  <si>
    <t>Estimation set / domain</t>
  </si>
  <si>
    <t>2,713 ES / 115 studies / 114 clusters (E1 pooled, full estimation set); period domain 2,705 / 113 / 112 for all Paris-cell analyses</t>
  </si>
  <si>
    <t>TH_a_results.csv; [DEC-045]</t>
  </si>
  <si>
    <t>dat_prep md5</t>
  </si>
  <si>
    <t>6702ef3dc45fe0b693b13f50ebd1576b (identical in TH_a_run_meta and TH_c_run_meta - cross-run anchor)</t>
  </si>
  <si>
    <t>run_meta both runs</t>
  </si>
  <si>
    <t>Run stamp / verifier</t>
  </si>
  <si>
    <t>2026-07-24 22:46:16 · R/06_verify_outputs.R 17/17 PASS · chat-side artefact check 2026-07-26 18/18 PASS (anchors, arithmetic, inventories, cross-run)</t>
  </si>
  <si>
    <t>session log §1</t>
  </si>
  <si>
    <t>Runtime</t>
  </si>
  <si>
    <t>Not recorded in run_meta; projected 45-70 min per plan A.13 (fast frequentist batch)</t>
  </si>
  <si>
    <t>plan A.13</t>
  </si>
  <si>
    <t>Ladder balance</t>
  </si>
  <si>
    <t>148 spine fits, ALL converged at rung 1 (nlminb, metafor-certified); zero fallbacks, zero failures [§6(ii)]</t>
  </si>
  <si>
    <t>TH_a_run_meta certificates</t>
  </si>
  <si>
    <t>H7 step_001</t>
  </si>
  <si>
    <t>not_estimable by rule: single cluster, vcovCR guard fires (ERROR_LOG #12 lesson); all downstream steps estimable</t>
  </si>
  <si>
    <t>TH_a_results.csv H7</t>
  </si>
  <si>
    <t>H6 tie inventory</t>
  </si>
  <si>
    <t>79 ES / 5 studies / 5 clusters tied at sample_mid = 2015.5 (Ho &amp; Wong 2023; Kordschia 2020; Owolabi et al 2024; Ririmasse et al 2026; Xiang &amp; Gong 2026); post cell 31 -&gt; 26 studies under tie exclusion</t>
  </si>
  <si>
    <t>TH_design h6_tie_inventory</t>
  </si>
  <si>
    <t>H4 admissible set</t>
  </si>
  <si>
    <t>12 years (2008-2019), Satterthwaite df &gt;= 5 rule, computed once and held fixed for the TH-c permutation</t>
  </si>
  <si>
    <t>TH_design h4_admissible_years [H-Q20]</t>
  </si>
  <si>
    <t>H11 inventory</t>
  </si>
  <si>
    <t>73 straddling studies; 72 pool across the break; single within-split study = Li et al (2022)</t>
  </si>
  <si>
    <t>TH_design h11_* rows</t>
  </si>
  <si>
    <t>Repo basis</t>
  </si>
  <si>
    <t>5a99de6 -&gt; e44fce7 (#12) -&gt; fce9d3a (#13) -&gt; dafd95e (#14); family commit lands on dafd95e (main = origin)</t>
  </si>
  <si>
    <t>Environment</t>
  </si>
  <si>
    <t>R 4.6.1 ucrt · Windows 11 x64 (26200) · locale German_Austria.utf8 / LC_NUMERIC = C · TZ Europe/Vienna · metafor 5.0-1, clubSandwich 0.7.0, Matrix 1.7-5, readr 2.2.0, here 1.0.2</t>
  </si>
  <si>
    <t>TH_a_run_meta sessionInfo</t>
  </si>
  <si>
    <t>Companion caveat</t>
  </si>
  <si>
    <t>COE between-study variance (~0.00045) is a best-case lower bound vs. COD (~0.029): factor ~65 in variance, ~8 in MDE units - disclose whenever comparing across companions</t>
  </si>
  <si>
    <t>[project pin; see TH_c H1 S4 mapping]</t>
  </si>
  <si>
    <t>TH-a (Block E/H fast frequentist battery) · Block E - equivalence battery (E1 pooled TOST · E2 Paris-contrast TOST · E3 gate configuration)</t>
  </si>
  <si>
    <t>Mechanical flags only; CI columns on tost rows carry the 90% CI (TOST convention); mean rows carry 95% CIs.</t>
  </si>
  <si>
    <t>Panel row</t>
  </si>
  <si>
    <t>analysis_id</t>
  </si>
  <si>
    <t>spec</t>
  </si>
  <si>
    <t>subset</t>
  </si>
  <si>
    <t>term</t>
  </si>
  <si>
    <t>RL row</t>
  </si>
  <si>
    <t>k_es</t>
  </si>
  <si>
    <t>k_st</t>
  </si>
  <si>
    <t>k_cl</t>
  </si>
  <si>
    <t>est_z</t>
  </si>
  <si>
    <t>ci_lb_z</t>
  </si>
  <si>
    <t>ci_ub_z</t>
  </si>
  <si>
    <t>est_r</t>
  </si>
  <si>
    <t>ci_lb_r</t>
  </si>
  <si>
    <t>ci_ub_r</t>
  </si>
  <si>
    <t>se_z</t>
  </si>
  <si>
    <t>t</t>
  </si>
  <si>
    <t>df</t>
  </si>
  <si>
    <t>p</t>
  </si>
  <si>
    <t>value</t>
  </si>
  <si>
    <t>note (verbatim)</t>
  </si>
  <si>
    <t>E1 pooled mean (full estimation set)</t>
  </si>
  <si>
    <t>E1</t>
  </si>
  <si>
    <t>tost_pooled</t>
  </si>
  <si>
    <t>defined</t>
  </si>
  <si>
    <t>pooled_mean</t>
  </si>
  <si>
    <t>E1 TOST band |r| = 0.070 (PRIMARY)</t>
  </si>
  <si>
    <t>tost_band_0.070</t>
  </si>
  <si>
    <t>E1 TOST band |r| = 0.050 (secondary)</t>
  </si>
  <si>
    <t>tost_band_0.050</t>
  </si>
  <si>
    <t>E2 cell pre (headline coding)</t>
  </si>
  <si>
    <t>E2</t>
  </si>
  <si>
    <t>tost_paris</t>
  </si>
  <si>
    <t>cell_pre</t>
  </si>
  <si>
    <t>E2 cell post</t>
  </si>
  <si>
    <t>cell_post</t>
  </si>
  <si>
    <t>E2 diff = post - pre (z-only)</t>
  </si>
  <si>
    <t>diff</t>
  </si>
  <si>
    <t>E2 TOST band ±0.050 on diff</t>
  </si>
  <si>
    <t>E3 gate config: E2 requirement</t>
  </si>
  <si>
    <t>E3</t>
  </si>
  <si>
    <t>gate</t>
  </si>
  <si>
    <t>config_e2_requirement</t>
  </si>
  <si>
    <t>E3 gate config: BF01 ladder</t>
  </si>
  <si>
    <t>config_bf_ladder</t>
  </si>
  <si>
    <t>E3 gate status</t>
  </si>
  <si>
    <t>status</t>
  </si>
  <si>
    <t>Interpretation</t>
  </si>
  <si>
    <t>Mechanical reading only: 'value' = 1{90% CI inside band}; TOST p = max of the two one-sided arms.</t>
  </si>
  <si>
    <t>Ex-ante expectation pinned result-blind [DEC-044/DEC-045]: the E1 primary-band arm was EXPECTED to fail (T1 CI edge -0.086); E2 adjudicates Tier 1, E1 calibrates the Tier-2 wording only (see row notes, verbatim).</t>
  </si>
  <si>
    <t>E1/E2 flags feed the documented gate-resolution step together with the TH-b Bayes factors (H2b); no equivalence language is attached in this workbook.</t>
  </si>
  <si>
    <t>Question</t>
  </si>
  <si>
    <t>Answer</t>
  </si>
  <si>
    <t>Why a 90% CI on the TOST rows?</t>
  </si>
  <si>
    <t>Two one-sided tests at alpha = .05 each are jointly equivalent to the 90% two-sided CI lying inside the band (Lakens 2017; Lakens et al. 2018); the mean rows keep conventional 95% CIs.</t>
  </si>
  <si>
    <t>Why bands 0.070 and 0.050?</t>
  </si>
  <si>
    <t>|r| = 0.070 is the pre-registered primary SESOI (F27v2); ±0.05 is the secondary band of the DEC-044 claim ladder; both were pinned before any Block-E estimate existed [DEC-045 E-pins].</t>
  </si>
  <si>
    <t>Does an E2 pass already license 'evidence of absence'?</t>
  </si>
  <si>
    <t>No. The language gate combines E2 with the H2b BF01 ladder and resolves only as a documented post-TH-b step [DEC-044]; this workbook reports mechanical flags.</t>
  </si>
  <si>
    <t>Verdict: Mechanical outcome: E1 equivalence flags = 0 at both bands; E2 secondary-band flag = 1 (see 'value' column); adjudication deferred to the documented gate-resolution step [DEC-044].</t>
  </si>
  <si>
    <t>TH-a (Block E/H fast frequentist battery) · H4 - sup-break grid over admissible candidate years (2008-2019)</t>
  </si>
  <si>
    <t>Break coefficient per candidate year, cell-means parameterization; observed statistic = sup |t|; reference distribution single-homed in the TH-c workbook (Tab '9_H4_Perm_Sup').</t>
  </si>
  <si>
    <t>year</t>
  </si>
  <si>
    <t>|t| (helper)</t>
  </si>
  <si>
    <t>break 2008</t>
  </si>
  <si>
    <t>H4</t>
  </si>
  <si>
    <t>break_2008</t>
  </si>
  <si>
    <t>break</t>
  </si>
  <si>
    <t>break 2009</t>
  </si>
  <si>
    <t>break_2009</t>
  </si>
  <si>
    <t>break 2010</t>
  </si>
  <si>
    <t>break_2010</t>
  </si>
  <si>
    <t>break 2011</t>
  </si>
  <si>
    <t>break_2011</t>
  </si>
  <si>
    <t>break 2012</t>
  </si>
  <si>
    <t>break_2012</t>
  </si>
  <si>
    <t>break 2013</t>
  </si>
  <si>
    <t>break_2013</t>
  </si>
  <si>
    <t>break 2014</t>
  </si>
  <si>
    <t>break_2014</t>
  </si>
  <si>
    <t>break 2015</t>
  </si>
  <si>
    <t>break_2015</t>
  </si>
  <si>
    <t>break 2016</t>
  </si>
  <si>
    <t>break_2016</t>
  </si>
  <si>
    <t>break 2017</t>
  </si>
  <si>
    <t>break_2017</t>
  </si>
  <si>
    <t>break 2018</t>
  </si>
  <si>
    <t>break_2018</t>
  </si>
  <si>
    <t>break 2019</t>
  </si>
  <si>
    <t>break_2019</t>
  </si>
  <si>
    <t>observed sup |t| (over admissible set)</t>
  </si>
  <si>
    <t>sup_break</t>
  </si>
  <si>
    <t>observed_sup</t>
  </si>
  <si>
    <t>max |t| over grid (helper):</t>
  </si>
  <si>
    <t>argmax year:</t>
  </si>
  <si>
    <t>identity check vs. observed_sup (must be 0):</t>
  </si>
  <si>
    <t>Admissibility = Satterthwaite df &gt;= 5 on the break coefficient [DEC-024 transfer rule / H-Q6]; the set (12 years) was computed once on the observed design and held fixed for the TH-c permutation [H-Q20].</t>
  </si>
  <si>
    <t>Pointwise p-values in the grid are NOT the inferential object; the sup statistic is referred to the cluster time-translation permutation distribution (TH-c, single-home).</t>
  </si>
  <si>
    <t>The per-year |t| and df listing is carried verbatim in the observed_sup row note.</t>
  </si>
  <si>
    <t>Why is the largest |t| at 2009 not read against its pointwise p?</t>
  </si>
  <si>
    <t>A supremum over 12 candidate years inflates the pointwise error rate; the pre-registered reference is the joint permutation distribution of the sup statistic [H-Q16/H-Q20], reported in the TH-c workbook.</t>
  </si>
  <si>
    <t>Several early years have low df - are those t-statistics trustworthy?</t>
  </si>
  <si>
    <t>Satterthwaite df are reported per year; low-df years (e.g. 2009: df 6.3) remain above the df &gt;= 5 admissibility floor but below comfortable territory - exactly why the permutation, not the t-reference, carries the inference.</t>
  </si>
  <si>
    <t>Verdict: Mechanical outcome: observed supremum attained at the argmax year shown in the helper block (identity check = 0 vs. Results_Long); reference distribution single-homed in TH_c workbook Tab '9_H4_Perm_Sup'; adjudication deferred to the documented gate-resolution step [DEC-044].</t>
  </si>
  <si>
    <t>TH-a (Block E/H fast frequentist battery) · H6 - Zarea-operationalization transplant · H7 - cumulative meta-analysis (113 steps)</t>
  </si>
  <si>
    <t>H6: midpoint rule WITH tie exclusion, run on the D31.1 3L-RVE spine (coding transplant, never Zarea's naive ES-level machinery). H7: chronological study-wise refits; CI band from step 10 (&gt;= 10 clusters).</t>
  </si>
  <si>
    <t>H6 cell pre (midpoint rule)</t>
  </si>
  <si>
    <t>H6</t>
  </si>
  <si>
    <t>zarea_transplant</t>
  </si>
  <si>
    <t>H6 cell post (ties excluded)</t>
  </si>
  <si>
    <t>H6 diff = post - pre (z-only)</t>
  </si>
  <si>
    <t>df_Satt</t>
  </si>
  <si>
    <t>H6 tie inventory (design)</t>
  </si>
  <si>
    <t>TH_design</t>
  </si>
  <si>
    <t>design</t>
  </si>
  <si>
    <t>h6_tie_inventory</t>
  </si>
  <si>
    <t>step_001 (+ Nandy, Lodh (2012))</t>
  </si>
  <si>
    <t>H7</t>
  </si>
  <si>
    <t>cumulative</t>
  </si>
  <si>
    <t>Nandy, Lodh (2012)</t>
  </si>
  <si>
    <t>step_001</t>
  </si>
  <si>
    <t>step_002 (+ Chava (2010))</t>
  </si>
  <si>
    <t>Chava (2010)</t>
  </si>
  <si>
    <t>step_002</t>
  </si>
  <si>
    <t>step_003 (+ Schneider (2010))</t>
  </si>
  <si>
    <t>Schneider (2010)</t>
  </si>
  <si>
    <t>step_003</t>
  </si>
  <si>
    <t>step_004 (+ Chava (2014))</t>
  </si>
  <si>
    <t>Chava (2014)</t>
  </si>
  <si>
    <t>step_004</t>
  </si>
  <si>
    <t>step_005 (+ Oikonomou et al (2014))</t>
  </si>
  <si>
    <t>Oikonomou et al (2014)</t>
  </si>
  <si>
    <t>step_005</t>
  </si>
  <si>
    <t>step_006 (+ Bauer, Hann (2010))</t>
  </si>
  <si>
    <t>Bauer, Hann (2010)</t>
  </si>
  <si>
    <t>step_006</t>
  </si>
  <si>
    <t>step_007 (+ Ge, Liu (2015))</t>
  </si>
  <si>
    <t>Ge, Liu (2015)</t>
  </si>
  <si>
    <t>step_007</t>
  </si>
  <si>
    <t>step_008 (+ Jiraporn et al (2014))</t>
  </si>
  <si>
    <t>Jiraporn et al (2014)</t>
  </si>
  <si>
    <t>step_008</t>
  </si>
  <si>
    <t>step_009 (+ Chen et al (2020))</t>
  </si>
  <si>
    <t>Chen et al (2020)</t>
  </si>
  <si>
    <t>step_009</t>
  </si>
  <si>
    <t>step_010 (+ Chen, Gao (2011))</t>
  </si>
  <si>
    <t>Chen, Gao (2011)</t>
  </si>
  <si>
    <t>step_010</t>
  </si>
  <si>
    <t>step_011 (+ Chodnicka-Jaworska (2022))</t>
  </si>
  <si>
    <t>Chodnicka-Jaworska (2022)</t>
  </si>
  <si>
    <t>step_011</t>
  </si>
  <si>
    <t>step_012 (+ Erragragui (2018))</t>
  </si>
  <si>
    <t>Erragragui (2018)</t>
  </si>
  <si>
    <t>step_012</t>
  </si>
  <si>
    <t>step_013 (+ Zheng (2021))</t>
  </si>
  <si>
    <t>Zheng (2021)</t>
  </si>
  <si>
    <t>step_013</t>
  </si>
  <si>
    <t>step_014 (+ Li et al (2014))</t>
  </si>
  <si>
    <t>Li et al (2014)</t>
  </si>
  <si>
    <t>step_014</t>
  </si>
  <si>
    <t>step_015 (+ Hoepner et al (2016))</t>
  </si>
  <si>
    <t>Hoepner et al (2016)</t>
  </si>
  <si>
    <t>step_015</t>
  </si>
  <si>
    <t>step_016 (+ Wang et al (2020))</t>
  </si>
  <si>
    <t>Wang et al (2020)</t>
  </si>
  <si>
    <t>step_016</t>
  </si>
  <si>
    <t>step_017 (+ D'Arcangelo et al (2025))</t>
  </si>
  <si>
    <t>D'Arcangelo et al (2025)</t>
  </si>
  <si>
    <t>step_017</t>
  </si>
  <si>
    <t>step_018 (+ Du et al (2015))</t>
  </si>
  <si>
    <t>Du et al (2015)</t>
  </si>
  <si>
    <t>step_018</t>
  </si>
  <si>
    <t>step_019 (+ Hansen &amp; Marcet (2025))</t>
  </si>
  <si>
    <t>Hansen &amp; Marcet (2025)</t>
  </si>
  <si>
    <t>step_019</t>
  </si>
  <si>
    <t>step_020 (+ Trinh et al (2024))</t>
  </si>
  <si>
    <t>Trinh et al (2024)</t>
  </si>
  <si>
    <t>step_020</t>
  </si>
  <si>
    <t>step_021 (+ Al-Fakir Al Rabab'a et al (2023))</t>
  </si>
  <si>
    <t>Al-Fakir Al Rabab'a et al (2023)</t>
  </si>
  <si>
    <t>step_021</t>
  </si>
  <si>
    <t>step_022 (+ Attig et al (2025))</t>
  </si>
  <si>
    <t>Attig et al (2025)</t>
  </si>
  <si>
    <t>step_022</t>
  </si>
  <si>
    <t>step_023 (+ Bannier et al (2022))</t>
  </si>
  <si>
    <t>Bannier et al (2022)</t>
  </si>
  <si>
    <t>step_023</t>
  </si>
  <si>
    <t>step_024 (+ Drago, Carnevale (2020))</t>
  </si>
  <si>
    <t>Drago, Carnevale (2020)</t>
  </si>
  <si>
    <t>step_024</t>
  </si>
  <si>
    <t>step_025 (+ Eichholtz et al (2019))</t>
  </si>
  <si>
    <t>Eichholtz et al (2019)</t>
  </si>
  <si>
    <t>step_025</t>
  </si>
  <si>
    <t>step_026 (+ Eliwa et al (2021))</t>
  </si>
  <si>
    <t>Eliwa et al (2021)</t>
  </si>
  <si>
    <t>step_026</t>
  </si>
  <si>
    <t>step_027 (+ Salvi et al (2021))</t>
  </si>
  <si>
    <t>Salvi et al (2021)</t>
  </si>
  <si>
    <t>step_027</t>
  </si>
  <si>
    <t>step_028 (+ Fonseka et al (2019a))</t>
  </si>
  <si>
    <t>Fonseka et al (2019a)</t>
  </si>
  <si>
    <t>step_028</t>
  </si>
  <si>
    <t>step_029 (+ Fonseka et al (2019b))</t>
  </si>
  <si>
    <t>Fonseka et al (2019b)</t>
  </si>
  <si>
    <t>step_029</t>
  </si>
  <si>
    <t>step_030 (+ Jung et al (2016))</t>
  </si>
  <si>
    <t>Jung et al (2016)</t>
  </si>
  <si>
    <t>step_030</t>
  </si>
  <si>
    <t>step_031 (+ Li &amp; Qiu (2026))</t>
  </si>
  <si>
    <t>Li &amp; Qiu (2026)</t>
  </si>
  <si>
    <t>step_031</t>
  </si>
  <si>
    <t>step_032 (+ Safiullah et al (2021))</t>
  </si>
  <si>
    <t>Safiullah et al (2021)</t>
  </si>
  <si>
    <t>step_032</t>
  </si>
  <si>
    <t>step_033 (+ Atif, Ali (2021))</t>
  </si>
  <si>
    <t>Atif, Ali (2021)</t>
  </si>
  <si>
    <t>step_033</t>
  </si>
  <si>
    <t>step_034 (+ Delis et al (2021))</t>
  </si>
  <si>
    <t>Delis et al (2021)</t>
  </si>
  <si>
    <t>step_034</t>
  </si>
  <si>
    <t>step_035 (+ Höck et al (2020))</t>
  </si>
  <si>
    <t>Höck et al (2020)</t>
  </si>
  <si>
    <t>step_035</t>
  </si>
  <si>
    <t>step_036 (+ Yang et al (2024))</t>
  </si>
  <si>
    <t>Yang et al (2024)</t>
  </si>
  <si>
    <t>step_036</t>
  </si>
  <si>
    <t>step_037 (+ Cubas, Martinez (2018))</t>
  </si>
  <si>
    <t>Cubas, Martinez (2018)</t>
  </si>
  <si>
    <t>step_037</t>
  </si>
  <si>
    <t>step_038 (+ Drago et al (2018))</t>
  </si>
  <si>
    <t>Drago et al (2018)</t>
  </si>
  <si>
    <t>step_038</t>
  </si>
  <si>
    <t>step_039 (+ Ehlers et al (2021))</t>
  </si>
  <si>
    <t>Ehlers et al (2021)</t>
  </si>
  <si>
    <t>step_039</t>
  </si>
  <si>
    <t>step_040 (+ Li et al (2022))</t>
  </si>
  <si>
    <t>Li et al (2022)</t>
  </si>
  <si>
    <t>step_040</t>
  </si>
  <si>
    <t>step_041 (+ Ofogbe et al (2021))</t>
  </si>
  <si>
    <t>Ofogbe et al (2021)</t>
  </si>
  <si>
    <t>step_041</t>
  </si>
  <si>
    <t>step_042 (+ Okimoto &amp; Takaoka (2024))</t>
  </si>
  <si>
    <t>Okimoto &amp; Takaoka (2024)</t>
  </si>
  <si>
    <t>step_042</t>
  </si>
  <si>
    <t>step_043 (+ Safiullah et al (2025))</t>
  </si>
  <si>
    <t>Safiullah et al (2025)</t>
  </si>
  <si>
    <t>step_043</t>
  </si>
  <si>
    <t>step_044 (+ Truong, Kim (2019))</t>
  </si>
  <si>
    <t>Truong, Kim (2019)</t>
  </si>
  <si>
    <t>step_044</t>
  </si>
  <si>
    <t>step_045 (+ Wu et al (2020))</t>
  </si>
  <si>
    <t>Wu et al (2020)</t>
  </si>
  <si>
    <t>step_045</t>
  </si>
  <si>
    <t>step_046 (+ Zhou et al (2024))</t>
  </si>
  <si>
    <t>Zhou et al (2024)</t>
  </si>
  <si>
    <t>step_046</t>
  </si>
  <si>
    <t>step_047 (+ Ali et al (2023))</t>
  </si>
  <si>
    <t>Ali et al (2023)</t>
  </si>
  <si>
    <t>step_047</t>
  </si>
  <si>
    <t>step_048 (+ Hamrouni et al (2019a))</t>
  </si>
  <si>
    <t>Hamrouni et al (2019a)</t>
  </si>
  <si>
    <t>step_048</t>
  </si>
  <si>
    <t>step_049 (+ Hu et al (2024))</t>
  </si>
  <si>
    <t>Hu et al (2024)</t>
  </si>
  <si>
    <t>step_049</t>
  </si>
  <si>
    <t>step_050 (+ Jang et al (2020))</t>
  </si>
  <si>
    <t>Jang et al (2020)</t>
  </si>
  <si>
    <t>step_050</t>
  </si>
  <si>
    <t>step_051 (+ Kleimeier, Viehs (2021))</t>
  </si>
  <si>
    <t>Kleimeier, Viehs (2021)</t>
  </si>
  <si>
    <t>step_051</t>
  </si>
  <si>
    <t>step_052 (+ Lemma et al (2017))</t>
  </si>
  <si>
    <t>Lemma et al (2017)</t>
  </si>
  <si>
    <t>step_052</t>
  </si>
  <si>
    <t>step_053 (+ Mahmoudian et al (2023))</t>
  </si>
  <si>
    <t>Mahmoudian et al (2023)</t>
  </si>
  <si>
    <t>step_053</t>
  </si>
  <si>
    <t>step_054 (+ Okimoto, Takaoka (2022))</t>
  </si>
  <si>
    <t>Okimoto, Takaoka (2022)</t>
  </si>
  <si>
    <t>step_054</t>
  </si>
  <si>
    <t>step_055 (+ Sandra et al (2021))</t>
  </si>
  <si>
    <t>Sandra et al (2021)</t>
  </si>
  <si>
    <t>step_055</t>
  </si>
  <si>
    <t>step_056 (+ Shad et al (2022))</t>
  </si>
  <si>
    <t>Shad et al (2022)</t>
  </si>
  <si>
    <t>step_056</t>
  </si>
  <si>
    <t>step_057 (+ Maaloul, Wegener (2021))</t>
  </si>
  <si>
    <t>Maaloul, Wegener (2021)</t>
  </si>
  <si>
    <t>step_057</t>
  </si>
  <si>
    <t>step_058 (+ Seltzer et al (2022))</t>
  </si>
  <si>
    <t>Seltzer et al (2022)</t>
  </si>
  <si>
    <t>step_058</t>
  </si>
  <si>
    <t>step_059 (+ Zhou et al (2018))</t>
  </si>
  <si>
    <t>Zhou et al (2018)</t>
  </si>
  <si>
    <t>step_059</t>
  </si>
  <si>
    <t>step_060 (+ Caragnano et al (2020))</t>
  </si>
  <si>
    <t>Caragnano et al (2020)</t>
  </si>
  <si>
    <t>step_060</t>
  </si>
  <si>
    <t>step_061 (+ Dumrose &amp; Höck (2023))</t>
  </si>
  <si>
    <t>Dumrose &amp; Höck (2023)</t>
  </si>
  <si>
    <t>step_061</t>
  </si>
  <si>
    <t>step_062 (+ Duong et al (2025))</t>
  </si>
  <si>
    <t>Duong et al (2025)</t>
  </si>
  <si>
    <t>step_062</t>
  </si>
  <si>
    <t>step_063 (+ Kim &amp; Pouget (2026))</t>
  </si>
  <si>
    <t>Kim &amp; Pouget (2026)</t>
  </si>
  <si>
    <t>step_063</t>
  </si>
  <si>
    <t>step_064 (+ Pizzutilo et al (2020))</t>
  </si>
  <si>
    <t>Pizzutilo et al (2020)</t>
  </si>
  <si>
    <t>step_064</t>
  </si>
  <si>
    <t>step_065 (+ Srivisal et al (2021))</t>
  </si>
  <si>
    <t>Srivisal et al (2021)</t>
  </si>
  <si>
    <t>step_065</t>
  </si>
  <si>
    <t>step_066 (+ Sze et al (2021))</t>
  </si>
  <si>
    <t>Sze et al (2021)</t>
  </si>
  <si>
    <t>step_066</t>
  </si>
  <si>
    <t>step_067 (+ Zhang et al (2023))</t>
  </si>
  <si>
    <t>Zhang et al (2023)</t>
  </si>
  <si>
    <t>step_067</t>
  </si>
  <si>
    <t>step_068 (+ Azmi et al (2021))</t>
  </si>
  <si>
    <t>Azmi et al (2021)</t>
  </si>
  <si>
    <t>step_068</t>
  </si>
  <si>
    <t>step_069 (+ Borsuk &amp; Shrimali (2026))</t>
  </si>
  <si>
    <t>Borsuk &amp; Shrimali (2026)</t>
  </si>
  <si>
    <t>step_069</t>
  </si>
  <si>
    <t>step_070 (+ Christ et al (2022))</t>
  </si>
  <si>
    <t>Christ et al (2022)</t>
  </si>
  <si>
    <t>step_070</t>
  </si>
  <si>
    <t>step_071 (+ Hui et al (2024))</t>
  </si>
  <si>
    <t>Hui et al (2024)</t>
  </si>
  <si>
    <t>step_071</t>
  </si>
  <si>
    <t>step_072 (+ Kölbel et al (2020))</t>
  </si>
  <si>
    <t>Kölbel et al (2020)</t>
  </si>
  <si>
    <t>step_072</t>
  </si>
  <si>
    <t>step_073 (+ Ma et al (2022))</t>
  </si>
  <si>
    <t>Ma et al (2022)</t>
  </si>
  <si>
    <t>step_073</t>
  </si>
  <si>
    <t>step_074 (+ Palea, Drogo (2020))</t>
  </si>
  <si>
    <t>Palea, Drogo (2020)</t>
  </si>
  <si>
    <t>step_074</t>
  </si>
  <si>
    <t>step_075 (+ Yilmaz (2022))</t>
  </si>
  <si>
    <t>Yilmaz (2022)</t>
  </si>
  <si>
    <t>step_075</t>
  </si>
  <si>
    <t>step_076 (+ Zhu, Zhao (2022))</t>
  </si>
  <si>
    <t>Zhu, Zhao (2022)</t>
  </si>
  <si>
    <t>step_076</t>
  </si>
  <si>
    <t>step_077 (+ Apergis et al (2022))</t>
  </si>
  <si>
    <t>Apergis et al (2022)</t>
  </si>
  <si>
    <t>step_077</t>
  </si>
  <si>
    <t>step_078 (+ Ben Slimane et al (2019))</t>
  </si>
  <si>
    <t>Ben Slimane et al (2019)</t>
  </si>
  <si>
    <t>step_078</t>
  </si>
  <si>
    <t>step_079 (+ Devalle et al (2017))</t>
  </si>
  <si>
    <t>Devalle et al (2017)</t>
  </si>
  <si>
    <t>step_079</t>
  </si>
  <si>
    <t>step_080 (+ Ding et al (2022))</t>
  </si>
  <si>
    <t>Ding et al (2022)</t>
  </si>
  <si>
    <t>step_080</t>
  </si>
  <si>
    <t>step_081 (+ Kim, Kim (2022))</t>
  </si>
  <si>
    <t>Kim, Kim (2022)</t>
  </si>
  <si>
    <t>step_081</t>
  </si>
  <si>
    <t>step_082 (+ Lee (2022))</t>
  </si>
  <si>
    <t>Lee (2022)</t>
  </si>
  <si>
    <t>step_082</t>
  </si>
  <si>
    <t>step_083 (+ Luo et al (2019))</t>
  </si>
  <si>
    <t>Luo et al (2019)</t>
  </si>
  <si>
    <t>step_083</t>
  </si>
  <si>
    <t>step_084 (+ Ho &amp; Wong (2023))</t>
  </si>
  <si>
    <t>Ho &amp; Wong (2023)</t>
  </si>
  <si>
    <t>step_084</t>
  </si>
  <si>
    <t>step_085 (+ Kordschia (2020))</t>
  </si>
  <si>
    <t>Kordschia (2020)</t>
  </si>
  <si>
    <t>step_085</t>
  </si>
  <si>
    <t>step_086 (+ Owolabi et al (2024))</t>
  </si>
  <si>
    <t>Owolabi et al (2024)</t>
  </si>
  <si>
    <t>step_086</t>
  </si>
  <si>
    <t>step_087 (+ Ririmasse et al (2026))</t>
  </si>
  <si>
    <t>Ririmasse et al (2026)</t>
  </si>
  <si>
    <t>step_087</t>
  </si>
  <si>
    <t>step_088 (+ Xiang &amp; Gong (2026))</t>
  </si>
  <si>
    <t>Xiang &amp; Gong (2026)</t>
  </si>
  <si>
    <t>step_088</t>
  </si>
  <si>
    <t>step_089 (+ Du et al (2022))</t>
  </si>
  <si>
    <t>Du et al (2022)</t>
  </si>
  <si>
    <t>step_089</t>
  </si>
  <si>
    <t>step_090 (+ Tan et al (2021))</t>
  </si>
  <si>
    <t>Tan et al (2021)</t>
  </si>
  <si>
    <t>step_090</t>
  </si>
  <si>
    <t>step_091 (+ Wang et al (2022a))</t>
  </si>
  <si>
    <t>Wang et al (2022a)</t>
  </si>
  <si>
    <t>step_091</t>
  </si>
  <si>
    <t>step_092 (+ Lin et al (2025))</t>
  </si>
  <si>
    <t>Lin et al (2025)</t>
  </si>
  <si>
    <t>step_092</t>
  </si>
  <si>
    <t>step_093 (+ Liu et al (2023))</t>
  </si>
  <si>
    <t>Liu et al (2023)</t>
  </si>
  <si>
    <t>step_093</t>
  </si>
  <si>
    <t>step_094 (+ Nasih et al (2024))</t>
  </si>
  <si>
    <t>Nasih et al (2024)</t>
  </si>
  <si>
    <t>step_094</t>
  </si>
  <si>
    <t>step_095 (+ Ratajczak &amp; Mikolajewicz (2021))</t>
  </si>
  <si>
    <t>Ratajczak &amp; Mikolajewicz (2021)</t>
  </si>
  <si>
    <t>step_095</t>
  </si>
  <si>
    <t>step_096 (+ Tan et al (2026))</t>
  </si>
  <si>
    <t>Tan et al (2026)</t>
  </si>
  <si>
    <t>step_096</t>
  </si>
  <si>
    <t>step_097 (+ Temiz (2022))</t>
  </si>
  <si>
    <t>Temiz (2022)</t>
  </si>
  <si>
    <t>step_097</t>
  </si>
  <si>
    <t>step_098 (+ Wang et al (2025a))</t>
  </si>
  <si>
    <t>Wang et al (2025a)</t>
  </si>
  <si>
    <t>step_098</t>
  </si>
  <si>
    <t>step_099 (+ Panjwani et al (2023))</t>
  </si>
  <si>
    <t>Panjwani et al (2023)</t>
  </si>
  <si>
    <t>step_099</t>
  </si>
  <si>
    <t>step_100 (+ Tang et al (2023))</t>
  </si>
  <si>
    <t>Tang et al (2023)</t>
  </si>
  <si>
    <t>step_100</t>
  </si>
  <si>
    <t>step_101 (+ Boermans et al (2023))</t>
  </si>
  <si>
    <t>Boermans et al (2023)</t>
  </si>
  <si>
    <t>step_101</t>
  </si>
  <si>
    <t>step_102 (+ Boubaker et al (2026))</t>
  </si>
  <si>
    <t>Boubaker et al (2026)</t>
  </si>
  <si>
    <t>step_102</t>
  </si>
  <si>
    <t>step_103 (+ Gonzales Sanches et al (2026))</t>
  </si>
  <si>
    <t>Gonzales Sanches et al (2026)</t>
  </si>
  <si>
    <t>step_103</t>
  </si>
  <si>
    <t>step_104 (+ Shi et al (2025))</t>
  </si>
  <si>
    <t>Shi et al (2025)</t>
  </si>
  <si>
    <t>step_104</t>
  </si>
  <si>
    <t>step_105 (+ Wang &amp; Wijethilake (2026))</t>
  </si>
  <si>
    <t>Wang &amp; Wijethilake (2026)</t>
  </si>
  <si>
    <t>step_105</t>
  </si>
  <si>
    <t>step_106 (+ Ali et al (2026))</t>
  </si>
  <si>
    <t>Ali et al (2026)</t>
  </si>
  <si>
    <t>step_106</t>
  </si>
  <si>
    <t>step_107 (+ Kozak (2021))</t>
  </si>
  <si>
    <t>Kozak (2021)</t>
  </si>
  <si>
    <t>step_107</t>
  </si>
  <si>
    <t>step_108 (+ Altavilla et al (2024))</t>
  </si>
  <si>
    <t>Altavilla et al (2024)</t>
  </si>
  <si>
    <t>step_108</t>
  </si>
  <si>
    <t>step_109 (+ Brinette et al (2026))</t>
  </si>
  <si>
    <t>Brinette et al (2026)</t>
  </si>
  <si>
    <t>step_109</t>
  </si>
  <si>
    <t>step_110 (+ Ferriani (2022))</t>
  </si>
  <si>
    <t>Ferriani (2022)</t>
  </si>
  <si>
    <t>step_110</t>
  </si>
  <si>
    <t>step_111 (+ Wang et al (2025b))</t>
  </si>
  <si>
    <t>Wang et al (2025b)</t>
  </si>
  <si>
    <t>step_111</t>
  </si>
  <si>
    <t>step_112 (+ Almutairi (2026))</t>
  </si>
  <si>
    <t>Almutairi (2026)</t>
  </si>
  <si>
    <t>step_112</t>
  </si>
  <si>
    <t>step_113 (+ Cicchini et al (2026))</t>
  </si>
  <si>
    <t>Cicchini et al (2026)</t>
  </si>
  <si>
    <t>step_113</t>
  </si>
  <si>
    <t>H7 floor step (design)</t>
  </si>
  <si>
    <t>h7_floor_step</t>
  </si>
  <si>
    <t>H7 ordering rule (design)</t>
  </si>
  <si>
    <t>h7_order_head</t>
  </si>
  <si>
    <t>H6: the pinned claim wording is 'under Zarea's Paris operationalization (midpoint + tie-exclusion), applied within our 3L-RVE framework' - NEVER 'under Zarea's method' [DEC-045/N8].</t>
  </si>
  <si>
    <t>H7: step_001 is not_estimable by rule (single cluster; vcovCR guard, ERROR_LOG #12); steps 1-9 are point-only in the figure, the CI band starts at step 10 (floor study Chen, Gao 2011).</t>
  </si>
  <si>
    <t>H7: the final step reproduces the period-domain pooled value by construction (visible in the last table row).</t>
  </si>
  <si>
    <t>Why exclude ties in H6?</t>
  </si>
  <si>
    <t>The tie exclusion is part of Zarea's operationalization being transplanted; the inventory row quantifies it on v12 (79 ES / 5 studies at sample_mid = 2015.5; post cell 31 -&gt; 26 studies).</t>
  </si>
  <si>
    <t>Is the cumulative trajectory an inferential claim?</t>
  </si>
  <si>
    <t>No - it is a stability display; inference lives in the pre-registered E/H tests. The 10-cluster floor prevents over-reading early low-df refits.</t>
  </si>
  <si>
    <t>Verdict: Mechanical outcome: H6 contrast tabulated with its design inventory; H7 trajectory tabulated in full with the floor rule applied; adjudication deferred to the documented gate-resolution step [DEC-044].</t>
  </si>
  <si>
    <t>TH-a (Block E/H fast frequentist battery) · H8 - rolling 6-year windows (21 windows) · H9 - external size comparison (COE companion)</t>
  </si>
  <si>
    <t>H8 tiers [DEC-045 S6]: &gt;= 10 clusters full CR2 inference; 5-9 clusters descriptive point-only; &lt; 5 not estimated. H9: descriptive channel comparison, explicitly no test.</t>
  </si>
  <si>
    <t>tier (derived)</t>
  </si>
  <si>
    <t>window 1998-2003</t>
  </si>
  <si>
    <t>H8</t>
  </si>
  <si>
    <t>rolling</t>
  </si>
  <si>
    <t>1998-2003</t>
  </si>
  <si>
    <t>window_mean</t>
  </si>
  <si>
    <t>window 1999-2004</t>
  </si>
  <si>
    <t>1999-2004</t>
  </si>
  <si>
    <t>window 2000-2005</t>
  </si>
  <si>
    <t>2000-2005</t>
  </si>
  <si>
    <t>window 2001-2006</t>
  </si>
  <si>
    <t>2001-2006</t>
  </si>
  <si>
    <t>window 2002-2007</t>
  </si>
  <si>
    <t>2002-2007</t>
  </si>
  <si>
    <t>window 2003-2008</t>
  </si>
  <si>
    <t>2003-2008</t>
  </si>
  <si>
    <t>window 2004-2009</t>
  </si>
  <si>
    <t>2004-2009</t>
  </si>
  <si>
    <t>window 2005-2010</t>
  </si>
  <si>
    <t>2005-2010</t>
  </si>
  <si>
    <t>window 2006-2011</t>
  </si>
  <si>
    <t>2006-2011</t>
  </si>
  <si>
    <t>window 2007-2012</t>
  </si>
  <si>
    <t>2007-2012</t>
  </si>
  <si>
    <t>window 2008-2013</t>
  </si>
  <si>
    <t>2008-2013</t>
  </si>
  <si>
    <t>window 2009-2014</t>
  </si>
  <si>
    <t>2009-2014</t>
  </si>
  <si>
    <t>window 2010-2015</t>
  </si>
  <si>
    <t>2010-2015</t>
  </si>
  <si>
    <t>window 2011-2016</t>
  </si>
  <si>
    <t>2011-2016</t>
  </si>
  <si>
    <t>window 2012-2017</t>
  </si>
  <si>
    <t>2012-2017</t>
  </si>
  <si>
    <t>window 2013-2018</t>
  </si>
  <si>
    <t>2013-2018</t>
  </si>
  <si>
    <t>window 2014-2019</t>
  </si>
  <si>
    <t>2014-2019</t>
  </si>
  <si>
    <t>window 2015-2020</t>
  </si>
  <si>
    <t>2015-2020</t>
  </si>
  <si>
    <t>window 2016-2021</t>
  </si>
  <si>
    <t>2016-2021</t>
  </si>
  <si>
    <t>window 2017-2022</t>
  </si>
  <si>
    <t>2017-2022</t>
  </si>
  <si>
    <t>window 2018-2023</t>
  </si>
  <si>
    <t>2018-2023</t>
  </si>
  <si>
    <t>H9 own pooled (debt side, descriptive channel)</t>
  </si>
  <si>
    <t>H9</t>
  </si>
  <si>
    <t>external_size</t>
  </si>
  <si>
    <t>own_pooled</t>
  </si>
  <si>
    <t>H9 COE companion study-level (Table 3)</t>
  </si>
  <si>
    <t>coe_study_level</t>
  </si>
  <si>
    <t>H8: window means are displayed on both scales; CI/p columns show NA in the descriptive tier by design.</t>
  </si>
  <si>
    <t>H9: size comparison only. SE provenance disclosure (row note, verbatim): the COE main model is naive inverse-variance at ES level (k = 1,139) without cluster-robust inference; overlap 7/120 corpus, 6/115 estimation set, 5/113 period domain; 60/2,713 ES (2.2%); 0 shared effect sizes.</t>
  </si>
  <si>
    <t>Companion caveat [project pin]: COE between-study variance is a best-case lower bound (factor ~65 in variance, ~8 in MDE units vs. COD) - any cross-channel comparison must carry this disclosure.</t>
  </si>
  <si>
    <t>Why no test in H9?</t>
  </si>
  <si>
    <t>The two channels differ in inference machinery (naive IV vs. CR2 3L-RVE), unit structure and overlap; a formal contrast would be uninterpretable - N12 was reduced to a descriptive size comparison by author ruling [H-Q10].</t>
  </si>
  <si>
    <t>Why do some windows lack CIs?</t>
  </si>
  <si>
    <t>5-9-cluster windows are descriptive-tier by design [DEC-045 S6]; CR2 small-sample inference below ~10 clusters is not trustworthy (Tipton &amp; Pustejovsky 2015).</t>
  </si>
  <si>
    <t>Verdict: Mechanical outcome: 21 window means tabulated with tier flags; H9 descriptive comparison tabulated with full SE-provenance disclosure; adjudication deferred to the documented gate-resolution step [DEC-044].</t>
  </si>
  <si>
    <t>TH-a (Block E/H fast frequentist battery) · H10 - conditional p-curve (post cell) · H11 - within-study display (Li et al 2022)</t>
  </si>
  <si>
    <t>H10: N13 rule, first-reported ES per significant post study, p reconstructed in z-metric. H11: descriptive only, explicitly no p-values [N15].</t>
  </si>
  <si>
    <t>H10 significant post studies (of 31)</t>
  </si>
  <si>
    <t>H10</t>
  </si>
  <si>
    <t>pcurve</t>
  </si>
  <si>
    <t>count_significant</t>
  </si>
  <si>
    <t>H10 right-skew binomial p</t>
  </si>
  <si>
    <t>right_skew_binomial</t>
  </si>
  <si>
    <t>H10 right-skew Stouffer p</t>
  </si>
  <si>
    <t>right_skew_stouffer</t>
  </si>
  <si>
    <t>H10 flatness vs. 33% power (pp)</t>
  </si>
  <si>
    <t>flatness_vs_33</t>
  </si>
  <si>
    <t>H11 pre mean (12 ES)</t>
  </si>
  <si>
    <t>H11</t>
  </si>
  <si>
    <t>within_study</t>
  </si>
  <si>
    <t>pre_mean</t>
  </si>
  <si>
    <t>H11 post mean (5 ES)</t>
  </si>
  <si>
    <t>post_mean</t>
  </si>
  <si>
    <t>H11 within diff (z-only, descriptive)</t>
  </si>
  <si>
    <t>within_diff</t>
  </si>
  <si>
    <t>H11 straddle inventory (design)</t>
  </si>
  <si>
    <t>h11_straddle_studies</t>
  </si>
  <si>
    <t>H11 pool-across count (design)</t>
  </si>
  <si>
    <t>h11_pool_across</t>
  </si>
  <si>
    <t>H10 selection rule (design)</t>
  </si>
  <si>
    <t>h10_selection_rule</t>
  </si>
  <si>
    <t>H10 is a conditional battery (&gt;= 5 significant post studies required; condition met at 28/31); it speaks to evidential value of the significant post-cell literature, not to the Paris contrast itself.</t>
  </si>
  <si>
    <t>H11: exactly one study reports own pre- AND post-Paris effect sizes; 73 studies straddle the break, 72 pool across it without period-specific estimates (design rows above).</t>
  </si>
  <si>
    <t>The H10 flatness pp-value of 1 is a mechanical test outcome (sign-corrected NCP per ERROR_LOG #11), tabulated without verdict language.</t>
  </si>
  <si>
    <t>Why reconstruct p-values instead of using reported ones?</t>
  </si>
  <si>
    <t>Uniform z-metric reconstruction (2*pnorm(-|zi|/sqrt(vi))) avoids heterogeneous rounding/reporting conventions; the converted-r accuracy caveat is carried in the row note [N13].</t>
  </si>
  <si>
    <t>Why only one within-study contrast?</t>
  </si>
  <si>
    <t>Inventory fact of the literature: a single study (Li et al 2022) splits its own design at the break - the display motivates the pooled-across-the-break framing module without testing anything [N15].</t>
  </si>
  <si>
    <t>Verdict: Mechanical outcome: p-curve battery and within-study display tabulated with their design inventories; adjudication deferred to the documented gate-resolution step [DEC-044].</t>
  </si>
  <si>
    <t>metric</t>
  </si>
  <si>
    <t>estimator</t>
  </si>
  <si>
    <t>rho</t>
  </si>
  <si>
    <t>k_study</t>
  </si>
  <si>
    <t>k_cluster</t>
  </si>
  <si>
    <t>t_stat</t>
  </si>
  <si>
    <t>pi_lb_z</t>
  </si>
  <si>
    <t>pi_ub_z</t>
  </si>
  <si>
    <t>pi_lb_r</t>
  </si>
  <si>
    <t>pi_ub_r</t>
  </si>
  <si>
    <t>sigma2_cluster</t>
  </si>
  <si>
    <t>sigma2_study</t>
  </si>
  <si>
    <t>sigma2_esid</t>
  </si>
  <si>
    <t>pct_cluster</t>
  </si>
  <si>
    <t>pct_study</t>
  </si>
  <si>
    <t>pct_esid</t>
  </si>
  <si>
    <t>pct_sampling</t>
  </si>
  <si>
    <t>typical_v</t>
  </si>
  <si>
    <t>ms_input</t>
  </si>
  <si>
    <t>ms_label</t>
  </si>
  <si>
    <t>note</t>
  </si>
  <si>
    <t>Fisher_z</t>
  </si>
  <si>
    <t>3LMA-RVE_CR2</t>
  </si>
  <si>
    <t>FALSE</t>
  </si>
  <si>
    <t>rma.mv mods=~ 1; random ~1|cluster_id/study/esid; V blocks within cluster_id, rho=0.6; CR2/Satterthwaite on cluster_id [D31.1/A.2]; domain estimation set 2713/115/114 [DEC-042a]; TH-a refit of T1/A1; verifier identity vs committed output/T1_results.csv at 1e-6 [F65]; 95% CI on this row (TOST rows carry 90%)</t>
  </si>
  <si>
    <t>TRUE</t>
  </si>
  <si>
    <t>e1_tost_primary</t>
  </si>
  <si>
    <t>TOST, two one-sided tests each alpha=.05 &lt;=&gt; 90% CI inside band [DEC-045 E-pins]; PRIMARY level band |r| = 0.070 (F27v2) -&gt; z band atanh = 0.070114671; arm p (lower/upper) = 0.204826 / 7.26341e-16; TOST p = max(arms); CI columns carry the 90% CI (TOST convention); value = 1{90%-CI inside band} (mechanical flag, no verdict language); ex-ante expectation [DEC-044/DEC-045]: this arm is expected to FAIL (T1 CI edge -0.086); E2 adjudicates Tier 1; E1 calibrates the Tier-2 wording only</t>
  </si>
  <si>
    <t>TOST, two one-sided tests each alpha=.05 &lt;=&gt; 90% CI inside band [DEC-045 E-pins]; SECONDARY level band |r| = 0.05 -&gt; z band atanh = 0.050041729; arm p (lower/upper) = 0.73207 / 1.41843e-12; TOST p = max(arms); CI columns carry the 90% CI (TOST convention); value = 1{90%-CI inside band} (mechanical flag, no verdict language)</t>
  </si>
  <si>
    <t>rma.mv mods=~ 0 + pp_cell (cell-means; estimand identical to ~ pp_mid_lag0); random ~1|cluster_id/study/esid; V blocks within cluster_id, rho=0.6; CR2/Satterthwaite on cluster_id [D31.1/A.2]; domain period domain 2705/113/112 [DEC-042b]; cell mean at coding = 0 (pre)</t>
  </si>
  <si>
    <t>rma.mv mods=~ 0 + pp_cell (cell-means; estimand identical to ~ pp_mid_lag0); random ~1|cluster_id/study/esid; V blocks within cluster_id, rho=0.6; CR2/Satterthwaite on cluster_id [D31.1/A.2]; domain period domain 2705/113/112 [DEC-042b]; cell mean at coding = 1 (post)</t>
  </si>
  <si>
    <t>rma.mv mods=~ 0 + pp_cell (cell-means; estimand identical to ~ pp_mid_lag0); random ~1|cluster_id/study/esid; V blocks within cluster_id, rho=0.6; CR2/Satterthwaite on cluster_id [D31.1/A.2]; domain period domain 2705/113/112 [DEC-042b]; post-minus-pre contrast (-1, +1); cell-means parameterization [DEC-031e/A.11]; difference of Fisher-z means; no tanh transform of differences; TH-a refit of T2/B1 paris_mid; verifier identity vs committed output/T2_results.csv at 1e-6 [F65]</t>
  </si>
  <si>
    <t>e2_tost_contrast</t>
  </si>
  <si>
    <t>TOST, two one-sided tests each alpha=.05 &lt;=&gt; 90% CI inside band [DEC-045 E-pins]; contrast band |dr| = 0.05 (secondary SESOI = the contrast band [DEC-031 Block E]); applied on the z-difference directly; |dz| read as |dr| (third-order approx, T8/B8 convention); arm p (lower/upper) = 0.00231753 / 0.0219798; TOST p = max(arms); CI columns carry the 90% CI (TOST convention); value = 1{90%-CI inside band} (mechanical flag, no verdict language); E2 adjudicates Tier 1 (the Paris null) [DEC-045 E-pins]; dose transfer NOT triggered (design df 31.9 [DEC-024/A.3])</t>
  </si>
  <si>
    <t>count</t>
  </si>
  <si>
    <t>descriptive</t>
  </si>
  <si>
    <t>Tier-1 evidence-of-absence wording REQUIRES an E2 PASS; E2 FAIL -&gt; no Tier-1 EoA regardless of BF [DEC-045 ladder / H-Q21]</t>
  </si>
  <si>
    <t>with H2b: BF01 &gt;= 3 full EoA; 1 &lt; BF01 &lt; 3 equivalence-based, BF disclosed as directionally supportive, not strong; BF01 &lt;= 1 conflict disclosure, conservative wording; without RoBMA.reg: pre-registered configuration E2 + level BF (H2a) [DEC-045; Jeffreys/Lee-Wagenmakers bands pinned]</t>
  </si>
  <si>
    <t>resolution deferred: documented post-run step after TH-b (N3), never an automatic rewrite [DEC-044/DEC-045]; ex-ante expectation carried on the E1 primary-band row</t>
  </si>
  <si>
    <t>rma.mv mods=~ 0 + pp_cell (break 2008, cell-means); random ~1|cluster_id/study/esid; V blocks within cluster_id, rho=0.6; CR2/Satterthwaite on cluster_id [D31.1/A.2]; domain period domain 2705/113/112; post cell: 2367 ES / 100 studies / 99 clusters; rule: share_2008 &gt;= 0.5, ties to Post [F60/DEC-024]; candidate year of the sup-break grid [DEC-045/H-Q6]; difference of Fisher-z means</t>
  </si>
  <si>
    <t>rma.mv mods=~ 0 + pp_cell (break 2009, cell-means); random ~1|cluster_id/study/esid; V blocks within cluster_id, rho=0.6; CR2/Satterthwaite on cluster_id [D31.1/A.2]; domain period domain 2705/113/112; post cell: 2345 ES / 99 studies / 98 clusters; rule: share_2009 &gt;= 0.5, ties to Post [F60/DEC-024]; candidate year of the sup-break grid [DEC-045/H-Q6]; difference of Fisher-z means</t>
  </si>
  <si>
    <t>rma.mv mods=~ 0 + pp_cell (break 2010, cell-means); random ~1|cluster_id/study/esid; V blocks within cluster_id, rho=0.6; CR2/Satterthwaite on cluster_id [D31.1/A.2]; domain period domain 2705/113/112; post cell: 2326 ES / 98 studies / 97 clusters; rule: share_2010 &gt;= 0.5, ties to Post [F60/DEC-024]; candidate year of the sup-break grid [DEC-045/H-Q6]; difference of Fisher-z means</t>
  </si>
  <si>
    <t>rma.mv mods=~ 0 + pp_cell (break 2011, cell-means); random ~1|cluster_id/study/esid; V blocks within cluster_id, rho=0.6; CR2/Satterthwaite on cluster_id [D31.1/A.2]; domain period domain 2705/113/112; post cell: 2077 ES / 93 studies / 92 clusters; rule: share_2011 &gt;= 0.5, ties to Post [F60/DEC-024]; candidate year of the sup-break grid [DEC-045/H-Q6]; difference of Fisher-z means</t>
  </si>
  <si>
    <t>rma.mv mods=~ 0 + pp_cell (break 2012, cell-means); random ~1|cluster_id/study/esid; V blocks within cluster_id, rho=0.6; CR2/Satterthwaite on cluster_id [D31.1/A.2]; domain period domain 2705/113/112; post cell: 1769 ES / 82 studies / 81 clusters; rule: share_2012 &gt;= 0.5, ties to Post [F60/DEC-024]; candidate year of the sup-break grid [DEC-045/H-Q6]; difference of Fisher-z means</t>
  </si>
  <si>
    <t>rma.mv mods=~ 0 + pp_cell (break 2013, cell-means); random ~1|cluster_id/study/esid; V blocks within cluster_id, rho=0.6; CR2/Satterthwaite on cluster_id [D31.1/A.2]; domain period domain 2705/113/112; post cell: 1486 ES / 69 studies / 69 clusters; rule: share_2013 &gt;= 0.5, ties to Post [F60/DEC-024]; candidate year of the sup-break grid [DEC-045/H-Q6]; difference of Fisher-z means</t>
  </si>
  <si>
    <t>rma.mv mods=~ 0 + pp_cell (break 2014, cell-means); random ~1|cluster_id/study/esid; V blocks within cluster_id, rho=0.6; CR2/Satterthwaite on cluster_id [D31.1/A.2]; domain period domain 2705/113/112; post cell: 1269 ES / 55 studies / 55 clusters; rule: share_2014 &gt;= 0.5, ties to Post [F60/DEC-024]; candidate year of the sup-break grid [DEC-045/H-Q6]; difference of Fisher-z means</t>
  </si>
  <si>
    <t>rma.mv mods=~ 0 + pp_cell (break 2015, cell-means); random ~1|cluster_id/study/esid; V blocks within cluster_id, rho=0.6; CR2/Satterthwaite on cluster_id [D31.1/A.2]; domain period domain 2705/113/112; post cell: 784 ES / 38 studies / 38 clusters; rule: share_2015 &gt;= 0.5, ties to Post [F60/DEC-024]; candidate year of the sup-break grid [DEC-045/H-Q6]; difference of Fisher-z means</t>
  </si>
  <si>
    <t>rma.mv mods=~ 0 + pp_cell (break 2016, cell-means); random ~1|cluster_id/study/esid; V blocks within cluster_id, rho=0.6; CR2/Satterthwaite on cluster_id [D31.1/A.2]; domain period domain 2705/113/112; post cell: 711 ES / 31 studies / 31 clusters; rule: share_2016 &gt;= 0.5, ties to Post [F60/DEC-024]; candidate year of the sup-break grid [DEC-045/H-Q6]; difference of Fisher-z means</t>
  </si>
  <si>
    <t>rma.mv mods=~ 0 + pp_cell (break 2017, cell-means); random ~1|cluster_id/study/esid; V blocks within cluster_id, rho=0.6; CR2/Satterthwaite on cluster_id [D31.1/A.2]; domain period domain 2705/113/112; post cell: 623 ES / 23 studies / 23 clusters; rule: share_2017 &gt;= 0.5, ties to Post [F60/DEC-024]; candidate year of the sup-break grid [DEC-045/H-Q6]; difference of Fisher-z means</t>
  </si>
  <si>
    <t>rma.mv mods=~ 0 + pp_cell (break 2018, cell-means); random ~1|cluster_id/study/esid; V blocks within cluster_id, rho=0.6; CR2/Satterthwaite on cluster_id [D31.1/A.2]; domain period domain 2705/113/112; post cell: 506 ES / 15 studies / 15 clusters; rule: share_2018 &gt;= 0.5, ties to Post [F60/DEC-024]; candidate year of the sup-break grid [DEC-045/H-Q6]; difference of Fisher-z means</t>
  </si>
  <si>
    <t>rma.mv mods=~ 0 + pp_cell (break 2019, cell-means); random ~1|cluster_id/study/esid; V blocks within cluster_id, rho=0.6; CR2/Satterthwaite on cluster_id [D31.1/A.2]; domain period domain 2705/113/112; post cell: 323 ES / 13 studies / 13 clusters; rule: share_2019 &gt;= 0.5, ties to Post [F60/DEC-024]; candidate year of the sup-break grid [DEC-045/H-Q6]; difference of Fisher-z means</t>
  </si>
  <si>
    <t>rank</t>
  </si>
  <si>
    <t>h4_sup_observed</t>
  </si>
  <si>
    <t>sup |t| over the ADMISSIBLE candidate years (df &gt;= 5 on the break coefficient [DEC-024 transfer rule / H-Q6]); attained at 2009; admissible set computed ONCE on the observed design and held fixed for the TH-c permutation [H-Q20]; |t| by year: 2008=1.3633(df 14.9), 2009=2.1225(df 6.3), 2010=1.8934(df 6.8), 2011=1.7640(df 9.6), 2012=0.0553(df 11.7), 2013=1.2038(df 14.3), 2014=1.0159(df 22.6), 2015=0.1171(df 18.2), 2016=0.5620(df 15.0), 2017=0.4463(df 10.9), 2018=0.1404(df 18.8), 2019=0.1846(df 15.4); p_perm from TH-c</t>
  </si>
  <si>
    <t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0 (pre)</t>
  </si>
  <si>
    <t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1 (post)</t>
  </si>
  <si>
    <t>h6_zarea_diff</t>
  </si>
  <si>
    <t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post-minus-pre contrast (-1, +1); cell-means parameterization [DEC-031e/A.11]; difference of Fisher-z means; no tanh transform of differences; under Zarea's Paris operationalization (midpoint + tie-exclusion), applied within our 3L-RVE framework [DEC-045 wording pin]; post cell 31 -&gt; 26 studies under the tie-exclusion rule</t>
  </si>
  <si>
    <t>cumulative 3L refit after adding study 'Nandy, Lodh (2012)' (median sample_mid = 1998.50); ordering: study-wise median sample_mid, ties alphabetical [DEC-045/H-Q17]; not_estimable: Cluster-robust variance estimation will not work when the data only includes a single cluster.; planned key retained (budget 177) [DEC-045; package-review robustness fix 2026-07-22 + runtime fix 2026-07-24]</t>
  </si>
  <si>
    <t>cumulative 3L refit after adding study 'Chava (2010)' (median sample_mid = 1999.00); ordering: study-wise median sample_mid, ties alphabetical [DEC-045/H-Q17]; display floor: point-only in the figure (clusters = 2 &lt; 10) [DEC-045/H-Q17; presentational only, CI retained here]</t>
  </si>
  <si>
    <t>cumulative 3L refit after adding study 'Schneider (2010)' (median sample_mid = 1999.00); ordering: study-wise median sample_mid, ties alphabetical [DEC-045/H-Q17]; display floor: point-only in the figure (clusters = 3 &lt; 10) [DEC-045/H-Q17; presentational only, CI retained here]</t>
  </si>
  <si>
    <t>cumulative 3L refit after adding study 'Chava (2014)' (median sample_mid = 1999.50); ordering: study-wise median sample_mid, ties alphabetical [DEC-045/H-Q17]; display floor: point-only in the figure (clusters = 4 &lt; 10) [DEC-045/H-Q17; presentational only, CI retained here]</t>
  </si>
  <si>
    <t>cumulative 3L refit after adding study 'Oikonomou et al (2014)' (median sample_mid = 2000.00); ordering: study-wise median sample_mid, ties alphabetical [DEC-045/H-Q17]; display floor: point-only in the figure (clusters = 5 &lt; 10) [DEC-045/H-Q17; presentational only, CI retained here]</t>
  </si>
  <si>
    <t>cumulative 3L refit after adding study 'Bauer, Hann (2010)' (median sample_mid = 2000.50); ordering: study-wise median sample_mid, ties alphabetical [DEC-045/H-Q17]; display floor: point-only in the figure (clusters = 6 &lt; 10) [DEC-045/H-Q17; presentational only, CI retained here]</t>
  </si>
  <si>
    <t>cumulative 3L refit after adding study 'Ge, Liu (2015)' (median sample_mid = 2000.50); ordering: study-wise median sample_mid, ties alphabetical [DEC-045/H-Q17]; display floor: point-only in the figure (clusters = 7 &lt; 10) [DEC-045/H-Q17; presentational only, CI retained here]</t>
  </si>
  <si>
    <t>cumulative 3L refit after adding study 'Jiraporn et al (2014)' (median sample_mid = 2001.00); ordering: study-wise median sample_mid, ties alphabetical [DEC-045/H-Q17]; display floor: point-only in the figure (clusters = 8 &lt; 10) [DEC-045/H-Q17; presentational only, CI retained here]</t>
  </si>
  <si>
    <t>cumulative 3L refit after adding study 'Chen et al (2020)' (median sample_mid = 2001.50); ordering: study-wise median sample_mid, ties alphabetical [DEC-045/H-Q17]; display floor: point-only in the figure (clusters = 9 &lt; 10) [DEC-045/H-Q17; presentational only, CI retained here]</t>
  </si>
  <si>
    <t>cumulative 3L refit after adding study 'Chen, Gao (2011)' (median sample_mid = 2005.00); ordering: study-wise median sample_mid, ties alphabetical [DEC-045/H-Q17]; full display (CI band)</t>
  </si>
  <si>
    <t>cumulative 3L refit after adding study 'Chodnicka-Jaworska (2022)' (median sample_mid = 2005.50); ordering: study-wise median sample_mid, ties alphabetical [DEC-045/H-Q17]; full display (CI band)</t>
  </si>
  <si>
    <t>cumulative 3L refit after adding study 'Erragragui (2018)' (median sample_mid = 2005.50); ordering: study-wise median sample_mid, ties alphabetical [DEC-045/H-Q17]; full display (CI band)</t>
  </si>
  <si>
    <t>cumulative 3L refit after adding study 'Zheng (2021)' (median sample_mid = 2006.50); ordering: study-wise median sample_mid, ties alphabetical [DEC-045/H-Q17]; full display (CI band)</t>
  </si>
  <si>
    <t>cumulative 3L refit after adding study 'Li et al (2014)' (median sample_mid = 2008.00); ordering: study-wise median sample_mid, ties alphabetical [DEC-045/H-Q17]; full display (CI band)</t>
  </si>
  <si>
    <t>cumulative 3L refit after adding study 'Hoepner et al (2016)' (median sample_mid = 2008.50); ordering: study-wise median sample_mid, ties alphabetical [DEC-045/H-Q17]; full display (CI band)</t>
  </si>
  <si>
    <t>cumulative 3L refit after adding study 'Wang et al (2020)' (median sample_mid = 2009.50); ordering: study-wise median sample_mid, ties alphabetical [DEC-045/H-Q17]; full display (CI band)</t>
  </si>
  <si>
    <t>cumulative 3L refit after adding study 'D'Arcangelo et al (2025)' (median sample_mid = 2010.00); ordering: study-wise median sample_mid, ties alphabetical [DEC-045/H-Q17]; full display (CI band)</t>
  </si>
  <si>
    <t>cumulative 3L refit after adding study 'Du et al (2015)' (median sample_mid = 2010.00); ordering: study-wise median sample_mid, ties alphabetical [DEC-045/H-Q17]; full display (CI band)</t>
  </si>
  <si>
    <t>cumulative 3L refit after adding study 'Hansen &amp; Marcet (2025)' (median sample_mid = 2010.00); ordering: study-wise median sample_mid, ties alphabetical [DEC-045/H-Q17]; full display (CI band)</t>
  </si>
  <si>
    <t>cumulative 3L refit after adding study 'Trinh et al (2024)' (median sample_mid = 2010.00); ordering: study-wise median sample_mid, ties alphabetical [DEC-045/H-Q17]; full display (CI band)</t>
  </si>
  <si>
    <t>cumulative 3L refit after adding study 'Al-Fakir Al Rabab'a et al (2023)' (median sample_mid = 2010.50); ordering: study-wise median sample_mid, ties alphabetical [DEC-045/H-Q17]; full display (CI band)</t>
  </si>
  <si>
    <t>cumulative 3L refit after adding study 'Attig et al (2025)' (median sample_mid = 2010.50); ordering: study-wise median sample_mid, ties alphabetical [DEC-045/H-Q17]; full display (CI band)</t>
  </si>
  <si>
    <t>cumulative 3L refit after adding study 'Bannier et al (2022)' (median sample_mid = 2010.50); ordering: study-wise median sample_mid, ties alphabetical [DEC-045/H-Q17]; full display (CI band)</t>
  </si>
  <si>
    <t>cumulative 3L refit after adding study 'Drago, Carnevale (2020)' (median sample_mid = 2010.50); ordering: study-wise median sample_mid, ties alphabetical [DEC-045/H-Q17]; full display (CI band)</t>
  </si>
  <si>
    <t>cumulative 3L refit after adding study 'Eichholtz et al (2019)' (median sample_mid = 2010.50); ordering: study-wise median sample_mid, ties alphabetical [DEC-045/H-Q17]; full display (CI band)</t>
  </si>
  <si>
    <t>cumulative 3L refit after adding study 'Eliwa et al (2021)' (median sample_mid = 2010.50); ordering: study-wise median sample_mid, ties alphabetical [DEC-045/H-Q17]; full display (CI band)</t>
  </si>
  <si>
    <t>cumulative 3L refit after adding study 'Salvi et al (2021)' (median sample_mid = 2010.50); ordering: study-wise median sample_mid, ties alphabetical [DEC-045/H-Q17]; full display (CI band)</t>
  </si>
  <si>
    <t>cumulative 3L refit after adding study 'Fonseka et al (2019a)' (median sample_mid = 2011.00); ordering: study-wise median sample_mid, ties alphabetical [DEC-045/H-Q17]; full display (CI band)</t>
  </si>
  <si>
    <t>cumulative 3L refit after adding study 'Fonseka et al (2019b)' (median sample_mid = 2011.00); ordering: study-wise median sample_mid, ties alphabetical [DEC-045/H-Q17]; full display (CI band)</t>
  </si>
  <si>
    <t>cumulative 3L refit after adding study 'Jung et al (2016)' (median sample_mid = 2011.00); ordering: study-wise median sample_mid, ties alphabetical [DEC-045/H-Q17]; full display (CI band)</t>
  </si>
  <si>
    <t>cumulative 3L refit after adding study 'Li &amp; Qiu (2026)' (median sample_mid = 2011.00); ordering: study-wise median sample_mid, ties alphabetical [DEC-045/H-Q17]; full display (CI band)</t>
  </si>
  <si>
    <t>cumulative 3L refit after adding study 'Safiullah et al (2021)' (median sample_mid = 2011.00); ordering: study-wise median sample_mid, ties alphabetical [DEC-045/H-Q17]; full display (CI band)</t>
  </si>
  <si>
    <t>cumulative 3L refit after adding study 'Atif, Ali (2021)' (median sample_mid = 2011.50); ordering: study-wise median sample_mid, ties alphabetical [DEC-045/H-Q17]; full display (CI band)</t>
  </si>
  <si>
    <t>cumulative 3L refit after adding study 'Delis et al (2021)' (median sample_mid = 2011.50); ordering: study-wise median sample_mid, ties alphabetical [DEC-045/H-Q17]; full display (CI band)</t>
  </si>
  <si>
    <t>cumulative 3L refit after adding study 'Höck et al (2020)' (median sample_mid = 2011.50); ordering: study-wise median sample_mid, ties alphabetical [DEC-045/H-Q17]; full display (CI band)</t>
  </si>
  <si>
    <t>cumulative 3L refit after adding study 'Yang et al (2024)' (median sample_mid = 2011.50); ordering: study-wise median sample_mid, ties alphabetical [DEC-045/H-Q17]; full display (CI band)</t>
  </si>
  <si>
    <t>cumulative 3L refit after adding study 'Cubas, Martinez (2018)' (median sample_mid = 2012.00); ordering: study-wise median sample_mid, ties alphabetical [DEC-045/H-Q17]; full display (CI band)</t>
  </si>
  <si>
    <t>cumulative 3L refit after adding study 'Drago et al (2018)' (median sample_mid = 2012.00); ordering: study-wise median sample_mid, ties alphabetical [DEC-045/H-Q17]; full display (CI band)</t>
  </si>
  <si>
    <t>cumulative 3L refit after adding study 'Ehlers et al (2021)' (median sample_mid = 2012.00); ordering: study-wise median sample_mid, ties alphabetical [DEC-045/H-Q17]; full display (CI band)</t>
  </si>
  <si>
    <t>cumulative 3L refit after adding study 'Li et al (2022)' (median sample_mid = 2012.00); ordering: study-wise median sample_mid, ties alphabetical [DEC-045/H-Q17]; full display (CI band)</t>
  </si>
  <si>
    <t>cumulative 3L refit after adding study 'Ofogbe et al (2021)' (median sample_mid = 2012.00); ordering: study-wise median sample_mid, ties alphabetical [DEC-045/H-Q17]; full display (CI band)</t>
  </si>
  <si>
    <t>cumulative 3L refit after adding study 'Okimoto &amp; Takaoka (2024)' (median sample_mid = 2012.00); ordering: study-wise median sample_mid, ties alphabetical [DEC-045/H-Q17]; full display (CI band)</t>
  </si>
  <si>
    <t>cumulative 3L refit after adding study 'Safiullah et al (2025)' (median sample_mid = 2012.00); ordering: study-wise median sample_mid, ties alphabetical [DEC-045/H-Q17]; full display (CI band)</t>
  </si>
  <si>
    <t>cumulative 3L refit after adding study 'Truong, Kim (2019)' (median sample_mid = 2012.00); ordering: study-wise median sample_mid, ties alphabetical [DEC-045/H-Q17]; full display (CI band)</t>
  </si>
  <si>
    <t>cumulative 3L refit after adding study 'Wu et al (2020)' (median sample_mid = 2012.00); ordering: study-wise median sample_mid, ties alphabetical [DEC-045/H-Q17]; full display (CI band)</t>
  </si>
  <si>
    <t>cumulative 3L refit after adding study 'Zhou et al (2024)' (median sample_mid = 2012.00); ordering: study-wise median sample_mid, ties alphabetical [DEC-045/H-Q17]; full display (CI band)</t>
  </si>
  <si>
    <t>cumulative 3L refit after adding study 'Ali et al (2023)' (median sample_mid = 2012.50); ordering: study-wise median sample_mid, ties alphabetical [DEC-045/H-Q17]; full display (CI band)</t>
  </si>
  <si>
    <t>cumulative 3L refit after adding study 'Hamrouni et al (2019a)' (median sample_mid = 2012.50); ordering: study-wise median sample_mid, ties alphabetical [DEC-045/H-Q17]; full display (CI band)</t>
  </si>
  <si>
    <t>cumulative 3L refit after adding study 'Hu et al (2024)' (median sample_mid = 2012.50); ordering: study-wise median sample_mid, ties alphabetical [DEC-045/H-Q17]; full display (CI band)</t>
  </si>
  <si>
    <t>cumulative 3L refit after adding study 'Jang et al (2020)' (median sample_mid = 2012.50); ordering: study-wise median sample_mid, ties alphabetical [DEC-045/H-Q17]; full display (CI band)</t>
  </si>
  <si>
    <t>cumulative 3L refit after adding study 'Kleimeier, Viehs (2021)' (median sample_mid = 2012.50); ordering: study-wise median sample_mid, ties alphabetical [DEC-045/H-Q17]; full display (CI band)</t>
  </si>
  <si>
    <t>cumulative 3L refit after adding study 'Lemma et al (2017)' (median sample_mid = 2012.50); ordering: study-wise median sample_mid, ties alphabetical [DEC-045/H-Q17]; full display (CI band)</t>
  </si>
  <si>
    <t>cumulative 3L refit after adding study 'Mahmoudian et al (2023)' (median sample_mid = 2012.50); ordering: study-wise median sample_mid, ties alphabetical [DEC-045/H-Q17]; full display (CI band)</t>
  </si>
  <si>
    <t>cumulative 3L refit after adding study 'Okimoto, Takaoka (2022)' (median sample_mid = 2012.50); ordering: study-wise median sample_mid, ties alphabetical [DEC-045/H-Q17]; full display (CI band)</t>
  </si>
  <si>
    <t>cumulative 3L refit after adding study 'Sandra et al (2021)' (median sample_mid = 2012.50); ordering: study-wise median sample_mid, ties alphabetical [DEC-045/H-Q17]; full display (CI band)</t>
  </si>
  <si>
    <t>cumulative 3L refit after adding study 'Shad et al (2022)' (median sample_mid = 2012.50); ordering: study-wise median sample_mid, ties alphabetical [DEC-045/H-Q17]; full display (CI band)</t>
  </si>
  <si>
    <t>cumulative 3L refit after adding study 'Maaloul, Wegener (2021)' (median sample_mid = 2013.00); ordering: study-wise median sample_mid, ties alphabetical [DEC-045/H-Q17]; full display (CI band)</t>
  </si>
  <si>
    <t>cumulative 3L refit after adding study 'Seltzer et al (2022)' (median sample_mid = 2013.00); ordering: study-wise median sample_mid, ties alphabetical [DEC-045/H-Q17]; full display (CI band)</t>
  </si>
  <si>
    <t>cumulative 3L refit after adding study 'Zhou et al (2018)' (median sample_mid = 2013.00); ordering: study-wise median sample_mid, ties alphabetical [DEC-045/H-Q17]; full display (CI band)</t>
  </si>
  <si>
    <t>cumulative 3L refit after adding study 'Caragnano et al (2020)' (median sample_mid = 2013.50); ordering: study-wise median sample_mid, ties alphabetical [DEC-045/H-Q17]; full display (CI band)</t>
  </si>
  <si>
    <t>cumulative 3L refit after adding study 'Dumrose &amp; Höck (2023)' (median sample_mid = 2013.50); ordering: study-wise median sample_mid, ties alphabetical [DEC-045/H-Q17]; full display (CI band)</t>
  </si>
  <si>
    <t>cumulative 3L refit after adding study 'Duong et al (2025)' (median sample_mid = 2013.50); ordering: study-wise median sample_mid, ties alphabetical [DEC-045/H-Q17]; full display (CI band)</t>
  </si>
  <si>
    <t>cumulative 3L refit after adding study 'Kim &amp; Pouget (2026)' (median sample_mid = 2013.50); ordering: study-wise median sample_mid, ties alphabetical [DEC-045/H-Q17]; full display (CI band)</t>
  </si>
  <si>
    <t>cumulative 3L refit after adding study 'Pizzutilo et al (2020)' (median sample_mid = 2013.50); ordering: study-wise median sample_mid, ties alphabetical [DEC-045/H-Q17]; full display (CI band)</t>
  </si>
  <si>
    <t>cumulative 3L refit after adding study 'Srivisal et al (2021)' (median sample_mid = 2013.50); ordering: study-wise median sample_mid, ties alphabetical [DEC-045/H-Q17]; full display (CI band)</t>
  </si>
  <si>
    <t>cumulative 3L refit after adding study 'Sze et al (2021)' (median sample_mid = 2013.50); ordering: study-wise median sample_mid, ties alphabetical [DEC-045/H-Q17]; full display (CI band)</t>
  </si>
  <si>
    <t>cumulative 3L refit after adding study 'Zhang et al (2023)' (median sample_mid = 2013.50); ordering: study-wise median sample_mid, ties alphabetical [DEC-045/H-Q17]; full display (CI band)</t>
  </si>
  <si>
    <t>cumulative 3L refit after adding study 'Azmi et al (2021)' (median sample_mid = 2014.00); ordering: study-wise median sample_mid, ties alphabetical [DEC-045/H-Q17]; full display (CI band)</t>
  </si>
  <si>
    <t>cumulative 3L refit after adding study 'Borsuk &amp; Shrimali (2026)' (median sample_mid = 2014.00); ordering: study-wise median sample_mid, ties alphabetical [DEC-045/H-Q17]; full display (CI band)</t>
  </si>
  <si>
    <t>cumulative 3L refit after adding study 'Christ et al (2022)' (median sample_mid = 2014.00); ordering: study-wise median sample_mid, ties alphabetical [DEC-045/H-Q17]; full display (CI band)</t>
  </si>
  <si>
    <t>cumulative 3L refit after adding study 'Hui et al (2024)' (median sample_mid = 2014.00); ordering: study-wise median sample_mid, ties alphabetical [DEC-045/H-Q17]; full display (CI band)</t>
  </si>
  <si>
    <t>cumulative 3L refit after adding study 'Kölbel et al (2020)' (median sample_mid = 2014.00); ordering: study-wise median sample_mid, ties alphabetical [DEC-045/H-Q17]; full display (CI band)</t>
  </si>
  <si>
    <t>cumulative 3L refit after adding study 'Ma et al (2022)' (median sample_mid = 2014.00); ordering: study-wise median sample_mid, ties alphabetical [DEC-045/H-Q17]; full display (CI band)</t>
  </si>
  <si>
    <t>cumulative 3L refit after adding study 'Palea, Drogo (2020)' (median sample_mid = 2014.00); ordering: study-wise median sample_mid, ties alphabetical [DEC-045/H-Q17]; full display (CI band)</t>
  </si>
  <si>
    <t>cumulative 3L refit after adding study 'Yilmaz (2022)' (median sample_mid = 2014.00); ordering: study-wise median sample_mid, ties alphabetical [DEC-045/H-Q17]; full display (CI band)</t>
  </si>
  <si>
    <t>cumulative 3L refit after adding study 'Zhu, Zhao (2022)' (median sample_mid = 2014.00); ordering: study-wise median sample_mid, ties alphabetical [DEC-045/H-Q17]; full display (CI band)</t>
  </si>
  <si>
    <t>cumulative 3L refit after adding study 'Apergis et al (2022)' (median sample_mid = 2014.50); ordering: study-wise median sample_mid, ties alphabetical [DEC-045/H-Q17]; full display (CI band)</t>
  </si>
  <si>
    <t>cumulative 3L refit after adding study 'Ben Slimane et al (2019)' (median sample_mid = 2014.50); ordering: study-wise median sample_mid, ties alphabetical [DEC-045/H-Q17]; full display (CI band)</t>
  </si>
  <si>
    <t>cumulative 3L refit after adding study 'Devalle et al (2017)' (median sample_mid = 2015.00); ordering: study-wise median sample_mid, ties alphabetical [DEC-045/H-Q17]; full display (CI band)</t>
  </si>
  <si>
    <t>cumulative 3L refit after adding study 'Ding et al (2022)' (median sample_mid = 2015.00); ordering: study-wise median sample_mid, ties alphabetical [DEC-045/H-Q17]; full display (CI band)</t>
  </si>
  <si>
    <t>cumulative 3L refit after adding study 'Kim, Kim (2022)' (median sample_mid = 2015.00); ordering: study-wise median sample_mid, ties alphabetical [DEC-045/H-Q17]; full display (CI band)</t>
  </si>
  <si>
    <t>cumulative 3L refit after adding study 'Lee (2022)' (median sample_mid = 2015.00); ordering: study-wise median sample_mid, ties alphabetical [DEC-045/H-Q17]; full display (CI band)</t>
  </si>
  <si>
    <t>cumulative 3L refit after adding study 'Luo et al (2019)' (median sample_mid = 2015.00); ordering: study-wise median sample_mid, ties alphabetical [DEC-045/H-Q17]; full display (CI band)</t>
  </si>
  <si>
    <t>cumulative 3L refit after adding study 'Ho &amp; Wong (2023)' (median sample_mid = 2015.50); ordering: study-wise median sample_mid, ties alphabetical [DEC-045/H-Q17]; full display (CI band)</t>
  </si>
  <si>
    <t>cumulative 3L refit after adding study 'Kordschia (2020)' (median sample_mid = 2015.50); ordering: study-wise median sample_mid, ties alphabetical [DEC-045/H-Q17]; full display (CI band)</t>
  </si>
  <si>
    <t>cumulative 3L refit after adding study 'Owolabi et al (2024)' (median sample_mid = 2015.50); ordering: study-wise median sample_mid, ties alphabetical [DEC-045/H-Q17]; full display (CI band)</t>
  </si>
  <si>
    <t>cumulative 3L refit after adding study 'Ririmasse et al (2026)' (median sample_mid = 2015.50); ordering: study-wise median sample_mid, ties alphabetical [DEC-045/H-Q17]; full display (CI band)</t>
  </si>
  <si>
    <t>cumulative 3L refit after adding study 'Xiang &amp; Gong (2026)' (median sample_mid = 2015.50); ordering: study-wise median sample_mid, ties alphabetical [DEC-045/H-Q17]; full display (CI band)</t>
  </si>
  <si>
    <t>cumulative 3L refit after adding study 'Du et al (2022)' (median sample_mid = 2016.00); ordering: study-wise median sample_mid, ties alphabetical [DEC-045/H-Q17]; full display (CI band)</t>
  </si>
  <si>
    <t>cumulative 3L refit after adding study 'Tan et al (2021)' (median sample_mid = 2016.00); ordering: study-wise median sample_mid, ties alphabetical [DEC-045/H-Q17]; full display (CI band)</t>
  </si>
  <si>
    <t>cumulative 3L refit after adding study 'Wang et al (2022a)' (median sample_mid = 2016.00); ordering: study-wise median sample_mid, ties alphabetical [DEC-045/H-Q17]; full display (CI band)</t>
  </si>
  <si>
    <t>cumulative 3L refit after adding study 'Lin et al (2025)' (median sample_mid = 2017.00); ordering: study-wise median sample_mid, ties alphabetical [DEC-045/H-Q17]; full display (CI band)</t>
  </si>
  <si>
    <t>cumulative 3L refit after adding study 'Liu et al (2023)' (median sample_mid = 2017.00); ordering: study-wise median sample_mid, ties alphabetical [DEC-045/H-Q17]; full display (CI band)</t>
  </si>
  <si>
    <t>cumulative 3L refit after adding study 'Nasih et al (2024)' (median sample_mid = 2017.00); ordering: study-wise median sample_mid, ties alphabetical [DEC-045/H-Q17]; full display (CI band)</t>
  </si>
  <si>
    <t>cumulative 3L refit after adding study 'Ratajczak &amp; Mikolajewicz (2021)' (median sample_mid = 2017.00); ordering: study-wise median sample_mid, ties alphabetical [DEC-045/H-Q17]; full display (CI band)</t>
  </si>
  <si>
    <t>cumulative 3L refit after adding study 'Tan et al (2026)' (median sample_mid = 2017.00); ordering: study-wise median sample_mid, ties alphabetical [DEC-045/H-Q17]; full display (CI band)</t>
  </si>
  <si>
    <t>cumulative 3L refit after adding study 'Temiz (2022)' (median sample_mid = 2017.00); ordering: study-wise median sample_mid, ties alphabetical [DEC-045/H-Q17]; full display (CI band)</t>
  </si>
  <si>
    <t>cumulative 3L refit after adding study 'Wang et al (2025a)' (median sample_mid = 2017.00); ordering: study-wise median sample_mid, ties alphabetical [DEC-045/H-Q17]; full display (CI band)</t>
  </si>
  <si>
    <t>cumulative 3L refit after adding study 'Panjwani et al (2023)' (median sample_mid = 2017.50); ordering: study-wise median sample_mid, ties alphabetical [DEC-045/H-Q17]; full display (CI band)</t>
  </si>
  <si>
    <t>cumulative 3L refit after adding study 'Tang et al (2023)' (median sample_mid = 2018.00); ordering: study-wise median sample_mid, ties alphabetical [DEC-045/H-Q17]; full display (CI band)</t>
  </si>
  <si>
    <t>cumulative 3L refit after adding study 'Boermans et al (2023)' (median sample_mid = 2018.50); ordering: study-wise median sample_mid, ties alphabetical [DEC-045/H-Q17]; full display (CI band)</t>
  </si>
  <si>
    <t>cumulative 3L refit after adding study 'Boubaker et al (2026)' (median sample_mid = 2019.00); ordering: study-wise median sample_mid, ties alphabetical [DEC-045/H-Q17]; full display (CI band)</t>
  </si>
  <si>
    <t>cumulative 3L refit after adding study 'Gonzales Sanches et al (2026)' (median sample_mid = 2019.00); ordering: study-wise median sample_mid, ties alphabetical [DEC-045/H-Q17]; full display (CI band)</t>
  </si>
  <si>
    <t>cumulative 3L refit after adding study 'Shi et al (2025)' (median sample_mid = 2019.00); ordering: study-wise median sample_mid, ties alphabetical [DEC-045/H-Q17]; full display (CI band)</t>
  </si>
  <si>
    <t>cumulative 3L refit after adding study 'Wang &amp; Wijethilake (2026)' (median sample_mid = 2019.00); ordering: study-wise median sample_mid, ties alphabetical [DEC-045/H-Q17]; full display (CI band)</t>
  </si>
  <si>
    <t>cumulative 3L refit after adding study 'Ali et al (2026)' (median sample_mid = 2019.50); ordering: study-wise median sample_mid, ties alphabetical [DEC-045/H-Q17]; full display (CI band)</t>
  </si>
  <si>
    <t>cumulative 3L refit after adding study 'Kozak (2021)' (median sample_mid = 2019.50); ordering: study-wise median sample_mid, ties alphabetical [DEC-045/H-Q17]; full display (CI band)</t>
  </si>
  <si>
    <t>cumulative 3L refit after adding study 'Altavilla et al (2024)' (median sample_mid = 2020.00); ordering: study-wise median sample_mid, ties alphabetical [DEC-045/H-Q17]; full display (CI band)</t>
  </si>
  <si>
    <t>cumulative 3L refit after adding study 'Brinette et al (2026)' (median sample_mid = 2020.00); ordering: study-wise median sample_mid, ties alphabetical [DEC-045/H-Q17]; full display (CI band)</t>
  </si>
  <si>
    <t>cumulative 3L refit after adding study 'Ferriani (2022)' (median sample_mid = 2020.00); ordering: study-wise median sample_mid, ties alphabetical [DEC-045/H-Q17]; full display (CI band)</t>
  </si>
  <si>
    <t>cumulative 3L refit after adding study 'Wang et al (2025b)' (median sample_mid = 2020.00); ordering: study-wise median sample_mid, ties alphabetical [DEC-045/H-Q17]; full display (CI band)</t>
  </si>
  <si>
    <t>cumulative 3L refit after adding study 'Almutairi (2026)' (median sample_mid = 2020.50); ordering: study-wise median sample_mid, ties alphabetical [DEC-045/H-Q17]; full display (CI band)</t>
  </si>
  <si>
    <t>cumulative 3L refit after adding study 'Cicchini et al (2026)' (median sample_mid = 2022.50); ordering: study-wise median sample_mid, ties alphabetical [DEC-045/H-Q17]; full display (CI band)</t>
  </si>
  <si>
    <t>descriptive tier (5-9 clusters: 9) [DEC-045 S6]: estimate only; se/CI/p suppressed by rule; window [1998, 2004) on sample_mid</t>
  </si>
  <si>
    <t>descriptive tier (5-9 clusters: 8) [DEC-045 S6]: estimate only; se/CI/p suppressed by rule; window [1999, 2005) on sample_mid</t>
  </si>
  <si>
    <t>descriptive tier (5-9 clusters: 8) [DEC-045 S6]: estimate only; se/CI/p suppressed by rule; window [2000, 2006) on sample_mid</t>
  </si>
  <si>
    <t>descriptive tier (5-9 clusters: 6) [DEC-045 S6]: estimate only; se/CI/p suppressed by rule; window [2001, 2007) on sample_mid</t>
  </si>
  <si>
    <t>not_estimable: 4 clusters &lt; 5 [DEC-045 S6 tier]; window [2002, 2008); no fit attempted</t>
  </si>
  <si>
    <t>descriptive tier (5-9 clusters: 7) [DEC-045 S6]: estimate only; se/CI/p suppressed by rule; window [2003, 2009) on sample_mid</t>
  </si>
  <si>
    <t>descriptive tier (5-9 clusters: 8) [DEC-045 S6]: estimate only; se/CI/p suppressed by rule; window [2004, 2010) on sample_mid</t>
  </si>
  <si>
    <t>full-inference tier (&gt;= 10 clusters: 18) [DEC-045 S6]; window [2005, 2011) on sample_mid; width 6 y, step 1 y, anchor 1998</t>
  </si>
  <si>
    <t>full-inference tier (&gt;= 10 clusters: 24) [DEC-045 S6]; window [2006, 2012) on sample_mid; width 6 y, step 1 y, anchor 1998</t>
  </si>
  <si>
    <t>full-inference tier (&gt;= 10 clusters: 42) [DEC-045 S6]; window [2007, 2013) on sample_mid; width 6 y, step 1 y, anchor 1998</t>
  </si>
  <si>
    <t>full-inference tier (&gt;= 10 clusters: 53) [DEC-045 S6]; window [2008, 2014) on sample_mid; width 6 y, step 1 y, anchor 1998</t>
  </si>
  <si>
    <t>full-inference tier (&gt;= 10 clusters: 62) [DEC-045 S6]; window [2009, 2015) on sample_mid; width 6 y, step 1 y, anchor 1998</t>
  </si>
  <si>
    <t>full-inference tier (&gt;= 10 clusters: 71) [DEC-045 S6]; window [2010, 2016) on sample_mid; width 6 y, step 1 y, anchor 1998</t>
  </si>
  <si>
    <t>full-inference tier (&gt;= 10 clusters: 64) [DEC-045 S6]; window [2011, 2017) on sample_mid; width 6 y, step 1 y, anchor 1998</t>
  </si>
  <si>
    <t>full-inference tier (&gt;= 10 clusters: 63) [DEC-045 S6]; window [2012, 2018) on sample_mid; width 6 y, step 1 y, anchor 1998</t>
  </si>
  <si>
    <t>full-inference tier (&gt;= 10 clusters: 46) [DEC-045 S6]; window [2013, 2019) on sample_mid; width 6 y, step 1 y, anchor 1998</t>
  </si>
  <si>
    <t>full-inference tier (&gt;= 10 clusters: 41) [DEC-045 S6]; window [2014, 2020) on sample_mid; width 6 y, step 1 y, anchor 1998</t>
  </si>
  <si>
    <t>full-inference tier (&gt;= 10 clusters: 35) [DEC-045 S6]; window [2015, 2021) on sample_mid; width 6 y, step 1 y, anchor 1998</t>
  </si>
  <si>
    <t>full-inference tier (&gt;= 10 clusters: 25) [DEC-045 S6]; window [2016, 2022) on sample_mid; width 6 y, step 1 y, anchor 1998</t>
  </si>
  <si>
    <t>full-inference tier (&gt;= 10 clusters: 22) [DEC-045 S6]; window [2017, 2023) on sample_mid; width 6 y, step 1 y, anchor 1998</t>
  </si>
  <si>
    <t>full-inference tier (&gt;= 10 clusters: 14) [DEC-045 S6]; window [2018, 2024) on sample_mid; width 6 y, step 1 y, anchor 1998</t>
  </si>
  <si>
    <t>debt-side pooled mean (E1 refit of T1/A1); descriptive channel-level size comparison, NO formal z-test [DEC-045/H-Q9; N12 scope shift disclosed]</t>
  </si>
  <si>
    <t>COE companion STUDY-LEVEL row (Table 3, 75 units; NOT the ES-level -0.041 figure); SE provenance disclosure: COE main model = naive inverse variance at ES level, k = 1,139, no cluster-robust inference; overlap disclosure: 7/120 corpus, 6/115 estimation set, 5/113 period domain; 60/2,713 est ES (2.2%); 0 shared effect sizes [DEC-045/H-Q10]</t>
  </si>
  <si>
    <t>N13 rule [Annex H/DEC-045]: conditional on &gt;= 5 significant study-level post-cell p; selection = first-reported ES per post study (dat_prep row order); p reconstructed as 2*pnorm(-|zi|/sqrt(vi)) (z-metric; converted-r accuracy caveat)</t>
  </si>
  <si>
    <t>N13 rule [Annex H/DEC-045]: conditional on &gt;= 5 significant study-level post-cell p; selection = first-reported ES per post study (dat_prep row order); p reconstructed as 2*pnorm(-|zi|/sqrt(vi)) (z-metric; converted-r accuracy caveat); share of significant p &lt; .025: 26/28; one-sided binomial vs 0.5 [Simonsohn et al. 2014]</t>
  </si>
  <si>
    <t>N13 rule [Annex H/DEC-045]: conditional on &gt;= 5 significant study-level post-cell p; selection = first-reported ES per post study (dat_prep row order); p reconstructed as 2*pnorm(-|zi|/sqrt(vi)) (z-metric; converted-r accuracy caveat); Stouffer z on pp = p/.05: z = -23.2043; right-skew p = pnorm(z)</t>
  </si>
  <si>
    <t>N13 rule [Annex H/DEC-045]: conditional on &gt;= 5 significant study-level post-cell p; selection = first-reported ES per post study (dat_prep row order); p reconstructed as 2*pnorm(-|zi|/sqrt(vi)) (z-metric; converted-r accuracy caveat); NCP_33 = 1.529236685 (= qnorm(.975) - qnorm(2/3)); Stouffer z on pp33: z = -20.0115; flatter-than-33% p = 1 - pnorm(z); pp33 clip share (upper/lower) = 0/9 of 28</t>
  </si>
  <si>
    <t>N15 within-study display: descriptive only, explicitly NO p-values (single both-period cluster) [DEC-045/H-Q11; DEC-008 partial reopen]; unweighted mean of Fisher-z within cell; value = SD</t>
  </si>
  <si>
    <t>N15 within-study display: descriptive only, explicitly NO p-values (single both-period cluster) [DEC-045/H-Q11; DEC-008 partial reopen]; unweighted mean of Fisher-z within cell; value = SD; post-minus-pre difference of unweighted cell means; z-only, no CI/p by rule</t>
  </si>
  <si>
    <t>tie ES at sample_mid = 2015.5: 79 ES / 5 studies / 5 clusters (Ho &amp; Wong 2023; Kordschia 2020; Owolabi et al 2024; Ririmasse et al 2026; Xiang &amp; Gong 2026); post cell 31 -&gt; 26 studies under the Zarea tie-exclusion rule [DEC-045/H-Q8]</t>
  </si>
  <si>
    <t>h4_admissible_years</t>
  </si>
  <si>
    <t>candidate years with break-coefficient Satterthwaite df &gt;= 5, computed ONCE on the observed design and held fixed for the TH-c permutation [DEC-045/H-Q6/H-Q20]: 2008, 2009, 2010, 2011, 2012, 2013, 2014, 2015, 2016, 2017, 2018, 2019</t>
  </si>
  <si>
    <t>first cumulative step with &gt;= 10 clusters (CI band from here; steps 1-9 point-only in the figure) [DEC-045/H-Q17]; floor study = 'Chen, Gao (2011)'</t>
  </si>
  <si>
    <t>ordering: study-wise median sample_mid, ties alphabetical; first 5: Nandy, Lodh (2012) (1998.50); Chava (2010) (1999.00); Schneider (2010) (1999.00); Chava (2014) (1999.50); Oikonomou et al (2014) (2000.00)</t>
  </si>
  <si>
    <t>h8_window_anchor</t>
  </si>
  <si>
    <t>derived design constant: min sample_mid = 1998.5 -&gt; anchor 1998; width 6 y, step 1 y -&gt; 21 windows [DEC-045 S6]</t>
  </si>
  <si>
    <t>first-reported ES per post study = first occurrence in dat_prep row order (pinned) [DEC-045/N13]</t>
  </si>
  <si>
    <t>studies with any pp_window_class == 'mixed' on the estimation set (straddle the break) [DEC-045/H-Q11]</t>
  </si>
  <si>
    <t>straddling studies minus the single within-split study (Li et al 2022) = studies that pool across the break ('Paris blindness' introduction module)</t>
  </si>
  <si>
    <t>TH-a (Block E/H fast frequentist battery) · Manuscript Inputs (ms_input = TRUE rows; every cell formula-derived from Results_Long)</t>
  </si>
  <si>
    <t>Paste-ready strings via locale-neutral digit arithmetic (no TEXT format codes, no CONCAT) - pinned convention</t>
  </si>
  <si>
    <t>c1</t>
  </si>
  <si>
    <t>c2</t>
  </si>
  <si>
    <t>c3</t>
  </si>
  <si>
    <t>c4</t>
  </si>
  <si>
    <t>c5</t>
  </si>
  <si>
    <t>Paste-ready string (formula-derived)</t>
  </si>
  <si>
    <t>Source pointer</t>
  </si>
  <si>
    <t>E1 TOST at the primary band (p, 90% CI, flag) + pooled z</t>
  </si>
  <si>
    <t>TH_a_results.csv E1 (band 0.070 + pooled_mean)</t>
  </si>
  <si>
    <t>E2 contrast + TOST at ±0.050 (diff, TOST p, 90% CI, flag)</t>
  </si>
  <si>
    <t>TH_a_results.csv E2 (diff + band 0.050)</t>
  </si>
  <si>
    <t>Observed sup |t| + argmax year (year via Tab 7 helper argmax)</t>
  </si>
  <si>
    <t>TH_a_results.csv H4 sup_break; '7_H4_Break_Grid' helper block</t>
  </si>
  <si>
    <t>H6 transplant contrast (diff, t, df, p)</t>
  </si>
  <si>
    <t>TH_a_results.csv H6 diff</t>
  </si>
  <si>
    <t>TH-a (Block E/H fast frequentist battery) · Manuscript Text Blocks (TB-nn continue across runs; T1=TB-01..12, T2=TB-13..19, ..., this run: TB-36..TB-45)</t>
  </si>
  <si>
    <t>Numbers hardcoded WITH provenance: source = output/TH_a_results.csv (this workbook's Results_Long); REGENERATE ON ANY RE-RUN. Prose framing-neutral pending DEC-044 gate resolution.</t>
  </si>
  <si>
    <t>ID</t>
  </si>
  <si>
    <t>Target section</t>
  </si>
  <si>
    <t>Status</t>
  </si>
  <si>
    <t>Text (EN)</t>
  </si>
  <si>
    <t>Source pointers</t>
  </si>
  <si>
    <t>Note</t>
  </si>
  <si>
    <t>TB-36</t>
  </si>
  <si>
    <t>Results - equivalence battery (E1)</t>
  </si>
  <si>
    <t>READY</t>
  </si>
  <si>
    <t>For the pooled CER-COD association, the two one-sided tests procedure (TOST; Lakens, 2017) against the pre-registered primary smallest-effect-size-of-interest band of |r| = 0.070 yields p_TOST = 0.205, with the 90% confidence interval [-0.082; -0.036] extending beyond the lower band edge (mechanical flag = 0); against the secondary +/-0.05 band, p_TOST = 0.732. The pooled estimate (z = -0.059, 95% CI [-0.086; -0.031]) is thus statistically distinguishable from zero and not statistically equivalent to zero at either band. The pooled association is therefore reported as statistically detectable but economically negligible - explicitly not as a null effect; the equivalence vocabulary is reserved for the Paris contrast.</t>
  </si>
  <si>
    <t>[TH_a xlsx Tab 6]; [R/06]; [DEC-044/045]</t>
  </si>
  <si>
    <t>Tier-2 embedding sentence set per DEC-047; ex-ante FAIL expectation pinned.</t>
  </si>
  <si>
    <t>TB-37</t>
  </si>
  <si>
    <t>Results - equivalence battery (E2)</t>
  </si>
  <si>
    <t>For the Paris-Agreement contrast (post- minus pre-majority exposure windows, headline coding), diff_z = +0.010 (t(15.0) = 0.56, p = 0.582). The TOST procedure against the +/-0.05 z band yields p_TOST = 0.022; the 90% confidence interval [-0.022; +0.042] lies entirely within the band (mechanical flag = 1). The post-minus-pre contrast is therefore statistically equivalent to zero within the secondary SESOI band (+/-0.05 on Fisher-z): no detectable Paris-Agreement moderation.</t>
  </si>
  <si>
    <t>Equivalence language set per DEC-047 (equivalence register).</t>
  </si>
  <si>
    <t>TB-38</t>
  </si>
  <si>
    <t>Methods - inference plan (gate)</t>
  </si>
  <si>
    <t>Tier-1 wording is governed by a pre-registered language gate: an equivalence conclusion for the Paris contrast requires the E2 TOST pass in combination with the Bayes-factor ladder of the robust Bayesian moderation model (BF01 &gt;= 3: full evidence-of-absence register; 1 &lt; BF01 &lt; 3: equivalence-based register only). The gate is resolved as a documented post-estimation step after the Bayesian battery [DEC-044; DEC-045].</t>
  </si>
  <si>
    <t>[TH_a xlsx Tab 6 E3 rows]; [DECISION_LOG DEC-044]</t>
  </si>
  <si>
    <t>Gate description is outcome-independent.</t>
  </si>
  <si>
    <t>TB-39</t>
  </si>
  <si>
    <t>Results - structural-break search (H4)</t>
  </si>
  <si>
    <t>Across the twelve admissible candidate break years (2008-2019; Satterthwaite df &gt;= 5 on the break coefficient), the largest absolute break statistic is |t| = 2.12, attained at 2009. Referred to the cluster time-translation permutation distribution of the supremum statistic, this is unremarkable (p_perm = 0.341; B_eff = 500).</t>
  </si>
  <si>
    <t>[TH_a xlsx Tab 7]; [TH_c xlsx Tab 9]; [DEC-045 H-Q16/H-Q20]</t>
  </si>
  <si>
    <t>Cross-run pair; single-home for p_perm = TH-c.</t>
  </si>
  <si>
    <t>TB-40</t>
  </si>
  <si>
    <t>Results - competing operationalization (H6)</t>
  </si>
  <si>
    <t>Under Zarea et al.'s Paris operationalization (study-midpoint rule with tie exclusion), applied within our three-level RVE framework, the post-minus-pre contrast is +0.011 (t(11.6) = 0.58, p = 0.574; 2,626 effect sizes from 108 studies; 79 tied effect sizes from 5 studies at sample_mid = 2015.5 excluded, post cell 31 -&gt; 26 studies).</t>
  </si>
  <si>
    <t>[TH_a xlsx Tab 8]; [DEC-045/N8]</t>
  </si>
  <si>
    <t>Pinned wording: never 'under Zarea's method'.</t>
  </si>
  <si>
    <t>TB-41</t>
  </si>
  <si>
    <t>Results - cumulative meta-analysis (H7)</t>
  </si>
  <si>
    <t>In the chronological cumulative meta-analysis (Figure 4; studies ordered by median sample-window midpoint, ties alphabetical; 113 steps), the pooled estimate moves within [−0.095; −0.015] once the 10-cluster confidence floor is reached (step 10) and ends at −0.059 (95% CI [−0.087; −0.031]), reproducing the period-domain pooled value. Steps 1–9 are displayed point-only; step 1 is not estimable by rule (single cluster).</t>
  </si>
  <si>
    <t>[TH_a xlsx Tab 8]; [DEC-045/H-Q17]</t>
  </si>
  <si>
    <t>finalized M2; figure-coupled resolved (R/14 ALL PASS; Figure 4)</t>
  </si>
  <si>
    <t>TB-42</t>
  </si>
  <si>
    <t>Results - rolling windows (H8)</t>
  </si>
  <si>
    <t>Rolling six-year windows (Figure 5; step one year, anchor 1998; 21 windows, of which 20 estimable — the 2002–2007 window falls below the 5-cluster floor) yield window means between −0.087 and −0.015. Windows with at least 10 clusters carry full cluster-robust inference; 5–9-cluster windows are displayed descriptively.</t>
  </si>
  <si>
    <t>[TH_a xlsx Tab 9]</t>
  </si>
  <si>
    <t>finalized M2; figure-coupled resolved (R/14 ALL PASS; Figure 5)</t>
  </si>
  <si>
    <t>TB-43</t>
  </si>
  <si>
    <t>Results - external comparison (H9)</t>
  </si>
  <si>
    <t>As a descriptive cross-channel comparison, the debt-side pooled estimate (r = -0.059) is larger in magnitude than the equity-side companion's study-level estimate (r = -0.039, 95% CI [-0.046; -0.032]; Witte et al., BSE). The companion contains no Paris moderator, and its main model is a naive inverse-variance ES-level analysis without cluster-robust inference; no formal test is therefore attached [N12]. Corpus overlap is minimal (6/115 estimation-set studies; 0 shared effect sizes).</t>
  </si>
  <si>
    <t>[TH_a xlsx Tab 9]; [DEC-045/H-Q10]</t>
  </si>
  <si>
    <t>TB-44</t>
  </si>
  <si>
    <t>Results - p-curve (H10)</t>
  </si>
  <si>
    <t>A conditional p-curve on the post-Paris cell (first-reported effect size per study; 28 of 31 studies significant) indicates evidential value: the right-skew tests are strongly significant (binomial p = 1.5e-06; Stouffer p = 2.1e-119), and the flatness test against 33% power does not indicate inadequate evidential value (pp = 1.000; Simonsohn et al., 2014; N13 selection rule).</t>
  </si>
  <si>
    <t>[TH_a xlsx Tab 10]</t>
  </si>
  <si>
    <t>Sign-corrected NCP per ERROR_LOG #11.</t>
  </si>
  <si>
    <t>TB-45</t>
  </si>
  <si>
    <t>Introduction/Results - within-study inventory (H11)</t>
  </si>
  <si>
    <t>Only one primary study reports both pre- and post-Paris effect sizes within its own design (Li et al., 2022: 12 pre / 5 post effect sizes; within-study difference +0.036 in z, descriptive display only). Seventy-three studies straddle the 2016 break, of which 72 pool across it without reporting period-specific estimates.</t>
  </si>
  <si>
    <t>[TH_a xlsx Tab 10]; [DEC-045/N15]</t>
  </si>
  <si>
    <t>Feeds the pooled-across-the-break motivation module; no test attached.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</si>
</sst>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1F3864"/>
      <name val="Arial"/>
      <charset val="1"/>
    </font>
    <font>
      <i/>
      <sz val="10"/>
      <color rgb="FF40404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8"/>
      <color rgb="FF808080"/>
      <name val="Arial"/>
      <charset val="1"/>
    </font>
    <font>
      <b/>
      <sz val="10"/>
      <color rgb="FF1F3864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/>
    <xf numFmtId="0" fontId="6" fillId="0" borderId="1" xfId="0" applyFont="1" applyBorder="1"/>
    <xf numFmtId="1" fontId="6" fillId="0" borderId="1" xfId="0" applyNumberFormat="1" applyFont="1" applyBorder="1"/>
    <xf numFmtId="1" fontId="5" fillId="0" borderId="1" xfId="0" applyNumberFormat="1" applyFont="1" applyBorder="1"/>
    <xf numFmtId="164" fontId="5" fillId="0" borderId="1" xfId="0" applyNumberFormat="1" applyFont="1" applyBorder="1"/>
    <xf numFmtId="2" fontId="5" fillId="0" borderId="1" xfId="0" applyNumberFormat="1" applyFont="1" applyBorder="1"/>
    <xf numFmtId="165" fontId="5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vertical="top" wrapText="1"/>
    </xf>
    <xf numFmtId="0" fontId="3" fillId="2" borderId="0" xfId="0" applyFont="1" applyFill="1"/>
    <xf numFmtId="1" fontId="6" fillId="0" borderId="0" xfId="0" applyNumberFormat="1" applyFont="1"/>
    <xf numFmtId="164" fontId="6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11" fontId="5" fillId="0" borderId="0" xfId="0" applyNumberFormat="1" applyFont="1"/>
    <xf numFmtId="0" fontId="6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5" fillId="0" borderId="0" xfId="0" applyFont="1" applyAlignment="1">
      <alignment vertical="top" wrapText="1"/>
    </xf>
    <xf numFmtId="0" fontId="0" fillId="0" borderId="0" xfId="0"/>
    <xf numFmtId="0" fontId="7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zoomScaleNormal="100" workbookViewId="0"/>
  </sheetViews>
  <sheetFormatPr baseColWidth="10" defaultColWidth="8.6640625" defaultRowHeight="14.4" x14ac:dyDescent="0.3"/>
  <cols>
    <col min="1" max="1" width="28" customWidth="1"/>
    <col min="2" max="2" width="130" customWidth="1"/>
  </cols>
  <sheetData>
    <row r="1" spans="1:2" ht="15" customHeight="1" x14ac:dyDescent="0.3">
      <c r="A1" s="1" t="s">
        <v>0</v>
      </c>
    </row>
    <row r="2" spans="1:2" ht="15" customHeight="1" x14ac:dyDescent="0.3">
      <c r="A2" s="2" t="s">
        <v>1</v>
      </c>
    </row>
    <row r="3" spans="1:2" ht="15" customHeight="1" x14ac:dyDescent="0.3">
      <c r="A3" s="2" t="s">
        <v>2</v>
      </c>
    </row>
    <row r="5" spans="1:2" ht="15" customHeight="1" x14ac:dyDescent="0.3">
      <c r="A5" s="3" t="s">
        <v>3</v>
      </c>
      <c r="B5" s="3" t="s">
        <v>4</v>
      </c>
    </row>
    <row r="6" spans="1:2" ht="15" customHeight="1" x14ac:dyDescent="0.3">
      <c r="A6" s="4" t="s">
        <v>5</v>
      </c>
      <c r="B6" s="5" t="s">
        <v>6</v>
      </c>
    </row>
    <row r="7" spans="1:2" ht="23.25" customHeight="1" x14ac:dyDescent="0.3">
      <c r="A7" s="4" t="s">
        <v>7</v>
      </c>
      <c r="B7" s="5" t="s">
        <v>8</v>
      </c>
    </row>
    <row r="8" spans="1:2" ht="15" customHeight="1" x14ac:dyDescent="0.3">
      <c r="A8" s="4" t="s">
        <v>9</v>
      </c>
      <c r="B8" s="5" t="s">
        <v>10</v>
      </c>
    </row>
    <row r="9" spans="1:2" ht="15" customHeight="1" x14ac:dyDescent="0.3">
      <c r="A9" s="4" t="s">
        <v>11</v>
      </c>
      <c r="B9" s="5" t="s">
        <v>12</v>
      </c>
    </row>
    <row r="10" spans="1:2" ht="15" customHeight="1" x14ac:dyDescent="0.3">
      <c r="A10" s="4" t="s">
        <v>13</v>
      </c>
      <c r="B10" s="5" t="s">
        <v>14</v>
      </c>
    </row>
    <row r="11" spans="1:2" ht="15" customHeight="1" x14ac:dyDescent="0.3">
      <c r="A11" s="4" t="s">
        <v>15</v>
      </c>
      <c r="B11" s="5" t="s">
        <v>16</v>
      </c>
    </row>
    <row r="12" spans="1:2" ht="23.25" customHeight="1" x14ac:dyDescent="0.3">
      <c r="A12" s="4" t="s">
        <v>17</v>
      </c>
      <c r="B12" s="5" t="s">
        <v>18</v>
      </c>
    </row>
    <row r="13" spans="1:2" ht="23.25" customHeight="1" x14ac:dyDescent="0.3">
      <c r="A13" s="4" t="s">
        <v>19</v>
      </c>
      <c r="B13" s="5" t="s">
        <v>20</v>
      </c>
    </row>
    <row r="14" spans="1:2" ht="23.25" customHeight="1" x14ac:dyDescent="0.3">
      <c r="A14" s="4" t="s">
        <v>21</v>
      </c>
      <c r="B14" s="5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00" customWidth="1"/>
    <col min="3" max="3" width="34" customWidth="1"/>
  </cols>
  <sheetData>
    <row r="1" spans="1:3" ht="15" customHeight="1" x14ac:dyDescent="0.3">
      <c r="A1" s="1" t="s">
        <v>23</v>
      </c>
    </row>
    <row r="2" spans="1:3" ht="15" customHeight="1" x14ac:dyDescent="0.3">
      <c r="A2" s="2" t="s">
        <v>24</v>
      </c>
    </row>
    <row r="3" spans="1:3" ht="15" customHeight="1" x14ac:dyDescent="0.3">
      <c r="A3" s="2" t="s">
        <v>2</v>
      </c>
    </row>
    <row r="5" spans="1:3" ht="15" customHeight="1" x14ac:dyDescent="0.3">
      <c r="A5" s="3" t="s">
        <v>25</v>
      </c>
      <c r="B5" s="3" t="s">
        <v>26</v>
      </c>
      <c r="C5" s="3" t="s">
        <v>27</v>
      </c>
    </row>
    <row r="6" spans="1:3" ht="23.25" customHeight="1" x14ac:dyDescent="0.3">
      <c r="A6" s="5" t="s">
        <v>28</v>
      </c>
      <c r="B6" s="5" t="s">
        <v>29</v>
      </c>
      <c r="C6" s="5" t="s">
        <v>30</v>
      </c>
    </row>
    <row r="7" spans="1:3" ht="34.5" customHeight="1" x14ac:dyDescent="0.3">
      <c r="A7" s="5" t="s">
        <v>31</v>
      </c>
      <c r="B7" s="5" t="s">
        <v>32</v>
      </c>
      <c r="C7" s="5" t="s">
        <v>33</v>
      </c>
    </row>
    <row r="8" spans="1:3" ht="34.5" customHeight="1" x14ac:dyDescent="0.3">
      <c r="A8" s="5" t="s">
        <v>34</v>
      </c>
      <c r="B8" s="5" t="s">
        <v>35</v>
      </c>
      <c r="C8" s="5" t="s">
        <v>36</v>
      </c>
    </row>
    <row r="9" spans="1:3" ht="23.25" customHeight="1" x14ac:dyDescent="0.3">
      <c r="A9" s="5" t="s">
        <v>37</v>
      </c>
      <c r="B9" s="5" t="s">
        <v>38</v>
      </c>
      <c r="C9" s="5" t="s">
        <v>39</v>
      </c>
    </row>
    <row r="10" spans="1:3" ht="23.25" customHeight="1" x14ac:dyDescent="0.3">
      <c r="A10" s="5" t="s">
        <v>40</v>
      </c>
      <c r="B10" s="5" t="s">
        <v>41</v>
      </c>
      <c r="C10" s="5" t="s">
        <v>42</v>
      </c>
    </row>
    <row r="11" spans="1:3" ht="23.25" customHeight="1" x14ac:dyDescent="0.3">
      <c r="A11" s="5" t="s">
        <v>43</v>
      </c>
      <c r="B11" s="5" t="s">
        <v>44</v>
      </c>
      <c r="C11" s="5" t="s">
        <v>45</v>
      </c>
    </row>
    <row r="12" spans="1:3" ht="23.25" customHeight="1" x14ac:dyDescent="0.3">
      <c r="A12" s="5" t="s">
        <v>46</v>
      </c>
      <c r="B12" s="5" t="s">
        <v>47</v>
      </c>
      <c r="C12" s="5" t="s">
        <v>48</v>
      </c>
    </row>
    <row r="13" spans="1:3" ht="23.25" customHeight="1" x14ac:dyDescent="0.3">
      <c r="A13" s="5" t="s">
        <v>49</v>
      </c>
      <c r="B13" s="5" t="s">
        <v>50</v>
      </c>
      <c r="C13" s="5" t="s">
        <v>51</v>
      </c>
    </row>
    <row r="14" spans="1:3" ht="23.25" customHeight="1" x14ac:dyDescent="0.3">
      <c r="A14" s="5" t="s">
        <v>52</v>
      </c>
      <c r="B14" s="5" t="s">
        <v>53</v>
      </c>
      <c r="C14" s="5" t="s">
        <v>54</v>
      </c>
    </row>
    <row r="15" spans="1:3" ht="23.25" customHeight="1" x14ac:dyDescent="0.3">
      <c r="A15" s="5" t="s">
        <v>55</v>
      </c>
      <c r="B15" s="5" t="s">
        <v>56</v>
      </c>
      <c r="C15" s="5" t="s">
        <v>57</v>
      </c>
    </row>
    <row r="16" spans="1:3" ht="23.25" customHeight="1" x14ac:dyDescent="0.3">
      <c r="A16" s="5" t="s">
        <v>58</v>
      </c>
      <c r="B16" s="5" t="s">
        <v>59</v>
      </c>
      <c r="C16" s="5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80" customWidth="1"/>
    <col min="3" max="3" width="55" customWidth="1"/>
  </cols>
  <sheetData>
    <row r="1" spans="1:3" ht="15" customHeight="1" x14ac:dyDescent="0.3">
      <c r="A1" s="1" t="s">
        <v>61</v>
      </c>
    </row>
    <row r="2" spans="1:3" ht="15" customHeight="1" x14ac:dyDescent="0.3">
      <c r="A2" s="2" t="s">
        <v>62</v>
      </c>
    </row>
    <row r="3" spans="1:3" ht="15" customHeight="1" x14ac:dyDescent="0.3">
      <c r="A3" s="2" t="s">
        <v>20</v>
      </c>
    </row>
    <row r="5" spans="1:3" ht="15" customHeight="1" x14ac:dyDescent="0.3">
      <c r="A5" s="3" t="s">
        <v>25</v>
      </c>
      <c r="B5" s="3" t="s">
        <v>63</v>
      </c>
      <c r="C5" s="3" t="s">
        <v>64</v>
      </c>
    </row>
    <row r="6" spans="1:3" ht="23.25" customHeight="1" x14ac:dyDescent="0.3">
      <c r="A6" s="5" t="s">
        <v>65</v>
      </c>
      <c r="B6" s="5" t="s">
        <v>66</v>
      </c>
      <c r="C6" s="5" t="s">
        <v>67</v>
      </c>
    </row>
    <row r="7" spans="1:3" ht="15" customHeight="1" x14ac:dyDescent="0.3">
      <c r="A7" s="5" t="s">
        <v>68</v>
      </c>
      <c r="B7" s="5" t="s">
        <v>69</v>
      </c>
      <c r="C7" s="5" t="s">
        <v>70</v>
      </c>
    </row>
    <row r="8" spans="1:3" ht="15" customHeight="1" x14ac:dyDescent="0.3">
      <c r="A8" s="5" t="s">
        <v>71</v>
      </c>
      <c r="B8" s="5" t="s">
        <v>72</v>
      </c>
      <c r="C8" s="5" t="s">
        <v>73</v>
      </c>
    </row>
    <row r="9" spans="1:3" ht="23.25" customHeight="1" x14ac:dyDescent="0.3">
      <c r="A9" s="5" t="s">
        <v>74</v>
      </c>
      <c r="B9" s="5" t="s">
        <v>75</v>
      </c>
      <c r="C9" s="5" t="s">
        <v>76</v>
      </c>
    </row>
    <row r="10" spans="1:3" ht="34.5" customHeight="1" x14ac:dyDescent="0.3">
      <c r="A10" s="5" t="s">
        <v>77</v>
      </c>
      <c r="B10" s="5" t="s">
        <v>78</v>
      </c>
      <c r="C10" s="5" t="s">
        <v>79</v>
      </c>
    </row>
    <row r="11" spans="1:3" ht="23.25" customHeight="1" x14ac:dyDescent="0.3">
      <c r="A11" s="5" t="s">
        <v>80</v>
      </c>
      <c r="B11" s="5" t="s">
        <v>81</v>
      </c>
      <c r="C11" s="5" t="s">
        <v>82</v>
      </c>
    </row>
    <row r="12" spans="1:3" ht="15" customHeight="1" x14ac:dyDescent="0.3">
      <c r="A12" s="5" t="s">
        <v>83</v>
      </c>
      <c r="B12" s="5" t="s">
        <v>84</v>
      </c>
      <c r="C12" s="5" t="s">
        <v>85</v>
      </c>
    </row>
    <row r="13" spans="1:3" ht="15" customHeight="1" x14ac:dyDescent="0.3">
      <c r="A13" s="5" t="s">
        <v>86</v>
      </c>
      <c r="B13" s="5" t="s">
        <v>87</v>
      </c>
      <c r="C13" s="5" t="s">
        <v>88</v>
      </c>
    </row>
    <row r="14" spans="1:3" ht="15" customHeight="1" x14ac:dyDescent="0.3">
      <c r="A14" s="5" t="s">
        <v>89</v>
      </c>
      <c r="B14" s="5" t="s">
        <v>90</v>
      </c>
      <c r="C14" s="5" t="s">
        <v>91</v>
      </c>
    </row>
    <row r="15" spans="1:3" ht="34.5" customHeight="1" x14ac:dyDescent="0.3">
      <c r="A15" s="5" t="s">
        <v>19</v>
      </c>
      <c r="B15" s="5" t="s">
        <v>20</v>
      </c>
      <c r="C15" s="5" t="s">
        <v>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00" customWidth="1"/>
    <col min="3" max="3" width="30" customWidth="1"/>
  </cols>
  <sheetData>
    <row r="1" spans="1:3" ht="15" customHeight="1" x14ac:dyDescent="0.3">
      <c r="A1" s="1" t="s">
        <v>93</v>
      </c>
    </row>
    <row r="2" spans="1:3" ht="15" customHeight="1" x14ac:dyDescent="0.3">
      <c r="A2" s="2" t="s">
        <v>94</v>
      </c>
    </row>
    <row r="3" spans="1:3" ht="15" customHeight="1" x14ac:dyDescent="0.3">
      <c r="A3" s="2" t="s">
        <v>2</v>
      </c>
    </row>
    <row r="5" spans="1:3" ht="15" customHeight="1" x14ac:dyDescent="0.3">
      <c r="A5" s="3" t="s">
        <v>25</v>
      </c>
      <c r="B5" s="3" t="s">
        <v>95</v>
      </c>
      <c r="C5" s="3" t="s">
        <v>96</v>
      </c>
    </row>
    <row r="6" spans="1:3" ht="23.25" customHeight="1" x14ac:dyDescent="0.3">
      <c r="A6" s="5" t="s">
        <v>97</v>
      </c>
      <c r="B6" s="5" t="s">
        <v>98</v>
      </c>
      <c r="C6" s="5" t="s">
        <v>99</v>
      </c>
    </row>
    <row r="7" spans="1:3" ht="15" customHeight="1" x14ac:dyDescent="0.3">
      <c r="A7" s="5" t="s">
        <v>100</v>
      </c>
      <c r="B7" s="5" t="s">
        <v>101</v>
      </c>
      <c r="C7" s="5" t="s">
        <v>102</v>
      </c>
    </row>
    <row r="8" spans="1:3" ht="15" customHeight="1" x14ac:dyDescent="0.3">
      <c r="A8" s="5" t="s">
        <v>103</v>
      </c>
      <c r="B8" s="5" t="s">
        <v>104</v>
      </c>
      <c r="C8" s="5" t="s">
        <v>105</v>
      </c>
    </row>
    <row r="9" spans="1:3" ht="15" customHeight="1" x14ac:dyDescent="0.3">
      <c r="A9" s="5" t="s">
        <v>106</v>
      </c>
      <c r="B9" s="5" t="s">
        <v>107</v>
      </c>
      <c r="C9" s="5" t="s">
        <v>108</v>
      </c>
    </row>
    <row r="10" spans="1:3" ht="15" customHeight="1" x14ac:dyDescent="0.3">
      <c r="A10" s="5" t="s">
        <v>109</v>
      </c>
      <c r="B10" s="5" t="s">
        <v>110</v>
      </c>
      <c r="C10" s="5" t="s">
        <v>102</v>
      </c>
    </row>
    <row r="11" spans="1:3" ht="15" customHeight="1" x14ac:dyDescent="0.3">
      <c r="A11" s="5" t="s">
        <v>111</v>
      </c>
      <c r="B11" s="5" t="s">
        <v>112</v>
      </c>
      <c r="C11" s="5" t="s">
        <v>113</v>
      </c>
    </row>
    <row r="12" spans="1:3" ht="23.25" customHeight="1" x14ac:dyDescent="0.3">
      <c r="A12" s="5" t="s">
        <v>114</v>
      </c>
      <c r="B12" s="5" t="s">
        <v>115</v>
      </c>
      <c r="C12" s="5" t="s">
        <v>116</v>
      </c>
    </row>
    <row r="13" spans="1:3" ht="15" customHeight="1" x14ac:dyDescent="0.3">
      <c r="A13" s="5" t="s">
        <v>117</v>
      </c>
      <c r="B13" s="5" t="s">
        <v>118</v>
      </c>
      <c r="C13" s="5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2" customWidth="1"/>
    <col min="2" max="2" width="100" customWidth="1"/>
    <col min="3" max="3" width="34" customWidth="1"/>
  </cols>
  <sheetData>
    <row r="1" spans="1:3" ht="15" customHeight="1" x14ac:dyDescent="0.3">
      <c r="A1" s="1" t="s">
        <v>120</v>
      </c>
    </row>
    <row r="2" spans="1:3" ht="15" customHeight="1" x14ac:dyDescent="0.3">
      <c r="A2" s="2" t="s">
        <v>121</v>
      </c>
    </row>
    <row r="3" spans="1:3" ht="15" customHeight="1" x14ac:dyDescent="0.3">
      <c r="A3" s="2" t="s">
        <v>2</v>
      </c>
    </row>
    <row r="5" spans="1:3" ht="15" customHeight="1" x14ac:dyDescent="0.3">
      <c r="A5" s="3" t="s">
        <v>3</v>
      </c>
      <c r="B5" s="3" t="s">
        <v>4</v>
      </c>
      <c r="C5" s="3" t="s">
        <v>122</v>
      </c>
    </row>
    <row r="6" spans="1:3" ht="23.25" customHeight="1" x14ac:dyDescent="0.3">
      <c r="A6" s="5" t="s">
        <v>123</v>
      </c>
      <c r="B6" s="5" t="s">
        <v>124</v>
      </c>
      <c r="C6" s="5" t="s">
        <v>125</v>
      </c>
    </row>
    <row r="7" spans="1:3" ht="15" customHeight="1" x14ac:dyDescent="0.3">
      <c r="A7" s="5" t="s">
        <v>126</v>
      </c>
      <c r="B7" s="5" t="s">
        <v>127</v>
      </c>
      <c r="C7" s="5" t="s">
        <v>128</v>
      </c>
    </row>
    <row r="8" spans="1:3" ht="23.25" customHeight="1" x14ac:dyDescent="0.3">
      <c r="A8" s="5" t="s">
        <v>129</v>
      </c>
      <c r="B8" s="5" t="s">
        <v>130</v>
      </c>
      <c r="C8" s="5" t="s">
        <v>131</v>
      </c>
    </row>
    <row r="9" spans="1:3" ht="15" customHeight="1" x14ac:dyDescent="0.3">
      <c r="A9" s="5" t="s">
        <v>132</v>
      </c>
      <c r="B9" s="5" t="s">
        <v>133</v>
      </c>
      <c r="C9" s="5" t="s">
        <v>134</v>
      </c>
    </row>
    <row r="10" spans="1:3" ht="15" customHeight="1" x14ac:dyDescent="0.3">
      <c r="A10" s="5" t="s">
        <v>135</v>
      </c>
      <c r="B10" s="5" t="s">
        <v>136</v>
      </c>
      <c r="C10" s="5" t="s">
        <v>137</v>
      </c>
    </row>
    <row r="11" spans="1:3" ht="15" customHeight="1" x14ac:dyDescent="0.3">
      <c r="A11" s="5" t="s">
        <v>138</v>
      </c>
      <c r="B11" s="5" t="s">
        <v>139</v>
      </c>
      <c r="C11" s="5" t="s">
        <v>140</v>
      </c>
    </row>
    <row r="12" spans="1:3" ht="23.25" customHeight="1" x14ac:dyDescent="0.3">
      <c r="A12" s="5" t="s">
        <v>141</v>
      </c>
      <c r="B12" s="5" t="s">
        <v>142</v>
      </c>
      <c r="C12" s="5" t="s">
        <v>143</v>
      </c>
    </row>
    <row r="13" spans="1:3" ht="15" customHeight="1" x14ac:dyDescent="0.3">
      <c r="A13" s="5" t="s">
        <v>144</v>
      </c>
      <c r="B13" s="5" t="s">
        <v>145</v>
      </c>
      <c r="C13" s="5" t="s">
        <v>146</v>
      </c>
    </row>
    <row r="14" spans="1:3" ht="15" customHeight="1" x14ac:dyDescent="0.3">
      <c r="A14" s="5" t="s">
        <v>147</v>
      </c>
      <c r="B14" s="5" t="s">
        <v>148</v>
      </c>
      <c r="C14" s="5" t="s">
        <v>149</v>
      </c>
    </row>
    <row r="15" spans="1:3" ht="15" customHeight="1" x14ac:dyDescent="0.3">
      <c r="A15" s="5" t="s">
        <v>150</v>
      </c>
      <c r="B15" s="5" t="s">
        <v>151</v>
      </c>
      <c r="C15" s="5" t="s">
        <v>131</v>
      </c>
    </row>
    <row r="16" spans="1:3" ht="23.25" customHeight="1" x14ac:dyDescent="0.3">
      <c r="A16" s="5" t="s">
        <v>152</v>
      </c>
      <c r="B16" s="5" t="s">
        <v>153</v>
      </c>
      <c r="C16" s="5" t="s">
        <v>154</v>
      </c>
    </row>
    <row r="17" spans="1:3" ht="23.25" customHeight="1" x14ac:dyDescent="0.3">
      <c r="A17" s="5" t="s">
        <v>155</v>
      </c>
      <c r="B17" s="5" t="s">
        <v>156</v>
      </c>
      <c r="C17" s="5" t="s">
        <v>157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7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20" width="9" customWidth="1"/>
    <col min="21" max="21" width="60" customWidth="1"/>
  </cols>
  <sheetData>
    <row r="1" spans="1:21" ht="15" customHeight="1" x14ac:dyDescent="0.3">
      <c r="A1" s="1" t="s">
        <v>158</v>
      </c>
    </row>
    <row r="2" spans="1:21" ht="15" customHeight="1" x14ac:dyDescent="0.3">
      <c r="A2" s="2" t="s">
        <v>159</v>
      </c>
    </row>
    <row r="3" spans="1:21" ht="15" customHeight="1" x14ac:dyDescent="0.3">
      <c r="A3" s="2" t="s">
        <v>2</v>
      </c>
    </row>
    <row r="5" spans="1:21" ht="15" customHeight="1" x14ac:dyDescent="0.3">
      <c r="A5" s="3" t="s">
        <v>160</v>
      </c>
      <c r="B5" s="3" t="s">
        <v>161</v>
      </c>
      <c r="C5" s="3" t="s">
        <v>162</v>
      </c>
      <c r="D5" s="3" t="s">
        <v>163</v>
      </c>
      <c r="E5" s="3" t="s">
        <v>164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175</v>
      </c>
      <c r="Q5" s="3" t="s">
        <v>176</v>
      </c>
      <c r="R5" s="3" t="s">
        <v>177</v>
      </c>
      <c r="S5" s="3" t="s">
        <v>178</v>
      </c>
      <c r="T5" s="3" t="s">
        <v>179</v>
      </c>
      <c r="U5" s="3" t="s">
        <v>180</v>
      </c>
    </row>
    <row r="6" spans="1:21" ht="57" customHeight="1" x14ac:dyDescent="0.3">
      <c r="A6" s="6" t="s">
        <v>181</v>
      </c>
      <c r="B6" s="7" t="s">
        <v>182</v>
      </c>
      <c r="C6" s="7" t="s">
        <v>183</v>
      </c>
      <c r="D6" s="7" t="s">
        <v>184</v>
      </c>
      <c r="E6" s="7" t="s">
        <v>185</v>
      </c>
      <c r="F6" s="8">
        <f>SUMPRODUCT((Results_Long!$A$2:$A$178=$B6)*(Results_Long!$B$2:$B$178=$C6)*(Results_Long!$C$2:$C$178=$D6)*(Results_Long!$D$2:$D$178=$E6)*ROW(Results_Long!$A$2:$A$178))</f>
        <v>2</v>
      </c>
      <c r="G6" s="9">
        <f>IF(INDEX(Results_Long!$H:$H,$F6)="","NA",INDEX(Results_Long!$H:$H,$F6))</f>
        <v>2713</v>
      </c>
      <c r="H6" s="9">
        <f>IF(INDEX(Results_Long!$I:$I,$F6)="","NA",INDEX(Results_Long!$I:$I,$F6))</f>
        <v>115</v>
      </c>
      <c r="I6" s="9">
        <f>IF(INDEX(Results_Long!$J:$J,$F6)="","NA",INDEX(Results_Long!$J:$J,$F6))</f>
        <v>114</v>
      </c>
      <c r="J6" s="10">
        <f>IF(INDEX(Results_Long!$K:$K,$F6)="","NA",INDEX(Results_Long!$K:$K,$F6))</f>
        <v>-5.8646736610097998E-2</v>
      </c>
      <c r="K6" s="10">
        <f>IF(INDEX(Results_Long!$P:$P,$F6)="","NA",INDEX(Results_Long!$P:$P,$F6))</f>
        <v>-8.6102594638797797E-2</v>
      </c>
      <c r="L6" s="10">
        <f>IF(INDEX(Results_Long!$Q:$Q,$F6)="","NA",INDEX(Results_Long!$Q:$Q,$F6))</f>
        <v>-3.1190878581398102E-2</v>
      </c>
      <c r="M6" s="10">
        <f>IF(INDEX(Results_Long!$T:$T,$F6)="","NA",INDEX(Results_Long!$T:$T,$F6))</f>
        <v>-5.85795916799434E-2</v>
      </c>
      <c r="N6" s="10">
        <f>IF(INDEX(Results_Long!$U:$U,$F6)="","NA",INDEX(Results_Long!$U:$U,$F6))</f>
        <v>-8.5890445375145993E-2</v>
      </c>
      <c r="O6" s="10">
        <f>IF(INDEX(Results_Long!$V:$V,$F6)="","NA",INDEX(Results_Long!$V:$V,$F6))</f>
        <v>-3.1180767616603398E-2</v>
      </c>
      <c r="P6" s="10">
        <f>IF(INDEX(Results_Long!$L:$L,$F6)="","NA",INDEX(Results_Long!$L:$L,$F6))</f>
        <v>1.3856549617298999E-2</v>
      </c>
      <c r="Q6" s="11">
        <f>IF(INDEX(Results_Long!$M:$M,$F6)="","NA",INDEX(Results_Long!$M:$M,$F6))</f>
        <v>-4.2324199190887599</v>
      </c>
      <c r="R6" s="12">
        <f>IF(INDEX(Results_Long!$N:$N,$F6)="","NA",INDEX(Results_Long!$N:$N,$F6))</f>
        <v>111.671795029272</v>
      </c>
      <c r="S6" s="10">
        <f>IF(INDEX(Results_Long!$O:$O,$F6)="","NA",INDEX(Results_Long!$O:$O,$F6))</f>
        <v>4.7619835484618398E-5</v>
      </c>
      <c r="T6" s="6" t="str">
        <f>IF(INDEX(Results_Long!$AG:$AG,$F6)="","NA",INDEX(Results_Long!$AG:$AG,$F6))</f>
        <v>NA</v>
      </c>
      <c r="U6" s="5" t="str">
        <f>IF(INDEX(Results_Long!$AJ:$AJ,$F6)="","NA",INDEX(Results_Long!$AJ:$AJ,$F6))</f>
        <v>rma.mv mods=~ 1; random ~1|cluster_id/study/esid; V blocks within cluster_id, rho=0.6; CR2/Satterthwaite on cluster_id [D31.1/A.2]; domain estimation set 2713/115/114 [DEC-042a]; TH-a refit of T1/A1; verifier identity vs committed output/T1_results.csv at 1e-6 [F65]; 95% CI on this row (TOST rows carry 90%)</v>
      </c>
    </row>
    <row r="7" spans="1:21" ht="79.5" customHeight="1" x14ac:dyDescent="0.3">
      <c r="A7" s="6" t="s">
        <v>186</v>
      </c>
      <c r="B7" s="7" t="s">
        <v>182</v>
      </c>
      <c r="C7" s="7" t="s">
        <v>183</v>
      </c>
      <c r="D7" s="7" t="s">
        <v>184</v>
      </c>
      <c r="E7" s="7" t="s">
        <v>187</v>
      </c>
      <c r="F7" s="8">
        <f>SUMPRODUCT((Results_Long!$A$2:$A$178=$B7)*(Results_Long!$B$2:$B$178=$C7)*(Results_Long!$C$2:$C$178=$D7)*(Results_Long!$D$2:$D$178=$E7)*ROW(Results_Long!$A$2:$A$178))</f>
        <v>3</v>
      </c>
      <c r="G7" s="9">
        <f>IF(INDEX(Results_Long!$H:$H,$F7)="","NA",INDEX(Results_Long!$H:$H,$F7))</f>
        <v>2713</v>
      </c>
      <c r="H7" s="9">
        <f>IF(INDEX(Results_Long!$I:$I,$F7)="","NA",INDEX(Results_Long!$I:$I,$F7))</f>
        <v>115</v>
      </c>
      <c r="I7" s="9">
        <f>IF(INDEX(Results_Long!$J:$J,$F7)="","NA",INDEX(Results_Long!$J:$J,$F7))</f>
        <v>114</v>
      </c>
      <c r="J7" s="10">
        <f>IF(INDEX(Results_Long!$K:$K,$F7)="","NA",INDEX(Results_Long!$K:$K,$F7))</f>
        <v>-5.8646736610097998E-2</v>
      </c>
      <c r="K7" s="10">
        <f>IF(INDEX(Results_Long!$P:$P,$F7)="","NA",INDEX(Results_Long!$P:$P,$F7))</f>
        <v>-8.1629393917443602E-2</v>
      </c>
      <c r="L7" s="10">
        <f>IF(INDEX(Results_Long!$Q:$Q,$F7)="","NA",INDEX(Results_Long!$Q:$Q,$F7))</f>
        <v>-3.5664079302752401E-2</v>
      </c>
      <c r="M7" s="10" t="str">
        <f>IF(INDEX(Results_Long!$T:$T,$F7)="","NA",INDEX(Results_Long!$T:$T,$F7))</f>
        <v>NA</v>
      </c>
      <c r="N7" s="10" t="str">
        <f>IF(INDEX(Results_Long!$U:$U,$F7)="","NA",INDEX(Results_Long!$U:$U,$F7))</f>
        <v>NA</v>
      </c>
      <c r="O7" s="10" t="str">
        <f>IF(INDEX(Results_Long!$V:$V,$F7)="","NA",INDEX(Results_Long!$V:$V,$F7))</f>
        <v>NA</v>
      </c>
      <c r="P7" s="10">
        <f>IF(INDEX(Results_Long!$L:$L,$F7)="","NA",INDEX(Results_Long!$L:$L,$F7))</f>
        <v>1.3856549617298999E-2</v>
      </c>
      <c r="Q7" s="11" t="str">
        <f>IF(INDEX(Results_Long!$M:$M,$F7)="","NA",INDEX(Results_Long!$M:$M,$F7))</f>
        <v>NA</v>
      </c>
      <c r="R7" s="12">
        <f>IF(INDEX(Results_Long!$N:$N,$F7)="","NA",INDEX(Results_Long!$N:$N,$F7))</f>
        <v>111.671795029272</v>
      </c>
      <c r="S7" s="10">
        <f>IF(INDEX(Results_Long!$O:$O,$F7)="","NA",INDEX(Results_Long!$O:$O,$F7))</f>
        <v>0.20482591070186801</v>
      </c>
      <c r="T7" s="6">
        <f>IF(INDEX(Results_Long!$AG:$AG,$F7)="","NA",INDEX(Results_Long!$AG:$AG,$F7))</f>
        <v>0</v>
      </c>
      <c r="U7" s="5" t="str">
        <f>IF(INDEX(Results_Long!$AJ:$AJ,$F7)="","NA",INDEX(Results_Long!$AJ:$AJ,$F7))</f>
        <v>TOST, two one-sided tests each alpha=.05 &lt;=&gt; 90% CI inside band [DEC-045 E-pins]; PRIMARY level band |r| = 0.070 (F27v2) -&gt; z band atanh = 0.070114671; arm p (lower/upper) = 0.204826 / 7.26341e-16; TOST p = max(arms); CI columns carry the 90% CI (TOST convention); value = 1{90%-CI inside band} (mechanical flag, no verdict language); ex-ante expectation [DEC-044/DEC-045]: this arm is expected to FAIL (T1 CI edge -0.086); E2 adjudicates Tier 1; E1 calibrates the Tier-2 wording only</v>
      </c>
    </row>
    <row r="8" spans="1:21" ht="57" customHeight="1" x14ac:dyDescent="0.3">
      <c r="A8" s="6" t="s">
        <v>188</v>
      </c>
      <c r="B8" s="7" t="s">
        <v>182</v>
      </c>
      <c r="C8" s="7" t="s">
        <v>183</v>
      </c>
      <c r="D8" s="7" t="s">
        <v>184</v>
      </c>
      <c r="E8" s="7" t="s">
        <v>189</v>
      </c>
      <c r="F8" s="8">
        <f>SUMPRODUCT((Results_Long!$A$2:$A$178=$B8)*(Results_Long!$B$2:$B$178=$C8)*(Results_Long!$C$2:$C$178=$D8)*(Results_Long!$D$2:$D$178=$E8)*ROW(Results_Long!$A$2:$A$178))</f>
        <v>4</v>
      </c>
      <c r="G8" s="9">
        <f>IF(INDEX(Results_Long!$H:$H,$F8)="","NA",INDEX(Results_Long!$H:$H,$F8))</f>
        <v>2713</v>
      </c>
      <c r="H8" s="9">
        <f>IF(INDEX(Results_Long!$I:$I,$F8)="","NA",INDEX(Results_Long!$I:$I,$F8))</f>
        <v>115</v>
      </c>
      <c r="I8" s="9">
        <f>IF(INDEX(Results_Long!$J:$J,$F8)="","NA",INDEX(Results_Long!$J:$J,$F8))</f>
        <v>114</v>
      </c>
      <c r="J8" s="10">
        <f>IF(INDEX(Results_Long!$K:$K,$F8)="","NA",INDEX(Results_Long!$K:$K,$F8))</f>
        <v>-5.8646736610097998E-2</v>
      </c>
      <c r="K8" s="10">
        <f>IF(INDEX(Results_Long!$P:$P,$F8)="","NA",INDEX(Results_Long!$P:$P,$F8))</f>
        <v>-8.1629393917443602E-2</v>
      </c>
      <c r="L8" s="10">
        <f>IF(INDEX(Results_Long!$Q:$Q,$F8)="","NA",INDEX(Results_Long!$Q:$Q,$F8))</f>
        <v>-3.5664079302752401E-2</v>
      </c>
      <c r="M8" s="10" t="str">
        <f>IF(INDEX(Results_Long!$T:$T,$F8)="","NA",INDEX(Results_Long!$T:$T,$F8))</f>
        <v>NA</v>
      </c>
      <c r="N8" s="10" t="str">
        <f>IF(INDEX(Results_Long!$U:$U,$F8)="","NA",INDEX(Results_Long!$U:$U,$F8))</f>
        <v>NA</v>
      </c>
      <c r="O8" s="10" t="str">
        <f>IF(INDEX(Results_Long!$V:$V,$F8)="","NA",INDEX(Results_Long!$V:$V,$F8))</f>
        <v>NA</v>
      </c>
      <c r="P8" s="10">
        <f>IF(INDEX(Results_Long!$L:$L,$F8)="","NA",INDEX(Results_Long!$L:$L,$F8))</f>
        <v>1.3856549617298999E-2</v>
      </c>
      <c r="Q8" s="11" t="str">
        <f>IF(INDEX(Results_Long!$M:$M,$F8)="","NA",INDEX(Results_Long!$M:$M,$F8))</f>
        <v>NA</v>
      </c>
      <c r="R8" s="12">
        <f>IF(INDEX(Results_Long!$N:$N,$F8)="","NA",INDEX(Results_Long!$N:$N,$F8))</f>
        <v>111.671795029272</v>
      </c>
      <c r="S8" s="10">
        <f>IF(INDEX(Results_Long!$O:$O,$F8)="","NA",INDEX(Results_Long!$O:$O,$F8))</f>
        <v>0.73206957727879796</v>
      </c>
      <c r="T8" s="6">
        <f>IF(INDEX(Results_Long!$AG:$AG,$F8)="","NA",INDEX(Results_Long!$AG:$AG,$F8))</f>
        <v>0</v>
      </c>
      <c r="U8" s="5" t="str">
        <f>IF(INDEX(Results_Long!$AJ:$AJ,$F8)="","NA",INDEX(Results_Long!$AJ:$AJ,$F8))</f>
        <v>TOST, two one-sided tests each alpha=.05 &lt;=&gt; 90% CI inside band [DEC-045 E-pins]; SECONDARY level band |r| = 0.05 -&gt; z band atanh = 0.050041729; arm p (lower/upper) = 0.73207 / 1.41843e-12; TOST p = max(arms); CI columns carry the 90% CI (TOST convention); value = 1{90%-CI inside band} (mechanical flag, no verdict language)</v>
      </c>
    </row>
    <row r="9" spans="1:21" ht="45.75" customHeight="1" x14ac:dyDescent="0.3">
      <c r="A9" s="6" t="s">
        <v>190</v>
      </c>
      <c r="B9" s="7" t="s">
        <v>191</v>
      </c>
      <c r="C9" s="7" t="s">
        <v>192</v>
      </c>
      <c r="D9" s="7" t="s">
        <v>184</v>
      </c>
      <c r="E9" s="7" t="s">
        <v>193</v>
      </c>
      <c r="F9" s="8">
        <f>SUMPRODUCT((Results_Long!$A$2:$A$178=$B9)*(Results_Long!$B$2:$B$178=$C9)*(Results_Long!$C$2:$C$178=$D9)*(Results_Long!$D$2:$D$178=$E9)*ROW(Results_Long!$A$2:$A$178))</f>
        <v>5</v>
      </c>
      <c r="G9" s="9">
        <f>IF(INDEX(Results_Long!$H:$H,$F9)="","NA",INDEX(Results_Long!$H:$H,$F9))</f>
        <v>1994</v>
      </c>
      <c r="H9" s="9">
        <f>IF(INDEX(Results_Long!$I:$I,$F9)="","NA",INDEX(Results_Long!$I:$I,$F9))</f>
        <v>83</v>
      </c>
      <c r="I9" s="9">
        <f>IF(INDEX(Results_Long!$J:$J,$F9)="","NA",INDEX(Results_Long!$J:$J,$F9))</f>
        <v>82</v>
      </c>
      <c r="J9" s="10">
        <f>IF(INDEX(Results_Long!$K:$K,$F9)="","NA",INDEX(Results_Long!$K:$K,$F9))</f>
        <v>-6.1599156518995501E-2</v>
      </c>
      <c r="K9" s="10">
        <f>IF(INDEX(Results_Long!$P:$P,$F9)="","NA",INDEX(Results_Long!$P:$P,$F9))</f>
        <v>-9.7603942348440803E-2</v>
      </c>
      <c r="L9" s="10">
        <f>IF(INDEX(Results_Long!$Q:$Q,$F9)="","NA",INDEX(Results_Long!$Q:$Q,$F9))</f>
        <v>-2.55943706895502E-2</v>
      </c>
      <c r="M9" s="10">
        <f>IF(INDEX(Results_Long!$T:$T,$F9)="","NA",INDEX(Results_Long!$T:$T,$F9))</f>
        <v>-6.1521362826025203E-2</v>
      </c>
      <c r="N9" s="10">
        <f>IF(INDEX(Results_Long!$U:$U,$F9)="","NA",INDEX(Results_Long!$U:$U,$F9))</f>
        <v>-9.7295176600782005E-2</v>
      </c>
      <c r="O9" s="10">
        <f>IF(INDEX(Results_Long!$V:$V,$F9)="","NA",INDEX(Results_Long!$V:$V,$F9))</f>
        <v>-2.5588783436646799E-2</v>
      </c>
      <c r="P9" s="10">
        <f>IF(INDEX(Results_Long!$L:$L,$F9)="","NA",INDEX(Results_Long!$L:$L,$F9))</f>
        <v>1.80461144532684E-2</v>
      </c>
      <c r="Q9" s="11">
        <f>IF(INDEX(Results_Long!$M:$M,$F9)="","NA",INDEX(Results_Long!$M:$M,$F9))</f>
        <v>-3.4134304466765202</v>
      </c>
      <c r="R9" s="12">
        <f>IF(INDEX(Results_Long!$N:$N,$F9)="","NA",INDEX(Results_Long!$N:$N,$F9))</f>
        <v>68.597112907126203</v>
      </c>
      <c r="S9" s="10">
        <f>IF(INDEX(Results_Long!$O:$O,$F9)="","NA",INDEX(Results_Long!$O:$O,$F9))</f>
        <v>1.0804696442775501E-3</v>
      </c>
      <c r="T9" s="6" t="str">
        <f>IF(INDEX(Results_Long!$AG:$AG,$F9)="","NA",INDEX(Results_Long!$AG:$AG,$F9))</f>
        <v>NA</v>
      </c>
      <c r="U9" s="5" t="str">
        <f>IF(INDEX(Results_Long!$AJ:$AJ,$F9)="","NA",INDEX(Results_Long!$AJ:$AJ,$F9))</f>
        <v>rma.mv mods=~ 0 + pp_cell (cell-means; estimand identical to ~ pp_mid_lag0); random ~1|cluster_id/study/esid; V blocks within cluster_id, rho=0.6; CR2/Satterthwaite on cluster_id [D31.1/A.2]; domain period domain 2705/113/112 [DEC-042b]; cell mean at coding = 0 (pre)</v>
      </c>
    </row>
    <row r="10" spans="1:21" ht="45.75" customHeight="1" x14ac:dyDescent="0.3">
      <c r="A10" s="6" t="s">
        <v>194</v>
      </c>
      <c r="B10" s="7" t="s">
        <v>191</v>
      </c>
      <c r="C10" s="7" t="s">
        <v>192</v>
      </c>
      <c r="D10" s="7" t="s">
        <v>184</v>
      </c>
      <c r="E10" s="7" t="s">
        <v>195</v>
      </c>
      <c r="F10" s="8">
        <f>SUMPRODUCT((Results_Long!$A$2:$A$178=$B10)*(Results_Long!$B$2:$B$178=$C10)*(Results_Long!$C$2:$C$178=$D10)*(Results_Long!$D$2:$D$178=$E10)*ROW(Results_Long!$A$2:$A$178))</f>
        <v>6</v>
      </c>
      <c r="G10" s="9">
        <f>IF(INDEX(Results_Long!$H:$H,$F10)="","NA",INDEX(Results_Long!$H:$H,$F10))</f>
        <v>711</v>
      </c>
      <c r="H10" s="9">
        <f>IF(INDEX(Results_Long!$I:$I,$F10)="","NA",INDEX(Results_Long!$I:$I,$F10))</f>
        <v>31</v>
      </c>
      <c r="I10" s="9">
        <f>IF(INDEX(Results_Long!$J:$J,$F10)="","NA",INDEX(Results_Long!$J:$J,$F10))</f>
        <v>31</v>
      </c>
      <c r="J10" s="10">
        <f>IF(INDEX(Results_Long!$K:$K,$F10)="","NA",INDEX(Results_Long!$K:$K,$F10))</f>
        <v>-5.1423249808593002E-2</v>
      </c>
      <c r="K10" s="10">
        <f>IF(INDEX(Results_Long!$P:$P,$F10)="","NA",INDEX(Results_Long!$P:$P,$F10))</f>
        <v>-7.2986923277550297E-2</v>
      </c>
      <c r="L10" s="10">
        <f>IF(INDEX(Results_Long!$Q:$Q,$F10)="","NA",INDEX(Results_Long!$Q:$Q,$F10))</f>
        <v>-2.98595763396356E-2</v>
      </c>
      <c r="M10" s="10">
        <f>IF(INDEX(Results_Long!$T:$T,$F10)="","NA",INDEX(Results_Long!$T:$T,$F10))</f>
        <v>-5.13779706673737E-2</v>
      </c>
      <c r="N10" s="10">
        <f>IF(INDEX(Results_Long!$U:$U,$F10)="","NA",INDEX(Results_Long!$U:$U,$F10))</f>
        <v>-7.2857596185473397E-2</v>
      </c>
      <c r="O10" s="10">
        <f>IF(INDEX(Results_Long!$V:$V,$F10)="","NA",INDEX(Results_Long!$V:$V,$F10))</f>
        <v>-2.98507052940249E-2</v>
      </c>
      <c r="P10" s="10">
        <f>IF(INDEX(Results_Long!$L:$L,$F10)="","NA",INDEX(Results_Long!$L:$L,$F10))</f>
        <v>1.0329352365435701E-2</v>
      </c>
      <c r="Q10" s="11">
        <f>IF(INDEX(Results_Long!$M:$M,$F10)="","NA",INDEX(Results_Long!$M:$M,$F10))</f>
        <v>-4.9783614683014203</v>
      </c>
      <c r="R10" s="12">
        <f>IF(INDEX(Results_Long!$N:$N,$F10)="","NA",INDEX(Results_Long!$N:$N,$F10))</f>
        <v>19.756715102314299</v>
      </c>
      <c r="S10" s="10">
        <f>IF(INDEX(Results_Long!$O:$O,$F10)="","NA",INDEX(Results_Long!$O:$O,$F10))</f>
        <v>7.4752951968862306E-5</v>
      </c>
      <c r="T10" s="6" t="str">
        <f>IF(INDEX(Results_Long!$AG:$AG,$F10)="","NA",INDEX(Results_Long!$AG:$AG,$F10))</f>
        <v>NA</v>
      </c>
      <c r="U10" s="5" t="str">
        <f>IF(INDEX(Results_Long!$AJ:$AJ,$F10)="","NA",INDEX(Results_Long!$AJ:$AJ,$F10))</f>
        <v>rma.mv mods=~ 0 + pp_cell (cell-means; estimand identical to ~ pp_mid_lag0); random ~1|cluster_id/study/esid; V blocks within cluster_id, rho=0.6; CR2/Satterthwaite on cluster_id [D31.1/A.2]; domain period domain 2705/113/112 [DEC-042b]; cell mean at coding = 1 (post)</v>
      </c>
    </row>
    <row r="11" spans="1:21" ht="79.5" customHeight="1" x14ac:dyDescent="0.3">
      <c r="A11" s="6" t="s">
        <v>196</v>
      </c>
      <c r="B11" s="7" t="s">
        <v>191</v>
      </c>
      <c r="C11" s="7" t="s">
        <v>192</v>
      </c>
      <c r="D11" s="7" t="s">
        <v>184</v>
      </c>
      <c r="E11" s="7" t="s">
        <v>197</v>
      </c>
      <c r="F11" s="8">
        <f>SUMPRODUCT((Results_Long!$A$2:$A$178=$B11)*(Results_Long!$B$2:$B$178=$C11)*(Results_Long!$C$2:$C$178=$D11)*(Results_Long!$D$2:$D$178=$E11)*ROW(Results_Long!$A$2:$A$178))</f>
        <v>7</v>
      </c>
      <c r="G11" s="9">
        <f>IF(INDEX(Results_Long!$H:$H,$F11)="","NA",INDEX(Results_Long!$H:$H,$F11))</f>
        <v>2705</v>
      </c>
      <c r="H11" s="9">
        <f>IF(INDEX(Results_Long!$I:$I,$F11)="","NA",INDEX(Results_Long!$I:$I,$F11))</f>
        <v>113</v>
      </c>
      <c r="I11" s="9">
        <f>IF(INDEX(Results_Long!$J:$J,$F11)="","NA",INDEX(Results_Long!$J:$J,$F11))</f>
        <v>112</v>
      </c>
      <c r="J11" s="10">
        <f>IF(INDEX(Results_Long!$K:$K,$F11)="","NA",INDEX(Results_Long!$K:$K,$F11))</f>
        <v>1.01759067104026E-2</v>
      </c>
      <c r="K11" s="10">
        <f>IF(INDEX(Results_Long!$P:$P,$F11)="","NA",INDEX(Results_Long!$P:$P,$F11))</f>
        <v>-2.84206311144901E-2</v>
      </c>
      <c r="L11" s="10">
        <f>IF(INDEX(Results_Long!$Q:$Q,$F11)="","NA",INDEX(Results_Long!$Q:$Q,$F11))</f>
        <v>4.8772444535295299E-2</v>
      </c>
      <c r="M11" s="10" t="str">
        <f>IF(INDEX(Results_Long!$T:$T,$F11)="","NA",INDEX(Results_Long!$T:$T,$F11))</f>
        <v>NA</v>
      </c>
      <c r="N11" s="10" t="str">
        <f>IF(INDEX(Results_Long!$U:$U,$F11)="","NA",INDEX(Results_Long!$U:$U,$F11))</f>
        <v>NA</v>
      </c>
      <c r="O11" s="10" t="str">
        <f>IF(INDEX(Results_Long!$V:$V,$F11)="","NA",INDEX(Results_Long!$V:$V,$F11))</f>
        <v>NA</v>
      </c>
      <c r="P11" s="10">
        <f>IF(INDEX(Results_Long!$L:$L,$F11)="","NA",INDEX(Results_Long!$L:$L,$F11))</f>
        <v>1.81072824212575E-2</v>
      </c>
      <c r="Q11" s="11">
        <f>IF(INDEX(Results_Long!$M:$M,$F11)="","NA",INDEX(Results_Long!$M:$M,$F11))</f>
        <v>0.56197868203879797</v>
      </c>
      <c r="R11" s="12">
        <f>IF(INDEX(Results_Long!$N:$N,$F11)="","NA",INDEX(Results_Long!$N:$N,$F11))</f>
        <v>14.9920663728925</v>
      </c>
      <c r="S11" s="10">
        <f>IF(INDEX(Results_Long!$O:$O,$F11)="","NA",INDEX(Results_Long!$O:$O,$F11))</f>
        <v>0.58243572563051604</v>
      </c>
      <c r="T11" s="6" t="str">
        <f>IF(INDEX(Results_Long!$AG:$AG,$F11)="","NA",INDEX(Results_Long!$AG:$AG,$F11))</f>
        <v>NA</v>
      </c>
      <c r="U11" s="5" t="str">
        <f>IF(INDEX(Results_Long!$AJ:$AJ,$F11)="","NA",INDEX(Results_Long!$AJ:$AJ,$F11))</f>
        <v>rma.mv mods=~ 0 + pp_cell (cell-means; estimand identical to ~ pp_mid_lag0); random ~1|cluster_id/study/esid; V blocks within cluster_id, rho=0.6; CR2/Satterthwaite on cluster_id [D31.1/A.2]; domain period domain 2705/113/112 [DEC-042b]; post-minus-pre contrast (-1, +1); cell-means parameterization [DEC-031e/A.11]; difference of Fisher-z means; no tanh transform of differences; TH-a refit of T2/B1 paris_mid; verifier identity vs committed output/T2_results.csv at 1e-6 [F65]</v>
      </c>
    </row>
    <row r="12" spans="1:21" ht="102" customHeight="1" x14ac:dyDescent="0.3">
      <c r="A12" s="6" t="s">
        <v>198</v>
      </c>
      <c r="B12" s="7" t="s">
        <v>191</v>
      </c>
      <c r="C12" s="7" t="s">
        <v>192</v>
      </c>
      <c r="D12" s="7" t="s">
        <v>184</v>
      </c>
      <c r="E12" s="7" t="s">
        <v>189</v>
      </c>
      <c r="F12" s="8">
        <f>SUMPRODUCT((Results_Long!$A$2:$A$178=$B12)*(Results_Long!$B$2:$B$178=$C12)*(Results_Long!$C$2:$C$178=$D12)*(Results_Long!$D$2:$D$178=$E12)*ROW(Results_Long!$A$2:$A$178))</f>
        <v>8</v>
      </c>
      <c r="G12" s="9">
        <f>IF(INDEX(Results_Long!$H:$H,$F12)="","NA",INDEX(Results_Long!$H:$H,$F12))</f>
        <v>2705</v>
      </c>
      <c r="H12" s="9">
        <f>IF(INDEX(Results_Long!$I:$I,$F12)="","NA",INDEX(Results_Long!$I:$I,$F12))</f>
        <v>113</v>
      </c>
      <c r="I12" s="9">
        <f>IF(INDEX(Results_Long!$J:$J,$F12)="","NA",INDEX(Results_Long!$J:$J,$F12))</f>
        <v>112</v>
      </c>
      <c r="J12" s="10">
        <f>IF(INDEX(Results_Long!$K:$K,$F12)="","NA",INDEX(Results_Long!$K:$K,$F12))</f>
        <v>1.01759067104026E-2</v>
      </c>
      <c r="K12" s="10">
        <f>IF(INDEX(Results_Long!$P:$P,$F12)="","NA",INDEX(Results_Long!$P:$P,$F12))</f>
        <v>-2.1568174295886498E-2</v>
      </c>
      <c r="L12" s="10">
        <f>IF(INDEX(Results_Long!$Q:$Q,$F12)="","NA",INDEX(Results_Long!$Q:$Q,$F12))</f>
        <v>4.1919987716691601E-2</v>
      </c>
      <c r="M12" s="10" t="str">
        <f>IF(INDEX(Results_Long!$T:$T,$F12)="","NA",INDEX(Results_Long!$T:$T,$F12))</f>
        <v>NA</v>
      </c>
      <c r="N12" s="10" t="str">
        <f>IF(INDEX(Results_Long!$U:$U,$F12)="","NA",INDEX(Results_Long!$U:$U,$F12))</f>
        <v>NA</v>
      </c>
      <c r="O12" s="10" t="str">
        <f>IF(INDEX(Results_Long!$V:$V,$F12)="","NA",INDEX(Results_Long!$V:$V,$F12))</f>
        <v>NA</v>
      </c>
      <c r="P12" s="10">
        <f>IF(INDEX(Results_Long!$L:$L,$F12)="","NA",INDEX(Results_Long!$L:$L,$F12))</f>
        <v>1.81072824212575E-2</v>
      </c>
      <c r="Q12" s="11" t="str">
        <f>IF(INDEX(Results_Long!$M:$M,$F12)="","NA",INDEX(Results_Long!$M:$M,$F12))</f>
        <v>NA</v>
      </c>
      <c r="R12" s="12">
        <f>IF(INDEX(Results_Long!$N:$N,$F12)="","NA",INDEX(Results_Long!$N:$N,$F12))</f>
        <v>14.9920663728925</v>
      </c>
      <c r="S12" s="10">
        <f>IF(INDEX(Results_Long!$O:$O,$F12)="","NA",INDEX(Results_Long!$O:$O,$F12))</f>
        <v>2.19798496977043E-2</v>
      </c>
      <c r="T12" s="6">
        <f>IF(INDEX(Results_Long!$AG:$AG,$F12)="","NA",INDEX(Results_Long!$AG:$AG,$F12))</f>
        <v>1</v>
      </c>
      <c r="U12" s="5" t="str">
        <f>IF(INDEX(Results_Long!$AJ:$AJ,$F12)="","NA",INDEX(Results_Long!$AJ:$AJ,$F12))</f>
        <v>TOST, two one-sided tests each alpha=.05 &lt;=&gt; 90% CI inside band [DEC-045 E-pins]; contrast band |dr| = 0.05 (secondary SESOI = the contrast band [DEC-031 Block E]); applied on the z-difference directly; |dz| read as |dr| (third-order approx, T8/B8 convention); arm p (lower/upper) = 0.00231753 / 0.0219798; TOST p = max(arms); CI columns carry the 90% CI (TOST convention); value = 1{90%-CI inside band} (mechanical flag, no verdict language); E2 adjudicates Tier 1 (the Paris null) [DEC-045 E-pins]; dose transfer NOT triggered (design df 31.9 [DEC-024/A.3])</v>
      </c>
    </row>
    <row r="13" spans="1:21" ht="23.25" customHeight="1" x14ac:dyDescent="0.3">
      <c r="A13" s="6" t="s">
        <v>199</v>
      </c>
      <c r="B13" s="7" t="s">
        <v>200</v>
      </c>
      <c r="C13" s="7" t="s">
        <v>201</v>
      </c>
      <c r="D13" s="7" t="s">
        <v>184</v>
      </c>
      <c r="E13" s="7" t="s">
        <v>202</v>
      </c>
      <c r="F13" s="8">
        <f>SUMPRODUCT((Results_Long!$A$2:$A$178=$B13)*(Results_Long!$B$2:$B$178=$C13)*(Results_Long!$C$2:$C$178=$D13)*(Results_Long!$D$2:$D$178=$E13)*ROW(Results_Long!$A$2:$A$178))</f>
        <v>9</v>
      </c>
      <c r="G13" s="9" t="str">
        <f>IF(INDEX(Results_Long!$H:$H,$F13)="","NA",INDEX(Results_Long!$H:$H,$F13))</f>
        <v>NA</v>
      </c>
      <c r="H13" s="9" t="str">
        <f>IF(INDEX(Results_Long!$I:$I,$F13)="","NA",INDEX(Results_Long!$I:$I,$F13))</f>
        <v>NA</v>
      </c>
      <c r="I13" s="9" t="str">
        <f>IF(INDEX(Results_Long!$J:$J,$F13)="","NA",INDEX(Results_Long!$J:$J,$F13))</f>
        <v>NA</v>
      </c>
      <c r="J13" s="10" t="str">
        <f>IF(INDEX(Results_Long!$K:$K,$F13)="","NA",INDEX(Results_Long!$K:$K,$F13))</f>
        <v>NA</v>
      </c>
      <c r="K13" s="10" t="str">
        <f>IF(INDEX(Results_Long!$P:$P,$F13)="","NA",INDEX(Results_Long!$P:$P,$F13))</f>
        <v>NA</v>
      </c>
      <c r="L13" s="10" t="str">
        <f>IF(INDEX(Results_Long!$Q:$Q,$F13)="","NA",INDEX(Results_Long!$Q:$Q,$F13))</f>
        <v>NA</v>
      </c>
      <c r="M13" s="10" t="str">
        <f>IF(INDEX(Results_Long!$T:$T,$F13)="","NA",INDEX(Results_Long!$T:$T,$F13))</f>
        <v>NA</v>
      </c>
      <c r="N13" s="10" t="str">
        <f>IF(INDEX(Results_Long!$U:$U,$F13)="","NA",INDEX(Results_Long!$U:$U,$F13))</f>
        <v>NA</v>
      </c>
      <c r="O13" s="10" t="str">
        <f>IF(INDEX(Results_Long!$V:$V,$F13)="","NA",INDEX(Results_Long!$V:$V,$F13))</f>
        <v>NA</v>
      </c>
      <c r="P13" s="10" t="str">
        <f>IF(INDEX(Results_Long!$L:$L,$F13)="","NA",INDEX(Results_Long!$L:$L,$F13))</f>
        <v>NA</v>
      </c>
      <c r="Q13" s="11" t="str">
        <f>IF(INDEX(Results_Long!$M:$M,$F13)="","NA",INDEX(Results_Long!$M:$M,$F13))</f>
        <v>NA</v>
      </c>
      <c r="R13" s="12" t="str">
        <f>IF(INDEX(Results_Long!$N:$N,$F13)="","NA",INDEX(Results_Long!$N:$N,$F13))</f>
        <v>NA</v>
      </c>
      <c r="S13" s="10" t="str">
        <f>IF(INDEX(Results_Long!$O:$O,$F13)="","NA",INDEX(Results_Long!$O:$O,$F13))</f>
        <v>NA</v>
      </c>
      <c r="T13" s="6" t="str">
        <f>IF(INDEX(Results_Long!$AG:$AG,$F13)="","NA",INDEX(Results_Long!$AG:$AG,$F13))</f>
        <v>NA</v>
      </c>
      <c r="U13" s="5" t="str">
        <f>IF(INDEX(Results_Long!$AJ:$AJ,$F13)="","NA",INDEX(Results_Long!$AJ:$AJ,$F13))</f>
        <v>Tier-1 evidence-of-absence wording REQUIRES an E2 PASS; E2 FAIL -&gt; no Tier-1 EoA regardless of BF [DEC-045 ladder / H-Q21]</v>
      </c>
    </row>
    <row r="14" spans="1:21" ht="57" customHeight="1" x14ac:dyDescent="0.3">
      <c r="A14" s="6" t="s">
        <v>203</v>
      </c>
      <c r="B14" s="7" t="s">
        <v>200</v>
      </c>
      <c r="C14" s="7" t="s">
        <v>201</v>
      </c>
      <c r="D14" s="7" t="s">
        <v>184</v>
      </c>
      <c r="E14" s="7" t="s">
        <v>204</v>
      </c>
      <c r="F14" s="8">
        <f>SUMPRODUCT((Results_Long!$A$2:$A$178=$B14)*(Results_Long!$B$2:$B$178=$C14)*(Results_Long!$C$2:$C$178=$D14)*(Results_Long!$D$2:$D$178=$E14)*ROW(Results_Long!$A$2:$A$178))</f>
        <v>10</v>
      </c>
      <c r="G14" s="9" t="str">
        <f>IF(INDEX(Results_Long!$H:$H,$F14)="","NA",INDEX(Results_Long!$H:$H,$F14))</f>
        <v>NA</v>
      </c>
      <c r="H14" s="9" t="str">
        <f>IF(INDEX(Results_Long!$I:$I,$F14)="","NA",INDEX(Results_Long!$I:$I,$F14))</f>
        <v>NA</v>
      </c>
      <c r="I14" s="9" t="str">
        <f>IF(INDEX(Results_Long!$J:$J,$F14)="","NA",INDEX(Results_Long!$J:$J,$F14))</f>
        <v>NA</v>
      </c>
      <c r="J14" s="10" t="str">
        <f>IF(INDEX(Results_Long!$K:$K,$F14)="","NA",INDEX(Results_Long!$K:$K,$F14))</f>
        <v>NA</v>
      </c>
      <c r="K14" s="10" t="str">
        <f>IF(INDEX(Results_Long!$P:$P,$F14)="","NA",INDEX(Results_Long!$P:$P,$F14))</f>
        <v>NA</v>
      </c>
      <c r="L14" s="10" t="str">
        <f>IF(INDEX(Results_Long!$Q:$Q,$F14)="","NA",INDEX(Results_Long!$Q:$Q,$F14))</f>
        <v>NA</v>
      </c>
      <c r="M14" s="10" t="str">
        <f>IF(INDEX(Results_Long!$T:$T,$F14)="","NA",INDEX(Results_Long!$T:$T,$F14))</f>
        <v>NA</v>
      </c>
      <c r="N14" s="10" t="str">
        <f>IF(INDEX(Results_Long!$U:$U,$F14)="","NA",INDEX(Results_Long!$U:$U,$F14))</f>
        <v>NA</v>
      </c>
      <c r="O14" s="10" t="str">
        <f>IF(INDEX(Results_Long!$V:$V,$F14)="","NA",INDEX(Results_Long!$V:$V,$F14))</f>
        <v>NA</v>
      </c>
      <c r="P14" s="10" t="str">
        <f>IF(INDEX(Results_Long!$L:$L,$F14)="","NA",INDEX(Results_Long!$L:$L,$F14))</f>
        <v>NA</v>
      </c>
      <c r="Q14" s="11" t="str">
        <f>IF(INDEX(Results_Long!$M:$M,$F14)="","NA",INDEX(Results_Long!$M:$M,$F14))</f>
        <v>NA</v>
      </c>
      <c r="R14" s="12" t="str">
        <f>IF(INDEX(Results_Long!$N:$N,$F14)="","NA",INDEX(Results_Long!$N:$N,$F14))</f>
        <v>NA</v>
      </c>
      <c r="S14" s="10" t="str">
        <f>IF(INDEX(Results_Long!$O:$O,$F14)="","NA",INDEX(Results_Long!$O:$O,$F14))</f>
        <v>NA</v>
      </c>
      <c r="T14" s="6" t="str">
        <f>IF(INDEX(Results_Long!$AG:$AG,$F14)="","NA",INDEX(Results_Long!$AG:$AG,$F14))</f>
        <v>NA</v>
      </c>
      <c r="U14" s="5" t="str">
        <f>IF(INDEX(Results_Long!$AJ:$AJ,$F14)="","NA",INDEX(Results_Long!$AJ:$AJ,$F14))</f>
        <v>with H2b: BF01 &gt;= 3 full EoA; 1 &lt; BF01 &lt; 3 equivalence-based, BF disclosed as directionally supportive, not strong; BF01 &lt;= 1 conflict disclosure, conservative wording; without RoBMA.reg: pre-registered configuration E2 + level BF (H2a) [DEC-045; Jeffreys/Lee-Wagenmakers bands pinned]</v>
      </c>
    </row>
    <row r="15" spans="1:21" ht="34.5" customHeight="1" x14ac:dyDescent="0.3">
      <c r="A15" s="6" t="s">
        <v>205</v>
      </c>
      <c r="B15" s="7" t="s">
        <v>200</v>
      </c>
      <c r="C15" s="7" t="s">
        <v>201</v>
      </c>
      <c r="D15" s="7" t="s">
        <v>184</v>
      </c>
      <c r="E15" s="7" t="s">
        <v>206</v>
      </c>
      <c r="F15" s="8">
        <f>SUMPRODUCT((Results_Long!$A$2:$A$178=$B15)*(Results_Long!$B$2:$B$178=$C15)*(Results_Long!$C$2:$C$178=$D15)*(Results_Long!$D$2:$D$178=$E15)*ROW(Results_Long!$A$2:$A$178))</f>
        <v>11</v>
      </c>
      <c r="G15" s="9" t="str">
        <f>IF(INDEX(Results_Long!$H:$H,$F15)="","NA",INDEX(Results_Long!$H:$H,$F15))</f>
        <v>NA</v>
      </c>
      <c r="H15" s="9" t="str">
        <f>IF(INDEX(Results_Long!$I:$I,$F15)="","NA",INDEX(Results_Long!$I:$I,$F15))</f>
        <v>NA</v>
      </c>
      <c r="I15" s="9" t="str">
        <f>IF(INDEX(Results_Long!$J:$J,$F15)="","NA",INDEX(Results_Long!$J:$J,$F15))</f>
        <v>NA</v>
      </c>
      <c r="J15" s="10" t="str">
        <f>IF(INDEX(Results_Long!$K:$K,$F15)="","NA",INDEX(Results_Long!$K:$K,$F15))</f>
        <v>NA</v>
      </c>
      <c r="K15" s="10" t="str">
        <f>IF(INDEX(Results_Long!$P:$P,$F15)="","NA",INDEX(Results_Long!$P:$P,$F15))</f>
        <v>NA</v>
      </c>
      <c r="L15" s="10" t="str">
        <f>IF(INDEX(Results_Long!$Q:$Q,$F15)="","NA",INDEX(Results_Long!$Q:$Q,$F15))</f>
        <v>NA</v>
      </c>
      <c r="M15" s="10" t="str">
        <f>IF(INDEX(Results_Long!$T:$T,$F15)="","NA",INDEX(Results_Long!$T:$T,$F15))</f>
        <v>NA</v>
      </c>
      <c r="N15" s="10" t="str">
        <f>IF(INDEX(Results_Long!$U:$U,$F15)="","NA",INDEX(Results_Long!$U:$U,$F15))</f>
        <v>NA</v>
      </c>
      <c r="O15" s="10" t="str">
        <f>IF(INDEX(Results_Long!$V:$V,$F15)="","NA",INDEX(Results_Long!$V:$V,$F15))</f>
        <v>NA</v>
      </c>
      <c r="P15" s="10" t="str">
        <f>IF(INDEX(Results_Long!$L:$L,$F15)="","NA",INDEX(Results_Long!$L:$L,$F15))</f>
        <v>NA</v>
      </c>
      <c r="Q15" s="11" t="str">
        <f>IF(INDEX(Results_Long!$M:$M,$F15)="","NA",INDEX(Results_Long!$M:$M,$F15))</f>
        <v>NA</v>
      </c>
      <c r="R15" s="12" t="str">
        <f>IF(INDEX(Results_Long!$N:$N,$F15)="","NA",INDEX(Results_Long!$N:$N,$F15))</f>
        <v>NA</v>
      </c>
      <c r="S15" s="10" t="str">
        <f>IF(INDEX(Results_Long!$O:$O,$F15)="","NA",INDEX(Results_Long!$O:$O,$F15))</f>
        <v>NA</v>
      </c>
      <c r="T15" s="6" t="str">
        <f>IF(INDEX(Results_Long!$AG:$AG,$F15)="","NA",INDEX(Results_Long!$AG:$AG,$F15))</f>
        <v>NA</v>
      </c>
      <c r="U15" s="5" t="str">
        <f>IF(INDEX(Results_Long!$AJ:$AJ,$F15)="","NA",INDEX(Results_Long!$AJ:$AJ,$F15))</f>
        <v>resolution deferred: documented post-run step after TH-b (N3), never an automatic rewrite [DEC-044/DEC-045]; ex-ante expectation carried on the E1 primary-band row</v>
      </c>
    </row>
    <row r="17" spans="1:12" ht="15" customHeight="1" x14ac:dyDescent="0.3">
      <c r="A17" s="13" t="s">
        <v>207</v>
      </c>
    </row>
    <row r="18" spans="1:12" ht="15" customHeight="1" x14ac:dyDescent="0.3">
      <c r="A18" s="27" t="s">
        <v>208</v>
      </c>
      <c r="B18" s="28"/>
      <c r="C18" s="28"/>
      <c r="D18" s="28"/>
      <c r="E18" s="28"/>
      <c r="F18" s="28"/>
      <c r="G18" s="28"/>
      <c r="H18" s="28"/>
      <c r="I18" s="28"/>
      <c r="J18" s="28"/>
    </row>
    <row r="19" spans="1:12" ht="15" customHeight="1" x14ac:dyDescent="0.3">
      <c r="A19" s="27" t="s">
        <v>209</v>
      </c>
      <c r="B19" s="28"/>
      <c r="C19" s="28"/>
      <c r="D19" s="28"/>
      <c r="E19" s="28"/>
      <c r="F19" s="28"/>
      <c r="G19" s="28"/>
      <c r="H19" s="28"/>
      <c r="I19" s="28"/>
      <c r="J19" s="28"/>
    </row>
    <row r="20" spans="1:12" ht="15" customHeight="1" x14ac:dyDescent="0.3">
      <c r="A20" s="27" t="s">
        <v>210</v>
      </c>
      <c r="B20" s="28"/>
      <c r="C20" s="28"/>
      <c r="D20" s="28"/>
      <c r="E20" s="28"/>
      <c r="F20" s="28"/>
      <c r="G20" s="28"/>
      <c r="H20" s="28"/>
      <c r="I20" s="28"/>
      <c r="J20" s="28"/>
    </row>
    <row r="22" spans="1:12" ht="15" customHeight="1" x14ac:dyDescent="0.3">
      <c r="A22" s="3" t="s">
        <v>211</v>
      </c>
      <c r="B22" s="3" t="s">
        <v>212</v>
      </c>
    </row>
    <row r="23" spans="1:12" ht="15" customHeight="1" x14ac:dyDescent="0.3">
      <c r="A23" s="14" t="s">
        <v>213</v>
      </c>
      <c r="B23" s="27" t="s">
        <v>214</v>
      </c>
      <c r="C23" s="28"/>
      <c r="D23" s="28"/>
      <c r="E23" s="28"/>
      <c r="F23" s="28"/>
      <c r="G23" s="28"/>
      <c r="H23" s="28"/>
      <c r="I23" s="28"/>
      <c r="J23" s="28"/>
    </row>
    <row r="24" spans="1:12" ht="15" customHeight="1" x14ac:dyDescent="0.3">
      <c r="A24" s="14" t="s">
        <v>215</v>
      </c>
      <c r="B24" s="27" t="s">
        <v>216</v>
      </c>
      <c r="C24" s="28"/>
      <c r="D24" s="28"/>
      <c r="E24" s="28"/>
      <c r="F24" s="28"/>
      <c r="G24" s="28"/>
      <c r="H24" s="28"/>
      <c r="I24" s="28"/>
      <c r="J24" s="28"/>
    </row>
    <row r="25" spans="1:12" ht="15" customHeight="1" x14ac:dyDescent="0.3">
      <c r="A25" s="14" t="s">
        <v>217</v>
      </c>
      <c r="B25" s="27" t="s">
        <v>218</v>
      </c>
      <c r="C25" s="28"/>
      <c r="D25" s="28"/>
      <c r="E25" s="28"/>
      <c r="F25" s="28"/>
      <c r="G25" s="28"/>
      <c r="H25" s="28"/>
      <c r="I25" s="28"/>
      <c r="J25" s="28"/>
    </row>
    <row r="27" spans="1:12" ht="15" customHeight="1" x14ac:dyDescent="0.3">
      <c r="A27" s="29" t="s">
        <v>219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</row>
  </sheetData>
  <mergeCells count="7">
    <mergeCell ref="B25:J25"/>
    <mergeCell ref="A18:J18"/>
    <mergeCell ref="B23:J23"/>
    <mergeCell ref="A20:J20"/>
    <mergeCell ref="A27:L27"/>
    <mergeCell ref="B24:J24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33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20" width="9" customWidth="1"/>
    <col min="21" max="21" width="60" customWidth="1"/>
  </cols>
  <sheetData>
    <row r="1" spans="1:23" ht="15" customHeight="1" x14ac:dyDescent="0.3">
      <c r="A1" s="1" t="s">
        <v>220</v>
      </c>
    </row>
    <row r="2" spans="1:23" ht="15" customHeight="1" x14ac:dyDescent="0.3">
      <c r="A2" s="2" t="s">
        <v>221</v>
      </c>
    </row>
    <row r="3" spans="1:23" ht="15" customHeight="1" x14ac:dyDescent="0.3">
      <c r="A3" s="2" t="s">
        <v>2</v>
      </c>
    </row>
    <row r="5" spans="1:23" ht="15" customHeight="1" x14ac:dyDescent="0.3">
      <c r="A5" s="3" t="s">
        <v>160</v>
      </c>
      <c r="B5" s="3" t="s">
        <v>161</v>
      </c>
      <c r="C5" s="3" t="s">
        <v>162</v>
      </c>
      <c r="D5" s="3" t="s">
        <v>163</v>
      </c>
      <c r="E5" s="3" t="s">
        <v>164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175</v>
      </c>
      <c r="Q5" s="3" t="s">
        <v>176</v>
      </c>
      <c r="R5" s="3" t="s">
        <v>177</v>
      </c>
      <c r="S5" s="3" t="s">
        <v>178</v>
      </c>
      <c r="T5" s="3" t="s">
        <v>179</v>
      </c>
      <c r="U5" s="3" t="s">
        <v>180</v>
      </c>
      <c r="V5" s="15" t="s">
        <v>222</v>
      </c>
      <c r="W5" s="15" t="s">
        <v>223</v>
      </c>
    </row>
    <row r="6" spans="1:23" ht="68.25" customHeight="1" x14ac:dyDescent="0.3">
      <c r="A6" s="6" t="s">
        <v>224</v>
      </c>
      <c r="B6" s="7" t="s">
        <v>225</v>
      </c>
      <c r="C6" s="7" t="s">
        <v>226</v>
      </c>
      <c r="D6" s="7" t="s">
        <v>184</v>
      </c>
      <c r="E6" s="7" t="s">
        <v>227</v>
      </c>
      <c r="F6" s="8">
        <f>SUMPRODUCT((Results_Long!$A$2:$A$178=$B6)*(Results_Long!$B$2:$B$178=$C6)*(Results_Long!$C$2:$C$178=$D6)*(Results_Long!$D$2:$D$178=$E6)*ROW(Results_Long!$A$2:$A$178))</f>
        <v>12</v>
      </c>
      <c r="G6" s="9">
        <f>IF(INDEX(Results_Long!$H:$H,$F6)="","NA",INDEX(Results_Long!$H:$H,$F6))</f>
        <v>2705</v>
      </c>
      <c r="H6" s="9">
        <f>IF(INDEX(Results_Long!$I:$I,$F6)="","NA",INDEX(Results_Long!$I:$I,$F6))</f>
        <v>113</v>
      </c>
      <c r="I6" s="9">
        <f>IF(INDEX(Results_Long!$J:$J,$F6)="","NA",INDEX(Results_Long!$J:$J,$F6))</f>
        <v>112</v>
      </c>
      <c r="J6" s="10">
        <f>IF(INDEX(Results_Long!$K:$K,$F6)="","NA",INDEX(Results_Long!$K:$K,$F6))</f>
        <v>-2.4026675945219299E-2</v>
      </c>
      <c r="K6" s="10">
        <f>IF(INDEX(Results_Long!$P:$P,$F6)="","NA",INDEX(Results_Long!$P:$P,$F6))</f>
        <v>-6.1604664892706502E-2</v>
      </c>
      <c r="L6" s="10">
        <f>IF(INDEX(Results_Long!$Q:$Q,$F6)="","NA",INDEX(Results_Long!$Q:$Q,$F6))</f>
        <v>1.3551313002268001E-2</v>
      </c>
      <c r="M6" s="10" t="str">
        <f>IF(INDEX(Results_Long!$T:$T,$F6)="","NA",INDEX(Results_Long!$T:$T,$F6))</f>
        <v>NA</v>
      </c>
      <c r="N6" s="10" t="str">
        <f>IF(INDEX(Results_Long!$U:$U,$F6)="","NA",INDEX(Results_Long!$U:$U,$F6))</f>
        <v>NA</v>
      </c>
      <c r="O6" s="10" t="str">
        <f>IF(INDEX(Results_Long!$V:$V,$F6)="","NA",INDEX(Results_Long!$V:$V,$F6))</f>
        <v>NA</v>
      </c>
      <c r="P6" s="10">
        <f>IF(INDEX(Results_Long!$L:$L,$F6)="","NA",INDEX(Results_Long!$L:$L,$F6))</f>
        <v>1.7624300323625299E-2</v>
      </c>
      <c r="Q6" s="11">
        <f>IF(INDEX(Results_Long!$M:$M,$F6)="","NA",INDEX(Results_Long!$M:$M,$F6))</f>
        <v>-1.3632697754821901</v>
      </c>
      <c r="R6" s="12">
        <f>IF(INDEX(Results_Long!$N:$N,$F6)="","NA",INDEX(Results_Long!$N:$N,$F6))</f>
        <v>14.9421005915616</v>
      </c>
      <c r="S6" s="10">
        <f>IF(INDEX(Results_Long!$O:$O,$F6)="","NA",INDEX(Results_Long!$O:$O,$F6))</f>
        <v>0.192987644808958</v>
      </c>
      <c r="T6" s="6" t="str">
        <f>IF(INDEX(Results_Long!$AG:$AG,$F6)="","NA",INDEX(Results_Long!$AG:$AG,$F6))</f>
        <v>NA</v>
      </c>
      <c r="U6" s="5" t="str">
        <f>IF(INDEX(Results_Long!$AJ:$AJ,$F6)="","NA",INDEX(Results_Long!$AJ:$AJ,$F6))</f>
        <v>rma.mv mods=~ 0 + pp_cell (break 2008, cell-means); random ~1|cluster_id/study/esid; V blocks within cluster_id, rho=0.6; CR2/Satterthwaite on cluster_id [D31.1/A.2]; domain period domain 2705/113/112; post cell: 2367 ES / 100 studies / 99 clusters; rule: share_2008 &gt;= 0.5, ties to Post [F60/DEC-024]; candidate year of the sup-break grid [DEC-045/H-Q6]; difference of Fisher-z means</v>
      </c>
      <c r="V6" s="16">
        <v>2008</v>
      </c>
      <c r="W6" s="17">
        <f t="shared" ref="W6:W17" si="0">IF($Q6="NA","NA",ABS($Q6))</f>
        <v>1.3632697754821901</v>
      </c>
    </row>
    <row r="7" spans="1:23" ht="68.25" customHeight="1" x14ac:dyDescent="0.3">
      <c r="A7" s="6" t="s">
        <v>228</v>
      </c>
      <c r="B7" s="7" t="s">
        <v>225</v>
      </c>
      <c r="C7" s="7" t="s">
        <v>229</v>
      </c>
      <c r="D7" s="7" t="s">
        <v>184</v>
      </c>
      <c r="E7" s="7" t="s">
        <v>227</v>
      </c>
      <c r="F7" s="8">
        <f>SUMPRODUCT((Results_Long!$A$2:$A$178=$B7)*(Results_Long!$B$2:$B$178=$C7)*(Results_Long!$C$2:$C$178=$D7)*(Results_Long!$D$2:$D$178=$E7)*ROW(Results_Long!$A$2:$A$178))</f>
        <v>13</v>
      </c>
      <c r="G7" s="9">
        <f>IF(INDEX(Results_Long!$H:$H,$F7)="","NA",INDEX(Results_Long!$H:$H,$F7))</f>
        <v>2705</v>
      </c>
      <c r="H7" s="9">
        <f>IF(INDEX(Results_Long!$I:$I,$F7)="","NA",INDEX(Results_Long!$I:$I,$F7))</f>
        <v>113</v>
      </c>
      <c r="I7" s="9">
        <f>IF(INDEX(Results_Long!$J:$J,$F7)="","NA",INDEX(Results_Long!$J:$J,$F7))</f>
        <v>112</v>
      </c>
      <c r="J7" s="10">
        <f>IF(INDEX(Results_Long!$K:$K,$F7)="","NA",INDEX(Results_Long!$K:$K,$F7))</f>
        <v>-3.9526755272941597E-2</v>
      </c>
      <c r="K7" s="10">
        <f>IF(INDEX(Results_Long!$P:$P,$F7)="","NA",INDEX(Results_Long!$P:$P,$F7))</f>
        <v>-8.4603524887996606E-2</v>
      </c>
      <c r="L7" s="10">
        <f>IF(INDEX(Results_Long!$Q:$Q,$F7)="","NA",INDEX(Results_Long!$Q:$Q,$F7))</f>
        <v>5.5500143421133904E-3</v>
      </c>
      <c r="M7" s="10" t="str">
        <f>IF(INDEX(Results_Long!$T:$T,$F7)="","NA",INDEX(Results_Long!$T:$T,$F7))</f>
        <v>NA</v>
      </c>
      <c r="N7" s="10" t="str">
        <f>IF(INDEX(Results_Long!$U:$U,$F7)="","NA",INDEX(Results_Long!$U:$U,$F7))</f>
        <v>NA</v>
      </c>
      <c r="O7" s="10" t="str">
        <f>IF(INDEX(Results_Long!$V:$V,$F7)="","NA",INDEX(Results_Long!$V:$V,$F7))</f>
        <v>NA</v>
      </c>
      <c r="P7" s="10">
        <f>IF(INDEX(Results_Long!$L:$L,$F7)="","NA",INDEX(Results_Long!$L:$L,$F7))</f>
        <v>1.8622443917549601E-2</v>
      </c>
      <c r="Q7" s="11">
        <f>IF(INDEX(Results_Long!$M:$M,$F7)="","NA",INDEX(Results_Long!$M:$M,$F7))</f>
        <v>-2.1225331888738901</v>
      </c>
      <c r="R7" s="12">
        <f>IF(INDEX(Results_Long!$N:$N,$F7)="","NA",INDEX(Results_Long!$N:$N,$F7))</f>
        <v>6.2816542616900302</v>
      </c>
      <c r="S7" s="10">
        <f>IF(INDEX(Results_Long!$O:$O,$F7)="","NA",INDEX(Results_Long!$O:$O,$F7))</f>
        <v>7.5948861671798706E-2</v>
      </c>
      <c r="T7" s="6" t="str">
        <f>IF(INDEX(Results_Long!$AG:$AG,$F7)="","NA",INDEX(Results_Long!$AG:$AG,$F7))</f>
        <v>NA</v>
      </c>
      <c r="U7" s="5" t="str">
        <f>IF(INDEX(Results_Long!$AJ:$AJ,$F7)="","NA",INDEX(Results_Long!$AJ:$AJ,$F7))</f>
        <v>rma.mv mods=~ 0 + pp_cell (break 2009, cell-means); random ~1|cluster_id/study/esid; V blocks within cluster_id, rho=0.6; CR2/Satterthwaite on cluster_id [D31.1/A.2]; domain period domain 2705/113/112; post cell: 2345 ES / 99 studies / 98 clusters; rule: share_2009 &gt;= 0.5, ties to Post [F60/DEC-024]; candidate year of the sup-break grid [DEC-045/H-Q6]; difference of Fisher-z means</v>
      </c>
      <c r="V7" s="16">
        <v>2009</v>
      </c>
      <c r="W7" s="17">
        <f t="shared" si="0"/>
        <v>2.1225331888738901</v>
      </c>
    </row>
    <row r="8" spans="1:23" ht="68.25" customHeight="1" x14ac:dyDescent="0.3">
      <c r="A8" s="6" t="s">
        <v>230</v>
      </c>
      <c r="B8" s="7" t="s">
        <v>225</v>
      </c>
      <c r="C8" s="7" t="s">
        <v>231</v>
      </c>
      <c r="D8" s="7" t="s">
        <v>184</v>
      </c>
      <c r="E8" s="7" t="s">
        <v>227</v>
      </c>
      <c r="F8" s="8">
        <f>SUMPRODUCT((Results_Long!$A$2:$A$178=$B8)*(Results_Long!$B$2:$B$178=$C8)*(Results_Long!$C$2:$C$178=$D8)*(Results_Long!$D$2:$D$178=$E8)*ROW(Results_Long!$A$2:$A$178))</f>
        <v>14</v>
      </c>
      <c r="G8" s="9">
        <f>IF(INDEX(Results_Long!$H:$H,$F8)="","NA",INDEX(Results_Long!$H:$H,$F8))</f>
        <v>2705</v>
      </c>
      <c r="H8" s="9">
        <f>IF(INDEX(Results_Long!$I:$I,$F8)="","NA",INDEX(Results_Long!$I:$I,$F8))</f>
        <v>113</v>
      </c>
      <c r="I8" s="9">
        <f>IF(INDEX(Results_Long!$J:$J,$F8)="","NA",INDEX(Results_Long!$J:$J,$F8))</f>
        <v>112</v>
      </c>
      <c r="J8" s="10">
        <f>IF(INDEX(Results_Long!$K:$K,$F8)="","NA",INDEX(Results_Long!$K:$K,$F8))</f>
        <v>-3.6534390634744798E-2</v>
      </c>
      <c r="K8" s="10">
        <f>IF(INDEX(Results_Long!$P:$P,$F8)="","NA",INDEX(Results_Long!$P:$P,$F8))</f>
        <v>-8.2461362416992104E-2</v>
      </c>
      <c r="L8" s="10">
        <f>IF(INDEX(Results_Long!$Q:$Q,$F8)="","NA",INDEX(Results_Long!$Q:$Q,$F8))</f>
        <v>9.3925811475024899E-3</v>
      </c>
      <c r="M8" s="10" t="str">
        <f>IF(INDEX(Results_Long!$T:$T,$F8)="","NA",INDEX(Results_Long!$T:$T,$F8))</f>
        <v>NA</v>
      </c>
      <c r="N8" s="10" t="str">
        <f>IF(INDEX(Results_Long!$U:$U,$F8)="","NA",INDEX(Results_Long!$U:$U,$F8))</f>
        <v>NA</v>
      </c>
      <c r="O8" s="10" t="str">
        <f>IF(INDEX(Results_Long!$V:$V,$F8)="","NA",INDEX(Results_Long!$V:$V,$F8))</f>
        <v>NA</v>
      </c>
      <c r="P8" s="10">
        <f>IF(INDEX(Results_Long!$L:$L,$F8)="","NA",INDEX(Results_Long!$L:$L,$F8))</f>
        <v>1.9295161716018399E-2</v>
      </c>
      <c r="Q8" s="11">
        <f>IF(INDEX(Results_Long!$M:$M,$F8)="","NA",INDEX(Results_Long!$M:$M,$F8))</f>
        <v>-1.8934482733261999</v>
      </c>
      <c r="R8" s="12">
        <f>IF(INDEX(Results_Long!$N:$N,$F8)="","NA",INDEX(Results_Long!$N:$N,$F8))</f>
        <v>6.7804764534302304</v>
      </c>
      <c r="S8" s="10">
        <f>IF(INDEX(Results_Long!$O:$O,$F8)="","NA",INDEX(Results_Long!$O:$O,$F8))</f>
        <v>0.101522928897328</v>
      </c>
      <c r="T8" s="6" t="str">
        <f>IF(INDEX(Results_Long!$AG:$AG,$F8)="","NA",INDEX(Results_Long!$AG:$AG,$F8))</f>
        <v>NA</v>
      </c>
      <c r="U8" s="5" t="str">
        <f>IF(INDEX(Results_Long!$AJ:$AJ,$F8)="","NA",INDEX(Results_Long!$AJ:$AJ,$F8))</f>
        <v>rma.mv mods=~ 0 + pp_cell (break 2010, cell-means); random ~1|cluster_id/study/esid; V blocks within cluster_id, rho=0.6; CR2/Satterthwaite on cluster_id [D31.1/A.2]; domain period domain 2705/113/112; post cell: 2326 ES / 98 studies / 97 clusters; rule: share_2010 &gt;= 0.5, ties to Post [F60/DEC-024]; candidate year of the sup-break grid [DEC-045/H-Q6]; difference of Fisher-z means</v>
      </c>
      <c r="V8" s="16">
        <v>2010</v>
      </c>
      <c r="W8" s="17">
        <f t="shared" si="0"/>
        <v>1.8934482733261999</v>
      </c>
    </row>
    <row r="9" spans="1:23" ht="68.25" customHeight="1" x14ac:dyDescent="0.3">
      <c r="A9" s="6" t="s">
        <v>232</v>
      </c>
      <c r="B9" s="7" t="s">
        <v>225</v>
      </c>
      <c r="C9" s="7" t="s">
        <v>233</v>
      </c>
      <c r="D9" s="7" t="s">
        <v>184</v>
      </c>
      <c r="E9" s="7" t="s">
        <v>227</v>
      </c>
      <c r="F9" s="8">
        <f>SUMPRODUCT((Results_Long!$A$2:$A$178=$B9)*(Results_Long!$B$2:$B$178=$C9)*(Results_Long!$C$2:$C$178=$D9)*(Results_Long!$D$2:$D$178=$E9)*ROW(Results_Long!$A$2:$A$178))</f>
        <v>15</v>
      </c>
      <c r="G9" s="9">
        <f>IF(INDEX(Results_Long!$H:$H,$F9)="","NA",INDEX(Results_Long!$H:$H,$F9))</f>
        <v>2705</v>
      </c>
      <c r="H9" s="9">
        <f>IF(INDEX(Results_Long!$I:$I,$F9)="","NA",INDEX(Results_Long!$I:$I,$F9))</f>
        <v>113</v>
      </c>
      <c r="I9" s="9">
        <f>IF(INDEX(Results_Long!$J:$J,$F9)="","NA",INDEX(Results_Long!$J:$J,$F9))</f>
        <v>112</v>
      </c>
      <c r="J9" s="10">
        <f>IF(INDEX(Results_Long!$K:$K,$F9)="","NA",INDEX(Results_Long!$K:$K,$F9))</f>
        <v>-3.3330835492260499E-2</v>
      </c>
      <c r="K9" s="10">
        <f>IF(INDEX(Results_Long!$P:$P,$F9)="","NA",INDEX(Results_Long!$P:$P,$F9))</f>
        <v>-7.5693221050634807E-2</v>
      </c>
      <c r="L9" s="10">
        <f>IF(INDEX(Results_Long!$Q:$Q,$F9)="","NA",INDEX(Results_Long!$Q:$Q,$F9))</f>
        <v>9.0315500661136902E-3</v>
      </c>
      <c r="M9" s="10" t="str">
        <f>IF(INDEX(Results_Long!$T:$T,$F9)="","NA",INDEX(Results_Long!$T:$T,$F9))</f>
        <v>NA</v>
      </c>
      <c r="N9" s="10" t="str">
        <f>IF(INDEX(Results_Long!$U:$U,$F9)="","NA",INDEX(Results_Long!$U:$U,$F9))</f>
        <v>NA</v>
      </c>
      <c r="O9" s="10" t="str">
        <f>IF(INDEX(Results_Long!$V:$V,$F9)="","NA",INDEX(Results_Long!$V:$V,$F9))</f>
        <v>NA</v>
      </c>
      <c r="P9" s="10">
        <f>IF(INDEX(Results_Long!$L:$L,$F9)="","NA",INDEX(Results_Long!$L:$L,$F9))</f>
        <v>1.8895156015201399E-2</v>
      </c>
      <c r="Q9" s="11">
        <f>IF(INDEX(Results_Long!$M:$M,$F9)="","NA",INDEX(Results_Long!$M:$M,$F9))</f>
        <v>-1.7639883716993701</v>
      </c>
      <c r="R9" s="12">
        <f>IF(INDEX(Results_Long!$N:$N,$F9)="","NA",INDEX(Results_Long!$N:$N,$F9))</f>
        <v>9.5644089445307507</v>
      </c>
      <c r="S9" s="10">
        <f>IF(INDEX(Results_Long!$O:$O,$F9)="","NA",INDEX(Results_Long!$O:$O,$F9))</f>
        <v>0.10957911179779301</v>
      </c>
      <c r="T9" s="6" t="str">
        <f>IF(INDEX(Results_Long!$AG:$AG,$F9)="","NA",INDEX(Results_Long!$AG:$AG,$F9))</f>
        <v>NA</v>
      </c>
      <c r="U9" s="5" t="str">
        <f>IF(INDEX(Results_Long!$AJ:$AJ,$F9)="","NA",INDEX(Results_Long!$AJ:$AJ,$F9))</f>
        <v>rma.mv mods=~ 0 + pp_cell (break 2011, cell-means); random ~1|cluster_id/study/esid; V blocks within cluster_id, rho=0.6; CR2/Satterthwaite on cluster_id [D31.1/A.2]; domain period domain 2705/113/112; post cell: 2077 ES / 93 studies / 92 clusters; rule: share_2011 &gt;= 0.5, ties to Post [F60/DEC-024]; candidate year of the sup-break grid [DEC-045/H-Q6]; difference of Fisher-z means</v>
      </c>
      <c r="V9" s="16">
        <v>2011</v>
      </c>
      <c r="W9" s="17">
        <f t="shared" si="0"/>
        <v>1.7639883716993701</v>
      </c>
    </row>
    <row r="10" spans="1:23" ht="68.25" customHeight="1" x14ac:dyDescent="0.3">
      <c r="A10" s="6" t="s">
        <v>234</v>
      </c>
      <c r="B10" s="7" t="s">
        <v>225</v>
      </c>
      <c r="C10" s="7" t="s">
        <v>235</v>
      </c>
      <c r="D10" s="7" t="s">
        <v>184</v>
      </c>
      <c r="E10" s="7" t="s">
        <v>227</v>
      </c>
      <c r="F10" s="8">
        <f>SUMPRODUCT((Results_Long!$A$2:$A$178=$B10)*(Results_Long!$B$2:$B$178=$C10)*(Results_Long!$C$2:$C$178=$D10)*(Results_Long!$D$2:$D$178=$E10)*ROW(Results_Long!$A$2:$A$178))</f>
        <v>16</v>
      </c>
      <c r="G10" s="9">
        <f>IF(INDEX(Results_Long!$H:$H,$F10)="","NA",INDEX(Results_Long!$H:$H,$F10))</f>
        <v>2705</v>
      </c>
      <c r="H10" s="9">
        <f>IF(INDEX(Results_Long!$I:$I,$F10)="","NA",INDEX(Results_Long!$I:$I,$F10))</f>
        <v>113</v>
      </c>
      <c r="I10" s="9">
        <f>IF(INDEX(Results_Long!$J:$J,$F10)="","NA",INDEX(Results_Long!$J:$J,$F10))</f>
        <v>112</v>
      </c>
      <c r="J10" s="10">
        <f>IF(INDEX(Results_Long!$K:$K,$F10)="","NA",INDEX(Results_Long!$K:$K,$F10))</f>
        <v>-9.4643433339156697E-4</v>
      </c>
      <c r="K10" s="10">
        <f>IF(INDEX(Results_Long!$P:$P,$F10)="","NA",INDEX(Results_Long!$P:$P,$F10))</f>
        <v>-3.8387515772002598E-2</v>
      </c>
      <c r="L10" s="10">
        <f>IF(INDEX(Results_Long!$Q:$Q,$F10)="","NA",INDEX(Results_Long!$Q:$Q,$F10))</f>
        <v>3.6494647105219498E-2</v>
      </c>
      <c r="M10" s="10" t="str">
        <f>IF(INDEX(Results_Long!$T:$T,$F10)="","NA",INDEX(Results_Long!$T:$T,$F10))</f>
        <v>NA</v>
      </c>
      <c r="N10" s="10" t="str">
        <f>IF(INDEX(Results_Long!$U:$U,$F10)="","NA",INDEX(Results_Long!$U:$U,$F10))</f>
        <v>NA</v>
      </c>
      <c r="O10" s="10" t="str">
        <f>IF(INDEX(Results_Long!$V:$V,$F10)="","NA",INDEX(Results_Long!$V:$V,$F10))</f>
        <v>NA</v>
      </c>
      <c r="P10" s="10">
        <f>IF(INDEX(Results_Long!$L:$L,$F10)="","NA",INDEX(Results_Long!$L:$L,$F10))</f>
        <v>1.7128674782848099E-2</v>
      </c>
      <c r="Q10" s="11">
        <f>IF(INDEX(Results_Long!$M:$M,$F10)="","NA",INDEX(Results_Long!$M:$M,$F10))</f>
        <v>-5.5254381637234597E-2</v>
      </c>
      <c r="R10" s="12">
        <f>IF(INDEX(Results_Long!$N:$N,$F10)="","NA",INDEX(Results_Long!$N:$N,$F10))</f>
        <v>11.6604045607698</v>
      </c>
      <c r="S10" s="10">
        <f>IF(INDEX(Results_Long!$O:$O,$F10)="","NA",INDEX(Results_Long!$O:$O,$F10))</f>
        <v>0.95687124469195695</v>
      </c>
      <c r="T10" s="6" t="str">
        <f>IF(INDEX(Results_Long!$AG:$AG,$F10)="","NA",INDEX(Results_Long!$AG:$AG,$F10))</f>
        <v>NA</v>
      </c>
      <c r="U10" s="5" t="str">
        <f>IF(INDEX(Results_Long!$AJ:$AJ,$F10)="","NA",INDEX(Results_Long!$AJ:$AJ,$F10))</f>
        <v>rma.mv mods=~ 0 + pp_cell (break 2012, cell-means); random ~1|cluster_id/study/esid; V blocks within cluster_id, rho=0.6; CR2/Satterthwaite on cluster_id [D31.1/A.2]; domain period domain 2705/113/112; post cell: 1769 ES / 82 studies / 81 clusters; rule: share_2012 &gt;= 0.5, ties to Post [F60/DEC-024]; candidate year of the sup-break grid [DEC-045/H-Q6]; difference of Fisher-z means</v>
      </c>
      <c r="V10" s="16">
        <v>2012</v>
      </c>
      <c r="W10" s="17">
        <f t="shared" si="0"/>
        <v>5.5254381637234597E-2</v>
      </c>
    </row>
    <row r="11" spans="1:23" ht="68.25" customHeight="1" x14ac:dyDescent="0.3">
      <c r="A11" s="6" t="s">
        <v>236</v>
      </c>
      <c r="B11" s="7" t="s">
        <v>225</v>
      </c>
      <c r="C11" s="7" t="s">
        <v>237</v>
      </c>
      <c r="D11" s="7" t="s">
        <v>184</v>
      </c>
      <c r="E11" s="7" t="s">
        <v>227</v>
      </c>
      <c r="F11" s="8">
        <f>SUMPRODUCT((Results_Long!$A$2:$A$178=$B11)*(Results_Long!$B$2:$B$178=$C11)*(Results_Long!$C$2:$C$178=$D11)*(Results_Long!$D$2:$D$178=$E11)*ROW(Results_Long!$A$2:$A$178))</f>
        <v>17</v>
      </c>
      <c r="G11" s="9">
        <f>IF(INDEX(Results_Long!$H:$H,$F11)="","NA",INDEX(Results_Long!$H:$H,$F11))</f>
        <v>2705</v>
      </c>
      <c r="H11" s="9">
        <f>IF(INDEX(Results_Long!$I:$I,$F11)="","NA",INDEX(Results_Long!$I:$I,$F11))</f>
        <v>113</v>
      </c>
      <c r="I11" s="9">
        <f>IF(INDEX(Results_Long!$J:$J,$F11)="","NA",INDEX(Results_Long!$J:$J,$F11))</f>
        <v>112</v>
      </c>
      <c r="J11" s="10">
        <f>IF(INDEX(Results_Long!$K:$K,$F11)="","NA",INDEX(Results_Long!$K:$K,$F11))</f>
        <v>2.5954304620495E-2</v>
      </c>
      <c r="K11" s="10">
        <f>IF(INDEX(Results_Long!$P:$P,$F11)="","NA",INDEX(Results_Long!$P:$P,$F11))</f>
        <v>-2.0202988833366901E-2</v>
      </c>
      <c r="L11" s="10">
        <f>IF(INDEX(Results_Long!$Q:$Q,$F11)="","NA",INDEX(Results_Long!$Q:$Q,$F11))</f>
        <v>7.2111598074356797E-2</v>
      </c>
      <c r="M11" s="10" t="str">
        <f>IF(INDEX(Results_Long!$T:$T,$F11)="","NA",INDEX(Results_Long!$T:$T,$F11))</f>
        <v>NA</v>
      </c>
      <c r="N11" s="10" t="str">
        <f>IF(INDEX(Results_Long!$U:$U,$F11)="","NA",INDEX(Results_Long!$U:$U,$F11))</f>
        <v>NA</v>
      </c>
      <c r="O11" s="10" t="str">
        <f>IF(INDEX(Results_Long!$V:$V,$F11)="","NA",INDEX(Results_Long!$V:$V,$F11))</f>
        <v>NA</v>
      </c>
      <c r="P11" s="10">
        <f>IF(INDEX(Results_Long!$L:$L,$F11)="","NA",INDEX(Results_Long!$L:$L,$F11))</f>
        <v>2.1560616702951899E-2</v>
      </c>
      <c r="Q11" s="11">
        <f>IF(INDEX(Results_Long!$M:$M,$F11)="","NA",INDEX(Results_Long!$M:$M,$F11))</f>
        <v>1.2037830354333801</v>
      </c>
      <c r="R11" s="12">
        <f>IF(INDEX(Results_Long!$N:$N,$F11)="","NA",INDEX(Results_Long!$N:$N,$F11))</f>
        <v>14.282389719189799</v>
      </c>
      <c r="S11" s="10">
        <f>IF(INDEX(Results_Long!$O:$O,$F11)="","NA",INDEX(Results_Long!$O:$O,$F11))</f>
        <v>0.24824615664965999</v>
      </c>
      <c r="T11" s="6" t="str">
        <f>IF(INDEX(Results_Long!$AG:$AG,$F11)="","NA",INDEX(Results_Long!$AG:$AG,$F11))</f>
        <v>NA</v>
      </c>
      <c r="U11" s="5" t="str">
        <f>IF(INDEX(Results_Long!$AJ:$AJ,$F11)="","NA",INDEX(Results_Long!$AJ:$AJ,$F11))</f>
        <v>rma.mv mods=~ 0 + pp_cell (break 2013, cell-means); random ~1|cluster_id/study/esid; V blocks within cluster_id, rho=0.6; CR2/Satterthwaite on cluster_id [D31.1/A.2]; domain period domain 2705/113/112; post cell: 1486 ES / 69 studies / 69 clusters; rule: share_2013 &gt;= 0.5, ties to Post [F60/DEC-024]; candidate year of the sup-break grid [DEC-045/H-Q6]; difference of Fisher-z means</v>
      </c>
      <c r="V11" s="16">
        <v>2013</v>
      </c>
      <c r="W11" s="17">
        <f t="shared" si="0"/>
        <v>1.2037830354333801</v>
      </c>
    </row>
    <row r="12" spans="1:23" ht="68.25" customHeight="1" x14ac:dyDescent="0.3">
      <c r="A12" s="6" t="s">
        <v>238</v>
      </c>
      <c r="B12" s="7" t="s">
        <v>225</v>
      </c>
      <c r="C12" s="7" t="s">
        <v>239</v>
      </c>
      <c r="D12" s="7" t="s">
        <v>184</v>
      </c>
      <c r="E12" s="7" t="s">
        <v>227</v>
      </c>
      <c r="F12" s="8">
        <f>SUMPRODUCT((Results_Long!$A$2:$A$178=$B12)*(Results_Long!$B$2:$B$178=$C12)*(Results_Long!$C$2:$C$178=$D12)*(Results_Long!$D$2:$D$178=$E12)*ROW(Results_Long!$A$2:$A$178))</f>
        <v>18</v>
      </c>
      <c r="G12" s="9">
        <f>IF(INDEX(Results_Long!$H:$H,$F12)="","NA",INDEX(Results_Long!$H:$H,$F12))</f>
        <v>2705</v>
      </c>
      <c r="H12" s="9">
        <f>IF(INDEX(Results_Long!$I:$I,$F12)="","NA",INDEX(Results_Long!$I:$I,$F12))</f>
        <v>113</v>
      </c>
      <c r="I12" s="9">
        <f>IF(INDEX(Results_Long!$J:$J,$F12)="","NA",INDEX(Results_Long!$J:$J,$F12))</f>
        <v>112</v>
      </c>
      <c r="J12" s="10">
        <f>IF(INDEX(Results_Long!$K:$K,$F12)="","NA",INDEX(Results_Long!$K:$K,$F12))</f>
        <v>2.3149445503747802E-2</v>
      </c>
      <c r="K12" s="10">
        <f>IF(INDEX(Results_Long!$P:$P,$F12)="","NA",INDEX(Results_Long!$P:$P,$F12))</f>
        <v>-2.40373982166141E-2</v>
      </c>
      <c r="L12" s="10">
        <f>IF(INDEX(Results_Long!$Q:$Q,$F12)="","NA",INDEX(Results_Long!$Q:$Q,$F12))</f>
        <v>7.0336289224109602E-2</v>
      </c>
      <c r="M12" s="10" t="str">
        <f>IF(INDEX(Results_Long!$T:$T,$F12)="","NA",INDEX(Results_Long!$T:$T,$F12))</f>
        <v>NA</v>
      </c>
      <c r="N12" s="10" t="str">
        <f>IF(INDEX(Results_Long!$U:$U,$F12)="","NA",INDEX(Results_Long!$U:$U,$F12))</f>
        <v>NA</v>
      </c>
      <c r="O12" s="10" t="str">
        <f>IF(INDEX(Results_Long!$V:$V,$F12)="","NA",INDEX(Results_Long!$V:$V,$F12))</f>
        <v>NA</v>
      </c>
      <c r="P12" s="10">
        <f>IF(INDEX(Results_Long!$L:$L,$F12)="","NA",INDEX(Results_Long!$L:$L,$F12))</f>
        <v>2.2786092630107498E-2</v>
      </c>
      <c r="Q12" s="11">
        <f>IF(INDEX(Results_Long!$M:$M,$F12)="","NA",INDEX(Results_Long!$M:$M,$F12))</f>
        <v>1.01594625632129</v>
      </c>
      <c r="R12" s="12">
        <f>IF(INDEX(Results_Long!$N:$N,$F12)="","NA",INDEX(Results_Long!$N:$N,$F12))</f>
        <v>22.565948754774201</v>
      </c>
      <c r="S12" s="10">
        <f>IF(INDEX(Results_Long!$O:$O,$F12)="","NA",INDEX(Results_Long!$O:$O,$F12))</f>
        <v>0.32042465519350899</v>
      </c>
      <c r="T12" s="6" t="str">
        <f>IF(INDEX(Results_Long!$AG:$AG,$F12)="","NA",INDEX(Results_Long!$AG:$AG,$F12))</f>
        <v>NA</v>
      </c>
      <c r="U12" s="5" t="str">
        <f>IF(INDEX(Results_Long!$AJ:$AJ,$F12)="","NA",INDEX(Results_Long!$AJ:$AJ,$F12))</f>
        <v>rma.mv mods=~ 0 + pp_cell (break 2014, cell-means); random ~1|cluster_id/study/esid; V blocks within cluster_id, rho=0.6; CR2/Satterthwaite on cluster_id [D31.1/A.2]; domain period domain 2705/113/112; post cell: 1269 ES / 55 studies / 55 clusters; rule: share_2014 &gt;= 0.5, ties to Post [F60/DEC-024]; candidate year of the sup-break grid [DEC-045/H-Q6]; difference of Fisher-z means</v>
      </c>
      <c r="V12" s="16">
        <v>2014</v>
      </c>
      <c r="W12" s="17">
        <f t="shared" si="0"/>
        <v>1.01594625632129</v>
      </c>
    </row>
    <row r="13" spans="1:23" ht="68.25" customHeight="1" x14ac:dyDescent="0.3">
      <c r="A13" s="6" t="s">
        <v>240</v>
      </c>
      <c r="B13" s="7" t="s">
        <v>225</v>
      </c>
      <c r="C13" s="7" t="s">
        <v>241</v>
      </c>
      <c r="D13" s="7" t="s">
        <v>184</v>
      </c>
      <c r="E13" s="7" t="s">
        <v>227</v>
      </c>
      <c r="F13" s="8">
        <f>SUMPRODUCT((Results_Long!$A$2:$A$178=$B13)*(Results_Long!$B$2:$B$178=$C13)*(Results_Long!$C$2:$C$178=$D13)*(Results_Long!$D$2:$D$178=$E13)*ROW(Results_Long!$A$2:$A$178))</f>
        <v>19</v>
      </c>
      <c r="G13" s="9">
        <f>IF(INDEX(Results_Long!$H:$H,$F13)="","NA",INDEX(Results_Long!$H:$H,$F13))</f>
        <v>2705</v>
      </c>
      <c r="H13" s="9">
        <f>IF(INDEX(Results_Long!$I:$I,$F13)="","NA",INDEX(Results_Long!$I:$I,$F13))</f>
        <v>113</v>
      </c>
      <c r="I13" s="9">
        <f>IF(INDEX(Results_Long!$J:$J,$F13)="","NA",INDEX(Results_Long!$J:$J,$F13))</f>
        <v>112</v>
      </c>
      <c r="J13" s="10">
        <f>IF(INDEX(Results_Long!$K:$K,$F13)="","NA",INDEX(Results_Long!$K:$K,$F13))</f>
        <v>2.3798646378053899E-3</v>
      </c>
      <c r="K13" s="10">
        <f>IF(INDEX(Results_Long!$P:$P,$F13)="","NA",INDEX(Results_Long!$P:$P,$F13))</f>
        <v>-4.02901363033214E-2</v>
      </c>
      <c r="L13" s="10">
        <f>IF(INDEX(Results_Long!$Q:$Q,$F13)="","NA",INDEX(Results_Long!$Q:$Q,$F13))</f>
        <v>4.5049865578932202E-2</v>
      </c>
      <c r="M13" s="10" t="str">
        <f>IF(INDEX(Results_Long!$T:$T,$F13)="","NA",INDEX(Results_Long!$T:$T,$F13))</f>
        <v>NA</v>
      </c>
      <c r="N13" s="10" t="str">
        <f>IF(INDEX(Results_Long!$U:$U,$F13)="","NA",INDEX(Results_Long!$U:$U,$F13))</f>
        <v>NA</v>
      </c>
      <c r="O13" s="10" t="str">
        <f>IF(INDEX(Results_Long!$V:$V,$F13)="","NA",INDEX(Results_Long!$V:$V,$F13))</f>
        <v>NA</v>
      </c>
      <c r="P13" s="10">
        <f>IF(INDEX(Results_Long!$L:$L,$F13)="","NA",INDEX(Results_Long!$L:$L,$F13))</f>
        <v>2.03234412625793E-2</v>
      </c>
      <c r="Q13" s="11">
        <f>IF(INDEX(Results_Long!$M:$M,$F13)="","NA",INDEX(Results_Long!$M:$M,$F13))</f>
        <v>0.117099491521022</v>
      </c>
      <c r="R13" s="12">
        <f>IF(INDEX(Results_Long!$N:$N,$F13)="","NA",INDEX(Results_Long!$N:$N,$F13))</f>
        <v>18.1660874811074</v>
      </c>
      <c r="S13" s="10">
        <f>IF(INDEX(Results_Long!$O:$O,$F13)="","NA",INDEX(Results_Long!$O:$O,$F13))</f>
        <v>0.90806615186335604</v>
      </c>
      <c r="T13" s="6" t="str">
        <f>IF(INDEX(Results_Long!$AG:$AG,$F13)="","NA",INDEX(Results_Long!$AG:$AG,$F13))</f>
        <v>NA</v>
      </c>
      <c r="U13" s="5" t="str">
        <f>IF(INDEX(Results_Long!$AJ:$AJ,$F13)="","NA",INDEX(Results_Long!$AJ:$AJ,$F13))</f>
        <v>rma.mv mods=~ 0 + pp_cell (break 2015, cell-means); random ~1|cluster_id/study/esid; V blocks within cluster_id, rho=0.6; CR2/Satterthwaite on cluster_id [D31.1/A.2]; domain period domain 2705/113/112; post cell: 784 ES / 38 studies / 38 clusters; rule: share_2015 &gt;= 0.5, ties to Post [F60/DEC-024]; candidate year of the sup-break grid [DEC-045/H-Q6]; difference of Fisher-z means</v>
      </c>
      <c r="V13" s="16">
        <v>2015</v>
      </c>
      <c r="W13" s="17">
        <f t="shared" si="0"/>
        <v>0.117099491521022</v>
      </c>
    </row>
    <row r="14" spans="1:23" ht="68.25" customHeight="1" x14ac:dyDescent="0.3">
      <c r="A14" s="6" t="s">
        <v>242</v>
      </c>
      <c r="B14" s="7" t="s">
        <v>225</v>
      </c>
      <c r="C14" s="7" t="s">
        <v>243</v>
      </c>
      <c r="D14" s="7" t="s">
        <v>184</v>
      </c>
      <c r="E14" s="7" t="s">
        <v>227</v>
      </c>
      <c r="F14" s="8">
        <f>SUMPRODUCT((Results_Long!$A$2:$A$178=$B14)*(Results_Long!$B$2:$B$178=$C14)*(Results_Long!$C$2:$C$178=$D14)*(Results_Long!$D$2:$D$178=$E14)*ROW(Results_Long!$A$2:$A$178))</f>
        <v>20</v>
      </c>
      <c r="G14" s="9">
        <f>IF(INDEX(Results_Long!$H:$H,$F14)="","NA",INDEX(Results_Long!$H:$H,$F14))</f>
        <v>2705</v>
      </c>
      <c r="H14" s="9">
        <f>IF(INDEX(Results_Long!$I:$I,$F14)="","NA",INDEX(Results_Long!$I:$I,$F14))</f>
        <v>113</v>
      </c>
      <c r="I14" s="9">
        <f>IF(INDEX(Results_Long!$J:$J,$F14)="","NA",INDEX(Results_Long!$J:$J,$F14))</f>
        <v>112</v>
      </c>
      <c r="J14" s="10">
        <f>IF(INDEX(Results_Long!$K:$K,$F14)="","NA",INDEX(Results_Long!$K:$K,$F14))</f>
        <v>1.01759067104026E-2</v>
      </c>
      <c r="K14" s="10">
        <f>IF(INDEX(Results_Long!$P:$P,$F14)="","NA",INDEX(Results_Long!$P:$P,$F14))</f>
        <v>-2.84206311144901E-2</v>
      </c>
      <c r="L14" s="10">
        <f>IF(INDEX(Results_Long!$Q:$Q,$F14)="","NA",INDEX(Results_Long!$Q:$Q,$F14))</f>
        <v>4.8772444535295299E-2</v>
      </c>
      <c r="M14" s="10" t="str">
        <f>IF(INDEX(Results_Long!$T:$T,$F14)="","NA",INDEX(Results_Long!$T:$T,$F14))</f>
        <v>NA</v>
      </c>
      <c r="N14" s="10" t="str">
        <f>IF(INDEX(Results_Long!$U:$U,$F14)="","NA",INDEX(Results_Long!$U:$U,$F14))</f>
        <v>NA</v>
      </c>
      <c r="O14" s="10" t="str">
        <f>IF(INDEX(Results_Long!$V:$V,$F14)="","NA",INDEX(Results_Long!$V:$V,$F14))</f>
        <v>NA</v>
      </c>
      <c r="P14" s="10">
        <f>IF(INDEX(Results_Long!$L:$L,$F14)="","NA",INDEX(Results_Long!$L:$L,$F14))</f>
        <v>1.81072824212575E-2</v>
      </c>
      <c r="Q14" s="11">
        <f>IF(INDEX(Results_Long!$M:$M,$F14)="","NA",INDEX(Results_Long!$M:$M,$F14))</f>
        <v>0.56197868203879797</v>
      </c>
      <c r="R14" s="12">
        <f>IF(INDEX(Results_Long!$N:$N,$F14)="","NA",INDEX(Results_Long!$N:$N,$F14))</f>
        <v>14.9920663728925</v>
      </c>
      <c r="S14" s="10">
        <f>IF(INDEX(Results_Long!$O:$O,$F14)="","NA",INDEX(Results_Long!$O:$O,$F14))</f>
        <v>0.58243572563051604</v>
      </c>
      <c r="T14" s="6" t="str">
        <f>IF(INDEX(Results_Long!$AG:$AG,$F14)="","NA",INDEX(Results_Long!$AG:$AG,$F14))</f>
        <v>NA</v>
      </c>
      <c r="U14" s="5" t="str">
        <f>IF(INDEX(Results_Long!$AJ:$AJ,$F14)="","NA",INDEX(Results_Long!$AJ:$AJ,$F14))</f>
        <v>rma.mv mods=~ 0 + pp_cell (break 2016, cell-means); random ~1|cluster_id/study/esid; V blocks within cluster_id, rho=0.6; CR2/Satterthwaite on cluster_id [D31.1/A.2]; domain period domain 2705/113/112; post cell: 711 ES / 31 studies / 31 clusters; rule: share_2016 &gt;= 0.5, ties to Post [F60/DEC-024]; candidate year of the sup-break grid [DEC-045/H-Q6]; difference of Fisher-z means</v>
      </c>
      <c r="V14" s="16">
        <v>2016</v>
      </c>
      <c r="W14" s="17">
        <f t="shared" si="0"/>
        <v>0.56197868203879797</v>
      </c>
    </row>
    <row r="15" spans="1:23" ht="68.25" customHeight="1" x14ac:dyDescent="0.3">
      <c r="A15" s="6" t="s">
        <v>244</v>
      </c>
      <c r="B15" s="7" t="s">
        <v>225</v>
      </c>
      <c r="C15" s="7" t="s">
        <v>245</v>
      </c>
      <c r="D15" s="7" t="s">
        <v>184</v>
      </c>
      <c r="E15" s="7" t="s">
        <v>227</v>
      </c>
      <c r="F15" s="8">
        <f>SUMPRODUCT((Results_Long!$A$2:$A$178=$B15)*(Results_Long!$B$2:$B$178=$C15)*(Results_Long!$C$2:$C$178=$D15)*(Results_Long!$D$2:$D$178=$E15)*ROW(Results_Long!$A$2:$A$178))</f>
        <v>21</v>
      </c>
      <c r="G15" s="9">
        <f>IF(INDEX(Results_Long!$H:$H,$F15)="","NA",INDEX(Results_Long!$H:$H,$F15))</f>
        <v>2705</v>
      </c>
      <c r="H15" s="9">
        <f>IF(INDEX(Results_Long!$I:$I,$F15)="","NA",INDEX(Results_Long!$I:$I,$F15))</f>
        <v>113</v>
      </c>
      <c r="I15" s="9">
        <f>IF(INDEX(Results_Long!$J:$J,$F15)="","NA",INDEX(Results_Long!$J:$J,$F15))</f>
        <v>112</v>
      </c>
      <c r="J15" s="10">
        <f>IF(INDEX(Results_Long!$K:$K,$F15)="","NA",INDEX(Results_Long!$K:$K,$F15))</f>
        <v>8.0340693802523292E-3</v>
      </c>
      <c r="K15" s="10">
        <f>IF(INDEX(Results_Long!$P:$P,$F15)="","NA",INDEX(Results_Long!$P:$P,$F15))</f>
        <v>-3.1649894158588397E-2</v>
      </c>
      <c r="L15" s="10">
        <f>IF(INDEX(Results_Long!$Q:$Q,$F15)="","NA",INDEX(Results_Long!$Q:$Q,$F15))</f>
        <v>4.7718032919093101E-2</v>
      </c>
      <c r="M15" s="10" t="str">
        <f>IF(INDEX(Results_Long!$T:$T,$F15)="","NA",INDEX(Results_Long!$T:$T,$F15))</f>
        <v>NA</v>
      </c>
      <c r="N15" s="10" t="str">
        <f>IF(INDEX(Results_Long!$U:$U,$F15)="","NA",INDEX(Results_Long!$U:$U,$F15))</f>
        <v>NA</v>
      </c>
      <c r="O15" s="10" t="str">
        <f>IF(INDEX(Results_Long!$V:$V,$F15)="","NA",INDEX(Results_Long!$V:$V,$F15))</f>
        <v>NA</v>
      </c>
      <c r="P15" s="10">
        <f>IF(INDEX(Results_Long!$L:$L,$F15)="","NA",INDEX(Results_Long!$L:$L,$F15))</f>
        <v>1.800013275341E-2</v>
      </c>
      <c r="Q15" s="11">
        <f>IF(INDEX(Results_Long!$M:$M,$F15)="","NA",INDEX(Results_Long!$M:$M,$F15))</f>
        <v>0.44633389599475698</v>
      </c>
      <c r="R15" s="12">
        <f>IF(INDEX(Results_Long!$N:$N,$F15)="","NA",INDEX(Results_Long!$N:$N,$F15))</f>
        <v>10.8521828308988</v>
      </c>
      <c r="S15" s="10">
        <f>IF(INDEX(Results_Long!$O:$O,$F15)="","NA",INDEX(Results_Long!$O:$O,$F15))</f>
        <v>0.66413079969344402</v>
      </c>
      <c r="T15" s="6" t="str">
        <f>IF(INDEX(Results_Long!$AG:$AG,$F15)="","NA",INDEX(Results_Long!$AG:$AG,$F15))</f>
        <v>NA</v>
      </c>
      <c r="U15" s="5" t="str">
        <f>IF(INDEX(Results_Long!$AJ:$AJ,$F15)="","NA",INDEX(Results_Long!$AJ:$AJ,$F15))</f>
        <v>rma.mv mods=~ 0 + pp_cell (break 2017, cell-means); random ~1|cluster_id/study/esid; V blocks within cluster_id, rho=0.6; CR2/Satterthwaite on cluster_id [D31.1/A.2]; domain period domain 2705/113/112; post cell: 623 ES / 23 studies / 23 clusters; rule: share_2017 &gt;= 0.5, ties to Post [F60/DEC-024]; candidate year of the sup-break grid [DEC-045/H-Q6]; difference of Fisher-z means</v>
      </c>
      <c r="V15" s="16">
        <v>2017</v>
      </c>
      <c r="W15" s="17">
        <f t="shared" si="0"/>
        <v>0.44633389599475698</v>
      </c>
    </row>
    <row r="16" spans="1:23" ht="68.25" customHeight="1" x14ac:dyDescent="0.3">
      <c r="A16" s="6" t="s">
        <v>246</v>
      </c>
      <c r="B16" s="7" t="s">
        <v>225</v>
      </c>
      <c r="C16" s="7" t="s">
        <v>247</v>
      </c>
      <c r="D16" s="7" t="s">
        <v>184</v>
      </c>
      <c r="E16" s="7" t="s">
        <v>227</v>
      </c>
      <c r="F16" s="8">
        <f>SUMPRODUCT((Results_Long!$A$2:$A$178=$B16)*(Results_Long!$B$2:$B$178=$C16)*(Results_Long!$C$2:$C$178=$D16)*(Results_Long!$D$2:$D$178=$E16)*ROW(Results_Long!$A$2:$A$178))</f>
        <v>22</v>
      </c>
      <c r="G16" s="9">
        <f>IF(INDEX(Results_Long!$H:$H,$F16)="","NA",INDEX(Results_Long!$H:$H,$F16))</f>
        <v>2705</v>
      </c>
      <c r="H16" s="9">
        <f>IF(INDEX(Results_Long!$I:$I,$F16)="","NA",INDEX(Results_Long!$I:$I,$F16))</f>
        <v>113</v>
      </c>
      <c r="I16" s="9">
        <f>IF(INDEX(Results_Long!$J:$J,$F16)="","NA",INDEX(Results_Long!$J:$J,$F16))</f>
        <v>112</v>
      </c>
      <c r="J16" s="10">
        <f>IF(INDEX(Results_Long!$K:$K,$F16)="","NA",INDEX(Results_Long!$K:$K,$F16))</f>
        <v>3.1230425951205699E-3</v>
      </c>
      <c r="K16" s="10">
        <f>IF(INDEX(Results_Long!$P:$P,$F16)="","NA",INDEX(Results_Long!$P:$P,$F16))</f>
        <v>-4.3459770173612598E-2</v>
      </c>
      <c r="L16" s="10">
        <f>IF(INDEX(Results_Long!$Q:$Q,$F16)="","NA",INDEX(Results_Long!$Q:$Q,$F16))</f>
        <v>4.9705855363853697E-2</v>
      </c>
      <c r="M16" s="10" t="str">
        <f>IF(INDEX(Results_Long!$T:$T,$F16)="","NA",INDEX(Results_Long!$T:$T,$F16))</f>
        <v>NA</v>
      </c>
      <c r="N16" s="10" t="str">
        <f>IF(INDEX(Results_Long!$U:$U,$F16)="","NA",INDEX(Results_Long!$U:$U,$F16))</f>
        <v>NA</v>
      </c>
      <c r="O16" s="10" t="str">
        <f>IF(INDEX(Results_Long!$V:$V,$F16)="","NA",INDEX(Results_Long!$V:$V,$F16))</f>
        <v>NA</v>
      </c>
      <c r="P16" s="10">
        <f>IF(INDEX(Results_Long!$L:$L,$F16)="","NA",INDEX(Results_Long!$L:$L,$F16))</f>
        <v>2.22382657452244E-2</v>
      </c>
      <c r="Q16" s="11">
        <f>IF(INDEX(Results_Long!$M:$M,$F16)="","NA",INDEX(Results_Long!$M:$M,$F16))</f>
        <v>0.140435528152245</v>
      </c>
      <c r="R16" s="12">
        <f>IF(INDEX(Results_Long!$N:$N,$F16)="","NA",INDEX(Results_Long!$N:$N,$F16))</f>
        <v>18.7761441211637</v>
      </c>
      <c r="S16" s="10">
        <f>IF(INDEX(Results_Long!$O:$O,$F16)="","NA",INDEX(Results_Long!$O:$O,$F16))</f>
        <v>0.88981150913840201</v>
      </c>
      <c r="T16" s="6" t="str">
        <f>IF(INDEX(Results_Long!$AG:$AG,$F16)="","NA",INDEX(Results_Long!$AG:$AG,$F16))</f>
        <v>NA</v>
      </c>
      <c r="U16" s="5" t="str">
        <f>IF(INDEX(Results_Long!$AJ:$AJ,$F16)="","NA",INDEX(Results_Long!$AJ:$AJ,$F16))</f>
        <v>rma.mv mods=~ 0 + pp_cell (break 2018, cell-means); random ~1|cluster_id/study/esid; V blocks within cluster_id, rho=0.6; CR2/Satterthwaite on cluster_id [D31.1/A.2]; domain period domain 2705/113/112; post cell: 506 ES / 15 studies / 15 clusters; rule: share_2018 &gt;= 0.5, ties to Post [F60/DEC-024]; candidate year of the sup-break grid [DEC-045/H-Q6]; difference of Fisher-z means</v>
      </c>
      <c r="V16" s="16">
        <v>2018</v>
      </c>
      <c r="W16" s="17">
        <f t="shared" si="0"/>
        <v>0.140435528152245</v>
      </c>
    </row>
    <row r="17" spans="1:23" ht="68.25" customHeight="1" x14ac:dyDescent="0.3">
      <c r="A17" s="6" t="s">
        <v>248</v>
      </c>
      <c r="B17" s="7" t="s">
        <v>225</v>
      </c>
      <c r="C17" s="7" t="s">
        <v>249</v>
      </c>
      <c r="D17" s="7" t="s">
        <v>184</v>
      </c>
      <c r="E17" s="7" t="s">
        <v>227</v>
      </c>
      <c r="F17" s="8">
        <f>SUMPRODUCT((Results_Long!$A$2:$A$178=$B17)*(Results_Long!$B$2:$B$178=$C17)*(Results_Long!$C$2:$C$178=$D17)*(Results_Long!$D$2:$D$178=$E17)*ROW(Results_Long!$A$2:$A$178))</f>
        <v>23</v>
      </c>
      <c r="G17" s="9">
        <f>IF(INDEX(Results_Long!$H:$H,$F17)="","NA",INDEX(Results_Long!$H:$H,$F17))</f>
        <v>2705</v>
      </c>
      <c r="H17" s="9">
        <f>IF(INDEX(Results_Long!$I:$I,$F17)="","NA",INDEX(Results_Long!$I:$I,$F17))</f>
        <v>113</v>
      </c>
      <c r="I17" s="9">
        <f>IF(INDEX(Results_Long!$J:$J,$F17)="","NA",INDEX(Results_Long!$J:$J,$F17))</f>
        <v>112</v>
      </c>
      <c r="J17" s="10">
        <f>IF(INDEX(Results_Long!$K:$K,$F17)="","NA",INDEX(Results_Long!$K:$K,$F17))</f>
        <v>4.2056665621964997E-3</v>
      </c>
      <c r="K17" s="10">
        <f>IF(INDEX(Results_Long!$P:$P,$F17)="","NA",INDEX(Results_Long!$P:$P,$F17))</f>
        <v>-4.4236954124878498E-2</v>
      </c>
      <c r="L17" s="10">
        <f>IF(INDEX(Results_Long!$Q:$Q,$F17)="","NA",INDEX(Results_Long!$Q:$Q,$F17))</f>
        <v>5.2648287249271501E-2</v>
      </c>
      <c r="M17" s="10" t="str">
        <f>IF(INDEX(Results_Long!$T:$T,$F17)="","NA",INDEX(Results_Long!$T:$T,$F17))</f>
        <v>NA</v>
      </c>
      <c r="N17" s="10" t="str">
        <f>IF(INDEX(Results_Long!$U:$U,$F17)="","NA",INDEX(Results_Long!$U:$U,$F17))</f>
        <v>NA</v>
      </c>
      <c r="O17" s="10" t="str">
        <f>IF(INDEX(Results_Long!$V:$V,$F17)="","NA",INDEX(Results_Long!$V:$V,$F17))</f>
        <v>NA</v>
      </c>
      <c r="P17" s="10">
        <f>IF(INDEX(Results_Long!$L:$L,$F17)="","NA",INDEX(Results_Long!$L:$L,$F17))</f>
        <v>2.2784454357159801E-2</v>
      </c>
      <c r="Q17" s="11">
        <f>IF(INDEX(Results_Long!$M:$M,$F17)="","NA",INDEX(Results_Long!$M:$M,$F17))</f>
        <v>0.184584914620741</v>
      </c>
      <c r="R17" s="12">
        <f>IF(INDEX(Results_Long!$N:$N,$F17)="","NA",INDEX(Results_Long!$N:$N,$F17))</f>
        <v>15.443904167078101</v>
      </c>
      <c r="S17" s="10">
        <f>IF(INDEX(Results_Long!$O:$O,$F17)="","NA",INDEX(Results_Long!$O:$O,$F17))</f>
        <v>0.85595666796786096</v>
      </c>
      <c r="T17" s="6" t="str">
        <f>IF(INDEX(Results_Long!$AG:$AG,$F17)="","NA",INDEX(Results_Long!$AG:$AG,$F17))</f>
        <v>NA</v>
      </c>
      <c r="U17" s="5" t="str">
        <f>IF(INDEX(Results_Long!$AJ:$AJ,$F17)="","NA",INDEX(Results_Long!$AJ:$AJ,$F17))</f>
        <v>rma.mv mods=~ 0 + pp_cell (break 2019, cell-means); random ~1|cluster_id/study/esid; V blocks within cluster_id, rho=0.6; CR2/Satterthwaite on cluster_id [D31.1/A.2]; domain period domain 2705/113/112; post cell: 323 ES / 13 studies / 13 clusters; rule: share_2019 &gt;= 0.5, ties to Post [F60/DEC-024]; candidate year of the sup-break grid [DEC-045/H-Q6]; difference of Fisher-z means</v>
      </c>
      <c r="V17" s="16">
        <v>2019</v>
      </c>
      <c r="W17" s="17">
        <f t="shared" si="0"/>
        <v>0.184584914620741</v>
      </c>
    </row>
    <row r="18" spans="1:23" ht="90.75" customHeight="1" x14ac:dyDescent="0.3">
      <c r="A18" s="6" t="s">
        <v>250</v>
      </c>
      <c r="B18" s="7" t="s">
        <v>225</v>
      </c>
      <c r="C18" s="7" t="s">
        <v>251</v>
      </c>
      <c r="D18" s="7" t="s">
        <v>184</v>
      </c>
      <c r="E18" s="7" t="s">
        <v>252</v>
      </c>
      <c r="F18" s="8">
        <f>SUMPRODUCT((Results_Long!$A$2:$A$178=$B18)*(Results_Long!$B$2:$B$178=$C18)*(Results_Long!$C$2:$C$178=$D18)*(Results_Long!$D$2:$D$178=$E18)*ROW(Results_Long!$A$2:$A$178))</f>
        <v>24</v>
      </c>
      <c r="G18" s="9">
        <f>IF(INDEX(Results_Long!$H:$H,$F18)="","NA",INDEX(Results_Long!$H:$H,$F18))</f>
        <v>2705</v>
      </c>
      <c r="H18" s="9">
        <f>IF(INDEX(Results_Long!$I:$I,$F18)="","NA",INDEX(Results_Long!$I:$I,$F18))</f>
        <v>113</v>
      </c>
      <c r="I18" s="9">
        <f>IF(INDEX(Results_Long!$J:$J,$F18)="","NA",INDEX(Results_Long!$J:$J,$F18))</f>
        <v>112</v>
      </c>
      <c r="J18" s="10" t="str">
        <f>IF(INDEX(Results_Long!$K:$K,$F18)="","NA",INDEX(Results_Long!$K:$K,$F18))</f>
        <v>NA</v>
      </c>
      <c r="K18" s="10" t="str">
        <f>IF(INDEX(Results_Long!$P:$P,$F18)="","NA",INDEX(Results_Long!$P:$P,$F18))</f>
        <v>NA</v>
      </c>
      <c r="L18" s="10" t="str">
        <f>IF(INDEX(Results_Long!$Q:$Q,$F18)="","NA",INDEX(Results_Long!$Q:$Q,$F18))</f>
        <v>NA</v>
      </c>
      <c r="M18" s="10" t="str">
        <f>IF(INDEX(Results_Long!$T:$T,$F18)="","NA",INDEX(Results_Long!$T:$T,$F18))</f>
        <v>NA</v>
      </c>
      <c r="N18" s="10" t="str">
        <f>IF(INDEX(Results_Long!$U:$U,$F18)="","NA",INDEX(Results_Long!$U:$U,$F18))</f>
        <v>NA</v>
      </c>
      <c r="O18" s="10" t="str">
        <f>IF(INDEX(Results_Long!$V:$V,$F18)="","NA",INDEX(Results_Long!$V:$V,$F18))</f>
        <v>NA</v>
      </c>
      <c r="P18" s="10" t="str">
        <f>IF(INDEX(Results_Long!$L:$L,$F18)="","NA",INDEX(Results_Long!$L:$L,$F18))</f>
        <v>NA</v>
      </c>
      <c r="Q18" s="11" t="str">
        <f>IF(INDEX(Results_Long!$M:$M,$F18)="","NA",INDEX(Results_Long!$M:$M,$F18))</f>
        <v>NA</v>
      </c>
      <c r="R18" s="12" t="str">
        <f>IF(INDEX(Results_Long!$N:$N,$F18)="","NA",INDEX(Results_Long!$N:$N,$F18))</f>
        <v>NA</v>
      </c>
      <c r="S18" s="10" t="str">
        <f>IF(INDEX(Results_Long!$O:$O,$F18)="","NA",INDEX(Results_Long!$O:$O,$F18))</f>
        <v>NA</v>
      </c>
      <c r="T18" s="6">
        <f>IF(INDEX(Results_Long!$AG:$AG,$F18)="","NA",INDEX(Results_Long!$AG:$AG,$F18))</f>
        <v>2.1225331888738901</v>
      </c>
      <c r="U18" s="5" t="str">
        <f>IF(INDEX(Results_Long!$AJ:$AJ,$F18)="","NA",INDEX(Results_Long!$AJ:$AJ,$F18))</f>
        <v>sup |t| over the ADMISSIBLE candidate years (df &gt;= 5 on the break coefficient [DEC-024 transfer rule / H-Q6]); attained at 2009; admissible set computed ONCE on the observed design and held fixed for the TH-c permutation [H-Q20]; |t| by year: 2008=1.3633(df 14.9), 2009=2.1225(df 6.3), 2010=1.8934(df 6.8), 2011=1.7640(df 9.6), 2012=0.0553(df 11.7), 2013=1.2038(df 14.3), 2014=1.0159(df 22.6), 2015=0.1171(df 18.2), 2016=0.5620(df 15.0), 2017=0.4463(df 10.9), 2018=0.1404(df 18.8), 2019=0.1846(df 15.4); p_perm from TH-c</v>
      </c>
    </row>
    <row r="20" spans="1:23" ht="15" customHeight="1" x14ac:dyDescent="0.3">
      <c r="U20" s="13" t="s">
        <v>253</v>
      </c>
      <c r="W20" s="18">
        <f>MAX($W$6:$W$17)</f>
        <v>2.1225331888738901</v>
      </c>
    </row>
    <row r="21" spans="1:23" ht="15" customHeight="1" x14ac:dyDescent="0.3">
      <c r="U21" s="13" t="s">
        <v>254</v>
      </c>
      <c r="W21" s="19">
        <f>INDEX($V$6:$V$17,MATCH($W$20,$W$6:$W$17,0))</f>
        <v>2009</v>
      </c>
    </row>
    <row r="22" spans="1:23" ht="15" customHeight="1" x14ac:dyDescent="0.3">
      <c r="U22" s="13" t="s">
        <v>255</v>
      </c>
      <c r="W22" s="20">
        <f>$T$18-$W$20</f>
        <v>0</v>
      </c>
    </row>
    <row r="24" spans="1:23" ht="15" customHeight="1" x14ac:dyDescent="0.3">
      <c r="A24" s="13" t="s">
        <v>207</v>
      </c>
    </row>
    <row r="25" spans="1:23" ht="15" customHeight="1" x14ac:dyDescent="0.3">
      <c r="A25" s="27" t="s">
        <v>256</v>
      </c>
      <c r="B25" s="28"/>
      <c r="C25" s="28"/>
      <c r="D25" s="28"/>
      <c r="E25" s="28"/>
      <c r="F25" s="28"/>
      <c r="G25" s="28"/>
      <c r="H25" s="28"/>
      <c r="I25" s="28"/>
      <c r="J25" s="28"/>
    </row>
    <row r="26" spans="1:23" ht="15" customHeight="1" x14ac:dyDescent="0.3">
      <c r="A26" s="27" t="s">
        <v>257</v>
      </c>
      <c r="B26" s="28"/>
      <c r="C26" s="28"/>
      <c r="D26" s="28"/>
      <c r="E26" s="28"/>
      <c r="F26" s="28"/>
      <c r="G26" s="28"/>
      <c r="H26" s="28"/>
      <c r="I26" s="28"/>
      <c r="J26" s="28"/>
    </row>
    <row r="27" spans="1:23" ht="15" customHeight="1" x14ac:dyDescent="0.3">
      <c r="A27" s="27" t="s">
        <v>258</v>
      </c>
      <c r="B27" s="28"/>
      <c r="C27" s="28"/>
      <c r="D27" s="28"/>
      <c r="E27" s="28"/>
      <c r="F27" s="28"/>
      <c r="G27" s="28"/>
      <c r="H27" s="28"/>
      <c r="I27" s="28"/>
      <c r="J27" s="28"/>
    </row>
    <row r="29" spans="1:23" ht="15" customHeight="1" x14ac:dyDescent="0.3">
      <c r="A29" s="3" t="s">
        <v>211</v>
      </c>
      <c r="B29" s="3" t="s">
        <v>212</v>
      </c>
    </row>
    <row r="30" spans="1:23" ht="15" customHeight="1" x14ac:dyDescent="0.3">
      <c r="A30" s="14" t="s">
        <v>259</v>
      </c>
      <c r="B30" s="27" t="s">
        <v>260</v>
      </c>
      <c r="C30" s="28"/>
      <c r="D30" s="28"/>
      <c r="E30" s="28"/>
      <c r="F30" s="28"/>
      <c r="G30" s="28"/>
      <c r="H30" s="28"/>
      <c r="I30" s="28"/>
      <c r="J30" s="28"/>
    </row>
    <row r="31" spans="1:23" ht="15" customHeight="1" x14ac:dyDescent="0.3">
      <c r="A31" s="14" t="s">
        <v>261</v>
      </c>
      <c r="B31" s="27" t="s">
        <v>262</v>
      </c>
      <c r="C31" s="28"/>
      <c r="D31" s="28"/>
      <c r="E31" s="28"/>
      <c r="F31" s="28"/>
      <c r="G31" s="28"/>
      <c r="H31" s="28"/>
      <c r="I31" s="28"/>
      <c r="J31" s="28"/>
    </row>
    <row r="33" spans="1:12" ht="15" customHeight="1" x14ac:dyDescent="0.3">
      <c r="A33" s="29" t="s">
        <v>263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</row>
  </sheetData>
  <mergeCells count="6">
    <mergeCell ref="A33:L33"/>
    <mergeCell ref="A27:J27"/>
    <mergeCell ref="B31:J31"/>
    <mergeCell ref="A26:J26"/>
    <mergeCell ref="A25:J25"/>
    <mergeCell ref="B30:J3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41"/>
  <sheetViews>
    <sheetView tabSelected="1"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8" width="9" customWidth="1"/>
    <col min="9" max="9" width="60" customWidth="1"/>
    <col min="10" max="20" width="9" customWidth="1"/>
    <col min="21" max="21" width="60" customWidth="1"/>
  </cols>
  <sheetData>
    <row r="1" spans="1:21" ht="15" customHeight="1" x14ac:dyDescent="0.3">
      <c r="A1" s="1" t="s">
        <v>264</v>
      </c>
    </row>
    <row r="2" spans="1:21" ht="15" customHeight="1" x14ac:dyDescent="0.3">
      <c r="A2" s="2" t="s">
        <v>265</v>
      </c>
    </row>
    <row r="3" spans="1:21" ht="15" customHeight="1" x14ac:dyDescent="0.3">
      <c r="A3" s="2" t="s">
        <v>2</v>
      </c>
    </row>
    <row r="5" spans="1:21" ht="15" customHeight="1" x14ac:dyDescent="0.3">
      <c r="A5" s="3" t="s">
        <v>160</v>
      </c>
      <c r="B5" s="3" t="s">
        <v>161</v>
      </c>
      <c r="C5" s="3" t="s">
        <v>162</v>
      </c>
      <c r="D5" s="3" t="s">
        <v>163</v>
      </c>
      <c r="E5" s="3" t="s">
        <v>164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175</v>
      </c>
      <c r="Q5" s="3" t="s">
        <v>176</v>
      </c>
      <c r="R5" s="3" t="s">
        <v>177</v>
      </c>
      <c r="S5" s="3" t="s">
        <v>178</v>
      </c>
      <c r="T5" s="3" t="s">
        <v>179</v>
      </c>
      <c r="U5" s="3" t="s">
        <v>180</v>
      </c>
    </row>
    <row r="6" spans="1:21" ht="57" customHeight="1" x14ac:dyDescent="0.3">
      <c r="A6" s="6" t="s">
        <v>266</v>
      </c>
      <c r="B6" s="7" t="s">
        <v>267</v>
      </c>
      <c r="C6" s="7" t="s">
        <v>268</v>
      </c>
      <c r="D6" s="7" t="s">
        <v>184</v>
      </c>
      <c r="E6" s="7" t="s">
        <v>193</v>
      </c>
      <c r="F6" s="8">
        <f>SUMPRODUCT((Results_Long!$A$2:$A$178=$B6)*(Results_Long!$B$2:$B$178=$C6)*(Results_Long!$C$2:$C$178=$D6)*(Results_Long!$D$2:$D$178=$E6)*ROW(Results_Long!$A$2:$A$178))</f>
        <v>25</v>
      </c>
      <c r="G6" s="9">
        <f>IF(INDEX(Results_Long!$H:$H,$F6)="","NA",INDEX(Results_Long!$H:$H,$F6))</f>
        <v>1994</v>
      </c>
      <c r="H6" s="9">
        <f>IF(INDEX(Results_Long!$I:$I,$F6)="","NA",INDEX(Results_Long!$I:$I,$F6))</f>
        <v>83</v>
      </c>
      <c r="I6" s="9">
        <f>IF(INDEX(Results_Long!$J:$J,$F6)="","NA",INDEX(Results_Long!$J:$J,$F6))</f>
        <v>82</v>
      </c>
      <c r="J6" s="10">
        <f>IF(INDEX(Results_Long!$K:$K,$F6)="","NA",INDEX(Results_Long!$K:$K,$F6))</f>
        <v>-6.1822115059584397E-2</v>
      </c>
      <c r="K6" s="10">
        <f>IF(INDEX(Results_Long!$P:$P,$F6)="","NA",INDEX(Results_Long!$P:$P,$F6))</f>
        <v>-9.8026895261441399E-2</v>
      </c>
      <c r="L6" s="10">
        <f>IF(INDEX(Results_Long!$Q:$Q,$F6)="","NA",INDEX(Results_Long!$Q:$Q,$F6))</f>
        <v>-2.5617334857727301E-2</v>
      </c>
      <c r="M6" s="10">
        <f>IF(INDEX(Results_Long!$T:$T,$F6)="","NA",INDEX(Results_Long!$T:$T,$F6))</f>
        <v>-6.1743474445398301E-2</v>
      </c>
      <c r="N6" s="10">
        <f>IF(INDEX(Results_Long!$U:$U,$F6)="","NA",INDEX(Results_Long!$U:$U,$F6))</f>
        <v>-9.7714108428325799E-2</v>
      </c>
      <c r="O6" s="10">
        <f>IF(INDEX(Results_Long!$V:$V,$F6)="","NA",INDEX(Results_Long!$V:$V,$F6))</f>
        <v>-2.56117325547222E-2</v>
      </c>
      <c r="P6" s="10">
        <f>IF(INDEX(Results_Long!$L:$L,$F6)="","NA",INDEX(Results_Long!$L:$L,$F6))</f>
        <v>1.81521359522013E-2</v>
      </c>
      <c r="Q6" s="11">
        <f>IF(INDEX(Results_Long!$M:$M,$F6)="","NA",INDEX(Results_Long!$M:$M,$F6))</f>
        <v>-3.40577633521344</v>
      </c>
      <c r="R6" s="12">
        <f>IF(INDEX(Results_Long!$N:$N,$F6)="","NA",INDEX(Results_Long!$N:$N,$F6))</f>
        <v>69.836894096397501</v>
      </c>
      <c r="S6" s="10">
        <f>IF(INDEX(Results_Long!$O:$O,$F6)="","NA",INDEX(Results_Long!$O:$O,$F6))</f>
        <v>1.09750216911765E-3</v>
      </c>
      <c r="T6" s="6" t="str">
        <f>IF(INDEX(Results_Long!$AG:$AG,$F6)="","NA",INDEX(Results_Long!$AG:$AG,$F6))</f>
        <v>NA</v>
      </c>
      <c r="U6" s="5" t="str">
        <f>IF(INDEX(Results_Long!$AJ:$AJ,$F6)="","NA",INDEX(Results_Long!$AJ:$AJ,$F6))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0 (pre)</v>
      </c>
    </row>
    <row r="7" spans="1:21" ht="57" customHeight="1" x14ac:dyDescent="0.3">
      <c r="A7" s="6" t="s">
        <v>269</v>
      </c>
      <c r="B7" s="7" t="s">
        <v>267</v>
      </c>
      <c r="C7" s="7" t="s">
        <v>268</v>
      </c>
      <c r="D7" s="7" t="s">
        <v>184</v>
      </c>
      <c r="E7" s="7" t="s">
        <v>195</v>
      </c>
      <c r="F7" s="8">
        <f>SUMPRODUCT((Results_Long!$A$2:$A$178=$B7)*(Results_Long!$B$2:$B$178=$C7)*(Results_Long!$C$2:$C$178=$D7)*(Results_Long!$D$2:$D$178=$E7)*ROW(Results_Long!$A$2:$A$178))</f>
        <v>26</v>
      </c>
      <c r="G7" s="9">
        <f>IF(INDEX(Results_Long!$H:$H,$F7)="","NA",INDEX(Results_Long!$H:$H,$F7))</f>
        <v>632</v>
      </c>
      <c r="H7" s="9">
        <f>IF(INDEX(Results_Long!$I:$I,$F7)="","NA",INDEX(Results_Long!$I:$I,$F7))</f>
        <v>26</v>
      </c>
      <c r="I7" s="9">
        <f>IF(INDEX(Results_Long!$J:$J,$F7)="","NA",INDEX(Results_Long!$J:$J,$F7))</f>
        <v>26</v>
      </c>
      <c r="J7" s="10">
        <f>IF(INDEX(Results_Long!$K:$K,$F7)="","NA",INDEX(Results_Long!$K:$K,$F7))</f>
        <v>-5.1231439923498601E-2</v>
      </c>
      <c r="K7" s="10">
        <f>IF(INDEX(Results_Long!$P:$P,$F7)="","NA",INDEX(Results_Long!$P:$P,$F7))</f>
        <v>-7.5648313961809405E-2</v>
      </c>
      <c r="L7" s="10">
        <f>IF(INDEX(Results_Long!$Q:$Q,$F7)="","NA",INDEX(Results_Long!$Q:$Q,$F7))</f>
        <v>-2.6814565885187699E-2</v>
      </c>
      <c r="M7" s="10">
        <f>IF(INDEX(Results_Long!$T:$T,$F7)="","NA",INDEX(Results_Long!$T:$T,$F7))</f>
        <v>-5.1186665219109501E-2</v>
      </c>
      <c r="N7" s="10">
        <f>IF(INDEX(Results_Long!$U:$U,$F7)="","NA",INDEX(Results_Long!$U:$U,$F7))</f>
        <v>-7.5504340138362602E-2</v>
      </c>
      <c r="O7" s="10">
        <f>IF(INDEX(Results_Long!$V:$V,$F7)="","NA",INDEX(Results_Long!$V:$V,$F7))</f>
        <v>-2.68081409882138E-2</v>
      </c>
      <c r="P7" s="10">
        <f>IF(INDEX(Results_Long!$L:$L,$F7)="","NA",INDEX(Results_Long!$L:$L,$F7))</f>
        <v>1.14795537140967E-2</v>
      </c>
      <c r="Q7" s="11">
        <f>IF(INDEX(Results_Long!$M:$M,$F7)="","NA",INDEX(Results_Long!$M:$M,$F7))</f>
        <v>-4.4628424762355801</v>
      </c>
      <c r="R7" s="12">
        <f>IF(INDEX(Results_Long!$N:$N,$F7)="","NA",INDEX(Results_Long!$N:$N,$F7))</f>
        <v>15.3701010197199</v>
      </c>
      <c r="S7" s="10">
        <f>IF(INDEX(Results_Long!$O:$O,$F7)="","NA",INDEX(Results_Long!$O:$O,$F7))</f>
        <v>4.3074666853445498E-4</v>
      </c>
      <c r="T7" s="6" t="str">
        <f>IF(INDEX(Results_Long!$AG:$AG,$F7)="","NA",INDEX(Results_Long!$AG:$AG,$F7))</f>
        <v>NA</v>
      </c>
      <c r="U7" s="5" t="str">
        <f>IF(INDEX(Results_Long!$AJ:$AJ,$F7)="","NA",INDEX(Results_Long!$AJ:$AJ,$F7))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1 (post)</v>
      </c>
    </row>
    <row r="8" spans="1:21" ht="102" customHeight="1" x14ac:dyDescent="0.3">
      <c r="A8" s="6" t="s">
        <v>270</v>
      </c>
      <c r="B8" s="7" t="s">
        <v>267</v>
      </c>
      <c r="C8" s="7" t="s">
        <v>268</v>
      </c>
      <c r="D8" s="7" t="s">
        <v>184</v>
      </c>
      <c r="E8" s="7" t="s">
        <v>197</v>
      </c>
      <c r="F8" s="8">
        <f>SUMPRODUCT((Results_Long!$A$2:$A$178=$B8)*(Results_Long!$B$2:$B$178=$C8)*(Results_Long!$C$2:$C$178=$D8)*(Results_Long!$D$2:$D$178=$E8)*ROW(Results_Long!$A$2:$A$178))</f>
        <v>27</v>
      </c>
      <c r="G8" s="9">
        <f>IF(INDEX(Results_Long!$H:$H,$F8)="","NA",INDEX(Results_Long!$H:$H,$F8))</f>
        <v>2626</v>
      </c>
      <c r="H8" s="9">
        <f>IF(INDEX(Results_Long!$I:$I,$F8)="","NA",INDEX(Results_Long!$I:$I,$F8))</f>
        <v>108</v>
      </c>
      <c r="I8" s="9">
        <f>IF(INDEX(Results_Long!$J:$J,$F8)="","NA",INDEX(Results_Long!$J:$J,$F8))</f>
        <v>107</v>
      </c>
      <c r="J8" s="10">
        <f>IF(INDEX(Results_Long!$K:$K,$F8)="","NA",INDEX(Results_Long!$K:$K,$F8))</f>
        <v>1.05906751360858E-2</v>
      </c>
      <c r="K8" s="10">
        <f>IF(INDEX(Results_Long!$P:$P,$F8)="","NA",INDEX(Results_Long!$P:$P,$F8))</f>
        <v>-2.9441230416872799E-2</v>
      </c>
      <c r="L8" s="10">
        <f>IF(INDEX(Results_Long!$Q:$Q,$F8)="","NA",INDEX(Results_Long!$Q:$Q,$F8))</f>
        <v>5.0622580689044398E-2</v>
      </c>
      <c r="M8" s="10" t="str">
        <f>IF(INDEX(Results_Long!$T:$T,$F8)="","NA",INDEX(Results_Long!$T:$T,$F8))</f>
        <v>NA</v>
      </c>
      <c r="N8" s="10" t="str">
        <f>IF(INDEX(Results_Long!$U:$U,$F8)="","NA",INDEX(Results_Long!$U:$U,$F8))</f>
        <v>NA</v>
      </c>
      <c r="O8" s="10" t="str">
        <f>IF(INDEX(Results_Long!$V:$V,$F8)="","NA",INDEX(Results_Long!$V:$V,$F8))</f>
        <v>NA</v>
      </c>
      <c r="P8" s="10">
        <f>IF(INDEX(Results_Long!$L:$L,$F8)="","NA",INDEX(Results_Long!$L:$L,$F8))</f>
        <v>1.8297041614265999E-2</v>
      </c>
      <c r="Q8" s="11">
        <f>IF(INDEX(Results_Long!$M:$M,$F8)="","NA",INDEX(Results_Long!$M:$M,$F8))</f>
        <v>0.57881898939489496</v>
      </c>
      <c r="R8" s="12">
        <f>IF(INDEX(Results_Long!$N:$N,$F8)="","NA",INDEX(Results_Long!$N:$N,$F8))</f>
        <v>11.5671715294422</v>
      </c>
      <c r="S8" s="10">
        <f>IF(INDEX(Results_Long!$O:$O,$F8)="","NA",INDEX(Results_Long!$O:$O,$F8))</f>
        <v>0.57380955546528001</v>
      </c>
      <c r="T8" s="6" t="str">
        <f>IF(INDEX(Results_Long!$AG:$AG,$F8)="","NA",INDEX(Results_Long!$AG:$AG,$F8))</f>
        <v>NA</v>
      </c>
      <c r="U8" s="5" t="str">
        <f>IF(INDEX(Results_Long!$AJ:$AJ,$F8)="","NA",INDEX(Results_Long!$AJ:$AJ,$F8))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post-minus-pre contrast (-1, +1); cell-means parameterization [DEC-031e/A.11]; difference of Fisher-z means; no tanh transform of differences; under Zarea's Paris operationalization (midpoint + tie-exclusion), applied within our 3L-RVE framework [DEC-045 wording pin]; post cell 31 -&gt; 26 studies under the tie-exclusion rule</v>
      </c>
    </row>
    <row r="10" spans="1:21" ht="15" customHeight="1" x14ac:dyDescent="0.3">
      <c r="A10" s="3" t="s">
        <v>160</v>
      </c>
      <c r="B10" s="3" t="s">
        <v>161</v>
      </c>
      <c r="C10" s="3" t="s">
        <v>162</v>
      </c>
      <c r="D10" s="3" t="s">
        <v>163</v>
      </c>
      <c r="E10" s="3" t="s">
        <v>164</v>
      </c>
      <c r="F10" s="3" t="s">
        <v>165</v>
      </c>
      <c r="G10" s="3" t="s">
        <v>271</v>
      </c>
      <c r="H10" s="3" t="s">
        <v>179</v>
      </c>
      <c r="I10" s="3" t="s">
        <v>180</v>
      </c>
    </row>
    <row r="11" spans="1:21" ht="45.75" customHeight="1" x14ac:dyDescent="0.3">
      <c r="A11" s="6" t="s">
        <v>272</v>
      </c>
      <c r="B11" s="7" t="s">
        <v>273</v>
      </c>
      <c r="C11" s="7" t="s">
        <v>274</v>
      </c>
      <c r="D11" s="7" t="s">
        <v>184</v>
      </c>
      <c r="E11" s="7" t="s">
        <v>275</v>
      </c>
      <c r="F11" s="8">
        <f>SUMPRODUCT((Results_Long!$A$2:$A$178=$B11)*(Results_Long!$B$2:$B$178=$C11)*(Results_Long!$C$2:$C$178=$D11)*(Results_Long!$D$2:$D$178=$E11)*ROW(Results_Long!$A$2:$A$178))</f>
        <v>171</v>
      </c>
      <c r="G11" s="10" t="str">
        <f>IF(INDEX(Results_Long!$N:$N,$F11)="","NA",INDEX(Results_Long!$N:$N,$F11))</f>
        <v>NA</v>
      </c>
      <c r="H11" s="6">
        <f>IF(INDEX(Results_Long!$AG:$AG,$F11)="","NA",INDEX(Results_Long!$AG:$AG,$F11))</f>
        <v>79</v>
      </c>
      <c r="I11" s="5" t="str">
        <f>IF(INDEX(Results_Long!$AJ:$AJ,$F11)="","NA",INDEX(Results_Long!$AJ:$AJ,$F11))</f>
        <v>tie ES at sample_mid = 2015.5: 79 ES / 5 studies / 5 clusters (Ho &amp; Wong 2023; Kordschia 2020; Owolabi et al 2024; Ririmasse et al 2026; Xiang &amp; Gong 2026); post cell 31 -&gt; 26 studies under the Zarea tie-exclusion rule [DEC-045/H-Q8]</v>
      </c>
    </row>
    <row r="13" spans="1:21" ht="15" customHeight="1" x14ac:dyDescent="0.3">
      <c r="A13" s="3" t="s">
        <v>160</v>
      </c>
      <c r="B13" s="3" t="s">
        <v>161</v>
      </c>
      <c r="C13" s="3" t="s">
        <v>162</v>
      </c>
      <c r="D13" s="3" t="s">
        <v>163</v>
      </c>
      <c r="E13" s="3" t="s">
        <v>164</v>
      </c>
      <c r="F13" s="3" t="s">
        <v>165</v>
      </c>
      <c r="G13" s="3" t="s">
        <v>166</v>
      </c>
      <c r="H13" s="3" t="s">
        <v>167</v>
      </c>
      <c r="I13" s="3" t="s">
        <v>168</v>
      </c>
      <c r="J13" s="3" t="s">
        <v>169</v>
      </c>
      <c r="K13" s="3" t="s">
        <v>170</v>
      </c>
      <c r="L13" s="3" t="s">
        <v>171</v>
      </c>
      <c r="M13" s="3" t="s">
        <v>172</v>
      </c>
      <c r="N13" s="3" t="s">
        <v>173</v>
      </c>
      <c r="O13" s="3" t="s">
        <v>174</v>
      </c>
      <c r="P13" s="3" t="s">
        <v>175</v>
      </c>
      <c r="Q13" s="3" t="s">
        <v>176</v>
      </c>
      <c r="R13" s="3" t="s">
        <v>177</v>
      </c>
      <c r="S13" s="3" t="s">
        <v>178</v>
      </c>
      <c r="T13" s="3" t="s">
        <v>179</v>
      </c>
      <c r="U13" s="3" t="s">
        <v>180</v>
      </c>
    </row>
    <row r="14" spans="1:21" ht="68.25" customHeight="1" x14ac:dyDescent="0.3">
      <c r="A14" s="6" t="s">
        <v>276</v>
      </c>
      <c r="B14" s="7" t="s">
        <v>277</v>
      </c>
      <c r="C14" s="7" t="s">
        <v>278</v>
      </c>
      <c r="D14" s="7" t="s">
        <v>279</v>
      </c>
      <c r="E14" s="7" t="s">
        <v>280</v>
      </c>
      <c r="F14" s="8">
        <f>SUMPRODUCT((Results_Long!$A$2:$A$178=$B14)*(Results_Long!$B$2:$B$178=$C14)*(Results_Long!$C$2:$C$178=$D14)*(Results_Long!$D$2:$D$178=$E14)*ROW(Results_Long!$A$2:$A$178))</f>
        <v>28</v>
      </c>
      <c r="G14" s="9">
        <f>IF(INDEX(Results_Long!$H:$H,$F14)="","NA",INDEX(Results_Long!$H:$H,$F14))</f>
        <v>6</v>
      </c>
      <c r="H14" s="9">
        <f>IF(INDEX(Results_Long!$I:$I,$F14)="","NA",INDEX(Results_Long!$I:$I,$F14))</f>
        <v>1</v>
      </c>
      <c r="I14" s="9">
        <f>IF(INDEX(Results_Long!$J:$J,$F14)="","NA",INDEX(Results_Long!$J:$J,$F14))</f>
        <v>1</v>
      </c>
      <c r="J14" s="10" t="str">
        <f>IF(INDEX(Results_Long!$K:$K,$F14)="","NA",INDEX(Results_Long!$K:$K,$F14))</f>
        <v>NA</v>
      </c>
      <c r="K14" s="10" t="str">
        <f>IF(INDEX(Results_Long!$P:$P,$F14)="","NA",INDEX(Results_Long!$P:$P,$F14))</f>
        <v>NA</v>
      </c>
      <c r="L14" s="10" t="str">
        <f>IF(INDEX(Results_Long!$Q:$Q,$F14)="","NA",INDEX(Results_Long!$Q:$Q,$F14))</f>
        <v>NA</v>
      </c>
      <c r="M14" s="10" t="str">
        <f>IF(INDEX(Results_Long!$T:$T,$F14)="","NA",INDEX(Results_Long!$T:$T,$F14))</f>
        <v>NA</v>
      </c>
      <c r="N14" s="10" t="str">
        <f>IF(INDEX(Results_Long!$U:$U,$F14)="","NA",INDEX(Results_Long!$U:$U,$F14))</f>
        <v>NA</v>
      </c>
      <c r="O14" s="10" t="str">
        <f>IF(INDEX(Results_Long!$V:$V,$F14)="","NA",INDEX(Results_Long!$V:$V,$F14))</f>
        <v>NA</v>
      </c>
      <c r="P14" s="10" t="str">
        <f>IF(INDEX(Results_Long!$L:$L,$F14)="","NA",INDEX(Results_Long!$L:$L,$F14))</f>
        <v>NA</v>
      </c>
      <c r="Q14" s="11" t="str">
        <f>IF(INDEX(Results_Long!$M:$M,$F14)="","NA",INDEX(Results_Long!$M:$M,$F14))</f>
        <v>NA</v>
      </c>
      <c r="R14" s="12" t="str">
        <f>IF(INDEX(Results_Long!$N:$N,$F14)="","NA",INDEX(Results_Long!$N:$N,$F14))</f>
        <v>NA</v>
      </c>
      <c r="S14" s="10" t="str">
        <f>IF(INDEX(Results_Long!$O:$O,$F14)="","NA",INDEX(Results_Long!$O:$O,$F14))</f>
        <v>NA</v>
      </c>
      <c r="T14" s="6" t="str">
        <f>IF(INDEX(Results_Long!$AG:$AG,$F14)="","NA",INDEX(Results_Long!$AG:$AG,$F14))</f>
        <v>NA</v>
      </c>
      <c r="U14" s="5" t="str">
        <f>IF(INDEX(Results_Long!$AJ:$AJ,$F14)="","NA",INDEX(Results_Long!$AJ:$AJ,$F14))</f>
        <v>cumulative 3L refit after adding study 'Nandy, Lodh (2012)' (median sample_mid = 1998.50); ordering: study-wise median sample_mid, ties alphabetical [DEC-045/H-Q17]; not_estimable: Cluster-robust variance estimation will not work when the data only includes a single cluster.; planned key retained (budget 177) [DEC-045; package-review robustness fix 2026-07-22 + runtime fix 2026-07-24]</v>
      </c>
    </row>
    <row r="15" spans="1:21" ht="45.75" customHeight="1" x14ac:dyDescent="0.3">
      <c r="A15" s="6" t="s">
        <v>281</v>
      </c>
      <c r="B15" s="7" t="s">
        <v>277</v>
      </c>
      <c r="C15" s="7" t="s">
        <v>278</v>
      </c>
      <c r="D15" s="7" t="s">
        <v>282</v>
      </c>
      <c r="E15" s="7" t="s">
        <v>283</v>
      </c>
      <c r="F15" s="8">
        <f>SUMPRODUCT((Results_Long!$A$2:$A$178=$B15)*(Results_Long!$B$2:$B$178=$C15)*(Results_Long!$C$2:$C$178=$D15)*(Results_Long!$D$2:$D$178=$E15)*ROW(Results_Long!$A$2:$A$178))</f>
        <v>29</v>
      </c>
      <c r="G15" s="9">
        <f>IF(INDEX(Results_Long!$H:$H,$F15)="","NA",INDEX(Results_Long!$H:$H,$F15))</f>
        <v>56</v>
      </c>
      <c r="H15" s="9">
        <f>IF(INDEX(Results_Long!$I:$I,$F15)="","NA",INDEX(Results_Long!$I:$I,$F15))</f>
        <v>2</v>
      </c>
      <c r="I15" s="9">
        <f>IF(INDEX(Results_Long!$J:$J,$F15)="","NA",INDEX(Results_Long!$J:$J,$F15))</f>
        <v>2</v>
      </c>
      <c r="J15" s="10">
        <f>IF(INDEX(Results_Long!$K:$K,$F15)="","NA",INDEX(Results_Long!$K:$K,$F15))</f>
        <v>-7.2015185160468603E-3</v>
      </c>
      <c r="K15" s="10">
        <f>IF(INDEX(Results_Long!$P:$P,$F15)="","NA",INDEX(Results_Long!$P:$P,$F15))</f>
        <v>-0.19112123344454901</v>
      </c>
      <c r="L15" s="10">
        <f>IF(INDEX(Results_Long!$Q:$Q,$F15)="","NA",INDEX(Results_Long!$Q:$Q,$F15))</f>
        <v>0.17671819641245601</v>
      </c>
      <c r="M15" s="10">
        <f>IF(INDEX(Results_Long!$T:$T,$F15)="","NA",INDEX(Results_Long!$T:$T,$F15))</f>
        <v>-7.2013940238929404E-3</v>
      </c>
      <c r="N15" s="10">
        <f>IF(INDEX(Results_Long!$U:$U,$F15)="","NA",INDEX(Results_Long!$U:$U,$F15))</f>
        <v>-0.188827689247864</v>
      </c>
      <c r="O15" s="10">
        <f>IF(INDEX(Results_Long!$V:$V,$F15)="","NA",INDEX(Results_Long!$V:$V,$F15))</f>
        <v>0.174901292883229</v>
      </c>
      <c r="P15" s="10">
        <f>IF(INDEX(Results_Long!$L:$L,$F15)="","NA",INDEX(Results_Long!$L:$L,$F15))</f>
        <v>1.466231919871E-2</v>
      </c>
      <c r="Q15" s="11">
        <f>IF(INDEX(Results_Long!$M:$M,$F15)="","NA",INDEX(Results_Long!$M:$M,$F15))</f>
        <v>-0.49115821436218998</v>
      </c>
      <c r="R15" s="12">
        <f>IF(INDEX(Results_Long!$N:$N,$F15)="","NA",INDEX(Results_Long!$N:$N,$F15))</f>
        <v>1.00548076595946</v>
      </c>
      <c r="S15" s="10">
        <f>IF(INDEX(Results_Long!$O:$O,$F15)="","NA",INDEX(Results_Long!$O:$O,$F15))</f>
        <v>0.70899589891932402</v>
      </c>
      <c r="T15" s="6" t="str">
        <f>IF(INDEX(Results_Long!$AG:$AG,$F15)="","NA",INDEX(Results_Long!$AG:$AG,$F15))</f>
        <v>NA</v>
      </c>
      <c r="U15" s="5" t="str">
        <f>IF(INDEX(Results_Long!$AJ:$AJ,$F15)="","NA",INDEX(Results_Long!$AJ:$AJ,$F15))</f>
        <v>cumulative 3L refit after adding study 'Chava (2010)' (median sample_mid = 1999.00); ordering: study-wise median sample_mid, ties alphabetical [DEC-045/H-Q17]; display floor: point-only in the figure (clusters = 2 &lt; 10) [DEC-045/H-Q17; presentational only, CI retained here]</v>
      </c>
    </row>
    <row r="16" spans="1:21" ht="45.75" customHeight="1" x14ac:dyDescent="0.3">
      <c r="A16" s="6" t="s">
        <v>284</v>
      </c>
      <c r="B16" s="7" t="s">
        <v>277</v>
      </c>
      <c r="C16" s="7" t="s">
        <v>278</v>
      </c>
      <c r="D16" s="7" t="s">
        <v>285</v>
      </c>
      <c r="E16" s="7" t="s">
        <v>286</v>
      </c>
      <c r="F16" s="8">
        <f>SUMPRODUCT((Results_Long!$A$2:$A$178=$B16)*(Results_Long!$B$2:$B$178=$C16)*(Results_Long!$C$2:$C$178=$D16)*(Results_Long!$D$2:$D$178=$E16)*ROW(Results_Long!$A$2:$A$178))</f>
        <v>30</v>
      </c>
      <c r="G16" s="9">
        <f>IF(INDEX(Results_Long!$H:$H,$F16)="","NA",INDEX(Results_Long!$H:$H,$F16))</f>
        <v>66</v>
      </c>
      <c r="H16" s="9">
        <f>IF(INDEX(Results_Long!$I:$I,$F16)="","NA",INDEX(Results_Long!$I:$I,$F16))</f>
        <v>3</v>
      </c>
      <c r="I16" s="9">
        <f>IF(INDEX(Results_Long!$J:$J,$F16)="","NA",INDEX(Results_Long!$J:$J,$F16))</f>
        <v>3</v>
      </c>
      <c r="J16" s="10">
        <f>IF(INDEX(Results_Long!$K:$K,$F16)="","NA",INDEX(Results_Long!$K:$K,$F16))</f>
        <v>-1.8552883244814598E-2</v>
      </c>
      <c r="K16" s="10">
        <f>IF(INDEX(Results_Long!$P:$P,$F16)="","NA",INDEX(Results_Long!$P:$P,$F16))</f>
        <v>-6.2860906300942002E-2</v>
      </c>
      <c r="L16" s="10">
        <f>IF(INDEX(Results_Long!$Q:$Q,$F16)="","NA",INDEX(Results_Long!$Q:$Q,$F16))</f>
        <v>2.5755139811312801E-2</v>
      </c>
      <c r="M16" s="10">
        <f>IF(INDEX(Results_Long!$T:$T,$F16)="","NA",INDEX(Results_Long!$T:$T,$F16))</f>
        <v>-1.8550754845116001E-2</v>
      </c>
      <c r="N16" s="10">
        <f>IF(INDEX(Results_Long!$U:$U,$F16)="","NA",INDEX(Results_Long!$U:$U,$F16))</f>
        <v>-6.2778238807434397E-2</v>
      </c>
      <c r="O16" s="10">
        <f>IF(INDEX(Results_Long!$V:$V,$F16)="","NA",INDEX(Results_Long!$V:$V,$F16))</f>
        <v>2.5749446626730999E-2</v>
      </c>
      <c r="P16" s="10">
        <f>IF(INDEX(Results_Long!$L:$L,$F16)="","NA",INDEX(Results_Long!$L:$L,$F16))</f>
        <v>4.9557971674778298E-3</v>
      </c>
      <c r="Q16" s="11">
        <f>IF(INDEX(Results_Long!$M:$M,$F16)="","NA",INDEX(Results_Long!$M:$M,$F16))</f>
        <v>-3.7436728376550601</v>
      </c>
      <c r="R16" s="12">
        <f>IF(INDEX(Results_Long!$N:$N,$F16)="","NA",INDEX(Results_Long!$N:$N,$F16))</f>
        <v>1.1791657767216801</v>
      </c>
      <c r="S16" s="10">
        <f>IF(INDEX(Results_Long!$O:$O,$F16)="","NA",INDEX(Results_Long!$O:$O,$F16))</f>
        <v>0.13586355168120001</v>
      </c>
      <c r="T16" s="6" t="str">
        <f>IF(INDEX(Results_Long!$AG:$AG,$F16)="","NA",INDEX(Results_Long!$AG:$AG,$F16))</f>
        <v>NA</v>
      </c>
      <c r="U16" s="5" t="str">
        <f>IF(INDEX(Results_Long!$AJ:$AJ,$F16)="","NA",INDEX(Results_Long!$AJ:$AJ,$F16))</f>
        <v>cumulative 3L refit after adding study 'Schneider (2010)' (median sample_mid = 1999.00); ordering: study-wise median sample_mid, ties alphabetical [DEC-045/H-Q17]; display floor: point-only in the figure (clusters = 3 &lt; 10) [DEC-045/H-Q17; presentational only, CI retained here]</v>
      </c>
    </row>
    <row r="17" spans="1:21" ht="45.75" customHeight="1" x14ac:dyDescent="0.3">
      <c r="A17" s="6" t="s">
        <v>287</v>
      </c>
      <c r="B17" s="7" t="s">
        <v>277</v>
      </c>
      <c r="C17" s="7" t="s">
        <v>278</v>
      </c>
      <c r="D17" s="7" t="s">
        <v>288</v>
      </c>
      <c r="E17" s="7" t="s">
        <v>289</v>
      </c>
      <c r="F17" s="8">
        <f>SUMPRODUCT((Results_Long!$A$2:$A$178=$B17)*(Results_Long!$B$2:$B$178=$C17)*(Results_Long!$C$2:$C$178=$D17)*(Results_Long!$D$2:$D$178=$E17)*ROW(Results_Long!$A$2:$A$178))</f>
        <v>31</v>
      </c>
      <c r="G17" s="9">
        <f>IF(INDEX(Results_Long!$H:$H,$F17)="","NA",INDEX(Results_Long!$H:$H,$F17))</f>
        <v>88</v>
      </c>
      <c r="H17" s="9">
        <f>IF(INDEX(Results_Long!$I:$I,$F17)="","NA",INDEX(Results_Long!$I:$I,$F17))</f>
        <v>4</v>
      </c>
      <c r="I17" s="9">
        <f>IF(INDEX(Results_Long!$J:$J,$F17)="","NA",INDEX(Results_Long!$J:$J,$F17))</f>
        <v>4</v>
      </c>
      <c r="J17" s="10">
        <f>IF(INDEX(Results_Long!$K:$K,$F17)="","NA",INDEX(Results_Long!$K:$K,$F17))</f>
        <v>-1.8932756585056498E-2</v>
      </c>
      <c r="K17" s="10">
        <f>IF(INDEX(Results_Long!$P:$P,$F17)="","NA",INDEX(Results_Long!$P:$P,$F17))</f>
        <v>-3.7709965162310899E-2</v>
      </c>
      <c r="L17" s="10">
        <f>IF(INDEX(Results_Long!$Q:$Q,$F17)="","NA",INDEX(Results_Long!$Q:$Q,$F17))</f>
        <v>-1.5554800780216E-4</v>
      </c>
      <c r="M17" s="10">
        <f>IF(INDEX(Results_Long!$T:$T,$F17)="","NA",INDEX(Results_Long!$T:$T,$F17))</f>
        <v>-1.8930494765083999E-2</v>
      </c>
      <c r="N17" s="10">
        <f>IF(INDEX(Results_Long!$U:$U,$F17)="","NA",INDEX(Results_Long!$U:$U,$F17))</f>
        <v>-3.7692100279287599E-2</v>
      </c>
      <c r="O17" s="10">
        <f>IF(INDEX(Results_Long!$V:$V,$F17)="","NA",INDEX(Results_Long!$V:$V,$F17))</f>
        <v>-1.5554800654765601E-4</v>
      </c>
      <c r="P17" s="10">
        <f>IF(INDEX(Results_Long!$L:$L,$F17)="","NA",INDEX(Results_Long!$L:$L,$F17))</f>
        <v>3.1050350200708598E-3</v>
      </c>
      <c r="Q17" s="11">
        <f>IF(INDEX(Results_Long!$M:$M,$F17)="","NA",INDEX(Results_Long!$M:$M,$F17))</f>
        <v>-6.0974373759637803</v>
      </c>
      <c r="R17" s="12">
        <f>IF(INDEX(Results_Long!$N:$N,$F17)="","NA",INDEX(Results_Long!$N:$N,$F17))</f>
        <v>1.49457543817703</v>
      </c>
      <c r="S17" s="10">
        <f>IF(INDEX(Results_Long!$O:$O,$F17)="","NA",INDEX(Results_Long!$O:$O,$F17))</f>
        <v>4.9404297233564202E-2</v>
      </c>
      <c r="T17" s="6" t="str">
        <f>IF(INDEX(Results_Long!$AG:$AG,$F17)="","NA",INDEX(Results_Long!$AG:$AG,$F17))</f>
        <v>NA</v>
      </c>
      <c r="U17" s="5" t="str">
        <f>IF(INDEX(Results_Long!$AJ:$AJ,$F17)="","NA",INDEX(Results_Long!$AJ:$AJ,$F17))</f>
        <v>cumulative 3L refit after adding study 'Chava (2014)' (median sample_mid = 1999.50); ordering: study-wise median sample_mid, ties alphabetical [DEC-045/H-Q17]; display floor: point-only in the figure (clusters = 4 &lt; 10) [DEC-045/H-Q17; presentational only, CI retained here]</v>
      </c>
    </row>
    <row r="18" spans="1:21" ht="45.75" customHeight="1" x14ac:dyDescent="0.3">
      <c r="A18" s="6" t="s">
        <v>290</v>
      </c>
      <c r="B18" s="7" t="s">
        <v>277</v>
      </c>
      <c r="C18" s="7" t="s">
        <v>278</v>
      </c>
      <c r="D18" s="7" t="s">
        <v>291</v>
      </c>
      <c r="E18" s="7" t="s">
        <v>292</v>
      </c>
      <c r="F18" s="8">
        <f>SUMPRODUCT((Results_Long!$A$2:$A$178=$B18)*(Results_Long!$B$2:$B$178=$C18)*(Results_Long!$C$2:$C$178=$D18)*(Results_Long!$D$2:$D$178=$E18)*ROW(Results_Long!$A$2:$A$178))</f>
        <v>32</v>
      </c>
      <c r="G18" s="9">
        <f>IF(INDEX(Results_Long!$H:$H,$F18)="","NA",INDEX(Results_Long!$H:$H,$F18))</f>
        <v>93</v>
      </c>
      <c r="H18" s="9">
        <f>IF(INDEX(Results_Long!$I:$I,$F18)="","NA",INDEX(Results_Long!$I:$I,$F18))</f>
        <v>5</v>
      </c>
      <c r="I18" s="9">
        <f>IF(INDEX(Results_Long!$J:$J,$F18)="","NA",INDEX(Results_Long!$J:$J,$F18))</f>
        <v>5</v>
      </c>
      <c r="J18" s="10">
        <f>IF(INDEX(Results_Long!$K:$K,$F18)="","NA",INDEX(Results_Long!$K:$K,$F18))</f>
        <v>-1.90434966952471E-2</v>
      </c>
      <c r="K18" s="10">
        <f>IF(INDEX(Results_Long!$P:$P,$F18)="","NA",INDEX(Results_Long!$P:$P,$F18))</f>
        <v>-3.1929987841630501E-2</v>
      </c>
      <c r="L18" s="10">
        <f>IF(INDEX(Results_Long!$Q:$Q,$F18)="","NA",INDEX(Results_Long!$Q:$Q,$F18))</f>
        <v>-6.1570055488636604E-3</v>
      </c>
      <c r="M18" s="10">
        <f>IF(INDEX(Results_Long!$T:$T,$F18)="","NA",INDEX(Results_Long!$T:$T,$F18))</f>
        <v>-1.90411949575259E-2</v>
      </c>
      <c r="N18" s="10">
        <f>IF(INDEX(Results_Long!$U:$U,$F18)="","NA",INDEX(Results_Long!$U:$U,$F18))</f>
        <v>-3.1919141134044399E-2</v>
      </c>
      <c r="O18" s="10">
        <f>IF(INDEX(Results_Long!$V:$V,$F18)="","NA",INDEX(Results_Long!$V:$V,$F18))</f>
        <v>-6.1569277486490702E-3</v>
      </c>
      <c r="P18" s="10">
        <f>IF(INDEX(Results_Long!$L:$L,$F18)="","NA",INDEX(Results_Long!$L:$L,$F18))</f>
        <v>2.8442397568491898E-3</v>
      </c>
      <c r="Q18" s="11">
        <f>IF(INDEX(Results_Long!$M:$M,$F18)="","NA",INDEX(Results_Long!$M:$M,$F18))</f>
        <v>-6.6954611155366104</v>
      </c>
      <c r="R18" s="12">
        <f>IF(INDEX(Results_Long!$N:$N,$F18)="","NA",INDEX(Results_Long!$N:$N,$F18))</f>
        <v>1.89852223570832</v>
      </c>
      <c r="S18" s="10">
        <f>IF(INDEX(Results_Long!$O:$O,$F18)="","NA",INDEX(Results_Long!$O:$O,$F18))</f>
        <v>2.4628535906734701E-2</v>
      </c>
      <c r="T18" s="6" t="str">
        <f>IF(INDEX(Results_Long!$AG:$AG,$F18)="","NA",INDEX(Results_Long!$AG:$AG,$F18))</f>
        <v>NA</v>
      </c>
      <c r="U18" s="5" t="str">
        <f>IF(INDEX(Results_Long!$AJ:$AJ,$F18)="","NA",INDEX(Results_Long!$AJ:$AJ,$F18))</f>
        <v>cumulative 3L refit after adding study 'Oikonomou et al (2014)' (median sample_mid = 2000.00); ordering: study-wise median sample_mid, ties alphabetical [DEC-045/H-Q17]; display floor: point-only in the figure (clusters = 5 &lt; 10) [DEC-045/H-Q17; presentational only, CI retained here]</v>
      </c>
    </row>
    <row r="19" spans="1:21" ht="45.75" customHeight="1" x14ac:dyDescent="0.3">
      <c r="A19" s="6" t="s">
        <v>293</v>
      </c>
      <c r="B19" s="7" t="s">
        <v>277</v>
      </c>
      <c r="C19" s="7" t="s">
        <v>278</v>
      </c>
      <c r="D19" s="7" t="s">
        <v>294</v>
      </c>
      <c r="E19" s="7" t="s">
        <v>295</v>
      </c>
      <c r="F19" s="8">
        <f>SUMPRODUCT((Results_Long!$A$2:$A$178=$B19)*(Results_Long!$B$2:$B$178=$C19)*(Results_Long!$C$2:$C$178=$D19)*(Results_Long!$D$2:$D$178=$E19)*ROW(Results_Long!$A$2:$A$178))</f>
        <v>33</v>
      </c>
      <c r="G19" s="9">
        <f>IF(INDEX(Results_Long!$H:$H,$F19)="","NA",INDEX(Results_Long!$H:$H,$F19))</f>
        <v>259</v>
      </c>
      <c r="H19" s="9">
        <f>IF(INDEX(Results_Long!$I:$I,$F19)="","NA",INDEX(Results_Long!$I:$I,$F19))</f>
        <v>6</v>
      </c>
      <c r="I19" s="9">
        <f>IF(INDEX(Results_Long!$J:$J,$F19)="","NA",INDEX(Results_Long!$J:$J,$F19))</f>
        <v>6</v>
      </c>
      <c r="J19" s="10">
        <f>IF(INDEX(Results_Long!$K:$K,$F19)="","NA",INDEX(Results_Long!$K:$K,$F19))</f>
        <v>-1.4547588607204599E-2</v>
      </c>
      <c r="K19" s="10">
        <f>IF(INDEX(Results_Long!$P:$P,$F19)="","NA",INDEX(Results_Long!$P:$P,$F19))</f>
        <v>-2.78041051028796E-2</v>
      </c>
      <c r="L19" s="10">
        <f>IF(INDEX(Results_Long!$Q:$Q,$F19)="","NA",INDEX(Results_Long!$Q:$Q,$F19))</f>
        <v>-1.29107211152957E-3</v>
      </c>
      <c r="M19" s="10">
        <f>IF(INDEX(Results_Long!$T:$T,$F19)="","NA",INDEX(Results_Long!$T:$T,$F19))</f>
        <v>-1.45465624473602E-2</v>
      </c>
      <c r="N19" s="10">
        <f>IF(INDEX(Results_Long!$U:$U,$F19)="","NA",INDEX(Results_Long!$U:$U,$F19))</f>
        <v>-2.77969424940228E-2</v>
      </c>
      <c r="O19" s="10">
        <f>IF(INDEX(Results_Long!$V:$V,$F19)="","NA",INDEX(Results_Long!$V:$V,$F19))</f>
        <v>-1.29107139418147E-3</v>
      </c>
      <c r="P19" s="10">
        <f>IF(INDEX(Results_Long!$L:$L,$F19)="","NA",INDEX(Results_Long!$L:$L,$F19))</f>
        <v>4.13809104281528E-3</v>
      </c>
      <c r="Q19" s="11">
        <f>IF(INDEX(Results_Long!$M:$M,$F19)="","NA",INDEX(Results_Long!$M:$M,$F19))</f>
        <v>-3.5155313057847599</v>
      </c>
      <c r="R19" s="12">
        <f>IF(INDEX(Results_Long!$N:$N,$F19)="","NA",INDEX(Results_Long!$N:$N,$F19))</f>
        <v>2.96543568051999</v>
      </c>
      <c r="S19" s="10">
        <f>IF(INDEX(Results_Long!$O:$O,$F19)="","NA",INDEX(Results_Long!$O:$O,$F19))</f>
        <v>3.9763827976477997E-2</v>
      </c>
      <c r="T19" s="6" t="str">
        <f>IF(INDEX(Results_Long!$AG:$AG,$F19)="","NA",INDEX(Results_Long!$AG:$AG,$F19))</f>
        <v>NA</v>
      </c>
      <c r="U19" s="5" t="str">
        <f>IF(INDEX(Results_Long!$AJ:$AJ,$F19)="","NA",INDEX(Results_Long!$AJ:$AJ,$F19))</f>
        <v>cumulative 3L refit after adding study 'Bauer, Hann (2010)' (median sample_mid = 2000.50); ordering: study-wise median sample_mid, ties alphabetical [DEC-045/H-Q17]; display floor: point-only in the figure (clusters = 6 &lt; 10) [DEC-045/H-Q17; presentational only, CI retained here]</v>
      </c>
    </row>
    <row r="20" spans="1:21" ht="45.75" customHeight="1" x14ac:dyDescent="0.3">
      <c r="A20" s="6" t="s">
        <v>296</v>
      </c>
      <c r="B20" s="7" t="s">
        <v>277</v>
      </c>
      <c r="C20" s="7" t="s">
        <v>278</v>
      </c>
      <c r="D20" s="7" t="s">
        <v>297</v>
      </c>
      <c r="E20" s="7" t="s">
        <v>298</v>
      </c>
      <c r="F20" s="8">
        <f>SUMPRODUCT((Results_Long!$A$2:$A$178=$B20)*(Results_Long!$B$2:$B$178=$C20)*(Results_Long!$C$2:$C$178=$D20)*(Results_Long!$D$2:$D$178=$E20)*ROW(Results_Long!$A$2:$A$178))</f>
        <v>34</v>
      </c>
      <c r="G20" s="9">
        <f>IF(INDEX(Results_Long!$H:$H,$F20)="","NA",INDEX(Results_Long!$H:$H,$F20))</f>
        <v>263</v>
      </c>
      <c r="H20" s="9">
        <f>IF(INDEX(Results_Long!$I:$I,$F20)="","NA",INDEX(Results_Long!$I:$I,$F20))</f>
        <v>7</v>
      </c>
      <c r="I20" s="9">
        <f>IF(INDEX(Results_Long!$J:$J,$F20)="","NA",INDEX(Results_Long!$J:$J,$F20))</f>
        <v>7</v>
      </c>
      <c r="J20" s="10">
        <f>IF(INDEX(Results_Long!$K:$K,$F20)="","NA",INDEX(Results_Long!$K:$K,$F20))</f>
        <v>-1.6967173083914801E-2</v>
      </c>
      <c r="K20" s="10">
        <f>IF(INDEX(Results_Long!$P:$P,$F20)="","NA",INDEX(Results_Long!$P:$P,$F20))</f>
        <v>-2.9959355848759799E-2</v>
      </c>
      <c r="L20" s="10">
        <f>IF(INDEX(Results_Long!$Q:$Q,$F20)="","NA",INDEX(Results_Long!$Q:$Q,$F20))</f>
        <v>-3.9749903190698099E-3</v>
      </c>
      <c r="M20" s="10">
        <f>IF(INDEX(Results_Long!$T:$T,$F20)="","NA",INDEX(Results_Long!$T:$T,$F20))</f>
        <v>-1.6965545073391E-2</v>
      </c>
      <c r="N20" s="10">
        <f>IF(INDEX(Results_Long!$U:$U,$F20)="","NA",INDEX(Results_Long!$U:$U,$F20))</f>
        <v>-2.99503955959027E-2</v>
      </c>
      <c r="O20" s="10">
        <f>IF(INDEX(Results_Long!$V:$V,$F20)="","NA",INDEX(Results_Long!$V:$V,$F20))</f>
        <v>-3.9749693835269698E-3</v>
      </c>
      <c r="P20" s="10">
        <f>IF(INDEX(Results_Long!$L:$L,$F20)="","NA",INDEX(Results_Long!$L:$L,$F20))</f>
        <v>4.4253637326086498E-3</v>
      </c>
      <c r="Q20" s="11">
        <f>IF(INDEX(Results_Long!$M:$M,$F20)="","NA",INDEX(Results_Long!$M:$M,$F20))</f>
        <v>-3.83407423866446</v>
      </c>
      <c r="R20" s="12">
        <f>IF(INDEX(Results_Long!$N:$N,$F20)="","NA",INDEX(Results_Long!$N:$N,$F20))</f>
        <v>3.51089700308549</v>
      </c>
      <c r="S20" s="10">
        <f>IF(INDEX(Results_Long!$O:$O,$F20)="","NA",INDEX(Results_Long!$O:$O,$F20))</f>
        <v>2.35843927346562E-2</v>
      </c>
      <c r="T20" s="6" t="str">
        <f>IF(INDEX(Results_Long!$AG:$AG,$F20)="","NA",INDEX(Results_Long!$AG:$AG,$F20))</f>
        <v>NA</v>
      </c>
      <c r="U20" s="5" t="str">
        <f>IF(INDEX(Results_Long!$AJ:$AJ,$F20)="","NA",INDEX(Results_Long!$AJ:$AJ,$F20))</f>
        <v>cumulative 3L refit after adding study 'Ge, Liu (2015)' (median sample_mid = 2000.50); ordering: study-wise median sample_mid, ties alphabetical [DEC-045/H-Q17]; display floor: point-only in the figure (clusters = 7 &lt; 10) [DEC-045/H-Q17; presentational only, CI retained here]</v>
      </c>
    </row>
    <row r="21" spans="1:21" ht="45.75" customHeight="1" x14ac:dyDescent="0.3">
      <c r="A21" s="6" t="s">
        <v>299</v>
      </c>
      <c r="B21" s="7" t="s">
        <v>277</v>
      </c>
      <c r="C21" s="7" t="s">
        <v>278</v>
      </c>
      <c r="D21" s="7" t="s">
        <v>300</v>
      </c>
      <c r="E21" s="7" t="s">
        <v>301</v>
      </c>
      <c r="F21" s="8">
        <f>SUMPRODUCT((Results_Long!$A$2:$A$178=$B21)*(Results_Long!$B$2:$B$178=$C21)*(Results_Long!$C$2:$C$178=$D21)*(Results_Long!$D$2:$D$178=$E21)*ROW(Results_Long!$A$2:$A$178))</f>
        <v>35</v>
      </c>
      <c r="G21" s="9">
        <f>IF(INDEX(Results_Long!$H:$H,$F21)="","NA",INDEX(Results_Long!$H:$H,$F21))</f>
        <v>264</v>
      </c>
      <c r="H21" s="9">
        <f>IF(INDEX(Results_Long!$I:$I,$F21)="","NA",INDEX(Results_Long!$I:$I,$F21))</f>
        <v>8</v>
      </c>
      <c r="I21" s="9">
        <f>IF(INDEX(Results_Long!$J:$J,$F21)="","NA",INDEX(Results_Long!$J:$J,$F21))</f>
        <v>8</v>
      </c>
      <c r="J21" s="10">
        <f>IF(INDEX(Results_Long!$K:$K,$F21)="","NA",INDEX(Results_Long!$K:$K,$F21))</f>
        <v>-1.73436214426382E-2</v>
      </c>
      <c r="K21" s="10">
        <f>IF(INDEX(Results_Long!$P:$P,$F21)="","NA",INDEX(Results_Long!$P:$P,$F21))</f>
        <v>-2.9993099104762201E-2</v>
      </c>
      <c r="L21" s="10">
        <f>IF(INDEX(Results_Long!$Q:$Q,$F21)="","NA",INDEX(Results_Long!$Q:$Q,$F21))</f>
        <v>-4.6941437805142101E-3</v>
      </c>
      <c r="M21" s="10">
        <f>IF(INDEX(Results_Long!$T:$T,$F21)="","NA",INDEX(Results_Long!$T:$T,$F21))</f>
        <v>-1.7341882657774501E-2</v>
      </c>
      <c r="N21" s="10">
        <f>IF(INDEX(Results_Long!$U:$U,$F21)="","NA",INDEX(Results_Long!$U:$U,$F21))</f>
        <v>-2.99841085492367E-2</v>
      </c>
      <c r="O21" s="10">
        <f>IF(INDEX(Results_Long!$V:$V,$F21)="","NA",INDEX(Results_Long!$V:$V,$F21))</f>
        <v>-4.6941093023542E-3</v>
      </c>
      <c r="P21" s="10">
        <f>IF(INDEX(Results_Long!$L:$L,$F21)="","NA",INDEX(Results_Long!$L:$L,$F21))</f>
        <v>4.3890540632167503E-3</v>
      </c>
      <c r="Q21" s="11">
        <f>IF(INDEX(Results_Long!$M:$M,$F21)="","NA",INDEX(Results_Long!$M:$M,$F21))</f>
        <v>-3.9515624990791398</v>
      </c>
      <c r="R21" s="12">
        <f>IF(INDEX(Results_Long!$N:$N,$F21)="","NA",INDEX(Results_Long!$N:$N,$F21))</f>
        <v>3.65749777868978</v>
      </c>
      <c r="S21" s="10">
        <f>IF(INDEX(Results_Long!$O:$O,$F21)="","NA",INDEX(Results_Long!$O:$O,$F21))</f>
        <v>1.9951465989061501E-2</v>
      </c>
      <c r="T21" s="6" t="str">
        <f>IF(INDEX(Results_Long!$AG:$AG,$F21)="","NA",INDEX(Results_Long!$AG:$AG,$F21))</f>
        <v>NA</v>
      </c>
      <c r="U21" s="5" t="str">
        <f>IF(INDEX(Results_Long!$AJ:$AJ,$F21)="","NA",INDEX(Results_Long!$AJ:$AJ,$F21))</f>
        <v>cumulative 3L refit after adding study 'Jiraporn et al (2014)' (median sample_mid = 2001.00); ordering: study-wise median sample_mid, ties alphabetical [DEC-045/H-Q17]; display floor: point-only in the figure (clusters = 8 &lt; 10) [DEC-045/H-Q17; presentational only, CI retained here]</v>
      </c>
    </row>
    <row r="22" spans="1:21" ht="45.75" customHeight="1" x14ac:dyDescent="0.3">
      <c r="A22" s="6" t="s">
        <v>302</v>
      </c>
      <c r="B22" s="7" t="s">
        <v>277</v>
      </c>
      <c r="C22" s="7" t="s">
        <v>278</v>
      </c>
      <c r="D22" s="7" t="s">
        <v>303</v>
      </c>
      <c r="E22" s="7" t="s">
        <v>304</v>
      </c>
      <c r="F22" s="8">
        <f>SUMPRODUCT((Results_Long!$A$2:$A$178=$B22)*(Results_Long!$B$2:$B$178=$C22)*(Results_Long!$C$2:$C$178=$D22)*(Results_Long!$D$2:$D$178=$E22)*ROW(Results_Long!$A$2:$A$178))</f>
        <v>36</v>
      </c>
      <c r="G22" s="9">
        <f>IF(INDEX(Results_Long!$H:$H,$F22)="","NA",INDEX(Results_Long!$H:$H,$F22))</f>
        <v>312</v>
      </c>
      <c r="H22" s="9">
        <f>IF(INDEX(Results_Long!$I:$I,$F22)="","NA",INDEX(Results_Long!$I:$I,$F22))</f>
        <v>9</v>
      </c>
      <c r="I22" s="9">
        <f>IF(INDEX(Results_Long!$J:$J,$F22)="","NA",INDEX(Results_Long!$J:$J,$F22))</f>
        <v>9</v>
      </c>
      <c r="J22" s="10">
        <f>IF(INDEX(Results_Long!$K:$K,$F22)="","NA",INDEX(Results_Long!$K:$K,$F22))</f>
        <v>-1.48714200641961E-2</v>
      </c>
      <c r="K22" s="10">
        <f>IF(INDEX(Results_Long!$P:$P,$F22)="","NA",INDEX(Results_Long!$P:$P,$F22))</f>
        <v>-2.48358379969843E-2</v>
      </c>
      <c r="L22" s="10">
        <f>IF(INDEX(Results_Long!$Q:$Q,$F22)="","NA",INDEX(Results_Long!$Q:$Q,$F22))</f>
        <v>-4.9070021314079103E-3</v>
      </c>
      <c r="M22" s="10">
        <f>IF(INDEX(Results_Long!$T:$T,$F22)="","NA",INDEX(Results_Long!$T:$T,$F22))</f>
        <v>-1.48703238443738E-2</v>
      </c>
      <c r="N22" s="10">
        <f>IF(INDEX(Results_Long!$U:$U,$F22)="","NA",INDEX(Results_Long!$U:$U,$F22))</f>
        <v>-2.48307328522245E-2</v>
      </c>
      <c r="O22" s="10">
        <f>IF(INDEX(Results_Long!$V:$V,$F22)="","NA",INDEX(Results_Long!$V:$V,$F22))</f>
        <v>-4.9069627470923697E-3</v>
      </c>
      <c r="P22" s="10">
        <f>IF(INDEX(Results_Long!$L:$L,$F22)="","NA",INDEX(Results_Long!$L:$L,$F22))</f>
        <v>3.6812778094097499E-3</v>
      </c>
      <c r="Q22" s="11">
        <f>IF(INDEX(Results_Long!$M:$M,$F22)="","NA",INDEX(Results_Long!$M:$M,$F22))</f>
        <v>-4.0397440329504901</v>
      </c>
      <c r="R22" s="12">
        <f>IF(INDEX(Results_Long!$N:$N,$F22)="","NA",INDEX(Results_Long!$N:$N,$F22))</f>
        <v>4.2777149647935202</v>
      </c>
      <c r="S22" s="10">
        <f>IF(INDEX(Results_Long!$O:$O,$F22)="","NA",INDEX(Results_Long!$O:$O,$F22))</f>
        <v>1.3640021569734401E-2</v>
      </c>
      <c r="T22" s="6" t="str">
        <f>IF(INDEX(Results_Long!$AG:$AG,$F22)="","NA",INDEX(Results_Long!$AG:$AG,$F22))</f>
        <v>NA</v>
      </c>
      <c r="U22" s="5" t="str">
        <f>IF(INDEX(Results_Long!$AJ:$AJ,$F22)="","NA",INDEX(Results_Long!$AJ:$AJ,$F22))</f>
        <v>cumulative 3L refit after adding study 'Chen et al (2020)' (median sample_mid = 2001.50); ordering: study-wise median sample_mid, ties alphabetical [DEC-045/H-Q17]; display floor: point-only in the figure (clusters = 9 &lt; 10) [DEC-045/H-Q17; presentational only, CI retained here]</v>
      </c>
    </row>
    <row r="23" spans="1:21" ht="34.5" customHeight="1" x14ac:dyDescent="0.3">
      <c r="A23" s="6" t="s">
        <v>305</v>
      </c>
      <c r="B23" s="7" t="s">
        <v>277</v>
      </c>
      <c r="C23" s="7" t="s">
        <v>278</v>
      </c>
      <c r="D23" s="7" t="s">
        <v>306</v>
      </c>
      <c r="E23" s="7" t="s">
        <v>307</v>
      </c>
      <c r="F23" s="8">
        <f>SUMPRODUCT((Results_Long!$A$2:$A$178=$B23)*(Results_Long!$B$2:$B$178=$C23)*(Results_Long!$C$2:$C$178=$D23)*(Results_Long!$D$2:$D$178=$E23)*ROW(Results_Long!$A$2:$A$178))</f>
        <v>37</v>
      </c>
      <c r="G23" s="9">
        <f>IF(INDEX(Results_Long!$H:$H,$F23)="","NA",INDEX(Results_Long!$H:$H,$F23))</f>
        <v>316</v>
      </c>
      <c r="H23" s="9">
        <f>IF(INDEX(Results_Long!$I:$I,$F23)="","NA",INDEX(Results_Long!$I:$I,$F23))</f>
        <v>10</v>
      </c>
      <c r="I23" s="9">
        <f>IF(INDEX(Results_Long!$J:$J,$F23)="","NA",INDEX(Results_Long!$J:$J,$F23))</f>
        <v>10</v>
      </c>
      <c r="J23" s="10">
        <f>IF(INDEX(Results_Long!$K:$K,$F23)="","NA",INDEX(Results_Long!$K:$K,$F23))</f>
        <v>-1.53549266042124E-2</v>
      </c>
      <c r="K23" s="10">
        <f>IF(INDEX(Results_Long!$P:$P,$F23)="","NA",INDEX(Results_Long!$P:$P,$F23))</f>
        <v>-2.51244746616037E-2</v>
      </c>
      <c r="L23" s="10">
        <f>IF(INDEX(Results_Long!$Q:$Q,$F23)="","NA",INDEX(Results_Long!$Q:$Q,$F23))</f>
        <v>-5.5853785468211702E-3</v>
      </c>
      <c r="M23" s="10">
        <f>IF(INDEX(Results_Long!$T:$T,$F23)="","NA",INDEX(Results_Long!$T:$T,$F23))</f>
        <v>-1.5353719955027699E-2</v>
      </c>
      <c r="N23" s="10">
        <f>IF(INDEX(Results_Long!$U:$U,$F23)="","NA",INDEX(Results_Long!$U:$U,$F23))</f>
        <v>-2.5119189478097499E-2</v>
      </c>
      <c r="O23" s="10">
        <f>IF(INDEX(Results_Long!$V:$V,$F23)="","NA",INDEX(Results_Long!$V:$V,$F23))</f>
        <v>-5.5853204662118698E-3</v>
      </c>
      <c r="P23" s="10">
        <f>IF(INDEX(Results_Long!$L:$L,$F23)="","NA",INDEX(Results_Long!$L:$L,$F23))</f>
        <v>3.6193689034886099E-3</v>
      </c>
      <c r="Q23" s="11">
        <f>IF(INDEX(Results_Long!$M:$M,$F23)="","NA",INDEX(Results_Long!$M:$M,$F23))</f>
        <v>-4.2424320409594802</v>
      </c>
      <c r="R23" s="12">
        <f>IF(INDEX(Results_Long!$N:$N,$F23)="","NA",INDEX(Results_Long!$N:$N,$F23))</f>
        <v>4.3108576783488797</v>
      </c>
      <c r="S23" s="10">
        <f>IF(INDEX(Results_Long!$O:$O,$F23)="","NA",INDEX(Results_Long!$O:$O,$F23))</f>
        <v>1.12728969074789E-2</v>
      </c>
      <c r="T23" s="6" t="str">
        <f>IF(INDEX(Results_Long!$AG:$AG,$F23)="","NA",INDEX(Results_Long!$AG:$AG,$F23))</f>
        <v>NA</v>
      </c>
      <c r="U23" s="5" t="str">
        <f>IF(INDEX(Results_Long!$AJ:$AJ,$F23)="","NA",INDEX(Results_Long!$AJ:$AJ,$F23))</f>
        <v>cumulative 3L refit after adding study 'Chen, Gao (2011)' (median sample_mid = 2005.00); ordering: study-wise median sample_mid, ties alphabetical [DEC-045/H-Q17]; full display (CI band)</v>
      </c>
    </row>
    <row r="24" spans="1:21" ht="34.5" customHeight="1" x14ac:dyDescent="0.3">
      <c r="A24" s="6" t="s">
        <v>308</v>
      </c>
      <c r="B24" s="7" t="s">
        <v>277</v>
      </c>
      <c r="C24" s="7" t="s">
        <v>278</v>
      </c>
      <c r="D24" s="7" t="s">
        <v>309</v>
      </c>
      <c r="E24" s="7" t="s">
        <v>310</v>
      </c>
      <c r="F24" s="8">
        <f>SUMPRODUCT((Results_Long!$A$2:$A$178=$B24)*(Results_Long!$B$2:$B$178=$C24)*(Results_Long!$C$2:$C$178=$D24)*(Results_Long!$D$2:$D$178=$E24)*ROW(Results_Long!$A$2:$A$178))</f>
        <v>38</v>
      </c>
      <c r="G24" s="9">
        <f>IF(INDEX(Results_Long!$H:$H,$F24)="","NA",INDEX(Results_Long!$H:$H,$F24))</f>
        <v>326</v>
      </c>
      <c r="H24" s="9">
        <f>IF(INDEX(Results_Long!$I:$I,$F24)="","NA",INDEX(Results_Long!$I:$I,$F24))</f>
        <v>11</v>
      </c>
      <c r="I24" s="9">
        <f>IF(INDEX(Results_Long!$J:$J,$F24)="","NA",INDEX(Results_Long!$J:$J,$F24))</f>
        <v>11</v>
      </c>
      <c r="J24" s="10">
        <f>IF(INDEX(Results_Long!$K:$K,$F24)="","NA",INDEX(Results_Long!$K:$K,$F24))</f>
        <v>-1.6859844177184901E-2</v>
      </c>
      <c r="K24" s="10">
        <f>IF(INDEX(Results_Long!$P:$P,$F24)="","NA",INDEX(Results_Long!$P:$P,$F24))</f>
        <v>-2.4998329137926899E-2</v>
      </c>
      <c r="L24" s="10">
        <f>IF(INDEX(Results_Long!$Q:$Q,$F24)="","NA",INDEX(Results_Long!$Q:$Q,$F24))</f>
        <v>-8.7213592164429501E-3</v>
      </c>
      <c r="M24" s="10">
        <f>IF(INDEX(Results_Long!$T:$T,$F24)="","NA",INDEX(Results_Long!$T:$T,$F24))</f>
        <v>-1.6858246864143701E-2</v>
      </c>
      <c r="N24" s="10">
        <f>IF(INDEX(Results_Long!$U:$U,$F24)="","NA",INDEX(Results_Long!$U:$U,$F24))</f>
        <v>-2.4993123150131701E-2</v>
      </c>
      <c r="O24" s="10">
        <f>IF(INDEX(Results_Long!$V:$V,$F24)="","NA",INDEX(Results_Long!$V:$V,$F24))</f>
        <v>-8.7211381015189094E-3</v>
      </c>
      <c r="P24" s="10">
        <f>IF(INDEX(Results_Long!$L:$L,$F24)="","NA",INDEX(Results_Long!$L:$L,$F24))</f>
        <v>3.0612449799534E-3</v>
      </c>
      <c r="Q24" s="11">
        <f>IF(INDEX(Results_Long!$M:$M,$F24)="","NA",INDEX(Results_Long!$M:$M,$F24))</f>
        <v>-5.5075122336146896</v>
      </c>
      <c r="R24" s="12">
        <f>IF(INDEX(Results_Long!$N:$N,$F24)="","NA",INDEX(Results_Long!$N:$N,$F24))</f>
        <v>4.5017770386872904</v>
      </c>
      <c r="S24" s="10">
        <f>IF(INDEX(Results_Long!$O:$O,$F24)="","NA",INDEX(Results_Long!$O:$O,$F24))</f>
        <v>3.7293999578630901E-3</v>
      </c>
      <c r="T24" s="6" t="str">
        <f>IF(INDEX(Results_Long!$AG:$AG,$F24)="","NA",INDEX(Results_Long!$AG:$AG,$F24))</f>
        <v>NA</v>
      </c>
      <c r="U24" s="5" t="str">
        <f>IF(INDEX(Results_Long!$AJ:$AJ,$F24)="","NA",INDEX(Results_Long!$AJ:$AJ,$F24))</f>
        <v>cumulative 3L refit after adding study 'Chodnicka-Jaworska (2022)' (median sample_mid = 2005.50); ordering: study-wise median sample_mid, ties alphabetical [DEC-045/H-Q17]; full display (CI band)</v>
      </c>
    </row>
    <row r="25" spans="1:21" ht="34.5" customHeight="1" x14ac:dyDescent="0.3">
      <c r="A25" s="6" t="s">
        <v>311</v>
      </c>
      <c r="B25" s="7" t="s">
        <v>277</v>
      </c>
      <c r="C25" s="7" t="s">
        <v>278</v>
      </c>
      <c r="D25" s="7" t="s">
        <v>312</v>
      </c>
      <c r="E25" s="7" t="s">
        <v>313</v>
      </c>
      <c r="F25" s="8">
        <f>SUMPRODUCT((Results_Long!$A$2:$A$178=$B25)*(Results_Long!$B$2:$B$178=$C25)*(Results_Long!$C$2:$C$178=$D25)*(Results_Long!$D$2:$D$178=$E25)*ROW(Results_Long!$A$2:$A$178))</f>
        <v>39</v>
      </c>
      <c r="G25" s="9">
        <f>IF(INDEX(Results_Long!$H:$H,$F25)="","NA",INDEX(Results_Long!$H:$H,$F25))</f>
        <v>330</v>
      </c>
      <c r="H25" s="9">
        <f>IF(INDEX(Results_Long!$I:$I,$F25)="","NA",INDEX(Results_Long!$I:$I,$F25))</f>
        <v>12</v>
      </c>
      <c r="I25" s="9">
        <f>IF(INDEX(Results_Long!$J:$J,$F25)="","NA",INDEX(Results_Long!$J:$J,$F25))</f>
        <v>12</v>
      </c>
      <c r="J25" s="10">
        <f>IF(INDEX(Results_Long!$K:$K,$F25)="","NA",INDEX(Results_Long!$K:$K,$F25))</f>
        <v>-1.8018410577610399E-2</v>
      </c>
      <c r="K25" s="10">
        <f>IF(INDEX(Results_Long!$P:$P,$F25)="","NA",INDEX(Results_Long!$P:$P,$F25))</f>
        <v>-2.6823171385458498E-2</v>
      </c>
      <c r="L25" s="10">
        <f>IF(INDEX(Results_Long!$Q:$Q,$F25)="","NA",INDEX(Results_Long!$Q:$Q,$F25))</f>
        <v>-9.2136497697622201E-3</v>
      </c>
      <c r="M25" s="10">
        <f>IF(INDEX(Results_Long!$T:$T,$F25)="","NA",INDEX(Results_Long!$T:$T,$F25))</f>
        <v>-1.8016460859680301E-2</v>
      </c>
      <c r="N25" s="10">
        <f>IF(INDEX(Results_Long!$U:$U,$F25)="","NA",INDEX(Results_Long!$U:$U,$F25))</f>
        <v>-2.6816740301930399E-2</v>
      </c>
      <c r="O25" s="10">
        <f>IF(INDEX(Results_Long!$V:$V,$F25)="","NA",INDEX(Results_Long!$V:$V,$F25))</f>
        <v>-9.2133890589169102E-3</v>
      </c>
      <c r="P25" s="10">
        <f>IF(INDEX(Results_Long!$L:$L,$F25)="","NA",INDEX(Results_Long!$L:$L,$F25))</f>
        <v>3.3811336950386301E-3</v>
      </c>
      <c r="Q25" s="11">
        <f>IF(INDEX(Results_Long!$M:$M,$F25)="","NA",INDEX(Results_Long!$M:$M,$F25))</f>
        <v>-5.3291032543463199</v>
      </c>
      <c r="R25" s="12">
        <f>IF(INDEX(Results_Long!$N:$N,$F25)="","NA",INDEX(Results_Long!$N:$N,$F25))</f>
        <v>4.7944537119720598</v>
      </c>
      <c r="S25" s="10">
        <f>IF(INDEX(Results_Long!$O:$O,$F25)="","NA",INDEX(Results_Long!$O:$O,$F25))</f>
        <v>3.5333549329773198E-3</v>
      </c>
      <c r="T25" s="6" t="str">
        <f>IF(INDEX(Results_Long!$AG:$AG,$F25)="","NA",INDEX(Results_Long!$AG:$AG,$F25))</f>
        <v>NA</v>
      </c>
      <c r="U25" s="5" t="str">
        <f>IF(INDEX(Results_Long!$AJ:$AJ,$F25)="","NA",INDEX(Results_Long!$AJ:$AJ,$F25))</f>
        <v>cumulative 3L refit after adding study 'Erragragui (2018)' (median sample_mid = 2005.50); ordering: study-wise median sample_mid, ties alphabetical [DEC-045/H-Q17]; full display (CI band)</v>
      </c>
    </row>
    <row r="26" spans="1:21" ht="34.5" customHeight="1" x14ac:dyDescent="0.3">
      <c r="A26" s="6" t="s">
        <v>314</v>
      </c>
      <c r="B26" s="7" t="s">
        <v>277</v>
      </c>
      <c r="C26" s="7" t="s">
        <v>278</v>
      </c>
      <c r="D26" s="7" t="s">
        <v>315</v>
      </c>
      <c r="E26" s="7" t="s">
        <v>316</v>
      </c>
      <c r="F26" s="8">
        <f>SUMPRODUCT((Results_Long!$A$2:$A$178=$B26)*(Results_Long!$B$2:$B$178=$C26)*(Results_Long!$C$2:$C$178=$D26)*(Results_Long!$D$2:$D$178=$E26)*ROW(Results_Long!$A$2:$A$178))</f>
        <v>40</v>
      </c>
      <c r="G26" s="9">
        <f>IF(INDEX(Results_Long!$H:$H,$F26)="","NA",INDEX(Results_Long!$H:$H,$F26))</f>
        <v>338</v>
      </c>
      <c r="H26" s="9">
        <f>IF(INDEX(Results_Long!$I:$I,$F26)="","NA",INDEX(Results_Long!$I:$I,$F26))</f>
        <v>13</v>
      </c>
      <c r="I26" s="9">
        <f>IF(INDEX(Results_Long!$J:$J,$F26)="","NA",INDEX(Results_Long!$J:$J,$F26))</f>
        <v>13</v>
      </c>
      <c r="J26" s="10">
        <f>IF(INDEX(Results_Long!$K:$K,$F26)="","NA",INDEX(Results_Long!$K:$K,$F26))</f>
        <v>-2.1172503632347999E-2</v>
      </c>
      <c r="K26" s="10">
        <f>IF(INDEX(Results_Long!$P:$P,$F26)="","NA",INDEX(Results_Long!$P:$P,$F26))</f>
        <v>-3.3462766927259302E-2</v>
      </c>
      <c r="L26" s="10">
        <f>IF(INDEX(Results_Long!$Q:$Q,$F26)="","NA",INDEX(Results_Long!$Q:$Q,$F26))</f>
        <v>-8.8822403374367396E-3</v>
      </c>
      <c r="M26" s="10">
        <f>IF(INDEX(Results_Long!$T:$T,$F26)="","NA",INDEX(Results_Long!$T:$T,$F26))</f>
        <v>-2.1169340498807601E-2</v>
      </c>
      <c r="N26" s="10">
        <f>IF(INDEX(Results_Long!$U:$U,$F26)="","NA",INDEX(Results_Long!$U:$U,$F26))</f>
        <v>-3.3450282465778899E-2</v>
      </c>
      <c r="O26" s="10">
        <f>IF(INDEX(Results_Long!$V:$V,$F26)="","NA",INDEX(Results_Long!$V:$V,$F26))</f>
        <v>-8.8820067590788896E-3</v>
      </c>
      <c r="P26" s="10">
        <f>IF(INDEX(Results_Long!$L:$L,$F26)="","NA",INDEX(Results_Long!$L:$L,$F26))</f>
        <v>4.92124296868484E-3</v>
      </c>
      <c r="Q26" s="11">
        <f>IF(INDEX(Results_Long!$M:$M,$F26)="","NA",INDEX(Results_Long!$M:$M,$F26))</f>
        <v>-4.3022674895497399</v>
      </c>
      <c r="R26" s="12">
        <f>IF(INDEX(Results_Long!$N:$N,$F26)="","NA",INDEX(Results_Long!$N:$N,$F26))</f>
        <v>5.5368830554037496</v>
      </c>
      <c r="S26" s="10">
        <f>IF(INDEX(Results_Long!$O:$O,$F26)="","NA",INDEX(Results_Long!$O:$O,$F26))</f>
        <v>6.1075545518945104E-3</v>
      </c>
      <c r="T26" s="6" t="str">
        <f>IF(INDEX(Results_Long!$AG:$AG,$F26)="","NA",INDEX(Results_Long!$AG:$AG,$F26))</f>
        <v>NA</v>
      </c>
      <c r="U26" s="5" t="str">
        <f>IF(INDEX(Results_Long!$AJ:$AJ,$F26)="","NA",INDEX(Results_Long!$AJ:$AJ,$F26))</f>
        <v>cumulative 3L refit after adding study 'Zheng (2021)' (median sample_mid = 2006.50); ordering: study-wise median sample_mid, ties alphabetical [DEC-045/H-Q17]; full display (CI band)</v>
      </c>
    </row>
    <row r="27" spans="1:21" ht="34.5" customHeight="1" x14ac:dyDescent="0.3">
      <c r="A27" s="6" t="s">
        <v>317</v>
      </c>
      <c r="B27" s="7" t="s">
        <v>277</v>
      </c>
      <c r="C27" s="7" t="s">
        <v>278</v>
      </c>
      <c r="D27" s="7" t="s">
        <v>318</v>
      </c>
      <c r="E27" s="7" t="s">
        <v>319</v>
      </c>
      <c r="F27" s="8">
        <f>SUMPRODUCT((Results_Long!$A$2:$A$178=$B27)*(Results_Long!$B$2:$B$178=$C27)*(Results_Long!$C$2:$C$178=$D27)*(Results_Long!$D$2:$D$178=$E27)*ROW(Results_Long!$A$2:$A$178))</f>
        <v>41</v>
      </c>
      <c r="G27" s="9">
        <f>IF(INDEX(Results_Long!$H:$H,$F27)="","NA",INDEX(Results_Long!$H:$H,$F27))</f>
        <v>356</v>
      </c>
      <c r="H27" s="9">
        <f>IF(INDEX(Results_Long!$I:$I,$F27)="","NA",INDEX(Results_Long!$I:$I,$F27))</f>
        <v>14</v>
      </c>
      <c r="I27" s="9">
        <f>IF(INDEX(Results_Long!$J:$J,$F27)="","NA",INDEX(Results_Long!$J:$J,$F27))</f>
        <v>14</v>
      </c>
      <c r="J27" s="10">
        <f>IF(INDEX(Results_Long!$K:$K,$F27)="","NA",INDEX(Results_Long!$K:$K,$F27))</f>
        <v>-2.64954411441496E-2</v>
      </c>
      <c r="K27" s="10">
        <f>IF(INDEX(Results_Long!$P:$P,$F27)="","NA",INDEX(Results_Long!$P:$P,$F27))</f>
        <v>-4.1659849778564101E-2</v>
      </c>
      <c r="L27" s="10">
        <f>IF(INDEX(Results_Long!$Q:$Q,$F27)="","NA",INDEX(Results_Long!$Q:$Q,$F27))</f>
        <v>-1.1331032509735099E-2</v>
      </c>
      <c r="M27" s="10">
        <f>IF(INDEX(Results_Long!$T:$T,$F27)="","NA",INDEX(Results_Long!$T:$T,$F27))</f>
        <v>-2.6489242877210401E-2</v>
      </c>
      <c r="N27" s="10">
        <f>IF(INDEX(Results_Long!$U:$U,$F27)="","NA",INDEX(Results_Long!$U:$U,$F27))</f>
        <v>-4.1635765676642601E-2</v>
      </c>
      <c r="O27" s="10">
        <f>IF(INDEX(Results_Long!$V:$V,$F27)="","NA",INDEX(Results_Long!$V:$V,$F27))</f>
        <v>-1.1330547595538899E-2</v>
      </c>
      <c r="P27" s="10">
        <f>IF(INDEX(Results_Long!$L:$L,$F27)="","NA",INDEX(Results_Long!$L:$L,$F27))</f>
        <v>6.6567376259756101E-3</v>
      </c>
      <c r="Q27" s="11">
        <f>IF(INDEX(Results_Long!$M:$M,$F27)="","NA",INDEX(Results_Long!$M:$M,$F27))</f>
        <v>-3.98024417257492</v>
      </c>
      <c r="R27" s="12">
        <f>IF(INDEX(Results_Long!$N:$N,$F27)="","NA",INDEX(Results_Long!$N:$N,$F27))</f>
        <v>8.6057420843106396</v>
      </c>
      <c r="S27" s="10">
        <f>IF(INDEX(Results_Long!$O:$O,$F27)="","NA",INDEX(Results_Long!$O:$O,$F27))</f>
        <v>3.5053683683752201E-3</v>
      </c>
      <c r="T27" s="6" t="str">
        <f>IF(INDEX(Results_Long!$AG:$AG,$F27)="","NA",INDEX(Results_Long!$AG:$AG,$F27))</f>
        <v>NA</v>
      </c>
      <c r="U27" s="5" t="str">
        <f>IF(INDEX(Results_Long!$AJ:$AJ,$F27)="","NA",INDEX(Results_Long!$AJ:$AJ,$F27))</f>
        <v>cumulative 3L refit after adding study 'Li et al (2014)' (median sample_mid = 2008.00); ordering: study-wise median sample_mid, ties alphabetical [DEC-045/H-Q17]; full display (CI band)</v>
      </c>
    </row>
    <row r="28" spans="1:21" ht="34.5" customHeight="1" x14ac:dyDescent="0.3">
      <c r="A28" s="6" t="s">
        <v>320</v>
      </c>
      <c r="B28" s="7" t="s">
        <v>277</v>
      </c>
      <c r="C28" s="7" t="s">
        <v>278</v>
      </c>
      <c r="D28" s="7" t="s">
        <v>321</v>
      </c>
      <c r="E28" s="7" t="s">
        <v>322</v>
      </c>
      <c r="F28" s="8">
        <f>SUMPRODUCT((Results_Long!$A$2:$A$178=$B28)*(Results_Long!$B$2:$B$178=$C28)*(Results_Long!$C$2:$C$178=$D28)*(Results_Long!$D$2:$D$178=$E28)*ROW(Results_Long!$A$2:$A$178))</f>
        <v>42</v>
      </c>
      <c r="G28" s="9">
        <f>IF(INDEX(Results_Long!$H:$H,$F28)="","NA",INDEX(Results_Long!$H:$H,$F28))</f>
        <v>375</v>
      </c>
      <c r="H28" s="9">
        <f>IF(INDEX(Results_Long!$I:$I,$F28)="","NA",INDEX(Results_Long!$I:$I,$F28))</f>
        <v>15</v>
      </c>
      <c r="I28" s="9">
        <f>IF(INDEX(Results_Long!$J:$J,$F28)="","NA",INDEX(Results_Long!$J:$J,$F28))</f>
        <v>15</v>
      </c>
      <c r="J28" s="10">
        <f>IF(INDEX(Results_Long!$K:$K,$F28)="","NA",INDEX(Results_Long!$K:$K,$F28))</f>
        <v>-3.17888848342706E-2</v>
      </c>
      <c r="K28" s="10">
        <f>IF(INDEX(Results_Long!$P:$P,$F28)="","NA",INDEX(Results_Long!$P:$P,$F28))</f>
        <v>-4.9210595388620403E-2</v>
      </c>
      <c r="L28" s="10">
        <f>IF(INDEX(Results_Long!$Q:$Q,$F28)="","NA",INDEX(Results_Long!$Q:$Q,$F28))</f>
        <v>-1.4367174279920901E-2</v>
      </c>
      <c r="M28" s="10">
        <f>IF(INDEX(Results_Long!$T:$T,$F28)="","NA",INDEX(Results_Long!$T:$T,$F28))</f>
        <v>-3.1778181252951399E-2</v>
      </c>
      <c r="N28" s="10">
        <f>IF(INDEX(Results_Long!$U:$U,$F28)="","NA",INDEX(Results_Long!$U:$U,$F28))</f>
        <v>-4.9170909681508002E-2</v>
      </c>
      <c r="O28" s="10">
        <f>IF(INDEX(Results_Long!$V:$V,$F28)="","NA",INDEX(Results_Long!$V:$V,$F28))</f>
        <v>-1.4366185824770601E-2</v>
      </c>
      <c r="P28" s="10">
        <f>IF(INDEX(Results_Long!$L:$L,$F28)="","NA",INDEX(Results_Long!$L:$L,$F28))</f>
        <v>7.8351159521972205E-3</v>
      </c>
      <c r="Q28" s="11">
        <f>IF(INDEX(Results_Long!$M:$M,$F28)="","NA",INDEX(Results_Long!$M:$M,$F28))</f>
        <v>-4.0572322130543599</v>
      </c>
      <c r="R28" s="12">
        <f>IF(INDEX(Results_Long!$N:$N,$F28)="","NA",INDEX(Results_Long!$N:$N,$F28))</f>
        <v>10.154843225589</v>
      </c>
      <c r="S28" s="10">
        <f>IF(INDEX(Results_Long!$O:$O,$F28)="","NA",INDEX(Results_Long!$O:$O,$F28))</f>
        <v>2.2256770202155299E-3</v>
      </c>
      <c r="T28" s="6" t="str">
        <f>IF(INDEX(Results_Long!$AG:$AG,$F28)="","NA",INDEX(Results_Long!$AG:$AG,$F28))</f>
        <v>NA</v>
      </c>
      <c r="U28" s="5" t="str">
        <f>IF(INDEX(Results_Long!$AJ:$AJ,$F28)="","NA",INDEX(Results_Long!$AJ:$AJ,$F28))</f>
        <v>cumulative 3L refit after adding study 'Hoepner et al (2016)' (median sample_mid = 2008.50); ordering: study-wise median sample_mid, ties alphabetical [DEC-045/H-Q17]; full display (CI band)</v>
      </c>
    </row>
    <row r="29" spans="1:21" ht="34.5" customHeight="1" x14ac:dyDescent="0.3">
      <c r="A29" s="6" t="s">
        <v>323</v>
      </c>
      <c r="B29" s="7" t="s">
        <v>277</v>
      </c>
      <c r="C29" s="7" t="s">
        <v>278</v>
      </c>
      <c r="D29" s="7" t="s">
        <v>324</v>
      </c>
      <c r="E29" s="7" t="s">
        <v>325</v>
      </c>
      <c r="F29" s="8">
        <f>SUMPRODUCT((Results_Long!$A$2:$A$178=$B29)*(Results_Long!$B$2:$B$178=$C29)*(Results_Long!$C$2:$C$178=$D29)*(Results_Long!$D$2:$D$178=$E29)*ROW(Results_Long!$A$2:$A$178))</f>
        <v>43</v>
      </c>
      <c r="G29" s="9">
        <f>IF(INDEX(Results_Long!$H:$H,$F29)="","NA",INDEX(Results_Long!$H:$H,$F29))</f>
        <v>393</v>
      </c>
      <c r="H29" s="9">
        <f>IF(INDEX(Results_Long!$I:$I,$F29)="","NA",INDEX(Results_Long!$I:$I,$F29))</f>
        <v>16</v>
      </c>
      <c r="I29" s="9">
        <f>IF(INDEX(Results_Long!$J:$J,$F29)="","NA",INDEX(Results_Long!$J:$J,$F29))</f>
        <v>16</v>
      </c>
      <c r="J29" s="10">
        <f>IF(INDEX(Results_Long!$K:$K,$F29)="","NA",INDEX(Results_Long!$K:$K,$F29))</f>
        <v>-3.2824175519102501E-2</v>
      </c>
      <c r="K29" s="10">
        <f>IF(INDEX(Results_Long!$P:$P,$F29)="","NA",INDEX(Results_Long!$P:$P,$F29))</f>
        <v>-4.9255891388849601E-2</v>
      </c>
      <c r="L29" s="10">
        <f>IF(INDEX(Results_Long!$Q:$Q,$F29)="","NA",INDEX(Results_Long!$Q:$Q,$F29))</f>
        <v>-1.63924596493553E-2</v>
      </c>
      <c r="M29" s="10">
        <f>IF(INDEX(Results_Long!$T:$T,$F29)="","NA",INDEX(Results_Long!$T:$T,$F29))</f>
        <v>-3.2812392051905698E-2</v>
      </c>
      <c r="N29" s="10">
        <f>IF(INDEX(Results_Long!$U:$U,$F29)="","NA",INDEX(Results_Long!$U:$U,$F29))</f>
        <v>-4.9216096065376101E-2</v>
      </c>
      <c r="O29" s="10">
        <f>IF(INDEX(Results_Long!$V:$V,$F29)="","NA",INDEX(Results_Long!$V:$V,$F29))</f>
        <v>-1.63909915196109E-2</v>
      </c>
      <c r="P29" s="10">
        <f>IF(INDEX(Results_Long!$L:$L,$F29)="","NA",INDEX(Results_Long!$L:$L,$F29))</f>
        <v>7.33826165532518E-3</v>
      </c>
      <c r="Q29" s="11">
        <f>IF(INDEX(Results_Long!$M:$M,$F29)="","NA",INDEX(Results_Long!$M:$M,$F29))</f>
        <v>-4.4730178700132397</v>
      </c>
      <c r="R29" s="12">
        <f>IF(INDEX(Results_Long!$N:$N,$F29)="","NA",INDEX(Results_Long!$N:$N,$F29))</f>
        <v>9.6487170577704902</v>
      </c>
      <c r="S29" s="10">
        <f>IF(INDEX(Results_Long!$O:$O,$F29)="","NA",INDEX(Results_Long!$O:$O,$F29))</f>
        <v>1.3022353116959201E-3</v>
      </c>
      <c r="T29" s="6" t="str">
        <f>IF(INDEX(Results_Long!$AG:$AG,$F29)="","NA",INDEX(Results_Long!$AG:$AG,$F29))</f>
        <v>NA</v>
      </c>
      <c r="U29" s="5" t="str">
        <f>IF(INDEX(Results_Long!$AJ:$AJ,$F29)="","NA",INDEX(Results_Long!$AJ:$AJ,$F29))</f>
        <v>cumulative 3L refit after adding study 'Wang et al (2020)' (median sample_mid = 2009.50); ordering: study-wise median sample_mid, ties alphabetical [DEC-045/H-Q17]; full display (CI band)</v>
      </c>
    </row>
    <row r="30" spans="1:21" ht="34.5" customHeight="1" x14ac:dyDescent="0.3">
      <c r="A30" s="6" t="s">
        <v>326</v>
      </c>
      <c r="B30" s="7" t="s">
        <v>277</v>
      </c>
      <c r="C30" s="7" t="s">
        <v>278</v>
      </c>
      <c r="D30" s="7" t="s">
        <v>327</v>
      </c>
      <c r="E30" s="7" t="s">
        <v>328</v>
      </c>
      <c r="F30" s="8">
        <f>SUMPRODUCT((Results_Long!$A$2:$A$178=$B30)*(Results_Long!$B$2:$B$178=$C30)*(Results_Long!$C$2:$C$178=$D30)*(Results_Long!$D$2:$D$178=$E30)*ROW(Results_Long!$A$2:$A$178))</f>
        <v>44</v>
      </c>
      <c r="G30" s="9">
        <f>IF(INDEX(Results_Long!$H:$H,$F30)="","NA",INDEX(Results_Long!$H:$H,$F30))</f>
        <v>452</v>
      </c>
      <c r="H30" s="9">
        <f>IF(INDEX(Results_Long!$I:$I,$F30)="","NA",INDEX(Results_Long!$I:$I,$F30))</f>
        <v>17</v>
      </c>
      <c r="I30" s="9">
        <f>IF(INDEX(Results_Long!$J:$J,$F30)="","NA",INDEX(Results_Long!$J:$J,$F30))</f>
        <v>17</v>
      </c>
      <c r="J30" s="10">
        <f>IF(INDEX(Results_Long!$K:$K,$F30)="","NA",INDEX(Results_Long!$K:$K,$F30))</f>
        <v>-2.932850519164E-2</v>
      </c>
      <c r="K30" s="10">
        <f>IF(INDEX(Results_Long!$P:$P,$F30)="","NA",INDEX(Results_Long!$P:$P,$F30))</f>
        <v>-4.8681713372957403E-2</v>
      </c>
      <c r="L30" s="10">
        <f>IF(INDEX(Results_Long!$Q:$Q,$F30)="","NA",INDEX(Results_Long!$Q:$Q,$F30))</f>
        <v>-9.9752970103225702E-3</v>
      </c>
      <c r="M30" s="10">
        <f>IF(INDEX(Results_Long!$T:$T,$F30)="","NA",INDEX(Results_Long!$T:$T,$F30))</f>
        <v>-2.93200990029952E-2</v>
      </c>
      <c r="N30" s="10">
        <f>IF(INDEX(Results_Long!$U:$U,$F30)="","NA",INDEX(Results_Long!$U:$U,$F30))</f>
        <v>-4.8643292713530302E-2</v>
      </c>
      <c r="O30" s="10">
        <f>IF(INDEX(Results_Long!$V:$V,$F30)="","NA",INDEX(Results_Long!$V:$V,$F30))</f>
        <v>-9.9749661543597802E-3</v>
      </c>
      <c r="P30" s="10">
        <f>IF(INDEX(Results_Long!$L:$L,$F30)="","NA",INDEX(Results_Long!$L:$L,$F30))</f>
        <v>8.9546058141776793E-3</v>
      </c>
      <c r="Q30" s="11">
        <f>IF(INDEX(Results_Long!$M:$M,$F30)="","NA",INDEX(Results_Long!$M:$M,$F30))</f>
        <v>-3.2752424618406599</v>
      </c>
      <c r="R30" s="12">
        <f>IF(INDEX(Results_Long!$N:$N,$F30)="","NA",INDEX(Results_Long!$N:$N,$F30))</f>
        <v>12.947620740944</v>
      </c>
      <c r="S30" s="10">
        <f>IF(INDEX(Results_Long!$O:$O,$F30)="","NA",INDEX(Results_Long!$O:$O,$F30))</f>
        <v>6.05711672111832E-3</v>
      </c>
      <c r="T30" s="6" t="str">
        <f>IF(INDEX(Results_Long!$AG:$AG,$F30)="","NA",INDEX(Results_Long!$AG:$AG,$F30))</f>
        <v>NA</v>
      </c>
      <c r="U30" s="5" t="str">
        <f>IF(INDEX(Results_Long!$AJ:$AJ,$F30)="","NA",INDEX(Results_Long!$AJ:$AJ,$F30))</f>
        <v>cumulative 3L refit after adding study 'D'Arcangelo et al (2025)' (median sample_mid = 2010.00); ordering: study-wise median sample_mid, ties alphabetical [DEC-045/H-Q17]; full display (CI band)</v>
      </c>
    </row>
    <row r="31" spans="1:21" ht="34.5" customHeight="1" x14ac:dyDescent="0.3">
      <c r="A31" s="6" t="s">
        <v>329</v>
      </c>
      <c r="B31" s="7" t="s">
        <v>277</v>
      </c>
      <c r="C31" s="7" t="s">
        <v>278</v>
      </c>
      <c r="D31" s="7" t="s">
        <v>330</v>
      </c>
      <c r="E31" s="7" t="s">
        <v>331</v>
      </c>
      <c r="F31" s="8">
        <f>SUMPRODUCT((Results_Long!$A$2:$A$178=$B31)*(Results_Long!$B$2:$B$178=$C31)*(Results_Long!$C$2:$C$178=$D31)*(Results_Long!$D$2:$D$178=$E31)*ROW(Results_Long!$A$2:$A$178))</f>
        <v>45</v>
      </c>
      <c r="G31" s="9">
        <f>IF(INDEX(Results_Long!$H:$H,$F31)="","NA",INDEX(Results_Long!$H:$H,$F31))</f>
        <v>484</v>
      </c>
      <c r="H31" s="9">
        <f>IF(INDEX(Results_Long!$I:$I,$F31)="","NA",INDEX(Results_Long!$I:$I,$F31))</f>
        <v>18</v>
      </c>
      <c r="I31" s="9">
        <f>IF(INDEX(Results_Long!$J:$J,$F31)="","NA",INDEX(Results_Long!$J:$J,$F31))</f>
        <v>18</v>
      </c>
      <c r="J31" s="10">
        <f>IF(INDEX(Results_Long!$K:$K,$F31)="","NA",INDEX(Results_Long!$K:$K,$F31))</f>
        <v>-2.8596374764761699E-2</v>
      </c>
      <c r="K31" s="10">
        <f>IF(INDEX(Results_Long!$P:$P,$F31)="","NA",INDEX(Results_Long!$P:$P,$F31))</f>
        <v>-4.6298457649170302E-2</v>
      </c>
      <c r="L31" s="10">
        <f>IF(INDEX(Results_Long!$Q:$Q,$F31)="","NA",INDEX(Results_Long!$Q:$Q,$F31))</f>
        <v>-1.0894291880352999E-2</v>
      </c>
      <c r="M31" s="10">
        <f>IF(INDEX(Results_Long!$T:$T,$F31)="","NA",INDEX(Results_Long!$T:$T,$F31))</f>
        <v>-2.8588582393232899E-2</v>
      </c>
      <c r="N31" s="10">
        <f>IF(INDEX(Results_Long!$U:$U,$F31)="","NA",INDEX(Results_Long!$U:$U,$F31))</f>
        <v>-4.6265405012713902E-2</v>
      </c>
      <c r="O31" s="10">
        <f>IF(INDEX(Results_Long!$V:$V,$F31)="","NA",INDEX(Results_Long!$V:$V,$F31))</f>
        <v>-1.0893860902306599E-2</v>
      </c>
      <c r="P31" s="10">
        <f>IF(INDEX(Results_Long!$L:$L,$F31)="","NA",INDEX(Results_Long!$L:$L,$F31))</f>
        <v>8.2236232008491908E-3</v>
      </c>
      <c r="Q31" s="11">
        <f>IF(INDEX(Results_Long!$M:$M,$F31)="","NA",INDEX(Results_Long!$M:$M,$F31))</f>
        <v>-3.4773449690409901</v>
      </c>
      <c r="R31" s="12">
        <f>IF(INDEX(Results_Long!$N:$N,$F31)="","NA",INDEX(Results_Long!$N:$N,$F31))</f>
        <v>13.4790727029146</v>
      </c>
      <c r="S31" s="10">
        <f>IF(INDEX(Results_Long!$O:$O,$F31)="","NA",INDEX(Results_Long!$O:$O,$F31))</f>
        <v>3.8913119773702799E-3</v>
      </c>
      <c r="T31" s="6" t="str">
        <f>IF(INDEX(Results_Long!$AG:$AG,$F31)="","NA",INDEX(Results_Long!$AG:$AG,$F31))</f>
        <v>NA</v>
      </c>
      <c r="U31" s="5" t="str">
        <f>IF(INDEX(Results_Long!$AJ:$AJ,$F31)="","NA",INDEX(Results_Long!$AJ:$AJ,$F31))</f>
        <v>cumulative 3L refit after adding study 'Du et al (2015)' (median sample_mid = 2010.00); ordering: study-wise median sample_mid, ties alphabetical [DEC-045/H-Q17]; full display (CI band)</v>
      </c>
    </row>
    <row r="32" spans="1:21" ht="34.5" customHeight="1" x14ac:dyDescent="0.3">
      <c r="A32" s="6" t="s">
        <v>332</v>
      </c>
      <c r="B32" s="7" t="s">
        <v>277</v>
      </c>
      <c r="C32" s="7" t="s">
        <v>278</v>
      </c>
      <c r="D32" s="7" t="s">
        <v>333</v>
      </c>
      <c r="E32" s="7" t="s">
        <v>334</v>
      </c>
      <c r="F32" s="8">
        <f>SUMPRODUCT((Results_Long!$A$2:$A$178=$B32)*(Results_Long!$B$2:$B$178=$C32)*(Results_Long!$C$2:$C$178=$D32)*(Results_Long!$D$2:$D$178=$E32)*ROW(Results_Long!$A$2:$A$178))</f>
        <v>46</v>
      </c>
      <c r="G32" s="9">
        <f>IF(INDEX(Results_Long!$H:$H,$F32)="","NA",INDEX(Results_Long!$H:$H,$F32))</f>
        <v>520</v>
      </c>
      <c r="H32" s="9">
        <f>IF(INDEX(Results_Long!$I:$I,$F32)="","NA",INDEX(Results_Long!$I:$I,$F32))</f>
        <v>19</v>
      </c>
      <c r="I32" s="9">
        <f>IF(INDEX(Results_Long!$J:$J,$F32)="","NA",INDEX(Results_Long!$J:$J,$F32))</f>
        <v>19</v>
      </c>
      <c r="J32" s="10">
        <f>IF(INDEX(Results_Long!$K:$K,$F32)="","NA",INDEX(Results_Long!$K:$K,$F32))</f>
        <v>-3.0972424510408599E-2</v>
      </c>
      <c r="K32" s="10">
        <f>IF(INDEX(Results_Long!$P:$P,$F32)="","NA",INDEX(Results_Long!$P:$P,$F32))</f>
        <v>-4.8712164395063699E-2</v>
      </c>
      <c r="L32" s="10">
        <f>IF(INDEX(Results_Long!$Q:$Q,$F32)="","NA",INDEX(Results_Long!$Q:$Q,$F32))</f>
        <v>-1.3232684625753501E-2</v>
      </c>
      <c r="M32" s="10">
        <f>IF(INDEX(Results_Long!$T:$T,$F32)="","NA",INDEX(Results_Long!$T:$T,$F32))</f>
        <v>-3.0962524452352699E-2</v>
      </c>
      <c r="N32" s="10">
        <f>IF(INDEX(Results_Long!$U:$U,$F32)="","NA",INDEX(Results_Long!$U:$U,$F32))</f>
        <v>-4.8673671638335997E-2</v>
      </c>
      <c r="O32" s="10">
        <f>IF(INDEX(Results_Long!$V:$V,$F32)="","NA",INDEX(Results_Long!$V:$V,$F32))</f>
        <v>-1.32319123147651E-2</v>
      </c>
      <c r="P32" s="10">
        <f>IF(INDEX(Results_Long!$L:$L,$F32)="","NA",INDEX(Results_Long!$L:$L,$F32))</f>
        <v>8.3181542748408197E-3</v>
      </c>
      <c r="Q32" s="11">
        <f>IF(INDEX(Results_Long!$M:$M,$F32)="","NA",INDEX(Results_Long!$M:$M,$F32))</f>
        <v>-3.72347319934762</v>
      </c>
      <c r="R32" s="12">
        <f>IF(INDEX(Results_Long!$N:$N,$F32)="","NA",INDEX(Results_Long!$N:$N,$F32))</f>
        <v>14.903406336752001</v>
      </c>
      <c r="S32" s="10">
        <f>IF(INDEX(Results_Long!$O:$O,$F32)="","NA",INDEX(Results_Long!$O:$O,$F32))</f>
        <v>2.0590476136145902E-3</v>
      </c>
      <c r="T32" s="6" t="str">
        <f>IF(INDEX(Results_Long!$AG:$AG,$F32)="","NA",INDEX(Results_Long!$AG:$AG,$F32))</f>
        <v>NA</v>
      </c>
      <c r="U32" s="5" t="str">
        <f>IF(INDEX(Results_Long!$AJ:$AJ,$F32)="","NA",INDEX(Results_Long!$AJ:$AJ,$F32))</f>
        <v>cumulative 3L refit after adding study 'Hansen &amp; Marcet (2025)' (median sample_mid = 2010.00); ordering: study-wise median sample_mid, ties alphabetical [DEC-045/H-Q17]; full display (CI band)</v>
      </c>
    </row>
    <row r="33" spans="1:21" ht="34.5" customHeight="1" x14ac:dyDescent="0.3">
      <c r="A33" s="6" t="s">
        <v>335</v>
      </c>
      <c r="B33" s="7" t="s">
        <v>277</v>
      </c>
      <c r="C33" s="7" t="s">
        <v>278</v>
      </c>
      <c r="D33" s="7" t="s">
        <v>336</v>
      </c>
      <c r="E33" s="7" t="s">
        <v>337</v>
      </c>
      <c r="F33" s="8">
        <f>SUMPRODUCT((Results_Long!$A$2:$A$178=$B33)*(Results_Long!$B$2:$B$178=$C33)*(Results_Long!$C$2:$C$178=$D33)*(Results_Long!$D$2:$D$178=$E33)*ROW(Results_Long!$A$2:$A$178))</f>
        <v>47</v>
      </c>
      <c r="G33" s="9">
        <f>IF(INDEX(Results_Long!$H:$H,$F33)="","NA",INDEX(Results_Long!$H:$H,$F33))</f>
        <v>624</v>
      </c>
      <c r="H33" s="9">
        <f>IF(INDEX(Results_Long!$I:$I,$F33)="","NA",INDEX(Results_Long!$I:$I,$F33))</f>
        <v>20</v>
      </c>
      <c r="I33" s="9">
        <f>IF(INDEX(Results_Long!$J:$J,$F33)="","NA",INDEX(Results_Long!$J:$J,$F33))</f>
        <v>20</v>
      </c>
      <c r="J33" s="10">
        <f>IF(INDEX(Results_Long!$K:$K,$F33)="","NA",INDEX(Results_Long!$K:$K,$F33))</f>
        <v>-3.0782851453394398E-2</v>
      </c>
      <c r="K33" s="10">
        <f>IF(INDEX(Results_Long!$P:$P,$F33)="","NA",INDEX(Results_Long!$P:$P,$F33))</f>
        <v>-4.7095019848329402E-2</v>
      </c>
      <c r="L33" s="10">
        <f>IF(INDEX(Results_Long!$Q:$Q,$F33)="","NA",INDEX(Results_Long!$Q:$Q,$F33))</f>
        <v>-1.4470683058459499E-2</v>
      </c>
      <c r="M33" s="10">
        <f>IF(INDEX(Results_Long!$T:$T,$F33)="","NA",INDEX(Results_Long!$T:$T,$F33))</f>
        <v>-3.0773132025442199E-2</v>
      </c>
      <c r="N33" s="10">
        <f>IF(INDEX(Results_Long!$U:$U,$F33)="","NA",INDEX(Results_Long!$U:$U,$F33))</f>
        <v>-4.7060232720171298E-2</v>
      </c>
      <c r="O33" s="10">
        <f>IF(INDEX(Results_Long!$V:$V,$F33)="","NA",INDEX(Results_Long!$V:$V,$F33))</f>
        <v>-1.44696730861544E-2</v>
      </c>
      <c r="P33" s="10">
        <f>IF(INDEX(Results_Long!$L:$L,$F33)="","NA",INDEX(Results_Long!$L:$L,$F33))</f>
        <v>7.6825325184208303E-3</v>
      </c>
      <c r="Q33" s="11">
        <f>IF(INDEX(Results_Long!$M:$M,$F33)="","NA",INDEX(Results_Long!$M:$M,$F33))</f>
        <v>-4.0068625000395004</v>
      </c>
      <c r="R33" s="12">
        <f>IF(INDEX(Results_Long!$N:$N,$F33)="","NA",INDEX(Results_Long!$N:$N,$F33))</f>
        <v>15.693061941688599</v>
      </c>
      <c r="S33" s="10">
        <f>IF(INDEX(Results_Long!$O:$O,$F33)="","NA",INDEX(Results_Long!$O:$O,$F33))</f>
        <v>1.0532728712968099E-3</v>
      </c>
      <c r="T33" s="6" t="str">
        <f>IF(INDEX(Results_Long!$AG:$AG,$F33)="","NA",INDEX(Results_Long!$AG:$AG,$F33))</f>
        <v>NA</v>
      </c>
      <c r="U33" s="5" t="str">
        <f>IF(INDEX(Results_Long!$AJ:$AJ,$F33)="","NA",INDEX(Results_Long!$AJ:$AJ,$F33))</f>
        <v>cumulative 3L refit after adding study 'Trinh et al (2024)' (median sample_mid = 2010.00); ordering: study-wise median sample_mid, ties alphabetical [DEC-045/H-Q17]; full display (CI band)</v>
      </c>
    </row>
    <row r="34" spans="1:21" ht="34.5" customHeight="1" x14ac:dyDescent="0.3">
      <c r="A34" s="6" t="s">
        <v>338</v>
      </c>
      <c r="B34" s="7" t="s">
        <v>277</v>
      </c>
      <c r="C34" s="7" t="s">
        <v>278</v>
      </c>
      <c r="D34" s="7" t="s">
        <v>339</v>
      </c>
      <c r="E34" s="7" t="s">
        <v>340</v>
      </c>
      <c r="F34" s="8">
        <f>SUMPRODUCT((Results_Long!$A$2:$A$178=$B34)*(Results_Long!$B$2:$B$178=$C34)*(Results_Long!$C$2:$C$178=$D34)*(Results_Long!$D$2:$D$178=$E34)*ROW(Results_Long!$A$2:$A$178))</f>
        <v>48</v>
      </c>
      <c r="G34" s="9">
        <f>IF(INDEX(Results_Long!$H:$H,$F34)="","NA",INDEX(Results_Long!$H:$H,$F34))</f>
        <v>680</v>
      </c>
      <c r="H34" s="9">
        <f>IF(INDEX(Results_Long!$I:$I,$F34)="","NA",INDEX(Results_Long!$I:$I,$F34))</f>
        <v>21</v>
      </c>
      <c r="I34" s="9">
        <f>IF(INDEX(Results_Long!$J:$J,$F34)="","NA",INDEX(Results_Long!$J:$J,$F34))</f>
        <v>21</v>
      </c>
      <c r="J34" s="10">
        <f>IF(INDEX(Results_Long!$K:$K,$F34)="","NA",INDEX(Results_Long!$K:$K,$F34))</f>
        <v>-3.5387566805336501E-2</v>
      </c>
      <c r="K34" s="10">
        <f>IF(INDEX(Results_Long!$P:$P,$F34)="","NA",INDEX(Results_Long!$P:$P,$F34))</f>
        <v>-5.2302793857552397E-2</v>
      </c>
      <c r="L34" s="10">
        <f>IF(INDEX(Results_Long!$Q:$Q,$F34)="","NA",INDEX(Results_Long!$Q:$Q,$F34))</f>
        <v>-1.8472339753120699E-2</v>
      </c>
      <c r="M34" s="10">
        <f>IF(INDEX(Results_Long!$T:$T,$F34)="","NA",INDEX(Results_Long!$T:$T,$F34))</f>
        <v>-3.5372802488225899E-2</v>
      </c>
      <c r="N34" s="10">
        <f>IF(INDEX(Results_Long!$U:$U,$F34)="","NA",INDEX(Results_Long!$U:$U,$F34))</f>
        <v>-5.2255153122181097E-2</v>
      </c>
      <c r="O34" s="10">
        <f>IF(INDEX(Results_Long!$V:$V,$F34)="","NA",INDEX(Results_Long!$V:$V,$F34))</f>
        <v>-1.84702389507664E-2</v>
      </c>
      <c r="P34" s="10">
        <f>IF(INDEX(Results_Long!$L:$L,$F34)="","NA",INDEX(Results_Long!$L:$L,$F34))</f>
        <v>8.0137746688770505E-3</v>
      </c>
      <c r="Q34" s="11">
        <f>IF(INDEX(Results_Long!$M:$M,$F34)="","NA",INDEX(Results_Long!$M:$M,$F34))</f>
        <v>-4.4158425046277596</v>
      </c>
      <c r="R34" s="12">
        <f>IF(INDEX(Results_Long!$N:$N,$F34)="","NA",INDEX(Results_Long!$N:$N,$F34))</f>
        <v>16.8997893185356</v>
      </c>
      <c r="S34" s="10">
        <f>IF(INDEX(Results_Long!$O:$O,$F34)="","NA",INDEX(Results_Long!$O:$O,$F34))</f>
        <v>3.8308908497324998E-4</v>
      </c>
      <c r="T34" s="6" t="str">
        <f>IF(INDEX(Results_Long!$AG:$AG,$F34)="","NA",INDEX(Results_Long!$AG:$AG,$F34))</f>
        <v>NA</v>
      </c>
      <c r="U34" s="5" t="str">
        <f>IF(INDEX(Results_Long!$AJ:$AJ,$F34)="","NA",INDEX(Results_Long!$AJ:$AJ,$F34))</f>
        <v>cumulative 3L refit after adding study 'Al-Fakir Al Rabab'a et al (2023)' (median sample_mid = 2010.50); ordering: study-wise median sample_mid, ties alphabetical [DEC-045/H-Q17]; full display (CI band)</v>
      </c>
    </row>
    <row r="35" spans="1:21" ht="34.5" customHeight="1" x14ac:dyDescent="0.3">
      <c r="A35" s="6" t="s">
        <v>341</v>
      </c>
      <c r="B35" s="7" t="s">
        <v>277</v>
      </c>
      <c r="C35" s="7" t="s">
        <v>278</v>
      </c>
      <c r="D35" s="7" t="s">
        <v>342</v>
      </c>
      <c r="E35" s="7" t="s">
        <v>343</v>
      </c>
      <c r="F35" s="8">
        <f>SUMPRODUCT((Results_Long!$A$2:$A$178=$B35)*(Results_Long!$B$2:$B$178=$C35)*(Results_Long!$C$2:$C$178=$D35)*(Results_Long!$D$2:$D$178=$E35)*ROW(Results_Long!$A$2:$A$178))</f>
        <v>49</v>
      </c>
      <c r="G35" s="9">
        <f>IF(INDEX(Results_Long!$H:$H,$F35)="","NA",INDEX(Results_Long!$H:$H,$F35))</f>
        <v>696</v>
      </c>
      <c r="H35" s="9">
        <f>IF(INDEX(Results_Long!$I:$I,$F35)="","NA",INDEX(Results_Long!$I:$I,$F35))</f>
        <v>22</v>
      </c>
      <c r="I35" s="9">
        <f>IF(INDEX(Results_Long!$J:$J,$F35)="","NA",INDEX(Results_Long!$J:$J,$F35))</f>
        <v>22</v>
      </c>
      <c r="J35" s="10">
        <f>IF(INDEX(Results_Long!$K:$K,$F35)="","NA",INDEX(Results_Long!$K:$K,$F35))</f>
        <v>-3.2301845147585002E-2</v>
      </c>
      <c r="K35" s="10">
        <f>IF(INDEX(Results_Long!$P:$P,$F35)="","NA",INDEX(Results_Long!$P:$P,$F35))</f>
        <v>-4.9604258076351097E-2</v>
      </c>
      <c r="L35" s="10">
        <f>IF(INDEX(Results_Long!$Q:$Q,$F35)="","NA",INDEX(Results_Long!$Q:$Q,$F35))</f>
        <v>-1.4999432218818901E-2</v>
      </c>
      <c r="M35" s="10">
        <f>IF(INDEX(Results_Long!$T:$T,$F35)="","NA",INDEX(Results_Long!$T:$T,$F35))</f>
        <v>-3.2290615153752603E-2</v>
      </c>
      <c r="N35" s="10">
        <f>IF(INDEX(Results_Long!$U:$U,$F35)="","NA",INDEX(Results_Long!$U:$U,$F35))</f>
        <v>-4.9563612958365699E-2</v>
      </c>
      <c r="O35" s="10">
        <f>IF(INDEX(Results_Long!$V:$V,$F35)="","NA",INDEX(Results_Long!$V:$V,$F35))</f>
        <v>-1.4998307447786401E-2</v>
      </c>
      <c r="P35" s="10">
        <f>IF(INDEX(Results_Long!$L:$L,$F35)="","NA",INDEX(Results_Long!$L:$L,$F35))</f>
        <v>8.2409445965841398E-3</v>
      </c>
      <c r="Q35" s="11">
        <f>IF(INDEX(Results_Long!$M:$M,$F35)="","NA",INDEX(Results_Long!$M:$M,$F35))</f>
        <v>-3.9196775040781202</v>
      </c>
      <c r="R35" s="12">
        <f>IF(INDEX(Results_Long!$N:$N,$F35)="","NA",INDEX(Results_Long!$N:$N,$F35))</f>
        <v>18.1635703133508</v>
      </c>
      <c r="S35" s="10">
        <f>IF(INDEX(Results_Long!$O:$O,$F35)="","NA",INDEX(Results_Long!$O:$O,$F35))</f>
        <v>9.8971806070966895E-4</v>
      </c>
      <c r="T35" s="6" t="str">
        <f>IF(INDEX(Results_Long!$AG:$AG,$F35)="","NA",INDEX(Results_Long!$AG:$AG,$F35))</f>
        <v>NA</v>
      </c>
      <c r="U35" s="5" t="str">
        <f>IF(INDEX(Results_Long!$AJ:$AJ,$F35)="","NA",INDEX(Results_Long!$AJ:$AJ,$F35))</f>
        <v>cumulative 3L refit after adding study 'Attig et al (2025)' (median sample_mid = 2010.50); ordering: study-wise median sample_mid, ties alphabetical [DEC-045/H-Q17]; full display (CI band)</v>
      </c>
    </row>
    <row r="36" spans="1:21" ht="34.5" customHeight="1" x14ac:dyDescent="0.3">
      <c r="A36" s="6" t="s">
        <v>344</v>
      </c>
      <c r="B36" s="7" t="s">
        <v>277</v>
      </c>
      <c r="C36" s="7" t="s">
        <v>278</v>
      </c>
      <c r="D36" s="7" t="s">
        <v>345</v>
      </c>
      <c r="E36" s="7" t="s">
        <v>346</v>
      </c>
      <c r="F36" s="8">
        <f>SUMPRODUCT((Results_Long!$A$2:$A$178=$B36)*(Results_Long!$B$2:$B$178=$C36)*(Results_Long!$C$2:$C$178=$D36)*(Results_Long!$D$2:$D$178=$E36)*ROW(Results_Long!$A$2:$A$178))</f>
        <v>50</v>
      </c>
      <c r="G36" s="9">
        <f>IF(INDEX(Results_Long!$H:$H,$F36)="","NA",INDEX(Results_Long!$H:$H,$F36))</f>
        <v>709</v>
      </c>
      <c r="H36" s="9">
        <f>IF(INDEX(Results_Long!$I:$I,$F36)="","NA",INDEX(Results_Long!$I:$I,$F36))</f>
        <v>23</v>
      </c>
      <c r="I36" s="9">
        <f>IF(INDEX(Results_Long!$J:$J,$F36)="","NA",INDEX(Results_Long!$J:$J,$F36))</f>
        <v>23</v>
      </c>
      <c r="J36" s="10">
        <f>IF(INDEX(Results_Long!$K:$K,$F36)="","NA",INDEX(Results_Long!$K:$K,$F36))</f>
        <v>-3.0804276437346501E-2</v>
      </c>
      <c r="K36" s="10">
        <f>IF(INDEX(Results_Long!$P:$P,$F36)="","NA",INDEX(Results_Long!$P:$P,$F36))</f>
        <v>-4.7325851164811E-2</v>
      </c>
      <c r="L36" s="10">
        <f>IF(INDEX(Results_Long!$Q:$Q,$F36)="","NA",INDEX(Results_Long!$Q:$Q,$F36))</f>
        <v>-1.4282701709882099E-2</v>
      </c>
      <c r="M36" s="10">
        <f>IF(INDEX(Results_Long!$T:$T,$F36)="","NA",INDEX(Results_Long!$T:$T,$F36))</f>
        <v>-3.07945367061262E-2</v>
      </c>
      <c r="N36" s="10">
        <f>IF(INDEX(Results_Long!$U:$U,$F36)="","NA",INDEX(Results_Long!$U:$U,$F36))</f>
        <v>-4.7290550316474E-2</v>
      </c>
      <c r="O36" s="10">
        <f>IF(INDEX(Results_Long!$V:$V,$F36)="","NA",INDEX(Results_Long!$V:$V,$F36))</f>
        <v>-1.4281730586507399E-2</v>
      </c>
      <c r="P36" s="10">
        <f>IF(INDEX(Results_Long!$L:$L,$F36)="","NA",INDEX(Results_Long!$L:$L,$F36))</f>
        <v>7.8963694749935795E-3</v>
      </c>
      <c r="Q36" s="11">
        <f>IF(INDEX(Results_Long!$M:$M,$F36)="","NA",INDEX(Results_Long!$M:$M,$F36))</f>
        <v>-3.9010682738311999</v>
      </c>
      <c r="R36" s="12">
        <f>IF(INDEX(Results_Long!$N:$N,$F36)="","NA",INDEX(Results_Long!$N:$N,$F36))</f>
        <v>19.097627659876899</v>
      </c>
      <c r="S36" s="10">
        <f>IF(INDEX(Results_Long!$O:$O,$F36)="","NA",INDEX(Results_Long!$O:$O,$F36))</f>
        <v>9.5273817382004902E-4</v>
      </c>
      <c r="T36" s="6" t="str">
        <f>IF(INDEX(Results_Long!$AG:$AG,$F36)="","NA",INDEX(Results_Long!$AG:$AG,$F36))</f>
        <v>NA</v>
      </c>
      <c r="U36" s="5" t="str">
        <f>IF(INDEX(Results_Long!$AJ:$AJ,$F36)="","NA",INDEX(Results_Long!$AJ:$AJ,$F36))</f>
        <v>cumulative 3L refit after adding study 'Bannier et al (2022)' (median sample_mid = 2010.50); ordering: study-wise median sample_mid, ties alphabetical [DEC-045/H-Q17]; full display (CI band)</v>
      </c>
    </row>
    <row r="37" spans="1:21" ht="34.5" customHeight="1" x14ac:dyDescent="0.3">
      <c r="A37" s="6" t="s">
        <v>347</v>
      </c>
      <c r="B37" s="7" t="s">
        <v>277</v>
      </c>
      <c r="C37" s="7" t="s">
        <v>278</v>
      </c>
      <c r="D37" s="7" t="s">
        <v>348</v>
      </c>
      <c r="E37" s="7" t="s">
        <v>349</v>
      </c>
      <c r="F37" s="8">
        <f>SUMPRODUCT((Results_Long!$A$2:$A$178=$B37)*(Results_Long!$B$2:$B$178=$C37)*(Results_Long!$C$2:$C$178=$D37)*(Results_Long!$D$2:$D$178=$E37)*ROW(Results_Long!$A$2:$A$178))</f>
        <v>51</v>
      </c>
      <c r="G37" s="9">
        <f>IF(INDEX(Results_Long!$H:$H,$F37)="","NA",INDEX(Results_Long!$H:$H,$F37))</f>
        <v>710</v>
      </c>
      <c r="H37" s="9">
        <f>IF(INDEX(Results_Long!$I:$I,$F37)="","NA",INDEX(Results_Long!$I:$I,$F37))</f>
        <v>24</v>
      </c>
      <c r="I37" s="9">
        <f>IF(INDEX(Results_Long!$J:$J,$F37)="","NA",INDEX(Results_Long!$J:$J,$F37))</f>
        <v>24</v>
      </c>
      <c r="J37" s="10">
        <f>IF(INDEX(Results_Long!$K:$K,$F37)="","NA",INDEX(Results_Long!$K:$K,$F37))</f>
        <v>-3.2750932362007899E-2</v>
      </c>
      <c r="K37" s="10">
        <f>IF(INDEX(Results_Long!$P:$P,$F37)="","NA",INDEX(Results_Long!$P:$P,$F37))</f>
        <v>-4.9534699602205703E-2</v>
      </c>
      <c r="L37" s="10">
        <f>IF(INDEX(Results_Long!$Q:$Q,$F37)="","NA",INDEX(Results_Long!$Q:$Q,$F37))</f>
        <v>-1.5967165121810099E-2</v>
      </c>
      <c r="M37" s="10">
        <f>IF(INDEX(Results_Long!$T:$T,$F37)="","NA",INDEX(Results_Long!$T:$T,$F37))</f>
        <v>-3.2739227576577101E-2</v>
      </c>
      <c r="N37" s="10">
        <f>IF(INDEX(Results_Long!$U:$U,$F37)="","NA",INDEX(Results_Long!$U:$U,$F37))</f>
        <v>-4.94942251191028E-2</v>
      </c>
      <c r="O37" s="10">
        <f>IF(INDEX(Results_Long!$V:$V,$F37)="","NA",INDEX(Results_Long!$V:$V,$F37))</f>
        <v>-1.5965808315334399E-2</v>
      </c>
      <c r="P37" s="10">
        <f>IF(INDEX(Results_Long!$L:$L,$F37)="","NA",INDEX(Results_Long!$L:$L,$F37))</f>
        <v>8.0395320535845503E-3</v>
      </c>
      <c r="Q37" s="11">
        <f>IF(INDEX(Results_Long!$M:$M,$F37)="","NA",INDEX(Results_Long!$M:$M,$F37))</f>
        <v>-4.0737361507757601</v>
      </c>
      <c r="R37" s="12">
        <f>IF(INDEX(Results_Long!$N:$N,$F37)="","NA",INDEX(Results_Long!$N:$N,$F37))</f>
        <v>19.750396699526299</v>
      </c>
      <c r="S37" s="10">
        <f>IF(INDEX(Results_Long!$O:$O,$F37)="","NA",INDEX(Results_Long!$O:$O,$F37))</f>
        <v>6.0509631459134197E-4</v>
      </c>
      <c r="T37" s="6" t="str">
        <f>IF(INDEX(Results_Long!$AG:$AG,$F37)="","NA",INDEX(Results_Long!$AG:$AG,$F37))</f>
        <v>NA</v>
      </c>
      <c r="U37" s="5" t="str">
        <f>IF(INDEX(Results_Long!$AJ:$AJ,$F37)="","NA",INDEX(Results_Long!$AJ:$AJ,$F37))</f>
        <v>cumulative 3L refit after adding study 'Drago, Carnevale (2020)' (median sample_mid = 2010.50); ordering: study-wise median sample_mid, ties alphabetical [DEC-045/H-Q17]; full display (CI band)</v>
      </c>
    </row>
    <row r="38" spans="1:21" ht="34.5" customHeight="1" x14ac:dyDescent="0.3">
      <c r="A38" s="6" t="s">
        <v>350</v>
      </c>
      <c r="B38" s="7" t="s">
        <v>277</v>
      </c>
      <c r="C38" s="7" t="s">
        <v>278</v>
      </c>
      <c r="D38" s="7" t="s">
        <v>351</v>
      </c>
      <c r="E38" s="7" t="s">
        <v>352</v>
      </c>
      <c r="F38" s="8">
        <f>SUMPRODUCT((Results_Long!$A$2:$A$178=$B38)*(Results_Long!$B$2:$B$178=$C38)*(Results_Long!$C$2:$C$178=$D38)*(Results_Long!$D$2:$D$178=$E38)*ROW(Results_Long!$A$2:$A$178))</f>
        <v>52</v>
      </c>
      <c r="G38" s="9">
        <f>IF(INDEX(Results_Long!$H:$H,$F38)="","NA",INDEX(Results_Long!$H:$H,$F38))</f>
        <v>746</v>
      </c>
      <c r="H38" s="9">
        <f>IF(INDEX(Results_Long!$I:$I,$F38)="","NA",INDEX(Results_Long!$I:$I,$F38))</f>
        <v>25</v>
      </c>
      <c r="I38" s="9">
        <f>IF(INDEX(Results_Long!$J:$J,$F38)="","NA",INDEX(Results_Long!$J:$J,$F38))</f>
        <v>25</v>
      </c>
      <c r="J38" s="10">
        <f>IF(INDEX(Results_Long!$K:$K,$F38)="","NA",INDEX(Results_Long!$K:$K,$F38))</f>
        <v>-3.22553776481369E-2</v>
      </c>
      <c r="K38" s="10">
        <f>IF(INDEX(Results_Long!$P:$P,$F38)="","NA",INDEX(Results_Long!$P:$P,$F38))</f>
        <v>-4.8028347140043698E-2</v>
      </c>
      <c r="L38" s="10">
        <f>IF(INDEX(Results_Long!$Q:$Q,$F38)="","NA",INDEX(Results_Long!$Q:$Q,$F38))</f>
        <v>-1.6482408156230199E-2</v>
      </c>
      <c r="M38" s="10">
        <f>IF(INDEX(Results_Long!$T:$T,$F38)="","NA",INDEX(Results_Long!$T:$T,$F38))</f>
        <v>-3.2244196035597902E-2</v>
      </c>
      <c r="N38" s="10">
        <f>IF(INDEX(Results_Long!$U:$U,$F38)="","NA",INDEX(Results_Long!$U:$U,$F38))</f>
        <v>-4.79914518321699E-2</v>
      </c>
      <c r="O38" s="10">
        <f>IF(INDEX(Results_Long!$V:$V,$F38)="","NA",INDEX(Results_Long!$V:$V,$F38))</f>
        <v>-1.6480915727684099E-2</v>
      </c>
      <c r="P38" s="10">
        <f>IF(INDEX(Results_Long!$L:$L,$F38)="","NA",INDEX(Results_Long!$L:$L,$F38))</f>
        <v>7.5734096506982302E-3</v>
      </c>
      <c r="Q38" s="11">
        <f>IF(INDEX(Results_Long!$M:$M,$F38)="","NA",INDEX(Results_Long!$M:$M,$F38))</f>
        <v>-4.2590298340936998</v>
      </c>
      <c r="R38" s="12">
        <f>IF(INDEX(Results_Long!$N:$N,$F38)="","NA",INDEX(Results_Long!$N:$N,$F38))</f>
        <v>20.504603123139798</v>
      </c>
      <c r="S38" s="10">
        <f>IF(INDEX(Results_Long!$O:$O,$F38)="","NA",INDEX(Results_Long!$O:$O,$F38))</f>
        <v>3.6598568612403399E-4</v>
      </c>
      <c r="T38" s="6" t="str">
        <f>IF(INDEX(Results_Long!$AG:$AG,$F38)="","NA",INDEX(Results_Long!$AG:$AG,$F38))</f>
        <v>NA</v>
      </c>
      <c r="U38" s="5" t="str">
        <f>IF(INDEX(Results_Long!$AJ:$AJ,$F38)="","NA",INDEX(Results_Long!$AJ:$AJ,$F38))</f>
        <v>cumulative 3L refit after adding study 'Eichholtz et al (2019)' (median sample_mid = 2010.50); ordering: study-wise median sample_mid, ties alphabetical [DEC-045/H-Q17]; full display (CI band)</v>
      </c>
    </row>
    <row r="39" spans="1:21" ht="34.5" customHeight="1" x14ac:dyDescent="0.3">
      <c r="A39" s="6" t="s">
        <v>353</v>
      </c>
      <c r="B39" s="7" t="s">
        <v>277</v>
      </c>
      <c r="C39" s="7" t="s">
        <v>278</v>
      </c>
      <c r="D39" s="7" t="s">
        <v>354</v>
      </c>
      <c r="E39" s="7" t="s">
        <v>355</v>
      </c>
      <c r="F39" s="8">
        <f>SUMPRODUCT((Results_Long!$A$2:$A$178=$B39)*(Results_Long!$B$2:$B$178=$C39)*(Results_Long!$C$2:$C$178=$D39)*(Results_Long!$D$2:$D$178=$E39)*ROW(Results_Long!$A$2:$A$178))</f>
        <v>53</v>
      </c>
      <c r="G39" s="9">
        <f>IF(INDEX(Results_Long!$H:$H,$F39)="","NA",INDEX(Results_Long!$H:$H,$F39))</f>
        <v>748</v>
      </c>
      <c r="H39" s="9">
        <f>IF(INDEX(Results_Long!$I:$I,$F39)="","NA",INDEX(Results_Long!$I:$I,$F39))</f>
        <v>26</v>
      </c>
      <c r="I39" s="9">
        <f>IF(INDEX(Results_Long!$J:$J,$F39)="","NA",INDEX(Results_Long!$J:$J,$F39))</f>
        <v>26</v>
      </c>
      <c r="J39" s="10">
        <f>IF(INDEX(Results_Long!$K:$K,$F39)="","NA",INDEX(Results_Long!$K:$K,$F39))</f>
        <v>-3.2428965560345198E-2</v>
      </c>
      <c r="K39" s="10">
        <f>IF(INDEX(Results_Long!$P:$P,$F39)="","NA",INDEX(Results_Long!$P:$P,$F39))</f>
        <v>-4.7792533626922699E-2</v>
      </c>
      <c r="L39" s="10">
        <f>IF(INDEX(Results_Long!$Q:$Q,$F39)="","NA",INDEX(Results_Long!$Q:$Q,$F39))</f>
        <v>-1.7065397493767599E-2</v>
      </c>
      <c r="M39" s="10">
        <f>IF(INDEX(Results_Long!$T:$T,$F39)="","NA",INDEX(Results_Long!$T:$T,$F39))</f>
        <v>-3.2417602498173097E-2</v>
      </c>
      <c r="N39" s="10">
        <f>IF(INDEX(Results_Long!$U:$U,$F39)="","NA",INDEX(Results_Long!$U:$U,$F39))</f>
        <v>-4.77561787816543E-2</v>
      </c>
      <c r="O39" s="10">
        <f>IF(INDEX(Results_Long!$V:$V,$F39)="","NA",INDEX(Results_Long!$V:$V,$F39))</f>
        <v>-1.70637410473869E-2</v>
      </c>
      <c r="P39" s="10">
        <f>IF(INDEX(Results_Long!$L:$L,$F39)="","NA",INDEX(Results_Long!$L:$L,$F39))</f>
        <v>7.3918391343762001E-3</v>
      </c>
      <c r="Q39" s="11">
        <f>IF(INDEX(Results_Long!$M:$M,$F39)="","NA",INDEX(Results_Long!$M:$M,$F39))</f>
        <v>-4.3871308575334496</v>
      </c>
      <c r="R39" s="12">
        <f>IF(INDEX(Results_Long!$N:$N,$F39)="","NA",INDEX(Results_Long!$N:$N,$F39))</f>
        <v>21.194907166824599</v>
      </c>
      <c r="S39" s="10">
        <f>IF(INDEX(Results_Long!$O:$O,$F39)="","NA",INDEX(Results_Long!$O:$O,$F39))</f>
        <v>2.5266797445765903E-4</v>
      </c>
      <c r="T39" s="6" t="str">
        <f>IF(INDEX(Results_Long!$AG:$AG,$F39)="","NA",INDEX(Results_Long!$AG:$AG,$F39))</f>
        <v>NA</v>
      </c>
      <c r="U39" s="5" t="str">
        <f>IF(INDEX(Results_Long!$AJ:$AJ,$F39)="","NA",INDEX(Results_Long!$AJ:$AJ,$F39))</f>
        <v>cumulative 3L refit after adding study 'Eliwa et al (2021)' (median sample_mid = 2010.50); ordering: study-wise median sample_mid, ties alphabetical [DEC-045/H-Q17]; full display (CI band)</v>
      </c>
    </row>
    <row r="40" spans="1:21" ht="34.5" customHeight="1" x14ac:dyDescent="0.3">
      <c r="A40" s="6" t="s">
        <v>356</v>
      </c>
      <c r="B40" s="7" t="s">
        <v>277</v>
      </c>
      <c r="C40" s="7" t="s">
        <v>278</v>
      </c>
      <c r="D40" s="7" t="s">
        <v>357</v>
      </c>
      <c r="E40" s="7" t="s">
        <v>358</v>
      </c>
      <c r="F40" s="8">
        <f>SUMPRODUCT((Results_Long!$A$2:$A$178=$B40)*(Results_Long!$B$2:$B$178=$C40)*(Results_Long!$C$2:$C$178=$D40)*(Results_Long!$D$2:$D$178=$E40)*ROW(Results_Long!$A$2:$A$178))</f>
        <v>54</v>
      </c>
      <c r="G40" s="9">
        <f>IF(INDEX(Results_Long!$H:$H,$F40)="","NA",INDEX(Results_Long!$H:$H,$F40))</f>
        <v>753</v>
      </c>
      <c r="H40" s="9">
        <f>IF(INDEX(Results_Long!$I:$I,$F40)="","NA",INDEX(Results_Long!$I:$I,$F40))</f>
        <v>27</v>
      </c>
      <c r="I40" s="9">
        <f>IF(INDEX(Results_Long!$J:$J,$F40)="","NA",INDEX(Results_Long!$J:$J,$F40))</f>
        <v>27</v>
      </c>
      <c r="J40" s="10">
        <f>IF(INDEX(Results_Long!$K:$K,$F40)="","NA",INDEX(Results_Long!$K:$K,$F40))</f>
        <v>-3.1224025687986202E-2</v>
      </c>
      <c r="K40" s="10">
        <f>IF(INDEX(Results_Long!$P:$P,$F40)="","NA",INDEX(Results_Long!$P:$P,$F40))</f>
        <v>-4.6147294741682603E-2</v>
      </c>
      <c r="L40" s="10">
        <f>IF(INDEX(Results_Long!$Q:$Q,$F40)="","NA",INDEX(Results_Long!$Q:$Q,$F40))</f>
        <v>-1.63007566342897E-2</v>
      </c>
      <c r="M40" s="10">
        <f>IF(INDEX(Results_Long!$T:$T,$F40)="","NA",INDEX(Results_Long!$T:$T,$F40))</f>
        <v>-3.1213882462001599E-2</v>
      </c>
      <c r="N40" s="10">
        <f>IF(INDEX(Results_Long!$U:$U,$F40)="","NA",INDEX(Results_Long!$U:$U,$F40))</f>
        <v>-4.6114564613800001E-2</v>
      </c>
      <c r="O40" s="10">
        <f>IF(INDEX(Results_Long!$V:$V,$F40)="","NA",INDEX(Results_Long!$V:$V,$F40))</f>
        <v>-1.62993130043542E-2</v>
      </c>
      <c r="P40" s="10">
        <f>IF(INDEX(Results_Long!$L:$L,$F40)="","NA",INDEX(Results_Long!$L:$L,$F40))</f>
        <v>7.1965978238398903E-3</v>
      </c>
      <c r="Q40" s="11">
        <f>IF(INDEX(Results_Long!$M:$M,$F40)="","NA",INDEX(Results_Long!$M:$M,$F40))</f>
        <v>-4.3387203859789896</v>
      </c>
      <c r="R40" s="12">
        <f>IF(INDEX(Results_Long!$N:$N,$F40)="","NA",INDEX(Results_Long!$N:$N,$F40))</f>
        <v>22.039771226940601</v>
      </c>
      <c r="S40" s="10">
        <f>IF(INDEX(Results_Long!$O:$O,$F40)="","NA",INDEX(Results_Long!$O:$O,$F40))</f>
        <v>2.6284456299696202E-4</v>
      </c>
      <c r="T40" s="6" t="str">
        <f>IF(INDEX(Results_Long!$AG:$AG,$F40)="","NA",INDEX(Results_Long!$AG:$AG,$F40))</f>
        <v>NA</v>
      </c>
      <c r="U40" s="5" t="str">
        <f>IF(INDEX(Results_Long!$AJ:$AJ,$F40)="","NA",INDEX(Results_Long!$AJ:$AJ,$F40))</f>
        <v>cumulative 3L refit after adding study 'Salvi et al (2021)' (median sample_mid = 2010.50); ordering: study-wise median sample_mid, ties alphabetical [DEC-045/H-Q17]; full display (CI band)</v>
      </c>
    </row>
    <row r="41" spans="1:21" ht="34.5" customHeight="1" x14ac:dyDescent="0.3">
      <c r="A41" s="6" t="s">
        <v>359</v>
      </c>
      <c r="B41" s="7" t="s">
        <v>277</v>
      </c>
      <c r="C41" s="7" t="s">
        <v>278</v>
      </c>
      <c r="D41" s="7" t="s">
        <v>360</v>
      </c>
      <c r="E41" s="7" t="s">
        <v>361</v>
      </c>
      <c r="F41" s="8">
        <f>SUMPRODUCT((Results_Long!$A$2:$A$178=$B41)*(Results_Long!$B$2:$B$178=$C41)*(Results_Long!$C$2:$C$178=$D41)*(Results_Long!$D$2:$D$178=$E41)*ROW(Results_Long!$A$2:$A$178))</f>
        <v>55</v>
      </c>
      <c r="G41" s="9">
        <f>IF(INDEX(Results_Long!$H:$H,$F41)="","NA",INDEX(Results_Long!$H:$H,$F41))</f>
        <v>824</v>
      </c>
      <c r="H41" s="9">
        <f>IF(INDEX(Results_Long!$I:$I,$F41)="","NA",INDEX(Results_Long!$I:$I,$F41))</f>
        <v>28</v>
      </c>
      <c r="I41" s="9">
        <f>IF(INDEX(Results_Long!$J:$J,$F41)="","NA",INDEX(Results_Long!$J:$J,$F41))</f>
        <v>28</v>
      </c>
      <c r="J41" s="10">
        <f>IF(INDEX(Results_Long!$K:$K,$F41)="","NA",INDEX(Results_Long!$K:$K,$F41))</f>
        <v>-3.64095863268162E-2</v>
      </c>
      <c r="K41" s="10">
        <f>IF(INDEX(Results_Long!$P:$P,$F41)="","NA",INDEX(Results_Long!$P:$P,$F41))</f>
        <v>-5.2523317657622401E-2</v>
      </c>
      <c r="L41" s="10">
        <f>IF(INDEX(Results_Long!$Q:$Q,$F41)="","NA",INDEX(Results_Long!$Q:$Q,$F41))</f>
        <v>-2.0295854996009999E-2</v>
      </c>
      <c r="M41" s="10">
        <f>IF(INDEX(Results_Long!$T:$T,$F41)="","NA",INDEX(Results_Long!$T:$T,$F41))</f>
        <v>-3.63935059674068E-2</v>
      </c>
      <c r="N41" s="10">
        <f>IF(INDEX(Results_Long!$U:$U,$F41)="","NA",INDEX(Results_Long!$U:$U,$F41))</f>
        <v>-5.2475072221932199E-2</v>
      </c>
      <c r="O41" s="10">
        <f>IF(INDEX(Results_Long!$V:$V,$F41)="","NA",INDEX(Results_Long!$V:$V,$F41))</f>
        <v>-2.0293068687204902E-2</v>
      </c>
      <c r="P41" s="10">
        <f>IF(INDEX(Results_Long!$L:$L,$F41)="","NA",INDEX(Results_Long!$L:$L,$F41))</f>
        <v>7.7474499376853703E-3</v>
      </c>
      <c r="Q41" s="11">
        <f>IF(INDEX(Results_Long!$M:$M,$F41)="","NA",INDEX(Results_Long!$M:$M,$F41))</f>
        <v>-4.6995574827417297</v>
      </c>
      <c r="R41" s="12">
        <f>IF(INDEX(Results_Long!$N:$N,$F41)="","NA",INDEX(Results_Long!$N:$N,$F41))</f>
        <v>20.956701060304201</v>
      </c>
      <c r="S41" s="10">
        <f>IF(INDEX(Results_Long!$O:$O,$F41)="","NA",INDEX(Results_Long!$O:$O,$F41))</f>
        <v>1.2280418174711E-4</v>
      </c>
      <c r="T41" s="6" t="str">
        <f>IF(INDEX(Results_Long!$AG:$AG,$F41)="","NA",INDEX(Results_Long!$AG:$AG,$F41))</f>
        <v>NA</v>
      </c>
      <c r="U41" s="5" t="str">
        <f>IF(INDEX(Results_Long!$AJ:$AJ,$F41)="","NA",INDEX(Results_Long!$AJ:$AJ,$F41))</f>
        <v>cumulative 3L refit after adding study 'Fonseka et al (2019a)' (median sample_mid = 2011.00); ordering: study-wise median sample_mid, ties alphabetical [DEC-045/H-Q17]; full display (CI band)</v>
      </c>
    </row>
    <row r="42" spans="1:21" ht="34.5" customHeight="1" x14ac:dyDescent="0.3">
      <c r="A42" s="6" t="s">
        <v>362</v>
      </c>
      <c r="B42" s="7" t="s">
        <v>277</v>
      </c>
      <c r="C42" s="7" t="s">
        <v>278</v>
      </c>
      <c r="D42" s="7" t="s">
        <v>363</v>
      </c>
      <c r="E42" s="7" t="s">
        <v>364</v>
      </c>
      <c r="F42" s="8">
        <f>SUMPRODUCT((Results_Long!$A$2:$A$178=$B42)*(Results_Long!$B$2:$B$178=$C42)*(Results_Long!$C$2:$C$178=$D42)*(Results_Long!$D$2:$D$178=$E42)*ROW(Results_Long!$A$2:$A$178))</f>
        <v>56</v>
      </c>
      <c r="G42" s="9">
        <f>IF(INDEX(Results_Long!$H:$H,$F42)="","NA",INDEX(Results_Long!$H:$H,$F42))</f>
        <v>829</v>
      </c>
      <c r="H42" s="9">
        <f>IF(INDEX(Results_Long!$I:$I,$F42)="","NA",INDEX(Results_Long!$I:$I,$F42))</f>
        <v>29</v>
      </c>
      <c r="I42" s="9">
        <f>IF(INDEX(Results_Long!$J:$J,$F42)="","NA",INDEX(Results_Long!$J:$J,$F42))</f>
        <v>29</v>
      </c>
      <c r="J42" s="10">
        <f>IF(INDEX(Results_Long!$K:$K,$F42)="","NA",INDEX(Results_Long!$K:$K,$F42))</f>
        <v>-4.3651787844497497E-2</v>
      </c>
      <c r="K42" s="10">
        <f>IF(INDEX(Results_Long!$P:$P,$F42)="","NA",INDEX(Results_Long!$P:$P,$F42))</f>
        <v>-6.3003349334590994E-2</v>
      </c>
      <c r="L42" s="10">
        <f>IF(INDEX(Results_Long!$Q:$Q,$F42)="","NA",INDEX(Results_Long!$Q:$Q,$F42))</f>
        <v>-2.4300226354404E-2</v>
      </c>
      <c r="M42" s="10">
        <f>IF(INDEX(Results_Long!$T:$T,$F42)="","NA",INDEX(Results_Long!$T:$T,$F42))</f>
        <v>-4.3624083111680999E-2</v>
      </c>
      <c r="N42" s="10">
        <f>IF(INDEX(Results_Long!$U:$U,$F42)="","NA",INDEX(Results_Long!$U:$U,$F42))</f>
        <v>-6.2920119188108498E-2</v>
      </c>
      <c r="O42" s="10">
        <f>IF(INDEX(Results_Long!$V:$V,$F42)="","NA",INDEX(Results_Long!$V:$V,$F42))</f>
        <v>-2.4295444381243501E-2</v>
      </c>
      <c r="P42" s="10">
        <f>IF(INDEX(Results_Long!$L:$L,$F42)="","NA",INDEX(Results_Long!$L:$L,$F42))</f>
        <v>9.3717063202964201E-3</v>
      </c>
      <c r="Q42" s="11">
        <f>IF(INDEX(Results_Long!$M:$M,$F42)="","NA",INDEX(Results_Long!$M:$M,$F42))</f>
        <v>-4.65782711841495</v>
      </c>
      <c r="R42" s="12">
        <f>IF(INDEX(Results_Long!$N:$N,$F42)="","NA",INDEX(Results_Long!$N:$N,$F42))</f>
        <v>23.783764100309401</v>
      </c>
      <c r="S42" s="10">
        <f>IF(INDEX(Results_Long!$O:$O,$F42)="","NA",INDEX(Results_Long!$O:$O,$F42))</f>
        <v>1.0117852521011901E-4</v>
      </c>
      <c r="T42" s="6" t="str">
        <f>IF(INDEX(Results_Long!$AG:$AG,$F42)="","NA",INDEX(Results_Long!$AG:$AG,$F42))</f>
        <v>NA</v>
      </c>
      <c r="U42" s="5" t="str">
        <f>IF(INDEX(Results_Long!$AJ:$AJ,$F42)="","NA",INDEX(Results_Long!$AJ:$AJ,$F42))</f>
        <v>cumulative 3L refit after adding study 'Fonseka et al (2019b)' (median sample_mid = 2011.00); ordering: study-wise median sample_mid, ties alphabetical [DEC-045/H-Q17]; full display (CI band)</v>
      </c>
    </row>
    <row r="43" spans="1:21" ht="34.5" customHeight="1" x14ac:dyDescent="0.3">
      <c r="A43" s="6" t="s">
        <v>365</v>
      </c>
      <c r="B43" s="7" t="s">
        <v>277</v>
      </c>
      <c r="C43" s="7" t="s">
        <v>278</v>
      </c>
      <c r="D43" s="7" t="s">
        <v>366</v>
      </c>
      <c r="E43" s="7" t="s">
        <v>367</v>
      </c>
      <c r="F43" s="8">
        <f>SUMPRODUCT((Results_Long!$A$2:$A$178=$B43)*(Results_Long!$B$2:$B$178=$C43)*(Results_Long!$C$2:$C$178=$D43)*(Results_Long!$D$2:$D$178=$E43)*ROW(Results_Long!$A$2:$A$178))</f>
        <v>57</v>
      </c>
      <c r="G43" s="9">
        <f>IF(INDEX(Results_Long!$H:$H,$F43)="","NA",INDEX(Results_Long!$H:$H,$F43))</f>
        <v>846</v>
      </c>
      <c r="H43" s="9">
        <f>IF(INDEX(Results_Long!$I:$I,$F43)="","NA",INDEX(Results_Long!$I:$I,$F43))</f>
        <v>30</v>
      </c>
      <c r="I43" s="9">
        <f>IF(INDEX(Results_Long!$J:$J,$F43)="","NA",INDEX(Results_Long!$J:$J,$F43))</f>
        <v>30</v>
      </c>
      <c r="J43" s="10">
        <f>IF(INDEX(Results_Long!$K:$K,$F43)="","NA",INDEX(Results_Long!$K:$K,$F43))</f>
        <v>-4.4835046334766898E-2</v>
      </c>
      <c r="K43" s="10">
        <f>IF(INDEX(Results_Long!$P:$P,$F43)="","NA",INDEX(Results_Long!$P:$P,$F43))</f>
        <v>-6.3907391863622695E-2</v>
      </c>
      <c r="L43" s="10">
        <f>IF(INDEX(Results_Long!$Q:$Q,$F43)="","NA",INDEX(Results_Long!$Q:$Q,$F43))</f>
        <v>-2.5762700805911101E-2</v>
      </c>
      <c r="M43" s="10">
        <f>IF(INDEX(Results_Long!$T:$T,$F43)="","NA",INDEX(Results_Long!$T:$T,$F43))</f>
        <v>-4.4805028279461402E-2</v>
      </c>
      <c r="N43" s="10">
        <f>IF(INDEX(Results_Long!$U:$U,$F43)="","NA",INDEX(Results_Long!$U:$U,$F43))</f>
        <v>-6.3820531202792102E-2</v>
      </c>
      <c r="O43" s="10">
        <f>IF(INDEX(Results_Long!$V:$V,$F43)="","NA",INDEX(Results_Long!$V:$V,$F43))</f>
        <v>-2.57570026066616E-2</v>
      </c>
      <c r="P43" s="10">
        <f>IF(INDEX(Results_Long!$L:$L,$F43)="","NA",INDEX(Results_Long!$L:$L,$F43))</f>
        <v>9.2541884901211902E-3</v>
      </c>
      <c r="Q43" s="11">
        <f>IF(INDEX(Results_Long!$M:$M,$F43)="","NA",INDEX(Results_Long!$M:$M,$F43))</f>
        <v>-4.8448382462306796</v>
      </c>
      <c r="R43" s="12">
        <f>IF(INDEX(Results_Long!$N:$N,$F43)="","NA",INDEX(Results_Long!$N:$N,$F43))</f>
        <v>24.6686949757751</v>
      </c>
      <c r="S43" s="10">
        <f>IF(INDEX(Results_Long!$O:$O,$F43)="","NA",INDEX(Results_Long!$O:$O,$F43))</f>
        <v>5.7562115603475003E-5</v>
      </c>
      <c r="T43" s="6" t="str">
        <f>IF(INDEX(Results_Long!$AG:$AG,$F43)="","NA",INDEX(Results_Long!$AG:$AG,$F43))</f>
        <v>NA</v>
      </c>
      <c r="U43" s="5" t="str">
        <f>IF(INDEX(Results_Long!$AJ:$AJ,$F43)="","NA",INDEX(Results_Long!$AJ:$AJ,$F43))</f>
        <v>cumulative 3L refit after adding study 'Jung et al (2016)' (median sample_mid = 2011.00); ordering: study-wise median sample_mid, ties alphabetical [DEC-045/H-Q17]; full display (CI band)</v>
      </c>
    </row>
    <row r="44" spans="1:21" ht="34.5" customHeight="1" x14ac:dyDescent="0.3">
      <c r="A44" s="6" t="s">
        <v>368</v>
      </c>
      <c r="B44" s="7" t="s">
        <v>277</v>
      </c>
      <c r="C44" s="7" t="s">
        <v>278</v>
      </c>
      <c r="D44" s="7" t="s">
        <v>369</v>
      </c>
      <c r="E44" s="7" t="s">
        <v>370</v>
      </c>
      <c r="F44" s="8">
        <f>SUMPRODUCT((Results_Long!$A$2:$A$178=$B44)*(Results_Long!$B$2:$B$178=$C44)*(Results_Long!$C$2:$C$178=$D44)*(Results_Long!$D$2:$D$178=$E44)*ROW(Results_Long!$A$2:$A$178))</f>
        <v>58</v>
      </c>
      <c r="G44" s="9">
        <f>IF(INDEX(Results_Long!$H:$H,$F44)="","NA",INDEX(Results_Long!$H:$H,$F44))</f>
        <v>908</v>
      </c>
      <c r="H44" s="9">
        <f>IF(INDEX(Results_Long!$I:$I,$F44)="","NA",INDEX(Results_Long!$I:$I,$F44))</f>
        <v>31</v>
      </c>
      <c r="I44" s="9">
        <f>IF(INDEX(Results_Long!$J:$J,$F44)="","NA",INDEX(Results_Long!$J:$J,$F44))</f>
        <v>31</v>
      </c>
      <c r="J44" s="10">
        <f>IF(INDEX(Results_Long!$K:$K,$F44)="","NA",INDEX(Results_Long!$K:$K,$F44))</f>
        <v>-4.3203175034757998E-2</v>
      </c>
      <c r="K44" s="10">
        <f>IF(INDEX(Results_Long!$P:$P,$F44)="","NA",INDEX(Results_Long!$P:$P,$F44))</f>
        <v>-6.1478260606450397E-2</v>
      </c>
      <c r="L44" s="10">
        <f>IF(INDEX(Results_Long!$Q:$Q,$F44)="","NA",INDEX(Results_Long!$Q:$Q,$F44))</f>
        <v>-2.49280894630656E-2</v>
      </c>
      <c r="M44" s="10">
        <f>IF(INDEX(Results_Long!$T:$T,$F44)="","NA",INDEX(Results_Long!$T:$T,$F44))</f>
        <v>-4.3176315306394597E-2</v>
      </c>
      <c r="N44" s="10">
        <f>IF(INDEX(Results_Long!$U:$U,$F44)="","NA",INDEX(Results_Long!$U:$U,$F44))</f>
        <v>-6.1400923594568099E-2</v>
      </c>
      <c r="O44" s="10">
        <f>IF(INDEX(Results_Long!$V:$V,$F44)="","NA",INDEX(Results_Long!$V:$V,$F44))</f>
        <v>-2.4922927227804901E-2</v>
      </c>
      <c r="P44" s="10">
        <f>IF(INDEX(Results_Long!$L:$L,$F44)="","NA",INDEX(Results_Long!$L:$L,$F44))</f>
        <v>8.8853173222511704E-3</v>
      </c>
      <c r="Q44" s="11">
        <f>IF(INDEX(Results_Long!$M:$M,$F44)="","NA",INDEX(Results_Long!$M:$M,$F44))</f>
        <v>-4.8623108739814898</v>
      </c>
      <c r="R44" s="12">
        <f>IF(INDEX(Results_Long!$N:$N,$F44)="","NA",INDEX(Results_Long!$N:$N,$F44))</f>
        <v>25.6808230757477</v>
      </c>
      <c r="S44" s="10">
        <f>IF(INDEX(Results_Long!$O:$O,$F44)="","NA",INDEX(Results_Long!$O:$O,$F44))</f>
        <v>4.98188693136468E-5</v>
      </c>
      <c r="T44" s="6" t="str">
        <f>IF(INDEX(Results_Long!$AG:$AG,$F44)="","NA",INDEX(Results_Long!$AG:$AG,$F44))</f>
        <v>NA</v>
      </c>
      <c r="U44" s="5" t="str">
        <f>IF(INDEX(Results_Long!$AJ:$AJ,$F44)="","NA",INDEX(Results_Long!$AJ:$AJ,$F44))</f>
        <v>cumulative 3L refit after adding study 'Li &amp; Qiu (2026)' (median sample_mid = 2011.00); ordering: study-wise median sample_mid, ties alphabetical [DEC-045/H-Q17]; full display (CI band)</v>
      </c>
    </row>
    <row r="45" spans="1:21" ht="34.5" customHeight="1" x14ac:dyDescent="0.3">
      <c r="A45" s="6" t="s">
        <v>371</v>
      </c>
      <c r="B45" s="7" t="s">
        <v>277</v>
      </c>
      <c r="C45" s="7" t="s">
        <v>278</v>
      </c>
      <c r="D45" s="7" t="s">
        <v>372</v>
      </c>
      <c r="E45" s="7" t="s">
        <v>373</v>
      </c>
      <c r="F45" s="8">
        <f>SUMPRODUCT((Results_Long!$A$2:$A$178=$B45)*(Results_Long!$B$2:$B$178=$C45)*(Results_Long!$C$2:$C$178=$D45)*(Results_Long!$D$2:$D$178=$E45)*ROW(Results_Long!$A$2:$A$178))</f>
        <v>59</v>
      </c>
      <c r="G45" s="9">
        <f>IF(INDEX(Results_Long!$H:$H,$F45)="","NA",INDEX(Results_Long!$H:$H,$F45))</f>
        <v>941</v>
      </c>
      <c r="H45" s="9">
        <f>IF(INDEX(Results_Long!$I:$I,$F45)="","NA",INDEX(Results_Long!$I:$I,$F45))</f>
        <v>32</v>
      </c>
      <c r="I45" s="9">
        <f>IF(INDEX(Results_Long!$J:$J,$F45)="","NA",INDEX(Results_Long!$J:$J,$F45))</f>
        <v>32</v>
      </c>
      <c r="J45" s="10">
        <f>IF(INDEX(Results_Long!$K:$K,$F45)="","NA",INDEX(Results_Long!$K:$K,$F45))</f>
        <v>-4.4879327509576801E-2</v>
      </c>
      <c r="K45" s="10">
        <f>IF(INDEX(Results_Long!$P:$P,$F45)="","NA",INDEX(Results_Long!$P:$P,$F45))</f>
        <v>-6.2807549351911907E-2</v>
      </c>
      <c r="L45" s="10">
        <f>IF(INDEX(Results_Long!$Q:$Q,$F45)="","NA",INDEX(Results_Long!$Q:$Q,$F45))</f>
        <v>-2.6951105667241699E-2</v>
      </c>
      <c r="M45" s="10">
        <f>IF(INDEX(Results_Long!$T:$T,$F45)="","NA",INDEX(Results_Long!$T:$T,$F45))</f>
        <v>-4.4849220472523897E-2</v>
      </c>
      <c r="N45" s="10">
        <f>IF(INDEX(Results_Long!$U:$U,$F45)="","NA",INDEX(Results_Long!$U:$U,$F45))</f>
        <v>-6.2725091965890795E-2</v>
      </c>
      <c r="O45" s="10">
        <f>IF(INDEX(Results_Long!$V:$V,$F45)="","NA",INDEX(Results_Long!$V:$V,$F45))</f>
        <v>-2.6944582142071599E-2</v>
      </c>
      <c r="P45" s="10">
        <f>IF(INDEX(Results_Long!$L:$L,$F45)="","NA",INDEX(Results_Long!$L:$L,$F45))</f>
        <v>8.7342022099596607E-3</v>
      </c>
      <c r="Q45" s="11">
        <f>IF(INDEX(Results_Long!$M:$M,$F45)="","NA",INDEX(Results_Long!$M:$M,$F45))</f>
        <v>-5.1383430828290999</v>
      </c>
      <c r="R45" s="12">
        <f>IF(INDEX(Results_Long!$N:$N,$F45)="","NA",INDEX(Results_Long!$N:$N,$F45))</f>
        <v>26.772786437359802</v>
      </c>
      <c r="S45" s="10">
        <f>IF(INDEX(Results_Long!$O:$O,$F45)="","NA",INDEX(Results_Long!$O:$O,$F45))</f>
        <v>2.15021613031928E-5</v>
      </c>
      <c r="T45" s="6" t="str">
        <f>IF(INDEX(Results_Long!$AG:$AG,$F45)="","NA",INDEX(Results_Long!$AG:$AG,$F45))</f>
        <v>NA</v>
      </c>
      <c r="U45" s="5" t="str">
        <f>IF(INDEX(Results_Long!$AJ:$AJ,$F45)="","NA",INDEX(Results_Long!$AJ:$AJ,$F45))</f>
        <v>cumulative 3L refit after adding study 'Safiullah et al (2021)' (median sample_mid = 2011.00); ordering: study-wise median sample_mid, ties alphabetical [DEC-045/H-Q17]; full display (CI band)</v>
      </c>
    </row>
    <row r="46" spans="1:21" ht="34.5" customHeight="1" x14ac:dyDescent="0.3">
      <c r="A46" s="6" t="s">
        <v>374</v>
      </c>
      <c r="B46" s="7" t="s">
        <v>277</v>
      </c>
      <c r="C46" s="7" t="s">
        <v>278</v>
      </c>
      <c r="D46" s="7" t="s">
        <v>375</v>
      </c>
      <c r="E46" s="7" t="s">
        <v>376</v>
      </c>
      <c r="F46" s="8">
        <f>SUMPRODUCT((Results_Long!$A$2:$A$178=$B46)*(Results_Long!$B$2:$B$178=$C46)*(Results_Long!$C$2:$C$178=$D46)*(Results_Long!$D$2:$D$178=$E46)*ROW(Results_Long!$A$2:$A$178))</f>
        <v>60</v>
      </c>
      <c r="G46" s="9">
        <f>IF(INDEX(Results_Long!$H:$H,$F46)="","NA",INDEX(Results_Long!$H:$H,$F46))</f>
        <v>943</v>
      </c>
      <c r="H46" s="9">
        <f>IF(INDEX(Results_Long!$I:$I,$F46)="","NA",INDEX(Results_Long!$I:$I,$F46))</f>
        <v>33</v>
      </c>
      <c r="I46" s="9">
        <f>IF(INDEX(Results_Long!$J:$J,$F46)="","NA",INDEX(Results_Long!$J:$J,$F46))</f>
        <v>33</v>
      </c>
      <c r="J46" s="10">
        <f>IF(INDEX(Results_Long!$K:$K,$F46)="","NA",INDEX(Results_Long!$K:$K,$F46))</f>
        <v>-4.48026991968647E-2</v>
      </c>
      <c r="K46" s="10">
        <f>IF(INDEX(Results_Long!$P:$P,$F46)="","NA",INDEX(Results_Long!$P:$P,$F46))</f>
        <v>-6.2394347569323598E-2</v>
      </c>
      <c r="L46" s="10">
        <f>IF(INDEX(Results_Long!$Q:$Q,$F46)="","NA",INDEX(Results_Long!$Q:$Q,$F46))</f>
        <v>-2.72110508244057E-2</v>
      </c>
      <c r="M46" s="10">
        <f>IF(INDEX(Results_Long!$T:$T,$F46)="","NA",INDEX(Results_Long!$T:$T,$F46))</f>
        <v>-4.4772746031357301E-2</v>
      </c>
      <c r="N46" s="10">
        <f>IF(INDEX(Results_Long!$U:$U,$F46)="","NA",INDEX(Results_Long!$U:$U,$F46))</f>
        <v>-6.2313505255621897E-2</v>
      </c>
      <c r="O46" s="10">
        <f>IF(INDEX(Results_Long!$V:$V,$F46)="","NA",INDEX(Results_Long!$V:$V,$F46))</f>
        <v>-2.7204336751118802E-2</v>
      </c>
      <c r="P46" s="10">
        <f>IF(INDEX(Results_Long!$L:$L,$F46)="","NA",INDEX(Results_Long!$L:$L,$F46))</f>
        <v>8.5790025739045095E-3</v>
      </c>
      <c r="Q46" s="11">
        <f>IF(INDEX(Results_Long!$M:$M,$F46)="","NA",INDEX(Results_Long!$M:$M,$F46))</f>
        <v>-5.2223669139749296</v>
      </c>
      <c r="R46" s="12">
        <f>IF(INDEX(Results_Long!$N:$N,$F46)="","NA",INDEX(Results_Long!$N:$N,$F46))</f>
        <v>27.366061461511201</v>
      </c>
      <c r="S46" s="10">
        <f>IF(INDEX(Results_Long!$O:$O,$F46)="","NA",INDEX(Results_Long!$O:$O,$F46))</f>
        <v>1.6126386835082099E-5</v>
      </c>
      <c r="T46" s="6" t="str">
        <f>IF(INDEX(Results_Long!$AG:$AG,$F46)="","NA",INDEX(Results_Long!$AG:$AG,$F46))</f>
        <v>NA</v>
      </c>
      <c r="U46" s="5" t="str">
        <f>IF(INDEX(Results_Long!$AJ:$AJ,$F46)="","NA",INDEX(Results_Long!$AJ:$AJ,$F46))</f>
        <v>cumulative 3L refit after adding study 'Atif, Ali (2021)' (median sample_mid = 2011.50); ordering: study-wise median sample_mid, ties alphabetical [DEC-045/H-Q17]; full display (CI band)</v>
      </c>
    </row>
    <row r="47" spans="1:21" ht="34.5" customHeight="1" x14ac:dyDescent="0.3">
      <c r="A47" s="6" t="s">
        <v>377</v>
      </c>
      <c r="B47" s="7" t="s">
        <v>277</v>
      </c>
      <c r="C47" s="7" t="s">
        <v>278</v>
      </c>
      <c r="D47" s="7" t="s">
        <v>378</v>
      </c>
      <c r="E47" s="7" t="s">
        <v>379</v>
      </c>
      <c r="F47" s="8">
        <f>SUMPRODUCT((Results_Long!$A$2:$A$178=$B47)*(Results_Long!$B$2:$B$178=$C47)*(Results_Long!$C$2:$C$178=$D47)*(Results_Long!$D$2:$D$178=$E47)*ROW(Results_Long!$A$2:$A$178))</f>
        <v>61</v>
      </c>
      <c r="G47" s="9">
        <f>IF(INDEX(Results_Long!$H:$H,$F47)="","NA",INDEX(Results_Long!$H:$H,$F47))</f>
        <v>975</v>
      </c>
      <c r="H47" s="9">
        <f>IF(INDEX(Results_Long!$I:$I,$F47)="","NA",INDEX(Results_Long!$I:$I,$F47))</f>
        <v>34</v>
      </c>
      <c r="I47" s="9">
        <f>IF(INDEX(Results_Long!$J:$J,$F47)="","NA",INDEX(Results_Long!$J:$J,$F47))</f>
        <v>34</v>
      </c>
      <c r="J47" s="10">
        <f>IF(INDEX(Results_Long!$K:$K,$F47)="","NA",INDEX(Results_Long!$K:$K,$F47))</f>
        <v>-4.3575550169884403E-2</v>
      </c>
      <c r="K47" s="10">
        <f>IF(INDEX(Results_Long!$P:$P,$F47)="","NA",INDEX(Results_Long!$P:$P,$F47))</f>
        <v>-6.0334681489781702E-2</v>
      </c>
      <c r="L47" s="10">
        <f>IF(INDEX(Results_Long!$Q:$Q,$F47)="","NA",INDEX(Results_Long!$Q:$Q,$F47))</f>
        <v>-2.68164188499871E-2</v>
      </c>
      <c r="M47" s="10">
        <f>IF(INDEX(Results_Long!$T:$T,$F47)="","NA",INDEX(Results_Long!$T:$T,$F47))</f>
        <v>-4.3547990269062802E-2</v>
      </c>
      <c r="N47" s="10">
        <f>IF(INDEX(Results_Long!$U:$U,$F47)="","NA",INDEX(Results_Long!$U:$U,$F47))</f>
        <v>-6.0261576350464502E-2</v>
      </c>
      <c r="O47" s="10">
        <f>IF(INDEX(Results_Long!$V:$V,$F47)="","NA",INDEX(Results_Long!$V:$V,$F47))</f>
        <v>-2.68099926212391E-2</v>
      </c>
      <c r="P47" s="10">
        <f>IF(INDEX(Results_Long!$L:$L,$F47)="","NA",INDEX(Results_Long!$L:$L,$F47))</f>
        <v>8.1821297030882697E-3</v>
      </c>
      <c r="Q47" s="11">
        <f>IF(INDEX(Results_Long!$M:$M,$F47)="","NA",INDEX(Results_Long!$M:$M,$F47))</f>
        <v>-5.3256978013239298</v>
      </c>
      <c r="R47" s="12">
        <f>IF(INDEX(Results_Long!$N:$N,$F47)="","NA",INDEX(Results_Long!$N:$N,$F47))</f>
        <v>28.044631951278799</v>
      </c>
      <c r="S47" s="10">
        <f>IF(INDEX(Results_Long!$O:$O,$F47)="","NA",INDEX(Results_Long!$O:$O,$F47))</f>
        <v>1.13367960797676E-5</v>
      </c>
      <c r="T47" s="6" t="str">
        <f>IF(INDEX(Results_Long!$AG:$AG,$F47)="","NA",INDEX(Results_Long!$AG:$AG,$F47))</f>
        <v>NA</v>
      </c>
      <c r="U47" s="5" t="str">
        <f>IF(INDEX(Results_Long!$AJ:$AJ,$F47)="","NA",INDEX(Results_Long!$AJ:$AJ,$F47))</f>
        <v>cumulative 3L refit after adding study 'Delis et al (2021)' (median sample_mid = 2011.50); ordering: study-wise median sample_mid, ties alphabetical [DEC-045/H-Q17]; full display (CI band)</v>
      </c>
    </row>
    <row r="48" spans="1:21" ht="34.5" customHeight="1" x14ac:dyDescent="0.3">
      <c r="A48" s="6" t="s">
        <v>380</v>
      </c>
      <c r="B48" s="7" t="s">
        <v>277</v>
      </c>
      <c r="C48" s="7" t="s">
        <v>278</v>
      </c>
      <c r="D48" s="7" t="s">
        <v>381</v>
      </c>
      <c r="E48" s="7" t="s">
        <v>382</v>
      </c>
      <c r="F48" s="8">
        <f>SUMPRODUCT((Results_Long!$A$2:$A$178=$B48)*(Results_Long!$B$2:$B$178=$C48)*(Results_Long!$C$2:$C$178=$D48)*(Results_Long!$D$2:$D$178=$E48)*ROW(Results_Long!$A$2:$A$178))</f>
        <v>62</v>
      </c>
      <c r="G48" s="9">
        <f>IF(INDEX(Results_Long!$H:$H,$F48)="","NA",INDEX(Results_Long!$H:$H,$F48))</f>
        <v>985</v>
      </c>
      <c r="H48" s="9">
        <f>IF(INDEX(Results_Long!$I:$I,$F48)="","NA",INDEX(Results_Long!$I:$I,$F48))</f>
        <v>35</v>
      </c>
      <c r="I48" s="9">
        <f>IF(INDEX(Results_Long!$J:$J,$F48)="","NA",INDEX(Results_Long!$J:$J,$F48))</f>
        <v>35</v>
      </c>
      <c r="J48" s="10">
        <f>IF(INDEX(Results_Long!$K:$K,$F48)="","NA",INDEX(Results_Long!$K:$K,$F48))</f>
        <v>-4.3557788263798101E-2</v>
      </c>
      <c r="K48" s="10">
        <f>IF(INDEX(Results_Long!$P:$P,$F48)="","NA",INDEX(Results_Long!$P:$P,$F48))</f>
        <v>-5.9873320237777999E-2</v>
      </c>
      <c r="L48" s="10">
        <f>IF(INDEX(Results_Long!$Q:$Q,$F48)="","NA",INDEX(Results_Long!$Q:$Q,$F48))</f>
        <v>-2.7242256289818099E-2</v>
      </c>
      <c r="M48" s="10">
        <f>IF(INDEX(Results_Long!$T:$T,$F48)="","NA",INDEX(Results_Long!$T:$T,$F48))</f>
        <v>-4.3530262033432E-2</v>
      </c>
      <c r="N48" s="10">
        <f>IF(INDEX(Results_Long!$U:$U,$F48)="","NA",INDEX(Results_Long!$U:$U,$F48))</f>
        <v>-5.9801877764190901E-2</v>
      </c>
      <c r="O48" s="10">
        <f>IF(INDEX(Results_Long!$V:$V,$F48)="","NA",INDEX(Results_Long!$V:$V,$F48))</f>
        <v>-2.72355190956356E-2</v>
      </c>
      <c r="P48" s="10">
        <f>IF(INDEX(Results_Long!$L:$L,$F48)="","NA",INDEX(Results_Long!$L:$L,$F48))</f>
        <v>7.9750423411139894E-3</v>
      </c>
      <c r="Q48" s="11">
        <f>IF(INDEX(Results_Long!$M:$M,$F48)="","NA",INDEX(Results_Long!$M:$M,$F48))</f>
        <v>-5.4617626340669299</v>
      </c>
      <c r="R48" s="12">
        <f>IF(INDEX(Results_Long!$N:$N,$F48)="","NA",INDEX(Results_Long!$N:$N,$F48))</f>
        <v>28.807365096081899</v>
      </c>
      <c r="S48" s="10">
        <f>IF(INDEX(Results_Long!$O:$O,$F48)="","NA",INDEX(Results_Long!$O:$O,$F48))</f>
        <v>7.1837493670045303E-6</v>
      </c>
      <c r="T48" s="6" t="str">
        <f>IF(INDEX(Results_Long!$AG:$AG,$F48)="","NA",INDEX(Results_Long!$AG:$AG,$F48))</f>
        <v>NA</v>
      </c>
      <c r="U48" s="5" t="str">
        <f>IF(INDEX(Results_Long!$AJ:$AJ,$F48)="","NA",INDEX(Results_Long!$AJ:$AJ,$F48))</f>
        <v>cumulative 3L refit after adding study 'Höck et al (2020)' (median sample_mid = 2011.50); ordering: study-wise median sample_mid, ties alphabetical [DEC-045/H-Q17]; full display (CI band)</v>
      </c>
    </row>
    <row r="49" spans="1:21" ht="34.5" customHeight="1" x14ac:dyDescent="0.3">
      <c r="A49" s="6" t="s">
        <v>383</v>
      </c>
      <c r="B49" s="7" t="s">
        <v>277</v>
      </c>
      <c r="C49" s="7" t="s">
        <v>278</v>
      </c>
      <c r="D49" s="7" t="s">
        <v>384</v>
      </c>
      <c r="E49" s="7" t="s">
        <v>385</v>
      </c>
      <c r="F49" s="8">
        <f>SUMPRODUCT((Results_Long!$A$2:$A$178=$B49)*(Results_Long!$B$2:$B$178=$C49)*(Results_Long!$C$2:$C$178=$D49)*(Results_Long!$D$2:$D$178=$E49)*ROW(Results_Long!$A$2:$A$178))</f>
        <v>63</v>
      </c>
      <c r="G49" s="9">
        <f>IF(INDEX(Results_Long!$H:$H,$F49)="","NA",INDEX(Results_Long!$H:$H,$F49))</f>
        <v>1009</v>
      </c>
      <c r="H49" s="9">
        <f>IF(INDEX(Results_Long!$I:$I,$F49)="","NA",INDEX(Results_Long!$I:$I,$F49))</f>
        <v>36</v>
      </c>
      <c r="I49" s="9">
        <f>IF(INDEX(Results_Long!$J:$J,$F49)="","NA",INDEX(Results_Long!$J:$J,$F49))</f>
        <v>36</v>
      </c>
      <c r="J49" s="10">
        <f>IF(INDEX(Results_Long!$K:$K,$F49)="","NA",INDEX(Results_Long!$K:$K,$F49))</f>
        <v>-4.3478997569362597E-2</v>
      </c>
      <c r="K49" s="10">
        <f>IF(INDEX(Results_Long!$P:$P,$F49)="","NA",INDEX(Results_Long!$P:$P,$F49))</f>
        <v>-5.9158957261238598E-2</v>
      </c>
      <c r="L49" s="10">
        <f>IF(INDEX(Results_Long!$Q:$Q,$F49)="","NA",INDEX(Results_Long!$Q:$Q,$F49))</f>
        <v>-2.7799037877486599E-2</v>
      </c>
      <c r="M49" s="10">
        <f>IF(INDEX(Results_Long!$T:$T,$F49)="","NA",INDEX(Results_Long!$T:$T,$F49))</f>
        <v>-4.3451620368639303E-2</v>
      </c>
      <c r="N49" s="10">
        <f>IF(INDEX(Results_Long!$U:$U,$F49)="","NA",INDEX(Results_Long!$U:$U,$F49))</f>
        <v>-5.9090039249834303E-2</v>
      </c>
      <c r="O49" s="10">
        <f>IF(INDEX(Results_Long!$V:$V,$F49)="","NA",INDEX(Results_Long!$V:$V,$F49))</f>
        <v>-2.77918791832098E-2</v>
      </c>
      <c r="P49" s="10">
        <f>IF(INDEX(Results_Long!$L:$L,$F49)="","NA",INDEX(Results_Long!$L:$L,$F49))</f>
        <v>7.6741146834317696E-3</v>
      </c>
      <c r="Q49" s="11">
        <f>IF(INDEX(Results_Long!$M:$M,$F49)="","NA",INDEX(Results_Long!$M:$M,$F49))</f>
        <v>-5.6656695088532798</v>
      </c>
      <c r="R49" s="12">
        <f>IF(INDEX(Results_Long!$N:$N,$F49)="","NA",INDEX(Results_Long!$N:$N,$F49))</f>
        <v>29.669390423058601</v>
      </c>
      <c r="S49" s="10">
        <f>IF(INDEX(Results_Long!$O:$O,$F49)="","NA",INDEX(Results_Long!$O:$O,$F49))</f>
        <v>3.6986722910547999E-6</v>
      </c>
      <c r="T49" s="6" t="str">
        <f>IF(INDEX(Results_Long!$AG:$AG,$F49)="","NA",INDEX(Results_Long!$AG:$AG,$F49))</f>
        <v>NA</v>
      </c>
      <c r="U49" s="5" t="str">
        <f>IF(INDEX(Results_Long!$AJ:$AJ,$F49)="","NA",INDEX(Results_Long!$AJ:$AJ,$F49))</f>
        <v>cumulative 3L refit after adding study 'Yang et al (2024)' (median sample_mid = 2011.50); ordering: study-wise median sample_mid, ties alphabetical [DEC-045/H-Q17]; full display (CI band)</v>
      </c>
    </row>
    <row r="50" spans="1:21" ht="34.5" customHeight="1" x14ac:dyDescent="0.3">
      <c r="A50" s="6" t="s">
        <v>386</v>
      </c>
      <c r="B50" s="7" t="s">
        <v>277</v>
      </c>
      <c r="C50" s="7" t="s">
        <v>278</v>
      </c>
      <c r="D50" s="7" t="s">
        <v>387</v>
      </c>
      <c r="E50" s="7" t="s">
        <v>388</v>
      </c>
      <c r="F50" s="8">
        <f>SUMPRODUCT((Results_Long!$A$2:$A$178=$B50)*(Results_Long!$B$2:$B$178=$C50)*(Results_Long!$C$2:$C$178=$D50)*(Results_Long!$D$2:$D$178=$E50)*ROW(Results_Long!$A$2:$A$178))</f>
        <v>64</v>
      </c>
      <c r="G50" s="9">
        <f>IF(INDEX(Results_Long!$H:$H,$F50)="","NA",INDEX(Results_Long!$H:$H,$F50))</f>
        <v>1044</v>
      </c>
      <c r="H50" s="9">
        <f>IF(INDEX(Results_Long!$I:$I,$F50)="","NA",INDEX(Results_Long!$I:$I,$F50))</f>
        <v>37</v>
      </c>
      <c r="I50" s="9">
        <f>IF(INDEX(Results_Long!$J:$J,$F50)="","NA",INDEX(Results_Long!$J:$J,$F50))</f>
        <v>37</v>
      </c>
      <c r="J50" s="10">
        <f>IF(INDEX(Results_Long!$K:$K,$F50)="","NA",INDEX(Results_Long!$K:$K,$F50))</f>
        <v>-4.2601142521281901E-2</v>
      </c>
      <c r="K50" s="10">
        <f>IF(INDEX(Results_Long!$P:$P,$F50)="","NA",INDEX(Results_Long!$P:$P,$F50))</f>
        <v>-5.7703426981130901E-2</v>
      </c>
      <c r="L50" s="10">
        <f>IF(INDEX(Results_Long!$Q:$Q,$F50)="","NA",INDEX(Results_Long!$Q:$Q,$F50))</f>
        <v>-2.7498858061432901E-2</v>
      </c>
      <c r="M50" s="10">
        <f>IF(INDEX(Results_Long!$T:$T,$F50)="","NA",INDEX(Results_Long!$T:$T,$F50))</f>
        <v>-4.2575389550849899E-2</v>
      </c>
      <c r="N50" s="10">
        <f>IF(INDEX(Results_Long!$U:$U,$F50)="","NA",INDEX(Results_Long!$U:$U,$F50))</f>
        <v>-5.76394674114558E-2</v>
      </c>
      <c r="O50" s="10">
        <f>IF(INDEX(Results_Long!$V:$V,$F50)="","NA",INDEX(Results_Long!$V:$V,$F50))</f>
        <v>-2.7491928729262802E-2</v>
      </c>
      <c r="P50" s="10">
        <f>IF(INDEX(Results_Long!$L:$L,$F50)="","NA",INDEX(Results_Long!$L:$L,$F50))</f>
        <v>7.4003330800283002E-3</v>
      </c>
      <c r="Q50" s="11">
        <f>IF(INDEX(Results_Long!$M:$M,$F50)="","NA",INDEX(Results_Long!$M:$M,$F50))</f>
        <v>-5.7566520399267</v>
      </c>
      <c r="R50" s="12">
        <f>IF(INDEX(Results_Long!$N:$N,$F50)="","NA",INDEX(Results_Long!$N:$N,$F50))</f>
        <v>30.540680508410901</v>
      </c>
      <c r="S50" s="10">
        <f>IF(INDEX(Results_Long!$O:$O,$F50)="","NA",INDEX(Results_Long!$O:$O,$F50))</f>
        <v>2.5887698931523902E-6</v>
      </c>
      <c r="T50" s="6" t="str">
        <f>IF(INDEX(Results_Long!$AG:$AG,$F50)="","NA",INDEX(Results_Long!$AG:$AG,$F50))</f>
        <v>NA</v>
      </c>
      <c r="U50" s="5" t="str">
        <f>IF(INDEX(Results_Long!$AJ:$AJ,$F50)="","NA",INDEX(Results_Long!$AJ:$AJ,$F50))</f>
        <v>cumulative 3L refit after adding study 'Cubas, Martinez (2018)' (median sample_mid = 2012.00); ordering: study-wise median sample_mid, ties alphabetical [DEC-045/H-Q17]; full display (CI band)</v>
      </c>
    </row>
    <row r="51" spans="1:21" ht="34.5" customHeight="1" x14ac:dyDescent="0.3">
      <c r="A51" s="6" t="s">
        <v>389</v>
      </c>
      <c r="B51" s="7" t="s">
        <v>277</v>
      </c>
      <c r="C51" s="7" t="s">
        <v>278</v>
      </c>
      <c r="D51" s="7" t="s">
        <v>390</v>
      </c>
      <c r="E51" s="7" t="s">
        <v>391</v>
      </c>
      <c r="F51" s="8">
        <f>SUMPRODUCT((Results_Long!$A$2:$A$178=$B51)*(Results_Long!$B$2:$B$178=$C51)*(Results_Long!$C$2:$C$178=$D51)*(Results_Long!$D$2:$D$178=$E51)*ROW(Results_Long!$A$2:$A$178))</f>
        <v>65</v>
      </c>
      <c r="G51" s="9">
        <f>IF(INDEX(Results_Long!$H:$H,$F51)="","NA",INDEX(Results_Long!$H:$H,$F51))</f>
        <v>1046</v>
      </c>
      <c r="H51" s="9">
        <f>IF(INDEX(Results_Long!$I:$I,$F51)="","NA",INDEX(Results_Long!$I:$I,$F51))</f>
        <v>38</v>
      </c>
      <c r="I51" s="9">
        <f>IF(INDEX(Results_Long!$J:$J,$F51)="","NA",INDEX(Results_Long!$J:$J,$F51))</f>
        <v>38</v>
      </c>
      <c r="J51" s="10">
        <f>IF(INDEX(Results_Long!$K:$K,$F51)="","NA",INDEX(Results_Long!$K:$K,$F51))</f>
        <v>-9.4822762299619098E-2</v>
      </c>
      <c r="K51" s="10">
        <f>IF(INDEX(Results_Long!$P:$P,$F51)="","NA",INDEX(Results_Long!$P:$P,$F51))</f>
        <v>-0.182836091001669</v>
      </c>
      <c r="L51" s="10">
        <f>IF(INDEX(Results_Long!$Q:$Q,$F51)="","NA",INDEX(Results_Long!$Q:$Q,$F51))</f>
        <v>-6.8094335975694698E-3</v>
      </c>
      <c r="M51" s="10">
        <f>IF(INDEX(Results_Long!$T:$T,$F51)="","NA",INDEX(Results_Long!$T:$T,$F51))</f>
        <v>-9.4539585634123693E-2</v>
      </c>
      <c r="N51" s="10">
        <f>IF(INDEX(Results_Long!$U:$U,$F51)="","NA",INDEX(Results_Long!$U:$U,$F51))</f>
        <v>-0.18082562513645301</v>
      </c>
      <c r="O51" s="10">
        <f>IF(INDEX(Results_Long!$V:$V,$F51)="","NA",INDEX(Results_Long!$V:$V,$F51))</f>
        <v>-6.8093283520398503E-3</v>
      </c>
      <c r="P51" s="10">
        <f>IF(INDEX(Results_Long!$L:$L,$F51)="","NA",INDEX(Results_Long!$L:$L,$F51))</f>
        <v>4.3435399901839401E-2</v>
      </c>
      <c r="Q51" s="11">
        <f>IF(INDEX(Results_Long!$M:$M,$F51)="","NA",INDEX(Results_Long!$M:$M,$F51))</f>
        <v>-2.1830756137599998</v>
      </c>
      <c r="R51" s="12">
        <f>IF(INDEX(Results_Long!$N:$N,$F51)="","NA",INDEX(Results_Long!$N:$N,$F51))</f>
        <v>36.939710162055697</v>
      </c>
      <c r="S51" s="10">
        <f>IF(INDEX(Results_Long!$O:$O,$F51)="","NA",INDEX(Results_Long!$O:$O,$F51))</f>
        <v>3.5460475530038497E-2</v>
      </c>
      <c r="T51" s="6" t="str">
        <f>IF(INDEX(Results_Long!$AG:$AG,$F51)="","NA",INDEX(Results_Long!$AG:$AG,$F51))</f>
        <v>NA</v>
      </c>
      <c r="U51" s="5" t="str">
        <f>IF(INDEX(Results_Long!$AJ:$AJ,$F51)="","NA",INDEX(Results_Long!$AJ:$AJ,$F51))</f>
        <v>cumulative 3L refit after adding study 'Drago et al (2018)' (median sample_mid = 2012.00); ordering: study-wise median sample_mid, ties alphabetical [DEC-045/H-Q17]; full display (CI band)</v>
      </c>
    </row>
    <row r="52" spans="1:21" ht="34.5" customHeight="1" x14ac:dyDescent="0.3">
      <c r="A52" s="6" t="s">
        <v>392</v>
      </c>
      <c r="B52" s="7" t="s">
        <v>277</v>
      </c>
      <c r="C52" s="7" t="s">
        <v>278</v>
      </c>
      <c r="D52" s="7" t="s">
        <v>393</v>
      </c>
      <c r="E52" s="7" t="s">
        <v>394</v>
      </c>
      <c r="F52" s="8">
        <f>SUMPRODUCT((Results_Long!$A$2:$A$178=$B52)*(Results_Long!$B$2:$B$178=$C52)*(Results_Long!$C$2:$C$178=$D52)*(Results_Long!$D$2:$D$178=$E52)*ROW(Results_Long!$A$2:$A$178))</f>
        <v>66</v>
      </c>
      <c r="G52" s="9">
        <f>IF(INDEX(Results_Long!$H:$H,$F52)="","NA",INDEX(Results_Long!$H:$H,$F52))</f>
        <v>1068</v>
      </c>
      <c r="H52" s="9">
        <f>IF(INDEX(Results_Long!$I:$I,$F52)="","NA",INDEX(Results_Long!$I:$I,$F52))</f>
        <v>39</v>
      </c>
      <c r="I52" s="9">
        <f>IF(INDEX(Results_Long!$J:$J,$F52)="","NA",INDEX(Results_Long!$J:$J,$F52))</f>
        <v>39</v>
      </c>
      <c r="J52" s="10">
        <f>IF(INDEX(Results_Long!$K:$K,$F52)="","NA",INDEX(Results_Long!$K:$K,$F52))</f>
        <v>-9.1481523313858004E-2</v>
      </c>
      <c r="K52" s="10">
        <f>IF(INDEX(Results_Long!$P:$P,$F52)="","NA",INDEX(Results_Long!$P:$P,$F52))</f>
        <v>-0.177362572121818</v>
      </c>
      <c r="L52" s="10">
        <f>IF(INDEX(Results_Long!$Q:$Q,$F52)="","NA",INDEX(Results_Long!$Q:$Q,$F52))</f>
        <v>-5.60047450589851E-3</v>
      </c>
      <c r="M52" s="10">
        <f>IF(INDEX(Results_Long!$T:$T,$F52)="","NA",INDEX(Results_Long!$T:$T,$F52))</f>
        <v>-9.1227175755708698E-2</v>
      </c>
      <c r="N52" s="10">
        <f>IF(INDEX(Results_Long!$U:$U,$F52)="","NA",INDEX(Results_Long!$U:$U,$F52))</f>
        <v>-0.17552588636230501</v>
      </c>
      <c r="O52" s="10">
        <f>IF(INDEX(Results_Long!$V:$V,$F52)="","NA",INDEX(Results_Long!$V:$V,$F52))</f>
        <v>-5.6004159530846902E-3</v>
      </c>
      <c r="P52" s="10">
        <f>IF(INDEX(Results_Long!$L:$L,$F52)="","NA",INDEX(Results_Long!$L:$L,$F52))</f>
        <v>4.2420846123509701E-2</v>
      </c>
      <c r="Q52" s="11">
        <f>IF(INDEX(Results_Long!$M:$M,$F52)="","NA",INDEX(Results_Long!$M:$M,$F52))</f>
        <v>-2.1565228342571601</v>
      </c>
      <c r="R52" s="12">
        <f>IF(INDEX(Results_Long!$N:$N,$F52)="","NA",INDEX(Results_Long!$N:$N,$F52))</f>
        <v>37.938987987692599</v>
      </c>
      <c r="S52" s="10">
        <f>IF(INDEX(Results_Long!$O:$O,$F52)="","NA",INDEX(Results_Long!$O:$O,$F52))</f>
        <v>3.7445714100558802E-2</v>
      </c>
      <c r="T52" s="6" t="str">
        <f>IF(INDEX(Results_Long!$AG:$AG,$F52)="","NA",INDEX(Results_Long!$AG:$AG,$F52))</f>
        <v>NA</v>
      </c>
      <c r="U52" s="5" t="str">
        <f>IF(INDEX(Results_Long!$AJ:$AJ,$F52)="","NA",INDEX(Results_Long!$AJ:$AJ,$F52))</f>
        <v>cumulative 3L refit after adding study 'Ehlers et al (2021)' (median sample_mid = 2012.00); ordering: study-wise median sample_mid, ties alphabetical [DEC-045/H-Q17]; full display (CI band)</v>
      </c>
    </row>
    <row r="53" spans="1:21" ht="34.5" customHeight="1" x14ac:dyDescent="0.3">
      <c r="A53" s="6" t="s">
        <v>395</v>
      </c>
      <c r="B53" s="7" t="s">
        <v>277</v>
      </c>
      <c r="C53" s="7" t="s">
        <v>278</v>
      </c>
      <c r="D53" s="7" t="s">
        <v>396</v>
      </c>
      <c r="E53" s="7" t="s">
        <v>397</v>
      </c>
      <c r="F53" s="8">
        <f>SUMPRODUCT((Results_Long!$A$2:$A$178=$B53)*(Results_Long!$B$2:$B$178=$C53)*(Results_Long!$C$2:$C$178=$D53)*(Results_Long!$D$2:$D$178=$E53)*ROW(Results_Long!$A$2:$A$178))</f>
        <v>67</v>
      </c>
      <c r="G53" s="9">
        <f>IF(INDEX(Results_Long!$H:$H,$F53)="","NA",INDEX(Results_Long!$H:$H,$F53))</f>
        <v>1085</v>
      </c>
      <c r="H53" s="9">
        <f>IF(INDEX(Results_Long!$I:$I,$F53)="","NA",INDEX(Results_Long!$I:$I,$F53))</f>
        <v>40</v>
      </c>
      <c r="I53" s="9">
        <f>IF(INDEX(Results_Long!$J:$J,$F53)="","NA",INDEX(Results_Long!$J:$J,$F53))</f>
        <v>40</v>
      </c>
      <c r="J53" s="10">
        <f>IF(INDEX(Results_Long!$K:$K,$F53)="","NA",INDEX(Results_Long!$K:$K,$F53))</f>
        <v>-9.0149837317972298E-2</v>
      </c>
      <c r="K53" s="10">
        <f>IF(INDEX(Results_Long!$P:$P,$F53)="","NA",INDEX(Results_Long!$P:$P,$F53))</f>
        <v>-0.17374037134141301</v>
      </c>
      <c r="L53" s="10">
        <f>IF(INDEX(Results_Long!$Q:$Q,$F53)="","NA",INDEX(Results_Long!$Q:$Q,$F53))</f>
        <v>-6.5593032945312803E-3</v>
      </c>
      <c r="M53" s="10">
        <f>IF(INDEX(Results_Long!$T:$T,$F53)="","NA",INDEX(Results_Long!$T:$T,$F53))</f>
        <v>-8.9906412906763003E-2</v>
      </c>
      <c r="N53" s="10">
        <f>IF(INDEX(Results_Long!$U:$U,$F53)="","NA",INDEX(Results_Long!$U:$U,$F53))</f>
        <v>-0.17201306513214301</v>
      </c>
      <c r="O53" s="10">
        <f>IF(INDEX(Results_Long!$V:$V,$F53)="","NA",INDEX(Results_Long!$V:$V,$F53))</f>
        <v>-6.5592092259900703E-3</v>
      </c>
      <c r="P53" s="10">
        <f>IF(INDEX(Results_Long!$L:$L,$F53)="","NA",INDEX(Results_Long!$L:$L,$F53))</f>
        <v>4.1324258108550303E-2</v>
      </c>
      <c r="Q53" s="11">
        <f>IF(INDEX(Results_Long!$M:$M,$F53)="","NA",INDEX(Results_Long!$M:$M,$F53))</f>
        <v>-2.18152343064859</v>
      </c>
      <c r="R53" s="12">
        <f>IF(INDEX(Results_Long!$N:$N,$F53)="","NA",INDEX(Results_Long!$N:$N,$F53))</f>
        <v>38.936882300193702</v>
      </c>
      <c r="S53" s="10">
        <f>IF(INDEX(Results_Long!$O:$O,$F53)="","NA",INDEX(Results_Long!$O:$O,$F53))</f>
        <v>3.5246385119992403E-2</v>
      </c>
      <c r="T53" s="6" t="str">
        <f>IF(INDEX(Results_Long!$AG:$AG,$F53)="","NA",INDEX(Results_Long!$AG:$AG,$F53))</f>
        <v>NA</v>
      </c>
      <c r="U53" s="5" t="str">
        <f>IF(INDEX(Results_Long!$AJ:$AJ,$F53)="","NA",INDEX(Results_Long!$AJ:$AJ,$F53))</f>
        <v>cumulative 3L refit after adding study 'Li et al (2022)' (median sample_mid = 2012.00); ordering: study-wise median sample_mid, ties alphabetical [DEC-045/H-Q17]; full display (CI band)</v>
      </c>
    </row>
    <row r="54" spans="1:21" ht="34.5" customHeight="1" x14ac:dyDescent="0.3">
      <c r="A54" s="6" t="s">
        <v>398</v>
      </c>
      <c r="B54" s="7" t="s">
        <v>277</v>
      </c>
      <c r="C54" s="7" t="s">
        <v>278</v>
      </c>
      <c r="D54" s="7" t="s">
        <v>399</v>
      </c>
      <c r="E54" s="7" t="s">
        <v>400</v>
      </c>
      <c r="F54" s="8">
        <f>SUMPRODUCT((Results_Long!$A$2:$A$178=$B54)*(Results_Long!$B$2:$B$178=$C54)*(Results_Long!$C$2:$C$178=$D54)*(Results_Long!$D$2:$D$178=$E54)*ROW(Results_Long!$A$2:$A$178))</f>
        <v>68</v>
      </c>
      <c r="G54" s="9">
        <f>IF(INDEX(Results_Long!$H:$H,$F54)="","NA",INDEX(Results_Long!$H:$H,$F54))</f>
        <v>1087</v>
      </c>
      <c r="H54" s="9">
        <f>IF(INDEX(Results_Long!$I:$I,$F54)="","NA",INDEX(Results_Long!$I:$I,$F54))</f>
        <v>41</v>
      </c>
      <c r="I54" s="9">
        <f>IF(INDEX(Results_Long!$J:$J,$F54)="","NA",INDEX(Results_Long!$J:$J,$F54))</f>
        <v>41</v>
      </c>
      <c r="J54" s="10">
        <f>IF(INDEX(Results_Long!$K:$K,$F54)="","NA",INDEX(Results_Long!$K:$K,$F54))</f>
        <v>-8.7771545498822795E-2</v>
      </c>
      <c r="K54" s="10">
        <f>IF(INDEX(Results_Long!$P:$P,$F54)="","NA",INDEX(Results_Long!$P:$P,$F54))</f>
        <v>-0.16938184760958999</v>
      </c>
      <c r="L54" s="10">
        <f>IF(INDEX(Results_Long!$Q:$Q,$F54)="","NA",INDEX(Results_Long!$Q:$Q,$F54))</f>
        <v>-6.1612433880556096E-3</v>
      </c>
      <c r="M54" s="10">
        <f>IF(INDEX(Results_Long!$T:$T,$F54)="","NA",INDEX(Results_Long!$T:$T,$F54))</f>
        <v>-8.7546845125546696E-2</v>
      </c>
      <c r="N54" s="10">
        <f>IF(INDEX(Results_Long!$U:$U,$F54)="","NA",INDEX(Results_Long!$U:$U,$F54))</f>
        <v>-0.16778035699987001</v>
      </c>
      <c r="O54" s="10">
        <f>IF(INDEX(Results_Long!$V:$V,$F54)="","NA",INDEX(Results_Long!$V:$V,$F54))</f>
        <v>-6.1611654270834404E-3</v>
      </c>
      <c r="P54" s="10">
        <f>IF(INDEX(Results_Long!$L:$L,$F54)="","NA",INDEX(Results_Long!$L:$L,$F54))</f>
        <v>4.0377466029036801E-2</v>
      </c>
      <c r="Q54" s="11">
        <f>IF(INDEX(Results_Long!$M:$M,$F54)="","NA",INDEX(Results_Long!$M:$M,$F54))</f>
        <v>-2.1737754775325202</v>
      </c>
      <c r="R54" s="12">
        <f>IF(INDEX(Results_Long!$N:$N,$F54)="","NA",INDEX(Results_Long!$N:$N,$F54))</f>
        <v>39.930900442654398</v>
      </c>
      <c r="S54" s="10">
        <f>IF(INDEX(Results_Long!$O:$O,$F54)="","NA",INDEX(Results_Long!$O:$O,$F54))</f>
        <v>3.5709298778651401E-2</v>
      </c>
      <c r="T54" s="6" t="str">
        <f>IF(INDEX(Results_Long!$AG:$AG,$F54)="","NA",INDEX(Results_Long!$AG:$AG,$F54))</f>
        <v>NA</v>
      </c>
      <c r="U54" s="5" t="str">
        <f>IF(INDEX(Results_Long!$AJ:$AJ,$F54)="","NA",INDEX(Results_Long!$AJ:$AJ,$F54))</f>
        <v>cumulative 3L refit after adding study 'Ofogbe et al (2021)' (median sample_mid = 2012.00); ordering: study-wise median sample_mid, ties alphabetical [DEC-045/H-Q17]; full display (CI band)</v>
      </c>
    </row>
    <row r="55" spans="1:21" ht="34.5" customHeight="1" x14ac:dyDescent="0.3">
      <c r="A55" s="6" t="s">
        <v>401</v>
      </c>
      <c r="B55" s="7" t="s">
        <v>277</v>
      </c>
      <c r="C55" s="7" t="s">
        <v>278</v>
      </c>
      <c r="D55" s="7" t="s">
        <v>402</v>
      </c>
      <c r="E55" s="7" t="s">
        <v>403</v>
      </c>
      <c r="F55" s="8">
        <f>SUMPRODUCT((Results_Long!$A$2:$A$178=$B55)*(Results_Long!$B$2:$B$178=$C55)*(Results_Long!$C$2:$C$178=$D55)*(Results_Long!$D$2:$D$178=$E55)*ROW(Results_Long!$A$2:$A$178))</f>
        <v>69</v>
      </c>
      <c r="G55" s="9">
        <f>IF(INDEX(Results_Long!$H:$H,$F55)="","NA",INDEX(Results_Long!$H:$H,$F55))</f>
        <v>1119</v>
      </c>
      <c r="H55" s="9">
        <f>IF(INDEX(Results_Long!$I:$I,$F55)="","NA",INDEX(Results_Long!$I:$I,$F55))</f>
        <v>42</v>
      </c>
      <c r="I55" s="9">
        <f>IF(INDEX(Results_Long!$J:$J,$F55)="","NA",INDEX(Results_Long!$J:$J,$F55))</f>
        <v>42</v>
      </c>
      <c r="J55" s="10">
        <f>IF(INDEX(Results_Long!$K:$K,$F55)="","NA",INDEX(Results_Long!$K:$K,$F55))</f>
        <v>-8.3211139045078306E-2</v>
      </c>
      <c r="K55" s="10">
        <f>IF(INDEX(Results_Long!$P:$P,$F55)="","NA",INDEX(Results_Long!$P:$P,$F55))</f>
        <v>-0.16336655773265299</v>
      </c>
      <c r="L55" s="10">
        <f>IF(INDEX(Results_Long!$Q:$Q,$F55)="","NA",INDEX(Results_Long!$Q:$Q,$F55))</f>
        <v>-3.0557203575031799E-3</v>
      </c>
      <c r="M55" s="10">
        <f>IF(INDEX(Results_Long!$T:$T,$F55)="","NA",INDEX(Results_Long!$T:$T,$F55))</f>
        <v>-8.3019615571381197E-2</v>
      </c>
      <c r="N55" s="10">
        <f>IF(INDEX(Results_Long!$U:$U,$F55)="","NA",INDEX(Results_Long!$U:$U,$F55))</f>
        <v>-0.16192856369797101</v>
      </c>
      <c r="O55" s="10">
        <f>IF(INDEX(Results_Long!$V:$V,$F55)="","NA",INDEX(Results_Long!$V:$V,$F55))</f>
        <v>-3.0557108466835398E-3</v>
      </c>
      <c r="P55" s="10">
        <f>IF(INDEX(Results_Long!$L:$L,$F55)="","NA",INDEX(Results_Long!$L:$L,$F55))</f>
        <v>3.9687917743201899E-2</v>
      </c>
      <c r="Q55" s="11">
        <f>IF(INDEX(Results_Long!$M:$M,$F55)="","NA",INDEX(Results_Long!$M:$M,$F55))</f>
        <v>-2.0966365528040698</v>
      </c>
      <c r="R55" s="12">
        <f>IF(INDEX(Results_Long!$N:$N,$F55)="","NA",INDEX(Results_Long!$N:$N,$F55))</f>
        <v>40.932020713697099</v>
      </c>
      <c r="S55" s="10">
        <f>IF(INDEX(Results_Long!$O:$O,$F55)="","NA",INDEX(Results_Long!$O:$O,$F55))</f>
        <v>4.2248348274447498E-2</v>
      </c>
      <c r="T55" s="6" t="str">
        <f>IF(INDEX(Results_Long!$AG:$AG,$F55)="","NA",INDEX(Results_Long!$AG:$AG,$F55))</f>
        <v>NA</v>
      </c>
      <c r="U55" s="5" t="str">
        <f>IF(INDEX(Results_Long!$AJ:$AJ,$F55)="","NA",INDEX(Results_Long!$AJ:$AJ,$F55))</f>
        <v>cumulative 3L refit after adding study 'Okimoto &amp; Takaoka (2024)' (median sample_mid = 2012.00); ordering: study-wise median sample_mid, ties alphabetical [DEC-045/H-Q17]; full display (CI band)</v>
      </c>
    </row>
    <row r="56" spans="1:21" ht="34.5" customHeight="1" x14ac:dyDescent="0.3">
      <c r="A56" s="6" t="s">
        <v>404</v>
      </c>
      <c r="B56" s="7" t="s">
        <v>277</v>
      </c>
      <c r="C56" s="7" t="s">
        <v>278</v>
      </c>
      <c r="D56" s="7" t="s">
        <v>405</v>
      </c>
      <c r="E56" s="7" t="s">
        <v>406</v>
      </c>
      <c r="F56" s="8">
        <f>SUMPRODUCT((Results_Long!$A$2:$A$178=$B56)*(Results_Long!$B$2:$B$178=$C56)*(Results_Long!$C$2:$C$178=$D56)*(Results_Long!$D$2:$D$178=$E56)*ROW(Results_Long!$A$2:$A$178))</f>
        <v>70</v>
      </c>
      <c r="G56" s="9">
        <f>IF(INDEX(Results_Long!$H:$H,$F56)="","NA",INDEX(Results_Long!$H:$H,$F56))</f>
        <v>1175</v>
      </c>
      <c r="H56" s="9">
        <f>IF(INDEX(Results_Long!$I:$I,$F56)="","NA",INDEX(Results_Long!$I:$I,$F56))</f>
        <v>43</v>
      </c>
      <c r="I56" s="9">
        <f>IF(INDEX(Results_Long!$J:$J,$F56)="","NA",INDEX(Results_Long!$J:$J,$F56))</f>
        <v>43</v>
      </c>
      <c r="J56" s="10">
        <f>IF(INDEX(Results_Long!$K:$K,$F56)="","NA",INDEX(Results_Long!$K:$K,$F56))</f>
        <v>-8.1506532834496506E-2</v>
      </c>
      <c r="K56" s="10">
        <f>IF(INDEX(Results_Long!$P:$P,$F56)="","NA",INDEX(Results_Long!$P:$P,$F56))</f>
        <v>-0.15986573109138599</v>
      </c>
      <c r="L56" s="10">
        <f>IF(INDEX(Results_Long!$Q:$Q,$F56)="","NA",INDEX(Results_Long!$Q:$Q,$F56))</f>
        <v>-3.14733457760714E-3</v>
      </c>
      <c r="M56" s="10">
        <f>IF(INDEX(Results_Long!$T:$T,$F56)="","NA",INDEX(Results_Long!$T:$T,$F56))</f>
        <v>-8.1326519984322901E-2</v>
      </c>
      <c r="N56" s="10">
        <f>IF(INDEX(Results_Long!$U:$U,$F56)="","NA",INDEX(Results_Long!$U:$U,$F56))</f>
        <v>-0.158517612062338</v>
      </c>
      <c r="O56" s="10">
        <f>IF(INDEX(Results_Long!$V:$V,$F56)="","NA",INDEX(Results_Long!$V:$V,$F56))</f>
        <v>-3.1473241854486E-3</v>
      </c>
      <c r="P56" s="10">
        <f>IF(INDEX(Results_Long!$L:$L,$F56)="","NA",INDEX(Results_Long!$L:$L,$F56))</f>
        <v>3.8826720551832401E-2</v>
      </c>
      <c r="Q56" s="11">
        <f>IF(INDEX(Results_Long!$M:$M,$F56)="","NA",INDEX(Results_Long!$M:$M,$F56))</f>
        <v>-2.0992381451760198</v>
      </c>
      <c r="R56" s="12">
        <f>IF(INDEX(Results_Long!$N:$N,$F56)="","NA",INDEX(Results_Long!$N:$N,$F56))</f>
        <v>41.933095871690703</v>
      </c>
      <c r="S56" s="10">
        <f>IF(INDEX(Results_Long!$O:$O,$F56)="","NA",INDEX(Results_Long!$O:$O,$F56))</f>
        <v>4.1855463000740299E-2</v>
      </c>
      <c r="T56" s="6" t="str">
        <f>IF(INDEX(Results_Long!$AG:$AG,$F56)="","NA",INDEX(Results_Long!$AG:$AG,$F56))</f>
        <v>NA</v>
      </c>
      <c r="U56" s="5" t="str">
        <f>IF(INDEX(Results_Long!$AJ:$AJ,$F56)="","NA",INDEX(Results_Long!$AJ:$AJ,$F56))</f>
        <v>cumulative 3L refit after adding study 'Safiullah et al (2025)' (median sample_mid = 2012.00); ordering: study-wise median sample_mid, ties alphabetical [DEC-045/H-Q17]; full display (CI band)</v>
      </c>
    </row>
    <row r="57" spans="1:21" ht="34.5" customHeight="1" x14ac:dyDescent="0.3">
      <c r="A57" s="6" t="s">
        <v>407</v>
      </c>
      <c r="B57" s="7" t="s">
        <v>277</v>
      </c>
      <c r="C57" s="7" t="s">
        <v>278</v>
      </c>
      <c r="D57" s="7" t="s">
        <v>408</v>
      </c>
      <c r="E57" s="7" t="s">
        <v>409</v>
      </c>
      <c r="F57" s="8">
        <f>SUMPRODUCT((Results_Long!$A$2:$A$178=$B57)*(Results_Long!$B$2:$B$178=$C57)*(Results_Long!$C$2:$C$178=$D57)*(Results_Long!$D$2:$D$178=$E57)*ROW(Results_Long!$A$2:$A$178))</f>
        <v>71</v>
      </c>
      <c r="G57" s="9">
        <f>IF(INDEX(Results_Long!$H:$H,$F57)="","NA",INDEX(Results_Long!$H:$H,$F57))</f>
        <v>1185</v>
      </c>
      <c r="H57" s="9">
        <f>IF(INDEX(Results_Long!$I:$I,$F57)="","NA",INDEX(Results_Long!$I:$I,$F57))</f>
        <v>44</v>
      </c>
      <c r="I57" s="9">
        <f>IF(INDEX(Results_Long!$J:$J,$F57)="","NA",INDEX(Results_Long!$J:$J,$F57))</f>
        <v>44</v>
      </c>
      <c r="J57" s="10">
        <f>IF(INDEX(Results_Long!$K:$K,$F57)="","NA",INDEX(Results_Long!$K:$K,$F57))</f>
        <v>-8.05343733590419E-2</v>
      </c>
      <c r="K57" s="10">
        <f>IF(INDEX(Results_Long!$P:$P,$F57)="","NA",INDEX(Results_Long!$P:$P,$F57))</f>
        <v>-0.15698139965213001</v>
      </c>
      <c r="L57" s="10">
        <f>IF(INDEX(Results_Long!$Q:$Q,$F57)="","NA",INDEX(Results_Long!$Q:$Q,$F57))</f>
        <v>-4.0873470659540398E-3</v>
      </c>
      <c r="M57" s="10">
        <f>IF(INDEX(Results_Long!$T:$T,$F57)="","NA",INDEX(Results_Long!$T:$T,$F57))</f>
        <v>-8.0360714319808804E-2</v>
      </c>
      <c r="N57" s="10">
        <f>IF(INDEX(Results_Long!$U:$U,$F57)="","NA",INDEX(Results_Long!$U:$U,$F57))</f>
        <v>-0.155704479210828</v>
      </c>
      <c r="O57" s="10">
        <f>IF(INDEX(Results_Long!$V:$V,$F57)="","NA",INDEX(Results_Long!$V:$V,$F57))</f>
        <v>-4.0873243044795803E-3</v>
      </c>
      <c r="P57" s="10">
        <f>IF(INDEX(Results_Long!$L:$L,$F57)="","NA",INDEX(Results_Long!$L:$L,$F57))</f>
        <v>3.79053670093525E-2</v>
      </c>
      <c r="Q57" s="11">
        <f>IF(INDEX(Results_Long!$M:$M,$F57)="","NA",INDEX(Results_Long!$M:$M,$F57))</f>
        <v>-2.1246166364560302</v>
      </c>
      <c r="R57" s="12">
        <f>IF(INDEX(Results_Long!$N:$N,$F57)="","NA",INDEX(Results_Long!$N:$N,$F57))</f>
        <v>42.930706432073599</v>
      </c>
      <c r="S57" s="10">
        <f>IF(INDEX(Results_Long!$O:$O,$F57)="","NA",INDEX(Results_Long!$O:$O,$F57))</f>
        <v>3.9416456601819097E-2</v>
      </c>
      <c r="T57" s="6" t="str">
        <f>IF(INDEX(Results_Long!$AG:$AG,$F57)="","NA",INDEX(Results_Long!$AG:$AG,$F57))</f>
        <v>NA</v>
      </c>
      <c r="U57" s="5" t="str">
        <f>IF(INDEX(Results_Long!$AJ:$AJ,$F57)="","NA",INDEX(Results_Long!$AJ:$AJ,$F57))</f>
        <v>cumulative 3L refit after adding study 'Truong, Kim (2019)' (median sample_mid = 2012.00); ordering: study-wise median sample_mid, ties alphabetical [DEC-045/H-Q17]; full display (CI band)</v>
      </c>
    </row>
    <row r="58" spans="1:21" ht="34.5" customHeight="1" x14ac:dyDescent="0.3">
      <c r="A58" s="6" t="s">
        <v>410</v>
      </c>
      <c r="B58" s="7" t="s">
        <v>277</v>
      </c>
      <c r="C58" s="7" t="s">
        <v>278</v>
      </c>
      <c r="D58" s="7" t="s">
        <v>411</v>
      </c>
      <c r="E58" s="7" t="s">
        <v>412</v>
      </c>
      <c r="F58" s="8">
        <f>SUMPRODUCT((Results_Long!$A$2:$A$178=$B58)*(Results_Long!$B$2:$B$178=$C58)*(Results_Long!$C$2:$C$178=$D58)*(Results_Long!$D$2:$D$178=$E58)*ROW(Results_Long!$A$2:$A$178))</f>
        <v>72</v>
      </c>
      <c r="G58" s="9">
        <f>IF(INDEX(Results_Long!$H:$H,$F58)="","NA",INDEX(Results_Long!$H:$H,$F58))</f>
        <v>1197</v>
      </c>
      <c r="H58" s="9">
        <f>IF(INDEX(Results_Long!$I:$I,$F58)="","NA",INDEX(Results_Long!$I:$I,$F58))</f>
        <v>45</v>
      </c>
      <c r="I58" s="9">
        <f>IF(INDEX(Results_Long!$J:$J,$F58)="","NA",INDEX(Results_Long!$J:$J,$F58))</f>
        <v>45</v>
      </c>
      <c r="J58" s="10">
        <f>IF(INDEX(Results_Long!$K:$K,$F58)="","NA",INDEX(Results_Long!$K:$K,$F58))</f>
        <v>-8.0737562175195995E-2</v>
      </c>
      <c r="K58" s="10">
        <f>IF(INDEX(Results_Long!$P:$P,$F58)="","NA",INDEX(Results_Long!$P:$P,$F58))</f>
        <v>-0.15539017356542101</v>
      </c>
      <c r="L58" s="10">
        <f>IF(INDEX(Results_Long!$Q:$Q,$F58)="","NA",INDEX(Results_Long!$Q:$Q,$F58))</f>
        <v>-6.0849507849714702E-3</v>
      </c>
      <c r="M58" s="10">
        <f>IF(INDEX(Results_Long!$T:$T,$F58)="","NA",INDEX(Results_Long!$T:$T,$F58))</f>
        <v>-8.0562587675156394E-2</v>
      </c>
      <c r="N58" s="10">
        <f>IF(INDEX(Results_Long!$U:$U,$F58)="","NA",INDEX(Results_Long!$U:$U,$F58))</f>
        <v>-0.15415144715606799</v>
      </c>
      <c r="O58" s="10">
        <f>IF(INDEX(Results_Long!$V:$V,$F58)="","NA",INDEX(Results_Long!$V:$V,$F58))</f>
        <v>-6.08487568435133E-3</v>
      </c>
      <c r="P58" s="10">
        <f>IF(INDEX(Results_Long!$L:$L,$F58)="","NA",INDEX(Results_Long!$L:$L,$F58))</f>
        <v>3.70399740382042E-2</v>
      </c>
      <c r="Q58" s="11">
        <f>IF(INDEX(Results_Long!$M:$M,$F58)="","NA",INDEX(Results_Long!$M:$M,$F58))</f>
        <v>-2.17974132735409</v>
      </c>
      <c r="R58" s="12">
        <f>IF(INDEX(Results_Long!$N:$N,$F58)="","NA",INDEX(Results_Long!$N:$N,$F58))</f>
        <v>43.928149615170199</v>
      </c>
      <c r="S58" s="10">
        <f>IF(INDEX(Results_Long!$O:$O,$F58)="","NA",INDEX(Results_Long!$O:$O,$F58))</f>
        <v>3.4680203334865697E-2</v>
      </c>
      <c r="T58" s="6" t="str">
        <f>IF(INDEX(Results_Long!$AG:$AG,$F58)="","NA",INDEX(Results_Long!$AG:$AG,$F58))</f>
        <v>NA</v>
      </c>
      <c r="U58" s="5" t="str">
        <f>IF(INDEX(Results_Long!$AJ:$AJ,$F58)="","NA",INDEX(Results_Long!$AJ:$AJ,$F58))</f>
        <v>cumulative 3L refit after adding study 'Wu et al (2020)' (median sample_mid = 2012.00); ordering: study-wise median sample_mid, ties alphabetical [DEC-045/H-Q17]; full display (CI band)</v>
      </c>
    </row>
    <row r="59" spans="1:21" ht="34.5" customHeight="1" x14ac:dyDescent="0.3">
      <c r="A59" s="6" t="s">
        <v>413</v>
      </c>
      <c r="B59" s="7" t="s">
        <v>277</v>
      </c>
      <c r="C59" s="7" t="s">
        <v>278</v>
      </c>
      <c r="D59" s="7" t="s">
        <v>414</v>
      </c>
      <c r="E59" s="7" t="s">
        <v>415</v>
      </c>
      <c r="F59" s="8">
        <f>SUMPRODUCT((Results_Long!$A$2:$A$178=$B59)*(Results_Long!$B$2:$B$178=$C59)*(Results_Long!$C$2:$C$178=$D59)*(Results_Long!$D$2:$D$178=$E59)*ROW(Results_Long!$A$2:$A$178))</f>
        <v>73</v>
      </c>
      <c r="G59" s="9">
        <f>IF(INDEX(Results_Long!$H:$H,$F59)="","NA",INDEX(Results_Long!$H:$H,$F59))</f>
        <v>1229</v>
      </c>
      <c r="H59" s="9">
        <f>IF(INDEX(Results_Long!$I:$I,$F59)="","NA",INDEX(Results_Long!$I:$I,$F59))</f>
        <v>46</v>
      </c>
      <c r="I59" s="9">
        <f>IF(INDEX(Results_Long!$J:$J,$F59)="","NA",INDEX(Results_Long!$J:$J,$F59))</f>
        <v>46</v>
      </c>
      <c r="J59" s="10">
        <f>IF(INDEX(Results_Long!$K:$K,$F59)="","NA",INDEX(Results_Long!$K:$K,$F59))</f>
        <v>-7.9361224906455904E-2</v>
      </c>
      <c r="K59" s="10">
        <f>IF(INDEX(Results_Long!$P:$P,$F59)="","NA",INDEX(Results_Long!$P:$P,$F59))</f>
        <v>-0.15237548817146401</v>
      </c>
      <c r="L59" s="10">
        <f>IF(INDEX(Results_Long!$Q:$Q,$F59)="","NA",INDEX(Results_Long!$Q:$Q,$F59))</f>
        <v>-6.3469616414481202E-3</v>
      </c>
      <c r="M59" s="10">
        <f>IF(INDEX(Results_Long!$T:$T,$F59)="","NA",INDEX(Results_Long!$T:$T,$F59))</f>
        <v>-7.91950325174543E-2</v>
      </c>
      <c r="N59" s="10">
        <f>IF(INDEX(Results_Long!$U:$U,$F59)="","NA",INDEX(Results_Long!$U:$U,$F59))</f>
        <v>-0.15120703933249499</v>
      </c>
      <c r="O59" s="10">
        <f>IF(INDEX(Results_Long!$V:$V,$F59)="","NA",INDEX(Results_Long!$V:$V,$F59))</f>
        <v>-6.3468764159853404E-3</v>
      </c>
      <c r="P59" s="10">
        <f>IF(INDEX(Results_Long!$L:$L,$F59)="","NA",INDEX(Results_Long!$L:$L,$F59))</f>
        <v>3.6249880380447297E-2</v>
      </c>
      <c r="Q59" s="11">
        <f>IF(INDEX(Results_Long!$M:$M,$F59)="","NA",INDEX(Results_Long!$M:$M,$F59))</f>
        <v>-2.1892823941361801</v>
      </c>
      <c r="R59" s="12">
        <f>IF(INDEX(Results_Long!$N:$N,$F59)="","NA",INDEX(Results_Long!$N:$N,$F59))</f>
        <v>44.927403490651201</v>
      </c>
      <c r="S59" s="10">
        <f>IF(INDEX(Results_Long!$O:$O,$F59)="","NA",INDEX(Results_Long!$O:$O,$F59))</f>
        <v>3.3812349071732001E-2</v>
      </c>
      <c r="T59" s="6" t="str">
        <f>IF(INDEX(Results_Long!$AG:$AG,$F59)="","NA",INDEX(Results_Long!$AG:$AG,$F59))</f>
        <v>NA</v>
      </c>
      <c r="U59" s="5" t="str">
        <f>IF(INDEX(Results_Long!$AJ:$AJ,$F59)="","NA",INDEX(Results_Long!$AJ:$AJ,$F59))</f>
        <v>cumulative 3L refit after adding study 'Zhou et al (2024)' (median sample_mid = 2012.00); ordering: study-wise median sample_mid, ties alphabetical [DEC-045/H-Q17]; full display (CI band)</v>
      </c>
    </row>
    <row r="60" spans="1:21" ht="34.5" customHeight="1" x14ac:dyDescent="0.3">
      <c r="A60" s="6" t="s">
        <v>416</v>
      </c>
      <c r="B60" s="7" t="s">
        <v>277</v>
      </c>
      <c r="C60" s="7" t="s">
        <v>278</v>
      </c>
      <c r="D60" s="7" t="s">
        <v>417</v>
      </c>
      <c r="E60" s="7" t="s">
        <v>418</v>
      </c>
      <c r="F60" s="8">
        <f>SUMPRODUCT((Results_Long!$A$2:$A$178=$B60)*(Results_Long!$B$2:$B$178=$C60)*(Results_Long!$C$2:$C$178=$D60)*(Results_Long!$D$2:$D$178=$E60)*ROW(Results_Long!$A$2:$A$178))</f>
        <v>74</v>
      </c>
      <c r="G60" s="9">
        <f>IF(INDEX(Results_Long!$H:$H,$F60)="","NA",INDEX(Results_Long!$H:$H,$F60))</f>
        <v>1239</v>
      </c>
      <c r="H60" s="9">
        <f>IF(INDEX(Results_Long!$I:$I,$F60)="","NA",INDEX(Results_Long!$I:$I,$F60))</f>
        <v>47</v>
      </c>
      <c r="I60" s="9">
        <f>IF(INDEX(Results_Long!$J:$J,$F60)="","NA",INDEX(Results_Long!$J:$J,$F60))</f>
        <v>47</v>
      </c>
      <c r="J60" s="10">
        <f>IF(INDEX(Results_Long!$K:$K,$F60)="","NA",INDEX(Results_Long!$K:$K,$F60))</f>
        <v>-8.0386848071349895E-2</v>
      </c>
      <c r="K60" s="10">
        <f>IF(INDEX(Results_Long!$P:$P,$F60)="","NA",INDEX(Results_Long!$P:$P,$F60))</f>
        <v>-0.15173791544589799</v>
      </c>
      <c r="L60" s="10">
        <f>IF(INDEX(Results_Long!$Q:$Q,$F60)="","NA",INDEX(Results_Long!$Q:$Q,$F60))</f>
        <v>-9.0357806968013894E-3</v>
      </c>
      <c r="M60" s="10">
        <f>IF(INDEX(Results_Long!$T:$T,$F60)="","NA",INDEX(Results_Long!$T:$T,$F60))</f>
        <v>-8.0214139990860495E-2</v>
      </c>
      <c r="N60" s="10">
        <f>IF(INDEX(Results_Long!$U:$U,$F60)="","NA",INDEX(Results_Long!$U:$U,$F60))</f>
        <v>-0.15058398381322499</v>
      </c>
      <c r="O60" s="10">
        <f>IF(INDEX(Results_Long!$V:$V,$F60)="","NA",INDEX(Results_Long!$V:$V,$F60))</f>
        <v>-9.0355347950580398E-3</v>
      </c>
      <c r="P60" s="10">
        <f>IF(INDEX(Results_Long!$L:$L,$F60)="","NA",INDEX(Results_Long!$L:$L,$F60))</f>
        <v>3.5445407370513597E-2</v>
      </c>
      <c r="Q60" s="11">
        <f>IF(INDEX(Results_Long!$M:$M,$F60)="","NA",INDEX(Results_Long!$M:$M,$F60))</f>
        <v>-2.2679058878082601</v>
      </c>
      <c r="R60" s="12">
        <f>IF(INDEX(Results_Long!$N:$N,$F60)="","NA",INDEX(Results_Long!$N:$N,$F60))</f>
        <v>45.924560955221601</v>
      </c>
      <c r="S60" s="10">
        <f>IF(INDEX(Results_Long!$O:$O,$F60)="","NA",INDEX(Results_Long!$O:$O,$F60))</f>
        <v>2.8083976122330798E-2</v>
      </c>
      <c r="T60" s="6" t="str">
        <f>IF(INDEX(Results_Long!$AG:$AG,$F60)="","NA",INDEX(Results_Long!$AG:$AG,$F60))</f>
        <v>NA</v>
      </c>
      <c r="U60" s="5" t="str">
        <f>IF(INDEX(Results_Long!$AJ:$AJ,$F60)="","NA",INDEX(Results_Long!$AJ:$AJ,$F60))</f>
        <v>cumulative 3L refit after adding study 'Ali et al (2023)' (median sample_mid = 2012.50); ordering: study-wise median sample_mid, ties alphabetical [DEC-045/H-Q17]; full display (CI band)</v>
      </c>
    </row>
    <row r="61" spans="1:21" ht="34.5" customHeight="1" x14ac:dyDescent="0.3">
      <c r="A61" s="6" t="s">
        <v>419</v>
      </c>
      <c r="B61" s="7" t="s">
        <v>277</v>
      </c>
      <c r="C61" s="7" t="s">
        <v>278</v>
      </c>
      <c r="D61" s="7" t="s">
        <v>420</v>
      </c>
      <c r="E61" s="7" t="s">
        <v>421</v>
      </c>
      <c r="F61" s="8">
        <f>SUMPRODUCT((Results_Long!$A$2:$A$178=$B61)*(Results_Long!$B$2:$B$178=$C61)*(Results_Long!$C$2:$C$178=$D61)*(Results_Long!$D$2:$D$178=$E61)*ROW(Results_Long!$A$2:$A$178))</f>
        <v>75</v>
      </c>
      <c r="G61" s="9">
        <f>IF(INDEX(Results_Long!$H:$H,$F61)="","NA",INDEX(Results_Long!$H:$H,$F61))</f>
        <v>1241</v>
      </c>
      <c r="H61" s="9">
        <f>IF(INDEX(Results_Long!$I:$I,$F61)="","NA",INDEX(Results_Long!$I:$I,$F61))</f>
        <v>48</v>
      </c>
      <c r="I61" s="9">
        <f>IF(INDEX(Results_Long!$J:$J,$F61)="","NA",INDEX(Results_Long!$J:$J,$F61))</f>
        <v>48</v>
      </c>
      <c r="J61" s="10">
        <f>IF(INDEX(Results_Long!$K:$K,$F61)="","NA",INDEX(Results_Long!$K:$K,$F61))</f>
        <v>-7.9958020008123104E-2</v>
      </c>
      <c r="K61" s="10">
        <f>IF(INDEX(Results_Long!$P:$P,$F61)="","NA",INDEX(Results_Long!$P:$P,$F61))</f>
        <v>-0.149781414647748</v>
      </c>
      <c r="L61" s="10">
        <f>IF(INDEX(Results_Long!$Q:$Q,$F61)="","NA",INDEX(Results_Long!$Q:$Q,$F61))</f>
        <v>-1.0134625368498001E-2</v>
      </c>
      <c r="M61" s="10">
        <f>IF(INDEX(Results_Long!$T:$T,$F61)="","NA",INDEX(Results_Long!$T:$T,$F61))</f>
        <v>-7.9788056509247404E-2</v>
      </c>
      <c r="N61" s="10">
        <f>IF(INDEX(Results_Long!$U:$U,$F61)="","NA",INDEX(Results_Long!$U:$U,$F61))</f>
        <v>-0.14867128664583501</v>
      </c>
      <c r="O61" s="10">
        <f>IF(INDEX(Results_Long!$V:$V,$F61)="","NA",INDEX(Results_Long!$V:$V,$F61))</f>
        <v>-1.01342784048293E-2</v>
      </c>
      <c r="P61" s="10">
        <f>IF(INDEX(Results_Long!$L:$L,$F61)="","NA",INDEX(Results_Long!$L:$L,$F61))</f>
        <v>3.4706342007246101E-2</v>
      </c>
      <c r="Q61" s="11">
        <f>IF(INDEX(Results_Long!$M:$M,$F61)="","NA",INDEX(Results_Long!$M:$M,$F61))</f>
        <v>-2.3038446400208201</v>
      </c>
      <c r="R61" s="12">
        <f>IF(INDEX(Results_Long!$N:$N,$F61)="","NA",INDEX(Results_Long!$N:$N,$F61))</f>
        <v>46.917516674056898</v>
      </c>
      <c r="S61" s="10">
        <f>IF(INDEX(Results_Long!$O:$O,$F61)="","NA",INDEX(Results_Long!$O:$O,$F61))</f>
        <v>2.5708255681683199E-2</v>
      </c>
      <c r="T61" s="6" t="str">
        <f>IF(INDEX(Results_Long!$AG:$AG,$F61)="","NA",INDEX(Results_Long!$AG:$AG,$F61))</f>
        <v>NA</v>
      </c>
      <c r="U61" s="5" t="str">
        <f>IF(INDEX(Results_Long!$AJ:$AJ,$F61)="","NA",INDEX(Results_Long!$AJ:$AJ,$F61))</f>
        <v>cumulative 3L refit after adding study 'Hamrouni et al (2019a)' (median sample_mid = 2012.50); ordering: study-wise median sample_mid, ties alphabetical [DEC-045/H-Q17]; full display (CI band)</v>
      </c>
    </row>
    <row r="62" spans="1:21" ht="34.5" customHeight="1" x14ac:dyDescent="0.3">
      <c r="A62" s="6" t="s">
        <v>422</v>
      </c>
      <c r="B62" s="7" t="s">
        <v>277</v>
      </c>
      <c r="C62" s="7" t="s">
        <v>278</v>
      </c>
      <c r="D62" s="7" t="s">
        <v>423</v>
      </c>
      <c r="E62" s="7" t="s">
        <v>424</v>
      </c>
      <c r="F62" s="8">
        <f>SUMPRODUCT((Results_Long!$A$2:$A$178=$B62)*(Results_Long!$B$2:$B$178=$C62)*(Results_Long!$C$2:$C$178=$D62)*(Results_Long!$D$2:$D$178=$E62)*ROW(Results_Long!$A$2:$A$178))</f>
        <v>76</v>
      </c>
      <c r="G62" s="9">
        <f>IF(INDEX(Results_Long!$H:$H,$F62)="","NA",INDEX(Results_Long!$H:$H,$F62))</f>
        <v>1290</v>
      </c>
      <c r="H62" s="9">
        <f>IF(INDEX(Results_Long!$I:$I,$F62)="","NA",INDEX(Results_Long!$I:$I,$F62))</f>
        <v>49</v>
      </c>
      <c r="I62" s="9">
        <f>IF(INDEX(Results_Long!$J:$J,$F62)="","NA",INDEX(Results_Long!$J:$J,$F62))</f>
        <v>49</v>
      </c>
      <c r="J62" s="10">
        <f>IF(INDEX(Results_Long!$K:$K,$F62)="","NA",INDEX(Results_Long!$K:$K,$F62))</f>
        <v>-7.7883417228715501E-2</v>
      </c>
      <c r="K62" s="10">
        <f>IF(INDEX(Results_Long!$P:$P,$F62)="","NA",INDEX(Results_Long!$P:$P,$F62))</f>
        <v>-0.14622490933151799</v>
      </c>
      <c r="L62" s="10">
        <f>IF(INDEX(Results_Long!$Q:$Q,$F62)="","NA",INDEX(Results_Long!$Q:$Q,$F62))</f>
        <v>-9.5419251259126498E-3</v>
      </c>
      <c r="M62" s="10">
        <f>IF(INDEX(Results_Long!$T:$T,$F62)="","NA",INDEX(Results_Long!$T:$T,$F62))</f>
        <v>-7.7726322611165896E-2</v>
      </c>
      <c r="N62" s="10">
        <f>IF(INDEX(Results_Long!$U:$U,$F62)="","NA",INDEX(Results_Long!$U:$U,$F62))</f>
        <v>-0.14519156607363701</v>
      </c>
      <c r="O62" s="10">
        <f>IF(INDEX(Results_Long!$V:$V,$F62)="","NA",INDEX(Results_Long!$V:$V,$F62))</f>
        <v>-9.5416355443268697E-3</v>
      </c>
      <c r="P62" s="10">
        <f>IF(INDEX(Results_Long!$L:$L,$F62)="","NA",INDEX(Results_Long!$L:$L,$F62))</f>
        <v>3.39884197854394E-2</v>
      </c>
      <c r="Q62" s="11">
        <f>IF(INDEX(Results_Long!$M:$M,$F62)="","NA",INDEX(Results_Long!$M:$M,$F62))</f>
        <v>-2.2914692039340001</v>
      </c>
      <c r="R62" s="12">
        <f>IF(INDEX(Results_Long!$N:$N,$F62)="","NA",INDEX(Results_Long!$N:$N,$F62))</f>
        <v>47.913322993546302</v>
      </c>
      <c r="S62" s="10">
        <f>IF(INDEX(Results_Long!$O:$O,$F62)="","NA",INDEX(Results_Long!$O:$O,$F62))</f>
        <v>2.63748919631887E-2</v>
      </c>
      <c r="T62" s="6" t="str">
        <f>IF(INDEX(Results_Long!$AG:$AG,$F62)="","NA",INDEX(Results_Long!$AG:$AG,$F62))</f>
        <v>NA</v>
      </c>
      <c r="U62" s="5" t="str">
        <f>IF(INDEX(Results_Long!$AJ:$AJ,$F62)="","NA",INDEX(Results_Long!$AJ:$AJ,$F62))</f>
        <v>cumulative 3L refit after adding study 'Hu et al (2024)' (median sample_mid = 2012.50); ordering: study-wise median sample_mid, ties alphabetical [DEC-045/H-Q17]; full display (CI band)</v>
      </c>
    </row>
    <row r="63" spans="1:21" ht="34.5" customHeight="1" x14ac:dyDescent="0.3">
      <c r="A63" s="6" t="s">
        <v>425</v>
      </c>
      <c r="B63" s="7" t="s">
        <v>277</v>
      </c>
      <c r="C63" s="7" t="s">
        <v>278</v>
      </c>
      <c r="D63" s="7" t="s">
        <v>426</v>
      </c>
      <c r="E63" s="7" t="s">
        <v>427</v>
      </c>
      <c r="F63" s="8">
        <f>SUMPRODUCT((Results_Long!$A$2:$A$178=$B63)*(Results_Long!$B$2:$B$178=$C63)*(Results_Long!$C$2:$C$178=$D63)*(Results_Long!$D$2:$D$178=$E63)*ROW(Results_Long!$A$2:$A$178))</f>
        <v>77</v>
      </c>
      <c r="G63" s="9">
        <f>IF(INDEX(Results_Long!$H:$H,$F63)="","NA",INDEX(Results_Long!$H:$H,$F63))</f>
        <v>1291</v>
      </c>
      <c r="H63" s="9">
        <f>IF(INDEX(Results_Long!$I:$I,$F63)="","NA",INDEX(Results_Long!$I:$I,$F63))</f>
        <v>50</v>
      </c>
      <c r="I63" s="9">
        <f>IF(INDEX(Results_Long!$J:$J,$F63)="","NA",INDEX(Results_Long!$J:$J,$F63))</f>
        <v>50</v>
      </c>
      <c r="J63" s="10">
        <f>IF(INDEX(Results_Long!$K:$K,$F63)="","NA",INDEX(Results_Long!$K:$K,$F63))</f>
        <v>-7.3454002883689695E-2</v>
      </c>
      <c r="K63" s="10">
        <f>IF(INDEX(Results_Long!$P:$P,$F63)="","NA",INDEX(Results_Long!$P:$P,$F63))</f>
        <v>-0.141122560209062</v>
      </c>
      <c r="L63" s="10">
        <f>IF(INDEX(Results_Long!$Q:$Q,$F63)="","NA",INDEX(Results_Long!$Q:$Q,$F63))</f>
        <v>-5.7854455583175902E-3</v>
      </c>
      <c r="M63" s="10">
        <f>IF(INDEX(Results_Long!$T:$T,$F63)="","NA",INDEX(Results_Long!$T:$T,$F63))</f>
        <v>-7.3322180582221605E-2</v>
      </c>
      <c r="N63" s="10">
        <f>IF(INDEX(Results_Long!$U:$U,$F63)="","NA",INDEX(Results_Long!$U:$U,$F63))</f>
        <v>-0.14019311792119099</v>
      </c>
      <c r="O63" s="10">
        <f>IF(INDEX(Results_Long!$V:$V,$F63)="","NA",INDEX(Results_Long!$V:$V,$F63))</f>
        <v>-5.7853810102322803E-3</v>
      </c>
      <c r="P63" s="10">
        <f>IF(INDEX(Results_Long!$L:$L,$F63)="","NA",INDEX(Results_Long!$L:$L,$F63))</f>
        <v>3.3671272300802198E-2</v>
      </c>
      <c r="Q63" s="11">
        <f>IF(INDEX(Results_Long!$M:$M,$F63)="","NA",INDEX(Results_Long!$M:$M,$F63))</f>
        <v>-2.1815036339431599</v>
      </c>
      <c r="R63" s="12">
        <f>IF(INDEX(Results_Long!$N:$N,$F63)="","NA",INDEX(Results_Long!$N:$N,$F63))</f>
        <v>48.897091213141998</v>
      </c>
      <c r="S63" s="10">
        <f>IF(INDEX(Results_Long!$O:$O,$F63)="","NA",INDEX(Results_Long!$O:$O,$F63))</f>
        <v>3.3983334457502803E-2</v>
      </c>
      <c r="T63" s="6" t="str">
        <f>IF(INDEX(Results_Long!$AG:$AG,$F63)="","NA",INDEX(Results_Long!$AG:$AG,$F63))</f>
        <v>NA</v>
      </c>
      <c r="U63" s="5" t="str">
        <f>IF(INDEX(Results_Long!$AJ:$AJ,$F63)="","NA",INDEX(Results_Long!$AJ:$AJ,$F63))</f>
        <v>cumulative 3L refit after adding study 'Jang et al (2020)' (median sample_mid = 2012.50); ordering: study-wise median sample_mid, ties alphabetical [DEC-045/H-Q17]; full display (CI band)</v>
      </c>
    </row>
    <row r="64" spans="1:21" ht="34.5" customHeight="1" x14ac:dyDescent="0.3">
      <c r="A64" s="6" t="s">
        <v>428</v>
      </c>
      <c r="B64" s="7" t="s">
        <v>277</v>
      </c>
      <c r="C64" s="7" t="s">
        <v>278</v>
      </c>
      <c r="D64" s="7" t="s">
        <v>429</v>
      </c>
      <c r="E64" s="7" t="s">
        <v>430</v>
      </c>
      <c r="F64" s="8">
        <f>SUMPRODUCT((Results_Long!$A$2:$A$178=$B64)*(Results_Long!$B$2:$B$178=$C64)*(Results_Long!$C$2:$C$178=$D64)*(Results_Long!$D$2:$D$178=$E64)*ROW(Results_Long!$A$2:$A$178))</f>
        <v>78</v>
      </c>
      <c r="G64" s="9">
        <f>IF(INDEX(Results_Long!$H:$H,$F64)="","NA",INDEX(Results_Long!$H:$H,$F64))</f>
        <v>1320</v>
      </c>
      <c r="H64" s="9">
        <f>IF(INDEX(Results_Long!$I:$I,$F64)="","NA",INDEX(Results_Long!$I:$I,$F64))</f>
        <v>51</v>
      </c>
      <c r="I64" s="9">
        <f>IF(INDEX(Results_Long!$J:$J,$F64)="","NA",INDEX(Results_Long!$J:$J,$F64))</f>
        <v>51</v>
      </c>
      <c r="J64" s="10">
        <f>IF(INDEX(Results_Long!$K:$K,$F64)="","NA",INDEX(Results_Long!$K:$K,$F64))</f>
        <v>-7.2388150001590004E-2</v>
      </c>
      <c r="K64" s="10">
        <f>IF(INDEX(Results_Long!$P:$P,$F64)="","NA",INDEX(Results_Long!$P:$P,$F64))</f>
        <v>-0.13870238261600301</v>
      </c>
      <c r="L64" s="10">
        <f>IF(INDEX(Results_Long!$Q:$Q,$F64)="","NA",INDEX(Results_Long!$Q:$Q,$F64))</f>
        <v>-6.0739173871772302E-3</v>
      </c>
      <c r="M64" s="10">
        <f>IF(INDEX(Results_Long!$T:$T,$F64)="","NA",INDEX(Results_Long!$T:$T,$F64))</f>
        <v>-7.2261975422492394E-2</v>
      </c>
      <c r="N64" s="10">
        <f>IF(INDEX(Results_Long!$U:$U,$F64)="","NA",INDEX(Results_Long!$U:$U,$F64))</f>
        <v>-0.13781970611920299</v>
      </c>
      <c r="O64" s="10">
        <f>IF(INDEX(Results_Long!$V:$V,$F64)="","NA",INDEX(Results_Long!$V:$V,$F64))</f>
        <v>-6.0738426943362303E-3</v>
      </c>
      <c r="P64" s="10">
        <f>IF(INDEX(Results_Long!$L:$L,$F64)="","NA",INDEX(Results_Long!$L:$L,$F64))</f>
        <v>3.3014118878794699E-2</v>
      </c>
      <c r="Q64" s="11">
        <f>IF(INDEX(Results_Long!$M:$M,$F64)="","NA",INDEX(Results_Long!$M:$M,$F64))</f>
        <v>-2.1926421924919399</v>
      </c>
      <c r="R64" s="12">
        <f>IF(INDEX(Results_Long!$N:$N,$F64)="","NA",INDEX(Results_Long!$N:$N,$F64))</f>
        <v>49.896041425345302</v>
      </c>
      <c r="S64" s="10">
        <f>IF(INDEX(Results_Long!$O:$O,$F64)="","NA",INDEX(Results_Long!$O:$O,$F64))</f>
        <v>3.3024080179688303E-2</v>
      </c>
      <c r="T64" s="6" t="str">
        <f>IF(INDEX(Results_Long!$AG:$AG,$F64)="","NA",INDEX(Results_Long!$AG:$AG,$F64))</f>
        <v>NA</v>
      </c>
      <c r="U64" s="5" t="str">
        <f>IF(INDEX(Results_Long!$AJ:$AJ,$F64)="","NA",INDEX(Results_Long!$AJ:$AJ,$F64))</f>
        <v>cumulative 3L refit after adding study 'Kleimeier, Viehs (2021)' (median sample_mid = 2012.50); ordering: study-wise median sample_mid, ties alphabetical [DEC-045/H-Q17]; full display (CI band)</v>
      </c>
    </row>
    <row r="65" spans="1:21" ht="34.5" customHeight="1" x14ac:dyDescent="0.3">
      <c r="A65" s="6" t="s">
        <v>431</v>
      </c>
      <c r="B65" s="7" t="s">
        <v>277</v>
      </c>
      <c r="C65" s="7" t="s">
        <v>278</v>
      </c>
      <c r="D65" s="7" t="s">
        <v>432</v>
      </c>
      <c r="E65" s="7" t="s">
        <v>433</v>
      </c>
      <c r="F65" s="8">
        <f>SUMPRODUCT((Results_Long!$A$2:$A$178=$B65)*(Results_Long!$B$2:$B$178=$C65)*(Results_Long!$C$2:$C$178=$D65)*(Results_Long!$D$2:$D$178=$E65)*ROW(Results_Long!$A$2:$A$178))</f>
        <v>79</v>
      </c>
      <c r="G65" s="9">
        <f>IF(INDEX(Results_Long!$H:$H,$F65)="","NA",INDEX(Results_Long!$H:$H,$F65))</f>
        <v>1328</v>
      </c>
      <c r="H65" s="9">
        <f>IF(INDEX(Results_Long!$I:$I,$F65)="","NA",INDEX(Results_Long!$I:$I,$F65))</f>
        <v>52</v>
      </c>
      <c r="I65" s="9">
        <f>IF(INDEX(Results_Long!$J:$J,$F65)="","NA",INDEX(Results_Long!$J:$J,$F65))</f>
        <v>52</v>
      </c>
      <c r="J65" s="10">
        <f>IF(INDEX(Results_Long!$K:$K,$F65)="","NA",INDEX(Results_Long!$K:$K,$F65))</f>
        <v>-7.1640574706251306E-2</v>
      </c>
      <c r="K65" s="10">
        <f>IF(INDEX(Results_Long!$P:$P,$F65)="","NA",INDEX(Results_Long!$P:$P,$F65))</f>
        <v>-0.13660074799820099</v>
      </c>
      <c r="L65" s="10">
        <f>IF(INDEX(Results_Long!$Q:$Q,$F65)="","NA",INDEX(Results_Long!$Q:$Q,$F65))</f>
        <v>-6.6804014143018696E-3</v>
      </c>
      <c r="M65" s="10">
        <f>IF(INDEX(Results_Long!$T:$T,$F65)="","NA",INDEX(Results_Long!$T:$T,$F65))</f>
        <v>-7.1518263772966301E-2</v>
      </c>
      <c r="N65" s="10">
        <f>IF(INDEX(Results_Long!$U:$U,$F65)="","NA",INDEX(Results_Long!$U:$U,$F65))</f>
        <v>-0.13575739621483299</v>
      </c>
      <c r="O65" s="10">
        <f>IF(INDEX(Results_Long!$V:$V,$F65)="","NA",INDEX(Results_Long!$V:$V,$F65))</f>
        <v>-6.6803020389520204E-3</v>
      </c>
      <c r="P65" s="10">
        <f>IF(INDEX(Results_Long!$L:$L,$F65)="","NA",INDEX(Results_Long!$L:$L,$F65))</f>
        <v>3.2355724833235101E-2</v>
      </c>
      <c r="Q65" s="11">
        <f>IF(INDEX(Results_Long!$M:$M,$F65)="","NA",INDEX(Results_Long!$M:$M,$F65))</f>
        <v>-2.21415452985506</v>
      </c>
      <c r="R65" s="12">
        <f>IF(INDEX(Results_Long!$N:$N,$F65)="","NA",INDEX(Results_Long!$N:$N,$F65))</f>
        <v>50.892060187538803</v>
      </c>
      <c r="S65" s="10">
        <f>IF(INDEX(Results_Long!$O:$O,$F65)="","NA",INDEX(Results_Long!$O:$O,$F65))</f>
        <v>3.1324449424987098E-2</v>
      </c>
      <c r="T65" s="6" t="str">
        <f>IF(INDEX(Results_Long!$AG:$AG,$F65)="","NA",INDEX(Results_Long!$AG:$AG,$F65))</f>
        <v>NA</v>
      </c>
      <c r="U65" s="5" t="str">
        <f>IF(INDEX(Results_Long!$AJ:$AJ,$F65)="","NA",INDEX(Results_Long!$AJ:$AJ,$F65))</f>
        <v>cumulative 3L refit after adding study 'Lemma et al (2017)' (median sample_mid = 2012.50); ordering: study-wise median sample_mid, ties alphabetical [DEC-045/H-Q17]; full display (CI band)</v>
      </c>
    </row>
    <row r="66" spans="1:21" ht="34.5" customHeight="1" x14ac:dyDescent="0.3">
      <c r="A66" s="6" t="s">
        <v>434</v>
      </c>
      <c r="B66" s="7" t="s">
        <v>277</v>
      </c>
      <c r="C66" s="7" t="s">
        <v>278</v>
      </c>
      <c r="D66" s="7" t="s">
        <v>435</v>
      </c>
      <c r="E66" s="7" t="s">
        <v>436</v>
      </c>
      <c r="F66" s="8">
        <f>SUMPRODUCT((Results_Long!$A$2:$A$178=$B66)*(Results_Long!$B$2:$B$178=$C66)*(Results_Long!$C$2:$C$178=$D66)*(Results_Long!$D$2:$D$178=$E66)*ROW(Results_Long!$A$2:$A$178))</f>
        <v>80</v>
      </c>
      <c r="G66" s="9">
        <f>IF(INDEX(Results_Long!$H:$H,$F66)="","NA",INDEX(Results_Long!$H:$H,$F66))</f>
        <v>1336</v>
      </c>
      <c r="H66" s="9">
        <f>IF(INDEX(Results_Long!$I:$I,$F66)="","NA",INDEX(Results_Long!$I:$I,$F66))</f>
        <v>53</v>
      </c>
      <c r="I66" s="9">
        <f>IF(INDEX(Results_Long!$J:$J,$F66)="","NA",INDEX(Results_Long!$J:$J,$F66))</f>
        <v>53</v>
      </c>
      <c r="J66" s="10">
        <f>IF(INDEX(Results_Long!$K:$K,$F66)="","NA",INDEX(Results_Long!$K:$K,$F66))</f>
        <v>-7.2641210110105894E-2</v>
      </c>
      <c r="K66" s="10">
        <f>IF(INDEX(Results_Long!$P:$P,$F66)="","NA",INDEX(Results_Long!$P:$P,$F66))</f>
        <v>-0.136311157671345</v>
      </c>
      <c r="L66" s="10">
        <f>IF(INDEX(Results_Long!$Q:$Q,$F66)="","NA",INDEX(Results_Long!$Q:$Q,$F66))</f>
        <v>-8.9712625488665605E-3</v>
      </c>
      <c r="M66" s="10">
        <f>IF(INDEX(Results_Long!$T:$T,$F66)="","NA",INDEX(Results_Long!$T:$T,$F66))</f>
        <v>-7.2513709494742007E-2</v>
      </c>
      <c r="N66" s="10">
        <f>IF(INDEX(Results_Long!$U:$U,$F66)="","NA",INDEX(Results_Long!$U:$U,$F66))</f>
        <v>-0.13547313189052501</v>
      </c>
      <c r="O66" s="10">
        <f>IF(INDEX(Results_Long!$V:$V,$F66)="","NA",INDEX(Results_Long!$V:$V,$F66))</f>
        <v>-8.9710218769234896E-3</v>
      </c>
      <c r="P66" s="10">
        <f>IF(INDEX(Results_Long!$L:$L,$F66)="","NA",INDEX(Results_Long!$L:$L,$F66))</f>
        <v>3.1727904043640003E-2</v>
      </c>
      <c r="Q66" s="11">
        <f>IF(INDEX(Results_Long!$M:$M,$F66)="","NA",INDEX(Results_Long!$M:$M,$F66))</f>
        <v>-2.2895054778970501</v>
      </c>
      <c r="R66" s="12">
        <f>IF(INDEX(Results_Long!$N:$N,$F66)="","NA",INDEX(Results_Long!$N:$N,$F66))</f>
        <v>51.888715830340502</v>
      </c>
      <c r="S66" s="10">
        <f>IF(INDEX(Results_Long!$O:$O,$F66)="","NA",INDEX(Results_Long!$O:$O,$F66))</f>
        <v>2.61488322743955E-2</v>
      </c>
      <c r="T66" s="6" t="str">
        <f>IF(INDEX(Results_Long!$AG:$AG,$F66)="","NA",INDEX(Results_Long!$AG:$AG,$F66))</f>
        <v>NA</v>
      </c>
      <c r="U66" s="5" t="str">
        <f>IF(INDEX(Results_Long!$AJ:$AJ,$F66)="","NA",INDEX(Results_Long!$AJ:$AJ,$F66))</f>
        <v>cumulative 3L refit after adding study 'Mahmoudian et al (2023)' (median sample_mid = 2012.50); ordering: study-wise median sample_mid, ties alphabetical [DEC-045/H-Q17]; full display (CI band)</v>
      </c>
    </row>
    <row r="67" spans="1:21" ht="34.5" customHeight="1" x14ac:dyDescent="0.3">
      <c r="A67" s="6" t="s">
        <v>437</v>
      </c>
      <c r="B67" s="7" t="s">
        <v>277</v>
      </c>
      <c r="C67" s="7" t="s">
        <v>278</v>
      </c>
      <c r="D67" s="7" t="s">
        <v>438</v>
      </c>
      <c r="E67" s="7" t="s">
        <v>439</v>
      </c>
      <c r="F67" s="8">
        <f>SUMPRODUCT((Results_Long!$A$2:$A$178=$B67)*(Results_Long!$B$2:$B$178=$C67)*(Results_Long!$C$2:$C$178=$D67)*(Results_Long!$D$2:$D$178=$E67)*ROW(Results_Long!$A$2:$A$178))</f>
        <v>81</v>
      </c>
      <c r="G67" s="9">
        <f>IF(INDEX(Results_Long!$H:$H,$F67)="","NA",INDEX(Results_Long!$H:$H,$F67))</f>
        <v>1346</v>
      </c>
      <c r="H67" s="9">
        <f>IF(INDEX(Results_Long!$I:$I,$F67)="","NA",INDEX(Results_Long!$I:$I,$F67))</f>
        <v>54</v>
      </c>
      <c r="I67" s="9">
        <f>IF(INDEX(Results_Long!$J:$J,$F67)="","NA",INDEX(Results_Long!$J:$J,$F67))</f>
        <v>54</v>
      </c>
      <c r="J67" s="10">
        <f>IF(INDEX(Results_Long!$K:$K,$F67)="","NA",INDEX(Results_Long!$K:$K,$F67))</f>
        <v>-7.1670370526304497E-2</v>
      </c>
      <c r="K67" s="10">
        <f>IF(INDEX(Results_Long!$P:$P,$F67)="","NA",INDEX(Results_Long!$P:$P,$F67))</f>
        <v>-0.13408208020335199</v>
      </c>
      <c r="L67" s="10">
        <f>IF(INDEX(Results_Long!$Q:$Q,$F67)="","NA",INDEX(Results_Long!$Q:$Q,$F67))</f>
        <v>-9.2586608492568594E-3</v>
      </c>
      <c r="M67" s="10">
        <f>IF(INDEX(Results_Long!$T:$T,$F67)="","NA",INDEX(Results_Long!$T:$T,$F67))</f>
        <v>-7.1547907128333102E-2</v>
      </c>
      <c r="N67" s="10">
        <f>IF(INDEX(Results_Long!$U:$U,$F67)="","NA",INDEX(Results_Long!$U:$U,$F67))</f>
        <v>-0.13328430725700699</v>
      </c>
      <c r="O67" s="10">
        <f>IF(INDEX(Results_Long!$V:$V,$F67)="","NA",INDEX(Results_Long!$V:$V,$F67))</f>
        <v>-9.2583962988817495E-3</v>
      </c>
      <c r="P67" s="10">
        <f>IF(INDEX(Results_Long!$L:$L,$F67)="","NA",INDEX(Results_Long!$L:$L,$F67))</f>
        <v>3.1114880253378399E-2</v>
      </c>
      <c r="Q67" s="11">
        <f>IF(INDEX(Results_Long!$M:$M,$F67)="","NA",INDEX(Results_Long!$M:$M,$F67))</f>
        <v>-2.30341142060229</v>
      </c>
      <c r="R67" s="12">
        <f>IF(INDEX(Results_Long!$N:$N,$F67)="","NA",INDEX(Results_Long!$N:$N,$F67))</f>
        <v>52.885177933892997</v>
      </c>
      <c r="S67" s="10">
        <f>IF(INDEX(Results_Long!$O:$O,$F67)="","NA",INDEX(Results_Long!$O:$O,$F67))</f>
        <v>2.52169831810749E-2</v>
      </c>
      <c r="T67" s="6" t="str">
        <f>IF(INDEX(Results_Long!$AG:$AG,$F67)="","NA",INDEX(Results_Long!$AG:$AG,$F67))</f>
        <v>NA</v>
      </c>
      <c r="U67" s="5" t="str">
        <f>IF(INDEX(Results_Long!$AJ:$AJ,$F67)="","NA",INDEX(Results_Long!$AJ:$AJ,$F67))</f>
        <v>cumulative 3L refit after adding study 'Okimoto, Takaoka (2022)' (median sample_mid = 2012.50); ordering: study-wise median sample_mid, ties alphabetical [DEC-045/H-Q17]; full display (CI band)</v>
      </c>
    </row>
    <row r="68" spans="1:21" ht="34.5" customHeight="1" x14ac:dyDescent="0.3">
      <c r="A68" s="6" t="s">
        <v>440</v>
      </c>
      <c r="B68" s="7" t="s">
        <v>277</v>
      </c>
      <c r="C68" s="7" t="s">
        <v>278</v>
      </c>
      <c r="D68" s="7" t="s">
        <v>441</v>
      </c>
      <c r="E68" s="7" t="s">
        <v>442</v>
      </c>
      <c r="F68" s="8">
        <f>SUMPRODUCT((Results_Long!$A$2:$A$178=$B68)*(Results_Long!$B$2:$B$178=$C68)*(Results_Long!$C$2:$C$178=$D68)*(Results_Long!$D$2:$D$178=$E68)*ROW(Results_Long!$A$2:$A$178))</f>
        <v>82</v>
      </c>
      <c r="G68" s="9">
        <f>IF(INDEX(Results_Long!$H:$H,$F68)="","NA",INDEX(Results_Long!$H:$H,$F68))</f>
        <v>1349</v>
      </c>
      <c r="H68" s="9">
        <f>IF(INDEX(Results_Long!$I:$I,$F68)="","NA",INDEX(Results_Long!$I:$I,$F68))</f>
        <v>55</v>
      </c>
      <c r="I68" s="9">
        <f>IF(INDEX(Results_Long!$J:$J,$F68)="","NA",INDEX(Results_Long!$J:$J,$F68))</f>
        <v>54</v>
      </c>
      <c r="J68" s="10">
        <f>IF(INDEX(Results_Long!$K:$K,$F68)="","NA",INDEX(Results_Long!$K:$K,$F68))</f>
        <v>-7.1863982004676502E-2</v>
      </c>
      <c r="K68" s="10">
        <f>IF(INDEX(Results_Long!$P:$P,$F68)="","NA",INDEX(Results_Long!$P:$P,$F68))</f>
        <v>-0.134192919873908</v>
      </c>
      <c r="L68" s="10">
        <f>IF(INDEX(Results_Long!$Q:$Q,$F68)="","NA",INDEX(Results_Long!$Q:$Q,$F68))</f>
        <v>-9.5350441354450401E-3</v>
      </c>
      <c r="M68" s="10">
        <f>IF(INDEX(Results_Long!$T:$T,$F68)="","NA",INDEX(Results_Long!$T:$T,$F68))</f>
        <v>-7.17405248189599E-2</v>
      </c>
      <c r="N68" s="10">
        <f>IF(INDEX(Results_Long!$U:$U,$F68)="","NA",INDEX(Results_Long!$U:$U,$F68))</f>
        <v>-0.133393176284552</v>
      </c>
      <c r="O68" s="10">
        <f>IF(INDEX(Results_Long!$V:$V,$F68)="","NA",INDEX(Results_Long!$V:$V,$F68))</f>
        <v>-9.5347551798723295E-3</v>
      </c>
      <c r="P68" s="10">
        <f>IF(INDEX(Results_Long!$L:$L,$F68)="","NA",INDEX(Results_Long!$L:$L,$F68))</f>
        <v>3.1073669799397199E-2</v>
      </c>
      <c r="Q68" s="11">
        <f>IF(INDEX(Results_Long!$M:$M,$F68)="","NA",INDEX(Results_Long!$M:$M,$F68))</f>
        <v>-2.3126969704129001</v>
      </c>
      <c r="R68" s="12">
        <f>IF(INDEX(Results_Long!$N:$N,$F68)="","NA",INDEX(Results_Long!$N:$N,$F68))</f>
        <v>52.889164513986003</v>
      </c>
      <c r="S68" s="10">
        <f>IF(INDEX(Results_Long!$O:$O,$F68)="","NA",INDEX(Results_Long!$O:$O,$F68))</f>
        <v>2.46611418701373E-2</v>
      </c>
      <c r="T68" s="6" t="str">
        <f>IF(INDEX(Results_Long!$AG:$AG,$F68)="","NA",INDEX(Results_Long!$AG:$AG,$F68))</f>
        <v>NA</v>
      </c>
      <c r="U68" s="5" t="str">
        <f>IF(INDEX(Results_Long!$AJ:$AJ,$F68)="","NA",INDEX(Results_Long!$AJ:$AJ,$F68))</f>
        <v>cumulative 3L refit after adding study 'Sandra et al (2021)' (median sample_mid = 2012.50); ordering: study-wise median sample_mid, ties alphabetical [DEC-045/H-Q17]; full display (CI band)</v>
      </c>
    </row>
    <row r="69" spans="1:21" ht="34.5" customHeight="1" x14ac:dyDescent="0.3">
      <c r="A69" s="6" t="s">
        <v>443</v>
      </c>
      <c r="B69" s="7" t="s">
        <v>277</v>
      </c>
      <c r="C69" s="7" t="s">
        <v>278</v>
      </c>
      <c r="D69" s="7" t="s">
        <v>444</v>
      </c>
      <c r="E69" s="7" t="s">
        <v>445</v>
      </c>
      <c r="F69" s="8">
        <f>SUMPRODUCT((Results_Long!$A$2:$A$178=$B69)*(Results_Long!$B$2:$B$178=$C69)*(Results_Long!$C$2:$C$178=$D69)*(Results_Long!$D$2:$D$178=$E69)*ROW(Results_Long!$A$2:$A$178))</f>
        <v>83</v>
      </c>
      <c r="G69" s="9">
        <f>IF(INDEX(Results_Long!$H:$H,$F69)="","NA",INDEX(Results_Long!$H:$H,$F69))</f>
        <v>1351</v>
      </c>
      <c r="H69" s="9">
        <f>IF(INDEX(Results_Long!$I:$I,$F69)="","NA",INDEX(Results_Long!$I:$I,$F69))</f>
        <v>56</v>
      </c>
      <c r="I69" s="9">
        <f>IF(INDEX(Results_Long!$J:$J,$F69)="","NA",INDEX(Results_Long!$J:$J,$F69))</f>
        <v>55</v>
      </c>
      <c r="J69" s="10">
        <f>IF(INDEX(Results_Long!$K:$K,$F69)="","NA",INDEX(Results_Long!$K:$K,$F69))</f>
        <v>-7.4657799550723006E-2</v>
      </c>
      <c r="K69" s="10">
        <f>IF(INDEX(Results_Long!$P:$P,$F69)="","NA",INDEX(Results_Long!$P:$P,$F69))</f>
        <v>-0.13613658220841099</v>
      </c>
      <c r="L69" s="10">
        <f>IF(INDEX(Results_Long!$Q:$Q,$F69)="","NA",INDEX(Results_Long!$Q:$Q,$F69))</f>
        <v>-1.31790168930355E-2</v>
      </c>
      <c r="M69" s="10">
        <f>IF(INDEX(Results_Long!$T:$T,$F69)="","NA",INDEX(Results_Long!$T:$T,$F69))</f>
        <v>-7.4519399216429097E-2</v>
      </c>
      <c r="N69" s="10">
        <f>IF(INDEX(Results_Long!$U:$U,$F69)="","NA",INDEX(Results_Long!$U:$U,$F69))</f>
        <v>-0.13530175635439201</v>
      </c>
      <c r="O69" s="10">
        <f>IF(INDEX(Results_Long!$V:$V,$F69)="","NA",INDEX(Results_Long!$V:$V,$F69))</f>
        <v>-1.31782539403291E-2</v>
      </c>
      <c r="P69" s="10">
        <f>IF(INDEX(Results_Long!$L:$L,$F69)="","NA",INDEX(Results_Long!$L:$L,$F69))</f>
        <v>3.0663011101943399E-2</v>
      </c>
      <c r="Q69" s="11">
        <f>IF(INDEX(Results_Long!$M:$M,$F69)="","NA",INDEX(Results_Long!$M:$M,$F69))</f>
        <v>-2.4347836976125001</v>
      </c>
      <c r="R69" s="12">
        <f>IF(INDEX(Results_Long!$N:$N,$F69)="","NA",INDEX(Results_Long!$N:$N,$F69))</f>
        <v>53.879582801492298</v>
      </c>
      <c r="S69" s="10">
        <f>IF(INDEX(Results_Long!$O:$O,$F69)="","NA",INDEX(Results_Long!$O:$O,$F69))</f>
        <v>1.8243052685586899E-2</v>
      </c>
      <c r="T69" s="6" t="str">
        <f>IF(INDEX(Results_Long!$AG:$AG,$F69)="","NA",INDEX(Results_Long!$AG:$AG,$F69))</f>
        <v>NA</v>
      </c>
      <c r="U69" s="5" t="str">
        <f>IF(INDEX(Results_Long!$AJ:$AJ,$F69)="","NA",INDEX(Results_Long!$AJ:$AJ,$F69))</f>
        <v>cumulative 3L refit after adding study 'Shad et al (2022)' (median sample_mid = 2012.50); ordering: study-wise median sample_mid, ties alphabetical [DEC-045/H-Q17]; full display (CI band)</v>
      </c>
    </row>
    <row r="70" spans="1:21" ht="34.5" customHeight="1" x14ac:dyDescent="0.3">
      <c r="A70" s="6" t="s">
        <v>446</v>
      </c>
      <c r="B70" s="7" t="s">
        <v>277</v>
      </c>
      <c r="C70" s="7" t="s">
        <v>278</v>
      </c>
      <c r="D70" s="7" t="s">
        <v>447</v>
      </c>
      <c r="E70" s="7" t="s">
        <v>448</v>
      </c>
      <c r="F70" s="8">
        <f>SUMPRODUCT((Results_Long!$A$2:$A$178=$B70)*(Results_Long!$B$2:$B$178=$C70)*(Results_Long!$C$2:$C$178=$D70)*(Results_Long!$D$2:$D$178=$E70)*ROW(Results_Long!$A$2:$A$178))</f>
        <v>84</v>
      </c>
      <c r="G70" s="9">
        <f>IF(INDEX(Results_Long!$H:$H,$F70)="","NA",INDEX(Results_Long!$H:$H,$F70))</f>
        <v>1407</v>
      </c>
      <c r="H70" s="9">
        <f>IF(INDEX(Results_Long!$I:$I,$F70)="","NA",INDEX(Results_Long!$I:$I,$F70))</f>
        <v>57</v>
      </c>
      <c r="I70" s="9">
        <f>IF(INDEX(Results_Long!$J:$J,$F70)="","NA",INDEX(Results_Long!$J:$J,$F70))</f>
        <v>56</v>
      </c>
      <c r="J70" s="10">
        <f>IF(INDEX(Results_Long!$K:$K,$F70)="","NA",INDEX(Results_Long!$K:$K,$F70))</f>
        <v>-7.3800945533746304E-2</v>
      </c>
      <c r="K70" s="10">
        <f>IF(INDEX(Results_Long!$P:$P,$F70)="","NA",INDEX(Results_Long!$P:$P,$F70))</f>
        <v>-0.13413864746999901</v>
      </c>
      <c r="L70" s="10">
        <f>IF(INDEX(Results_Long!$Q:$Q,$F70)="","NA",INDEX(Results_Long!$Q:$Q,$F70))</f>
        <v>-1.34632435974937E-2</v>
      </c>
      <c r="M70" s="10">
        <f>IF(INDEX(Results_Long!$T:$T,$F70)="","NA",INDEX(Results_Long!$T:$T,$F70))</f>
        <v>-7.3667249227362702E-2</v>
      </c>
      <c r="N70" s="10">
        <f>IF(INDEX(Results_Long!$U:$U,$F70)="","NA",INDEX(Results_Long!$U:$U,$F70))</f>
        <v>-0.13333986920379101</v>
      </c>
      <c r="O70" s="10">
        <f>IF(INDEX(Results_Long!$V:$V,$F70)="","NA",INDEX(Results_Long!$V:$V,$F70))</f>
        <v>-1.3462430212099001E-2</v>
      </c>
      <c r="P70" s="10">
        <f>IF(INDEX(Results_Long!$L:$L,$F70)="","NA",INDEX(Results_Long!$L:$L,$F70))</f>
        <v>3.01064497122162E-2</v>
      </c>
      <c r="Q70" s="11">
        <f>IF(INDEX(Results_Long!$M:$M,$F70)="","NA",INDEX(Results_Long!$M:$M,$F70))</f>
        <v>-2.4513333933160601</v>
      </c>
      <c r="R70" s="12">
        <f>IF(INDEX(Results_Long!$N:$N,$F70)="","NA",INDEX(Results_Long!$N:$N,$F70))</f>
        <v>54.877457790065797</v>
      </c>
      <c r="S70" s="10">
        <f>IF(INDEX(Results_Long!$O:$O,$F70)="","NA",INDEX(Results_Long!$O:$O,$F70))</f>
        <v>1.7445622786738099E-2</v>
      </c>
      <c r="T70" s="6" t="str">
        <f>IF(INDEX(Results_Long!$AG:$AG,$F70)="","NA",INDEX(Results_Long!$AG:$AG,$F70))</f>
        <v>NA</v>
      </c>
      <c r="U70" s="5" t="str">
        <f>IF(INDEX(Results_Long!$AJ:$AJ,$F70)="","NA",INDEX(Results_Long!$AJ:$AJ,$F70))</f>
        <v>cumulative 3L refit after adding study 'Maaloul, Wegener (2021)' (median sample_mid = 2013.00); ordering: study-wise median sample_mid, ties alphabetical [DEC-045/H-Q17]; full display (CI band)</v>
      </c>
    </row>
    <row r="71" spans="1:21" ht="34.5" customHeight="1" x14ac:dyDescent="0.3">
      <c r="A71" s="6" t="s">
        <v>449</v>
      </c>
      <c r="B71" s="7" t="s">
        <v>277</v>
      </c>
      <c r="C71" s="7" t="s">
        <v>278</v>
      </c>
      <c r="D71" s="7" t="s">
        <v>450</v>
      </c>
      <c r="E71" s="7" t="s">
        <v>451</v>
      </c>
      <c r="F71" s="8">
        <f>SUMPRODUCT((Results_Long!$A$2:$A$178=$B71)*(Results_Long!$B$2:$B$178=$C71)*(Results_Long!$C$2:$C$178=$D71)*(Results_Long!$D$2:$D$178=$E71)*ROW(Results_Long!$A$2:$A$178))</f>
        <v>85</v>
      </c>
      <c r="G71" s="9">
        <f>IF(INDEX(Results_Long!$H:$H,$F71)="","NA",INDEX(Results_Long!$H:$H,$F71))</f>
        <v>1419</v>
      </c>
      <c r="H71" s="9">
        <f>IF(INDEX(Results_Long!$I:$I,$F71)="","NA",INDEX(Results_Long!$I:$I,$F71))</f>
        <v>58</v>
      </c>
      <c r="I71" s="9">
        <f>IF(INDEX(Results_Long!$J:$J,$F71)="","NA",INDEX(Results_Long!$J:$J,$F71))</f>
        <v>57</v>
      </c>
      <c r="J71" s="10">
        <f>IF(INDEX(Results_Long!$K:$K,$F71)="","NA",INDEX(Results_Long!$K:$K,$F71))</f>
        <v>-7.3500210705343197E-2</v>
      </c>
      <c r="K71" s="10">
        <f>IF(INDEX(Results_Long!$P:$P,$F71)="","NA",INDEX(Results_Long!$P:$P,$F71))</f>
        <v>-0.132699224611872</v>
      </c>
      <c r="L71" s="10">
        <f>IF(INDEX(Results_Long!$Q:$Q,$F71)="","NA",INDEX(Results_Long!$Q:$Q,$F71))</f>
        <v>-1.4301196798814199E-2</v>
      </c>
      <c r="M71" s="10">
        <f>IF(INDEX(Results_Long!$T:$T,$F71)="","NA",INDEX(Results_Long!$T:$T,$F71))</f>
        <v>-7.3368139828311404E-2</v>
      </c>
      <c r="N71" s="10">
        <f>IF(INDEX(Results_Long!$U:$U,$F71)="","NA",INDEX(Results_Long!$U:$U,$F71))</f>
        <v>-0.13192576815895099</v>
      </c>
      <c r="O71" s="10">
        <f>IF(INDEX(Results_Long!$V:$V,$F71)="","NA",INDEX(Results_Long!$V:$V,$F71))</f>
        <v>-1.43002218981499E-2</v>
      </c>
      <c r="P71" s="10">
        <f>IF(INDEX(Results_Long!$L:$L,$F71)="","NA",INDEX(Results_Long!$L:$L,$F71))</f>
        <v>2.9550156568023098E-2</v>
      </c>
      <c r="Q71" s="11">
        <f>IF(INDEX(Results_Long!$M:$M,$F71)="","NA",INDEX(Results_Long!$M:$M,$F71))</f>
        <v>-2.4873035963836299</v>
      </c>
      <c r="R71" s="12">
        <f>IF(INDEX(Results_Long!$N:$N,$F71)="","NA",INDEX(Results_Long!$N:$N,$F71))</f>
        <v>55.874381281584803</v>
      </c>
      <c r="S71" s="10">
        <f>IF(INDEX(Results_Long!$O:$O,$F71)="","NA",INDEX(Results_Long!$O:$O,$F71))</f>
        <v>1.5883609851333299E-2</v>
      </c>
      <c r="T71" s="6" t="str">
        <f>IF(INDEX(Results_Long!$AG:$AG,$F71)="","NA",INDEX(Results_Long!$AG:$AG,$F71))</f>
        <v>NA</v>
      </c>
      <c r="U71" s="5" t="str">
        <f>IF(INDEX(Results_Long!$AJ:$AJ,$F71)="","NA",INDEX(Results_Long!$AJ:$AJ,$F71))</f>
        <v>cumulative 3L refit after adding study 'Seltzer et al (2022)' (median sample_mid = 2013.00); ordering: study-wise median sample_mid, ties alphabetical [DEC-045/H-Q17]; full display (CI band)</v>
      </c>
    </row>
    <row r="72" spans="1:21" ht="34.5" customHeight="1" x14ac:dyDescent="0.3">
      <c r="A72" s="6" t="s">
        <v>452</v>
      </c>
      <c r="B72" s="7" t="s">
        <v>277</v>
      </c>
      <c r="C72" s="7" t="s">
        <v>278</v>
      </c>
      <c r="D72" s="7" t="s">
        <v>453</v>
      </c>
      <c r="E72" s="7" t="s">
        <v>454</v>
      </c>
      <c r="F72" s="8">
        <f>SUMPRODUCT((Results_Long!$A$2:$A$178=$B72)*(Results_Long!$B$2:$B$178=$C72)*(Results_Long!$C$2:$C$178=$D72)*(Results_Long!$D$2:$D$178=$E72)*ROW(Results_Long!$A$2:$A$178))</f>
        <v>86</v>
      </c>
      <c r="G72" s="9">
        <f>IF(INDEX(Results_Long!$H:$H,$F72)="","NA",INDEX(Results_Long!$H:$H,$F72))</f>
        <v>1441</v>
      </c>
      <c r="H72" s="9">
        <f>IF(INDEX(Results_Long!$I:$I,$F72)="","NA",INDEX(Results_Long!$I:$I,$F72))</f>
        <v>59</v>
      </c>
      <c r="I72" s="9">
        <f>IF(INDEX(Results_Long!$J:$J,$F72)="","NA",INDEX(Results_Long!$J:$J,$F72))</f>
        <v>58</v>
      </c>
      <c r="J72" s="10">
        <f>IF(INDEX(Results_Long!$K:$K,$F72)="","NA",INDEX(Results_Long!$K:$K,$F72))</f>
        <v>-7.1489744354765003E-2</v>
      </c>
      <c r="K72" s="10">
        <f>IF(INDEX(Results_Long!$P:$P,$F72)="","NA",INDEX(Results_Long!$P:$P,$F72))</f>
        <v>-0.12975955839780901</v>
      </c>
      <c r="L72" s="10">
        <f>IF(INDEX(Results_Long!$Q:$Q,$F72)="","NA",INDEX(Results_Long!$Q:$Q,$F72))</f>
        <v>-1.32199303117212E-2</v>
      </c>
      <c r="M72" s="10">
        <f>IF(INDEX(Results_Long!$T:$T,$F72)="","NA",INDEX(Results_Long!$T:$T,$F72))</f>
        <v>-7.1368203280337897E-2</v>
      </c>
      <c r="N72" s="10">
        <f>IF(INDEX(Results_Long!$U:$U,$F72)="","NA",INDEX(Results_Long!$U:$U,$F72))</f>
        <v>-0.12903615277556099</v>
      </c>
      <c r="O72" s="10">
        <f>IF(INDEX(Results_Long!$V:$V,$F72)="","NA",INDEX(Results_Long!$V:$V,$F72))</f>
        <v>-1.3219160231651501E-2</v>
      </c>
      <c r="P72" s="10">
        <f>IF(INDEX(Results_Long!$L:$L,$F72)="","NA",INDEX(Results_Long!$L:$L,$F72))</f>
        <v>2.9097632386218E-2</v>
      </c>
      <c r="Q72" s="11">
        <f>IF(INDEX(Results_Long!$M:$M,$F72)="","NA",INDEX(Results_Long!$M:$M,$F72))</f>
        <v>-2.45689214180278</v>
      </c>
      <c r="R72" s="12">
        <f>IF(INDEX(Results_Long!$N:$N,$F72)="","NA",INDEX(Results_Long!$N:$N,$F72))</f>
        <v>56.873438095351801</v>
      </c>
      <c r="S72" s="10">
        <f>IF(INDEX(Results_Long!$O:$O,$F72)="","NA",INDEX(Results_Long!$O:$O,$F72))</f>
        <v>1.7089127245136299E-2</v>
      </c>
      <c r="T72" s="6" t="str">
        <f>IF(INDEX(Results_Long!$AG:$AG,$F72)="","NA",INDEX(Results_Long!$AG:$AG,$F72))</f>
        <v>NA</v>
      </c>
      <c r="U72" s="5" t="str">
        <f>IF(INDEX(Results_Long!$AJ:$AJ,$F72)="","NA",INDEX(Results_Long!$AJ:$AJ,$F72))</f>
        <v>cumulative 3L refit after adding study 'Zhou et al (2018)' (median sample_mid = 2013.00); ordering: study-wise median sample_mid, ties alphabetical [DEC-045/H-Q17]; full display (CI band)</v>
      </c>
    </row>
    <row r="73" spans="1:21" ht="34.5" customHeight="1" x14ac:dyDescent="0.3">
      <c r="A73" s="6" t="s">
        <v>455</v>
      </c>
      <c r="B73" s="7" t="s">
        <v>277</v>
      </c>
      <c r="C73" s="7" t="s">
        <v>278</v>
      </c>
      <c r="D73" s="7" t="s">
        <v>456</v>
      </c>
      <c r="E73" s="7" t="s">
        <v>457</v>
      </c>
      <c r="F73" s="8">
        <f>SUMPRODUCT((Results_Long!$A$2:$A$178=$B73)*(Results_Long!$B$2:$B$178=$C73)*(Results_Long!$C$2:$C$178=$D73)*(Results_Long!$D$2:$D$178=$E73)*ROW(Results_Long!$A$2:$A$178))</f>
        <v>87</v>
      </c>
      <c r="G73" s="9">
        <f>IF(INDEX(Results_Long!$H:$H,$F73)="","NA",INDEX(Results_Long!$H:$H,$F73))</f>
        <v>1446</v>
      </c>
      <c r="H73" s="9">
        <f>IF(INDEX(Results_Long!$I:$I,$F73)="","NA",INDEX(Results_Long!$I:$I,$F73))</f>
        <v>60</v>
      </c>
      <c r="I73" s="9">
        <f>IF(INDEX(Results_Long!$J:$J,$F73)="","NA",INDEX(Results_Long!$J:$J,$F73))</f>
        <v>59</v>
      </c>
      <c r="J73" s="10">
        <f>IF(INDEX(Results_Long!$K:$K,$F73)="","NA",INDEX(Results_Long!$K:$K,$F73))</f>
        <v>-7.0546703422800394E-2</v>
      </c>
      <c r="K73" s="10">
        <f>IF(INDEX(Results_Long!$P:$P,$F73)="","NA",INDEX(Results_Long!$P:$P,$F73))</f>
        <v>-0.12776573867416</v>
      </c>
      <c r="L73" s="10">
        <f>IF(INDEX(Results_Long!$Q:$Q,$F73)="","NA",INDEX(Results_Long!$Q:$Q,$F73))</f>
        <v>-1.33276681714405E-2</v>
      </c>
      <c r="M73" s="10">
        <f>IF(INDEX(Results_Long!$T:$T,$F73)="","NA",INDEX(Results_Long!$T:$T,$F73))</f>
        <v>-7.0429902779916106E-2</v>
      </c>
      <c r="N73" s="10">
        <f>IF(INDEX(Results_Long!$U:$U,$F73)="","NA",INDEX(Results_Long!$U:$U,$F73))</f>
        <v>-0.12707502885660599</v>
      </c>
      <c r="O73" s="10">
        <f>IF(INDEX(Results_Long!$V:$V,$F73)="","NA",INDEX(Results_Long!$V:$V,$F73))</f>
        <v>-1.3326879110759001E-2</v>
      </c>
      <c r="P73" s="10">
        <f>IF(INDEX(Results_Long!$L:$L,$F73)="","NA",INDEX(Results_Long!$L:$L,$F73))</f>
        <v>2.8583595770338199E-2</v>
      </c>
      <c r="Q73" s="11">
        <f>IF(INDEX(Results_Long!$M:$M,$F73)="","NA",INDEX(Results_Long!$M:$M,$F73))</f>
        <v>-2.4680835815628299</v>
      </c>
      <c r="R73" s="12">
        <f>IF(INDEX(Results_Long!$N:$N,$F73)="","NA",INDEX(Results_Long!$N:$N,$F73))</f>
        <v>57.869283906167396</v>
      </c>
      <c r="S73" s="10">
        <f>IF(INDEX(Results_Long!$O:$O,$F73)="","NA",INDEX(Results_Long!$O:$O,$F73))</f>
        <v>1.6561172474822899E-2</v>
      </c>
      <c r="T73" s="6" t="str">
        <f>IF(INDEX(Results_Long!$AG:$AG,$F73)="","NA",INDEX(Results_Long!$AG:$AG,$F73))</f>
        <v>NA</v>
      </c>
      <c r="U73" s="5" t="str">
        <f>IF(INDEX(Results_Long!$AJ:$AJ,$F73)="","NA",INDEX(Results_Long!$AJ:$AJ,$F73))</f>
        <v>cumulative 3L refit after adding study 'Caragnano et al (2020)' (median sample_mid = 2013.50); ordering: study-wise median sample_mid, ties alphabetical [DEC-045/H-Q17]; full display (CI band)</v>
      </c>
    </row>
    <row r="74" spans="1:21" ht="34.5" customHeight="1" x14ac:dyDescent="0.3">
      <c r="A74" s="6" t="s">
        <v>458</v>
      </c>
      <c r="B74" s="7" t="s">
        <v>277</v>
      </c>
      <c r="C74" s="7" t="s">
        <v>278</v>
      </c>
      <c r="D74" s="7" t="s">
        <v>459</v>
      </c>
      <c r="E74" s="7" t="s">
        <v>460</v>
      </c>
      <c r="F74" s="8">
        <f>SUMPRODUCT((Results_Long!$A$2:$A$178=$B74)*(Results_Long!$B$2:$B$178=$C74)*(Results_Long!$C$2:$C$178=$D74)*(Results_Long!$D$2:$D$178=$E74)*ROW(Results_Long!$A$2:$A$178))</f>
        <v>88</v>
      </c>
      <c r="G74" s="9">
        <f>IF(INDEX(Results_Long!$H:$H,$F74)="","NA",INDEX(Results_Long!$H:$H,$F74))</f>
        <v>1477</v>
      </c>
      <c r="H74" s="9">
        <f>IF(INDEX(Results_Long!$I:$I,$F74)="","NA",INDEX(Results_Long!$I:$I,$F74))</f>
        <v>61</v>
      </c>
      <c r="I74" s="9">
        <f>IF(INDEX(Results_Long!$J:$J,$F74)="","NA",INDEX(Results_Long!$J:$J,$F74))</f>
        <v>60</v>
      </c>
      <c r="J74" s="10">
        <f>IF(INDEX(Results_Long!$K:$K,$F74)="","NA",INDEX(Results_Long!$K:$K,$F74))</f>
        <v>-7.0467605355947496E-2</v>
      </c>
      <c r="K74" s="10">
        <f>IF(INDEX(Results_Long!$P:$P,$F74)="","NA",INDEX(Results_Long!$P:$P,$F74))</f>
        <v>-0.12664657700974</v>
      </c>
      <c r="L74" s="10">
        <f>IF(INDEX(Results_Long!$Q:$Q,$F74)="","NA",INDEX(Results_Long!$Q:$Q,$F74))</f>
        <v>-1.4288633702154699E-2</v>
      </c>
      <c r="M74" s="10">
        <f>IF(INDEX(Results_Long!$T:$T,$F74)="","NA",INDEX(Results_Long!$T:$T,$F74))</f>
        <v>-7.0351196630538904E-2</v>
      </c>
      <c r="N74" s="10">
        <f>IF(INDEX(Results_Long!$U:$U,$F74)="","NA",INDEX(Results_Long!$U:$U,$F74))</f>
        <v>-0.12597378332859599</v>
      </c>
      <c r="O74" s="10">
        <f>IF(INDEX(Results_Long!$V:$V,$F74)="","NA",INDEX(Results_Long!$V:$V,$F74))</f>
        <v>-1.42876613683418E-2</v>
      </c>
      <c r="P74" s="10">
        <f>IF(INDEX(Results_Long!$L:$L,$F74)="","NA",INDEX(Results_Long!$L:$L,$F74))</f>
        <v>2.8074169754215301E-2</v>
      </c>
      <c r="Q74" s="11">
        <f>IF(INDEX(Results_Long!$M:$M,$F74)="","NA",INDEX(Results_Long!$M:$M,$F74))</f>
        <v>-2.5100512668007502</v>
      </c>
      <c r="R74" s="12">
        <f>IF(INDEX(Results_Long!$N:$N,$F74)="","NA",INDEX(Results_Long!$N:$N,$F74))</f>
        <v>58.8654009896063</v>
      </c>
      <c r="S74" s="10">
        <f>IF(INDEX(Results_Long!$O:$O,$F74)="","NA",INDEX(Results_Long!$O:$O,$F74))</f>
        <v>1.4840706351716901E-2</v>
      </c>
      <c r="T74" s="6" t="str">
        <f>IF(INDEX(Results_Long!$AG:$AG,$F74)="","NA",INDEX(Results_Long!$AG:$AG,$F74))</f>
        <v>NA</v>
      </c>
      <c r="U74" s="5" t="str">
        <f>IF(INDEX(Results_Long!$AJ:$AJ,$F74)="","NA",INDEX(Results_Long!$AJ:$AJ,$F74))</f>
        <v>cumulative 3L refit after adding study 'Dumrose &amp; Höck (2023)' (median sample_mid = 2013.50); ordering: study-wise median sample_mid, ties alphabetical [DEC-045/H-Q17]; full display (CI band)</v>
      </c>
    </row>
    <row r="75" spans="1:21" ht="34.5" customHeight="1" x14ac:dyDescent="0.3">
      <c r="A75" s="6" t="s">
        <v>461</v>
      </c>
      <c r="B75" s="7" t="s">
        <v>277</v>
      </c>
      <c r="C75" s="7" t="s">
        <v>278</v>
      </c>
      <c r="D75" s="7" t="s">
        <v>462</v>
      </c>
      <c r="E75" s="7" t="s">
        <v>463</v>
      </c>
      <c r="F75" s="8">
        <f>SUMPRODUCT((Results_Long!$A$2:$A$178=$B75)*(Results_Long!$B$2:$B$178=$C75)*(Results_Long!$C$2:$C$178=$D75)*(Results_Long!$D$2:$D$178=$E75)*ROW(Results_Long!$A$2:$A$178))</f>
        <v>89</v>
      </c>
      <c r="G75" s="9">
        <f>IF(INDEX(Results_Long!$H:$H,$F75)="","NA",INDEX(Results_Long!$H:$H,$F75))</f>
        <v>1512</v>
      </c>
      <c r="H75" s="9">
        <f>IF(INDEX(Results_Long!$I:$I,$F75)="","NA",INDEX(Results_Long!$I:$I,$F75))</f>
        <v>62</v>
      </c>
      <c r="I75" s="9">
        <f>IF(INDEX(Results_Long!$J:$J,$F75)="","NA",INDEX(Results_Long!$J:$J,$F75))</f>
        <v>61</v>
      </c>
      <c r="J75" s="10">
        <f>IF(INDEX(Results_Long!$K:$K,$F75)="","NA",INDEX(Results_Long!$K:$K,$F75))</f>
        <v>-6.9811589311669697E-2</v>
      </c>
      <c r="K75" s="10">
        <f>IF(INDEX(Results_Long!$P:$P,$F75)="","NA",INDEX(Results_Long!$P:$P,$F75))</f>
        <v>-0.12507036060768201</v>
      </c>
      <c r="L75" s="10">
        <f>IF(INDEX(Results_Long!$Q:$Q,$F75)="","NA",INDEX(Results_Long!$Q:$Q,$F75))</f>
        <v>-1.4552818015657699E-2</v>
      </c>
      <c r="M75" s="10">
        <f>IF(INDEX(Results_Long!$T:$T,$F75)="","NA",INDEX(Results_Long!$T:$T,$F75))</f>
        <v>-6.9698397366449297E-2</v>
      </c>
      <c r="N75" s="10">
        <f>IF(INDEX(Results_Long!$U:$U,$F75)="","NA",INDEX(Results_Long!$U:$U,$F75))</f>
        <v>-0.124422273739914</v>
      </c>
      <c r="O75" s="10">
        <f>IF(INDEX(Results_Long!$V:$V,$F75)="","NA",INDEX(Results_Long!$V:$V,$F75))</f>
        <v>-1.4551790748859801E-2</v>
      </c>
      <c r="P75" s="10">
        <f>IF(INDEX(Results_Long!$L:$L,$F75)="","NA",INDEX(Results_Long!$L:$L,$F75))</f>
        <v>2.7623992685241398E-2</v>
      </c>
      <c r="Q75" s="11">
        <f>IF(INDEX(Results_Long!$M:$M,$F75)="","NA",INDEX(Results_Long!$M:$M,$F75))</f>
        <v>-2.5272085070080399</v>
      </c>
      <c r="R75" s="12">
        <f>IF(INDEX(Results_Long!$N:$N,$F75)="","NA",INDEX(Results_Long!$N:$N,$F75))</f>
        <v>59.865216642516302</v>
      </c>
      <c r="S75" s="10">
        <f>IF(INDEX(Results_Long!$O:$O,$F75)="","NA",INDEX(Results_Long!$O:$O,$F75))</f>
        <v>1.41567268715441E-2</v>
      </c>
      <c r="T75" s="6" t="str">
        <f>IF(INDEX(Results_Long!$AG:$AG,$F75)="","NA",INDEX(Results_Long!$AG:$AG,$F75))</f>
        <v>NA</v>
      </c>
      <c r="U75" s="5" t="str">
        <f>IF(INDEX(Results_Long!$AJ:$AJ,$F75)="","NA",INDEX(Results_Long!$AJ:$AJ,$F75))</f>
        <v>cumulative 3L refit after adding study 'Duong et al (2025)' (median sample_mid = 2013.50); ordering: study-wise median sample_mid, ties alphabetical [DEC-045/H-Q17]; full display (CI band)</v>
      </c>
    </row>
    <row r="76" spans="1:21" ht="34.5" customHeight="1" x14ac:dyDescent="0.3">
      <c r="A76" s="6" t="s">
        <v>464</v>
      </c>
      <c r="B76" s="7" t="s">
        <v>277</v>
      </c>
      <c r="C76" s="7" t="s">
        <v>278</v>
      </c>
      <c r="D76" s="7" t="s">
        <v>465</v>
      </c>
      <c r="E76" s="7" t="s">
        <v>466</v>
      </c>
      <c r="F76" s="8">
        <f>SUMPRODUCT((Results_Long!$A$2:$A$178=$B76)*(Results_Long!$B$2:$B$178=$C76)*(Results_Long!$C$2:$C$178=$D76)*(Results_Long!$D$2:$D$178=$E76)*ROW(Results_Long!$A$2:$A$178))</f>
        <v>90</v>
      </c>
      <c r="G76" s="9">
        <f>IF(INDEX(Results_Long!$H:$H,$F76)="","NA",INDEX(Results_Long!$H:$H,$F76))</f>
        <v>1545</v>
      </c>
      <c r="H76" s="9">
        <f>IF(INDEX(Results_Long!$I:$I,$F76)="","NA",INDEX(Results_Long!$I:$I,$F76))</f>
        <v>63</v>
      </c>
      <c r="I76" s="9">
        <f>IF(INDEX(Results_Long!$J:$J,$F76)="","NA",INDEX(Results_Long!$J:$J,$F76))</f>
        <v>62</v>
      </c>
      <c r="J76" s="10">
        <f>IF(INDEX(Results_Long!$K:$K,$F76)="","NA",INDEX(Results_Long!$K:$K,$F76))</f>
        <v>-6.8732084866865301E-2</v>
      </c>
      <c r="K76" s="10">
        <f>IF(INDEX(Results_Long!$P:$P,$F76)="","NA",INDEX(Results_Long!$P:$P,$F76))</f>
        <v>-0.123125126148664</v>
      </c>
      <c r="L76" s="10">
        <f>IF(INDEX(Results_Long!$Q:$Q,$F76)="","NA",INDEX(Results_Long!$Q:$Q,$F76))</f>
        <v>-1.43390435850669E-2</v>
      </c>
      <c r="M76" s="10">
        <f>IF(INDEX(Results_Long!$T:$T,$F76)="","NA",INDEX(Results_Long!$T:$T,$F76))</f>
        <v>-6.8624056594438002E-2</v>
      </c>
      <c r="N76" s="10">
        <f>IF(INDEX(Results_Long!$U:$U,$F76)="","NA",INDEX(Results_Long!$U:$U,$F76))</f>
        <v>-0.12250669205228</v>
      </c>
      <c r="O76" s="10">
        <f>IF(INDEX(Results_Long!$V:$V,$F76)="","NA",INDEX(Results_Long!$V:$V,$F76))</f>
        <v>-1.43380609243759E-2</v>
      </c>
      <c r="P76" s="10">
        <f>IF(INDEX(Results_Long!$L:$L,$F76)="","NA",INDEX(Results_Long!$L:$L,$F76))</f>
        <v>2.7200419401892301E-2</v>
      </c>
      <c r="Q76" s="11">
        <f>IF(INDEX(Results_Long!$M:$M,$F76)="","NA",INDEX(Results_Long!$M:$M,$F76))</f>
        <v>-2.5268759224383102</v>
      </c>
      <c r="R76" s="12">
        <f>IF(INDEX(Results_Long!$N:$N,$F76)="","NA",INDEX(Results_Long!$N:$N,$F76))</f>
        <v>60.864935686458203</v>
      </c>
      <c r="S76" s="10">
        <f>IF(INDEX(Results_Long!$O:$O,$F76)="","NA",INDEX(Results_Long!$O:$O,$F76))</f>
        <v>1.4123444610779801E-2</v>
      </c>
      <c r="T76" s="6" t="str">
        <f>IF(INDEX(Results_Long!$AG:$AG,$F76)="","NA",INDEX(Results_Long!$AG:$AG,$F76))</f>
        <v>NA</v>
      </c>
      <c r="U76" s="5" t="str">
        <f>IF(INDEX(Results_Long!$AJ:$AJ,$F76)="","NA",INDEX(Results_Long!$AJ:$AJ,$F76))</f>
        <v>cumulative 3L refit after adding study 'Kim &amp; Pouget (2026)' (median sample_mid = 2013.50); ordering: study-wise median sample_mid, ties alphabetical [DEC-045/H-Q17]; full display (CI band)</v>
      </c>
    </row>
    <row r="77" spans="1:21" ht="34.5" customHeight="1" x14ac:dyDescent="0.3">
      <c r="A77" s="6" t="s">
        <v>467</v>
      </c>
      <c r="B77" s="7" t="s">
        <v>277</v>
      </c>
      <c r="C77" s="7" t="s">
        <v>278</v>
      </c>
      <c r="D77" s="7" t="s">
        <v>468</v>
      </c>
      <c r="E77" s="7" t="s">
        <v>469</v>
      </c>
      <c r="F77" s="8">
        <f>SUMPRODUCT((Results_Long!$A$2:$A$178=$B77)*(Results_Long!$B$2:$B$178=$C77)*(Results_Long!$C$2:$C$178=$D77)*(Results_Long!$D$2:$D$178=$E77)*ROW(Results_Long!$A$2:$A$178))</f>
        <v>91</v>
      </c>
      <c r="G77" s="9">
        <f>IF(INDEX(Results_Long!$H:$H,$F77)="","NA",INDEX(Results_Long!$H:$H,$F77))</f>
        <v>1565</v>
      </c>
      <c r="H77" s="9">
        <f>IF(INDEX(Results_Long!$I:$I,$F77)="","NA",INDEX(Results_Long!$I:$I,$F77))</f>
        <v>64</v>
      </c>
      <c r="I77" s="9">
        <f>IF(INDEX(Results_Long!$J:$J,$F77)="","NA",INDEX(Results_Long!$J:$J,$F77))</f>
        <v>63</v>
      </c>
      <c r="J77" s="10">
        <f>IF(INDEX(Results_Long!$K:$K,$F77)="","NA",INDEX(Results_Long!$K:$K,$F77))</f>
        <v>-6.8857113447950993E-2</v>
      </c>
      <c r="K77" s="10">
        <f>IF(INDEX(Results_Long!$P:$P,$F77)="","NA",INDEX(Results_Long!$P:$P,$F77))</f>
        <v>-0.122339939448882</v>
      </c>
      <c r="L77" s="10">
        <f>IF(INDEX(Results_Long!$Q:$Q,$F77)="","NA",INDEX(Results_Long!$Q:$Q,$F77))</f>
        <v>-1.5374287447020201E-2</v>
      </c>
      <c r="M77" s="10">
        <f>IF(INDEX(Results_Long!$T:$T,$F77)="","NA",INDEX(Results_Long!$T:$T,$F77))</f>
        <v>-6.8748495314956304E-2</v>
      </c>
      <c r="N77" s="10">
        <f>IF(INDEX(Results_Long!$U:$U,$F77)="","NA",INDEX(Results_Long!$U:$U,$F77))</f>
        <v>-0.121733215105525</v>
      </c>
      <c r="O77" s="10">
        <f>IF(INDEX(Results_Long!$V:$V,$F77)="","NA",INDEX(Results_Long!$V:$V,$F77))</f>
        <v>-1.53730762280177E-2</v>
      </c>
      <c r="P77" s="10">
        <f>IF(INDEX(Results_Long!$L:$L,$F77)="","NA",INDEX(Results_Long!$L:$L,$F77))</f>
        <v>2.67539905264952E-2</v>
      </c>
      <c r="Q77" s="11">
        <f>IF(INDEX(Results_Long!$M:$M,$F77)="","NA",INDEX(Results_Long!$M:$M,$F77))</f>
        <v>-2.5737137560753802</v>
      </c>
      <c r="R77" s="12">
        <f>IF(INDEX(Results_Long!$N:$N,$F77)="","NA",INDEX(Results_Long!$N:$N,$F77))</f>
        <v>61.862713698185502</v>
      </c>
      <c r="S77" s="10">
        <f>IF(INDEX(Results_Long!$O:$O,$F77)="","NA",INDEX(Results_Long!$O:$O,$F77))</f>
        <v>1.24714213647954E-2</v>
      </c>
      <c r="T77" s="6" t="str">
        <f>IF(INDEX(Results_Long!$AG:$AG,$F77)="","NA",INDEX(Results_Long!$AG:$AG,$F77))</f>
        <v>NA</v>
      </c>
      <c r="U77" s="5" t="str">
        <f>IF(INDEX(Results_Long!$AJ:$AJ,$F77)="","NA",INDEX(Results_Long!$AJ:$AJ,$F77))</f>
        <v>cumulative 3L refit after adding study 'Pizzutilo et al (2020)' (median sample_mid = 2013.50); ordering: study-wise median sample_mid, ties alphabetical [DEC-045/H-Q17]; full display (CI band)</v>
      </c>
    </row>
    <row r="78" spans="1:21" ht="34.5" customHeight="1" x14ac:dyDescent="0.3">
      <c r="A78" s="6" t="s">
        <v>470</v>
      </c>
      <c r="B78" s="7" t="s">
        <v>277</v>
      </c>
      <c r="C78" s="7" t="s">
        <v>278</v>
      </c>
      <c r="D78" s="7" t="s">
        <v>471</v>
      </c>
      <c r="E78" s="7" t="s">
        <v>472</v>
      </c>
      <c r="F78" s="8">
        <f>SUMPRODUCT((Results_Long!$A$2:$A$178=$B78)*(Results_Long!$B$2:$B$178=$C78)*(Results_Long!$C$2:$C$178=$D78)*(Results_Long!$D$2:$D$178=$E78)*ROW(Results_Long!$A$2:$A$178))</f>
        <v>92</v>
      </c>
      <c r="G78" s="9">
        <f>IF(INDEX(Results_Long!$H:$H,$F78)="","NA",INDEX(Results_Long!$H:$H,$F78))</f>
        <v>1573</v>
      </c>
      <c r="H78" s="9">
        <f>IF(INDEX(Results_Long!$I:$I,$F78)="","NA",INDEX(Results_Long!$I:$I,$F78))</f>
        <v>65</v>
      </c>
      <c r="I78" s="9">
        <f>IF(INDEX(Results_Long!$J:$J,$F78)="","NA",INDEX(Results_Long!$J:$J,$F78))</f>
        <v>64</v>
      </c>
      <c r="J78" s="10">
        <f>IF(INDEX(Results_Long!$K:$K,$F78)="","NA",INDEX(Results_Long!$K:$K,$F78))</f>
        <v>-6.7195587757049202E-2</v>
      </c>
      <c r="K78" s="10">
        <f>IF(INDEX(Results_Long!$P:$P,$F78)="","NA",INDEX(Results_Long!$P:$P,$F78))</f>
        <v>-0.119875120253241</v>
      </c>
      <c r="L78" s="10">
        <f>IF(INDEX(Results_Long!$Q:$Q,$F78)="","NA",INDEX(Results_Long!$Q:$Q,$F78))</f>
        <v>-1.4516055260857801E-2</v>
      </c>
      <c r="M78" s="10">
        <f>IF(INDEX(Results_Long!$T:$T,$F78)="","NA",INDEX(Results_Long!$T:$T,$F78))</f>
        <v>-6.7094635191113403E-2</v>
      </c>
      <c r="N78" s="10">
        <f>IF(INDEX(Results_Long!$U:$U,$F78)="","NA",INDEX(Results_Long!$U:$U,$F78))</f>
        <v>-0.11930419809713699</v>
      </c>
      <c r="O78" s="10">
        <f>IF(INDEX(Results_Long!$V:$V,$F78)="","NA",INDEX(Results_Long!$V:$V,$F78))</f>
        <v>-1.45150357590968E-2</v>
      </c>
      <c r="P78" s="10">
        <f>IF(INDEX(Results_Long!$L:$L,$F78)="","NA",INDEX(Results_Long!$L:$L,$F78))</f>
        <v>2.6360486794885701E-2</v>
      </c>
      <c r="Q78" s="11">
        <f>IF(INDEX(Results_Long!$M:$M,$F78)="","NA",INDEX(Results_Long!$M:$M,$F78))</f>
        <v>-2.5491026884255401</v>
      </c>
      <c r="R78" s="12">
        <f>IF(INDEX(Results_Long!$N:$N,$F78)="","NA",INDEX(Results_Long!$N:$N,$F78))</f>
        <v>62.8595810954711</v>
      </c>
      <c r="S78" s="10">
        <f>IF(INDEX(Results_Long!$O:$O,$F78)="","NA",INDEX(Results_Long!$O:$O,$F78))</f>
        <v>1.3253344395762701E-2</v>
      </c>
      <c r="T78" s="6" t="str">
        <f>IF(INDEX(Results_Long!$AG:$AG,$F78)="","NA",INDEX(Results_Long!$AG:$AG,$F78))</f>
        <v>NA</v>
      </c>
      <c r="U78" s="5" t="str">
        <f>IF(INDEX(Results_Long!$AJ:$AJ,$F78)="","NA",INDEX(Results_Long!$AJ:$AJ,$F78))</f>
        <v>cumulative 3L refit after adding study 'Srivisal et al (2021)' (median sample_mid = 2013.50); ordering: study-wise median sample_mid, ties alphabetical [DEC-045/H-Q17]; full display (CI band)</v>
      </c>
    </row>
    <row r="79" spans="1:21" ht="34.5" customHeight="1" x14ac:dyDescent="0.3">
      <c r="A79" s="6" t="s">
        <v>473</v>
      </c>
      <c r="B79" s="7" t="s">
        <v>277</v>
      </c>
      <c r="C79" s="7" t="s">
        <v>278</v>
      </c>
      <c r="D79" s="7" t="s">
        <v>474</v>
      </c>
      <c r="E79" s="7" t="s">
        <v>475</v>
      </c>
      <c r="F79" s="8">
        <f>SUMPRODUCT((Results_Long!$A$2:$A$178=$B79)*(Results_Long!$B$2:$B$178=$C79)*(Results_Long!$C$2:$C$178=$D79)*(Results_Long!$D$2:$D$178=$E79)*ROW(Results_Long!$A$2:$A$178))</f>
        <v>93</v>
      </c>
      <c r="G79" s="9">
        <f>IF(INDEX(Results_Long!$H:$H,$F79)="","NA",INDEX(Results_Long!$H:$H,$F79))</f>
        <v>1591</v>
      </c>
      <c r="H79" s="9">
        <f>IF(INDEX(Results_Long!$I:$I,$F79)="","NA",INDEX(Results_Long!$I:$I,$F79))</f>
        <v>66</v>
      </c>
      <c r="I79" s="9">
        <f>IF(INDEX(Results_Long!$J:$J,$F79)="","NA",INDEX(Results_Long!$J:$J,$F79))</f>
        <v>65</v>
      </c>
      <c r="J79" s="10">
        <f>IF(INDEX(Results_Long!$K:$K,$F79)="","NA",INDEX(Results_Long!$K:$K,$F79))</f>
        <v>-6.6370903135293896E-2</v>
      </c>
      <c r="K79" s="10">
        <f>IF(INDEX(Results_Long!$P:$P,$F79)="","NA",INDEX(Results_Long!$P:$P,$F79))</f>
        <v>-0.118202753217815</v>
      </c>
      <c r="L79" s="10">
        <f>IF(INDEX(Results_Long!$Q:$Q,$F79)="","NA",INDEX(Results_Long!$Q:$Q,$F79))</f>
        <v>-1.4539053052772701E-2</v>
      </c>
      <c r="M79" s="10">
        <f>IF(INDEX(Results_Long!$T:$T,$F79)="","NA",INDEX(Results_Long!$T:$T,$F79))</f>
        <v>-6.6273617801594395E-2</v>
      </c>
      <c r="N79" s="10">
        <f>IF(INDEX(Results_Long!$U:$U,$F79)="","NA",INDEX(Results_Long!$U:$U,$F79))</f>
        <v>-0.11765530723383601</v>
      </c>
      <c r="O79" s="10">
        <f>IF(INDEX(Results_Long!$V:$V,$F79)="","NA",INDEX(Results_Long!$V:$V,$F79))</f>
        <v>-1.45380286980134E-2</v>
      </c>
      <c r="P79" s="10">
        <f>IF(INDEX(Results_Long!$L:$L,$F79)="","NA",INDEX(Results_Long!$L:$L,$F79))</f>
        <v>2.5944255702149598E-2</v>
      </c>
      <c r="Q79" s="11">
        <f>IF(INDEX(Results_Long!$M:$M,$F79)="","NA",INDEX(Results_Long!$M:$M,$F79))</f>
        <v>-2.5582118792405599</v>
      </c>
      <c r="R79" s="12">
        <f>IF(INDEX(Results_Long!$N:$N,$F79)="","NA",INDEX(Results_Long!$N:$N,$F79))</f>
        <v>63.856637435898598</v>
      </c>
      <c r="S79" s="10">
        <f>IF(INDEX(Results_Long!$O:$O,$F79)="","NA",INDEX(Results_Long!$O:$O,$F79))</f>
        <v>1.29043268128472E-2</v>
      </c>
      <c r="T79" s="6" t="str">
        <f>IF(INDEX(Results_Long!$AG:$AG,$F79)="","NA",INDEX(Results_Long!$AG:$AG,$F79))</f>
        <v>NA</v>
      </c>
      <c r="U79" s="5" t="str">
        <f>IF(INDEX(Results_Long!$AJ:$AJ,$F79)="","NA",INDEX(Results_Long!$AJ:$AJ,$F79))</f>
        <v>cumulative 3L refit after adding study 'Sze et al (2021)' (median sample_mid = 2013.50); ordering: study-wise median sample_mid, ties alphabetical [DEC-045/H-Q17]; full display (CI band)</v>
      </c>
    </row>
    <row r="80" spans="1:21" ht="34.5" customHeight="1" x14ac:dyDescent="0.3">
      <c r="A80" s="6" t="s">
        <v>476</v>
      </c>
      <c r="B80" s="7" t="s">
        <v>277</v>
      </c>
      <c r="C80" s="7" t="s">
        <v>278</v>
      </c>
      <c r="D80" s="7" t="s">
        <v>477</v>
      </c>
      <c r="E80" s="7" t="s">
        <v>478</v>
      </c>
      <c r="F80" s="8">
        <f>SUMPRODUCT((Results_Long!$A$2:$A$178=$B80)*(Results_Long!$B$2:$B$178=$C80)*(Results_Long!$C$2:$C$178=$D80)*(Results_Long!$D$2:$D$178=$E80)*ROW(Results_Long!$A$2:$A$178))</f>
        <v>94</v>
      </c>
      <c r="G80" s="9">
        <f>IF(INDEX(Results_Long!$H:$H,$F80)="","NA",INDEX(Results_Long!$H:$H,$F80))</f>
        <v>1711</v>
      </c>
      <c r="H80" s="9">
        <f>IF(INDEX(Results_Long!$I:$I,$F80)="","NA",INDEX(Results_Long!$I:$I,$F80))</f>
        <v>67</v>
      </c>
      <c r="I80" s="9">
        <f>IF(INDEX(Results_Long!$J:$J,$F80)="","NA",INDEX(Results_Long!$J:$J,$F80))</f>
        <v>66</v>
      </c>
      <c r="J80" s="10">
        <f>IF(INDEX(Results_Long!$K:$K,$F80)="","NA",INDEX(Results_Long!$K:$K,$F80))</f>
        <v>-6.5637411068808604E-2</v>
      </c>
      <c r="K80" s="10">
        <f>IF(INDEX(Results_Long!$P:$P,$F80)="","NA",INDEX(Results_Long!$P:$P,$F80))</f>
        <v>-0.11695843057432601</v>
      </c>
      <c r="L80" s="10">
        <f>IF(INDEX(Results_Long!$Q:$Q,$F80)="","NA",INDEX(Results_Long!$Q:$Q,$F80))</f>
        <v>-1.43163915632916E-2</v>
      </c>
      <c r="M80" s="10">
        <f>IF(INDEX(Results_Long!$T:$T,$F80)="","NA",INDEX(Results_Long!$T:$T,$F80))</f>
        <v>-6.5543312003350396E-2</v>
      </c>
      <c r="N80" s="10">
        <f>IF(INDEX(Results_Long!$U:$U,$F80)="","NA",INDEX(Results_Long!$U:$U,$F80))</f>
        <v>-0.11642803042281</v>
      </c>
      <c r="O80" s="10">
        <f>IF(INDEX(Results_Long!$V:$V,$F80)="","NA",INDEX(Results_Long!$V:$V,$F80))</f>
        <v>-1.43154135520513E-2</v>
      </c>
      <c r="P80" s="10">
        <f>IF(INDEX(Results_Long!$L:$L,$F80)="","NA",INDEX(Results_Long!$L:$L,$F80))</f>
        <v>2.5696307782964899E-2</v>
      </c>
      <c r="Q80" s="11">
        <f>IF(INDEX(Results_Long!$M:$M,$F80)="","NA",INDEX(Results_Long!$M:$M,$F80))</f>
        <v>-2.5543518400850602</v>
      </c>
      <c r="R80" s="12">
        <f>IF(INDEX(Results_Long!$N:$N,$F80)="","NA",INDEX(Results_Long!$N:$N,$F80))</f>
        <v>64.870040794089107</v>
      </c>
      <c r="S80" s="10">
        <f>IF(INDEX(Results_Long!$O:$O,$F80)="","NA",INDEX(Results_Long!$O:$O,$F80))</f>
        <v>1.29956882040386E-2</v>
      </c>
      <c r="T80" s="6" t="str">
        <f>IF(INDEX(Results_Long!$AG:$AG,$F80)="","NA",INDEX(Results_Long!$AG:$AG,$F80))</f>
        <v>NA</v>
      </c>
      <c r="U80" s="5" t="str">
        <f>IF(INDEX(Results_Long!$AJ:$AJ,$F80)="","NA",INDEX(Results_Long!$AJ:$AJ,$F80))</f>
        <v>cumulative 3L refit after adding study 'Zhang et al (2023)' (median sample_mid = 2013.50); ordering: study-wise median sample_mid, ties alphabetical [DEC-045/H-Q17]; full display (CI band)</v>
      </c>
    </row>
    <row r="81" spans="1:21" ht="34.5" customHeight="1" x14ac:dyDescent="0.3">
      <c r="A81" s="6" t="s">
        <v>479</v>
      </c>
      <c r="B81" s="7" t="s">
        <v>277</v>
      </c>
      <c r="C81" s="7" t="s">
        <v>278</v>
      </c>
      <c r="D81" s="7" t="s">
        <v>480</v>
      </c>
      <c r="E81" s="7" t="s">
        <v>481</v>
      </c>
      <c r="F81" s="8">
        <f>SUMPRODUCT((Results_Long!$A$2:$A$178=$B81)*(Results_Long!$B$2:$B$178=$C81)*(Results_Long!$C$2:$C$178=$D81)*(Results_Long!$D$2:$D$178=$E81)*ROW(Results_Long!$A$2:$A$178))</f>
        <v>95</v>
      </c>
      <c r="G81" s="9">
        <f>IF(INDEX(Results_Long!$H:$H,$F81)="","NA",INDEX(Results_Long!$H:$H,$F81))</f>
        <v>1714</v>
      </c>
      <c r="H81" s="9">
        <f>IF(INDEX(Results_Long!$I:$I,$F81)="","NA",INDEX(Results_Long!$I:$I,$F81))</f>
        <v>68</v>
      </c>
      <c r="I81" s="9">
        <f>IF(INDEX(Results_Long!$J:$J,$F81)="","NA",INDEX(Results_Long!$J:$J,$F81))</f>
        <v>67</v>
      </c>
      <c r="J81" s="10">
        <f>IF(INDEX(Results_Long!$K:$K,$F81)="","NA",INDEX(Results_Long!$K:$K,$F81))</f>
        <v>-6.4009499935086797E-2</v>
      </c>
      <c r="K81" s="10">
        <f>IF(INDEX(Results_Long!$P:$P,$F81)="","NA",INDEX(Results_Long!$P:$P,$F81))</f>
        <v>-0.11467378592798</v>
      </c>
      <c r="L81" s="10">
        <f>IF(INDEX(Results_Long!$Q:$Q,$F81)="","NA",INDEX(Results_Long!$Q:$Q,$F81))</f>
        <v>-1.33452139421941E-2</v>
      </c>
      <c r="M81" s="10">
        <f>IF(INDEX(Results_Long!$T:$T,$F81)="","NA",INDEX(Results_Long!$T:$T,$F81))</f>
        <v>-6.39222227188984E-2</v>
      </c>
      <c r="N81" s="10">
        <f>IF(INDEX(Results_Long!$U:$U,$F81)="","NA",INDEX(Results_Long!$U:$U,$F81))</f>
        <v>-0.11417375953916301</v>
      </c>
      <c r="O81" s="10">
        <f>IF(INDEX(Results_Long!$V:$V,$F81)="","NA",INDEX(Results_Long!$V:$V,$F81))</f>
        <v>-1.33444217611798E-2</v>
      </c>
      <c r="P81" s="10">
        <f>IF(INDEX(Results_Long!$L:$L,$F81)="","NA",INDEX(Results_Long!$L:$L,$F81))</f>
        <v>2.5374728374943398E-2</v>
      </c>
      <c r="Q81" s="11">
        <f>IF(INDEX(Results_Long!$M:$M,$F81)="","NA",INDEX(Results_Long!$M:$M,$F81))</f>
        <v>-2.52256887203938</v>
      </c>
      <c r="R81" s="12">
        <f>IF(INDEX(Results_Long!$N:$N,$F81)="","NA",INDEX(Results_Long!$N:$N,$F81))</f>
        <v>65.860280375008202</v>
      </c>
      <c r="S81" s="10">
        <f>IF(INDEX(Results_Long!$O:$O,$F81)="","NA",INDEX(Results_Long!$O:$O,$F81))</f>
        <v>1.40740826330006E-2</v>
      </c>
      <c r="T81" s="6" t="str">
        <f>IF(INDEX(Results_Long!$AG:$AG,$F81)="","NA",INDEX(Results_Long!$AG:$AG,$F81))</f>
        <v>NA</v>
      </c>
      <c r="U81" s="5" t="str">
        <f>IF(INDEX(Results_Long!$AJ:$AJ,$F81)="","NA",INDEX(Results_Long!$AJ:$AJ,$F81))</f>
        <v>cumulative 3L refit after adding study 'Azmi et al (2021)' (median sample_mid = 2014.00); ordering: study-wise median sample_mid, ties alphabetical [DEC-045/H-Q17]; full display (CI band)</v>
      </c>
    </row>
    <row r="82" spans="1:21" ht="34.5" customHeight="1" x14ac:dyDescent="0.3">
      <c r="A82" s="6" t="s">
        <v>482</v>
      </c>
      <c r="B82" s="7" t="s">
        <v>277</v>
      </c>
      <c r="C82" s="7" t="s">
        <v>278</v>
      </c>
      <c r="D82" s="7" t="s">
        <v>483</v>
      </c>
      <c r="E82" s="7" t="s">
        <v>484</v>
      </c>
      <c r="F82" s="8">
        <f>SUMPRODUCT((Results_Long!$A$2:$A$178=$B82)*(Results_Long!$B$2:$B$178=$C82)*(Results_Long!$C$2:$C$178=$D82)*(Results_Long!$D$2:$D$178=$E82)*ROW(Results_Long!$A$2:$A$178))</f>
        <v>96</v>
      </c>
      <c r="G82" s="9">
        <f>IF(INDEX(Results_Long!$H:$H,$F82)="","NA",INDEX(Results_Long!$H:$H,$F82))</f>
        <v>1719</v>
      </c>
      <c r="H82" s="9">
        <f>IF(INDEX(Results_Long!$I:$I,$F82)="","NA",INDEX(Results_Long!$I:$I,$F82))</f>
        <v>69</v>
      </c>
      <c r="I82" s="9">
        <f>IF(INDEX(Results_Long!$J:$J,$F82)="","NA",INDEX(Results_Long!$J:$J,$F82))</f>
        <v>68</v>
      </c>
      <c r="J82" s="10">
        <f>IF(INDEX(Results_Long!$K:$K,$F82)="","NA",INDEX(Results_Long!$K:$K,$F82))</f>
        <v>-6.3001101344041702E-2</v>
      </c>
      <c r="K82" s="10">
        <f>IF(INDEX(Results_Long!$P:$P,$F82)="","NA",INDEX(Results_Long!$P:$P,$F82))</f>
        <v>-0.11290223564980301</v>
      </c>
      <c r="L82" s="10">
        <f>IF(INDEX(Results_Long!$Q:$Q,$F82)="","NA",INDEX(Results_Long!$Q:$Q,$F82))</f>
        <v>-1.3099967038280501E-2</v>
      </c>
      <c r="M82" s="10">
        <f>IF(INDEX(Results_Long!$T:$T,$F82)="","NA",INDEX(Results_Long!$T:$T,$F82))</f>
        <v>-6.2917880096905396E-2</v>
      </c>
      <c r="N82" s="10">
        <f>IF(INDEX(Results_Long!$U:$U,$F82)="","NA",INDEX(Results_Long!$U:$U,$F82))</f>
        <v>-0.11242495067314</v>
      </c>
      <c r="O82" s="10">
        <f>IF(INDEX(Results_Long!$V:$V,$F82)="","NA",INDEX(Results_Long!$V:$V,$F82))</f>
        <v>-1.3099217731705399E-2</v>
      </c>
      <c r="P82" s="10">
        <f>IF(INDEX(Results_Long!$L:$L,$F82)="","NA",INDEX(Results_Long!$L:$L,$F82))</f>
        <v>2.4999480233507201E-2</v>
      </c>
      <c r="Q82" s="11">
        <f>IF(INDEX(Results_Long!$M:$M,$F82)="","NA",INDEX(Results_Long!$M:$M,$F82))</f>
        <v>-2.5200964482293702</v>
      </c>
      <c r="R82" s="12">
        <f>IF(INDEX(Results_Long!$N:$N,$F82)="","NA",INDEX(Results_Long!$N:$N,$F82))</f>
        <v>66.856930191050694</v>
      </c>
      <c r="S82" s="10">
        <f>IF(INDEX(Results_Long!$O:$O,$F82)="","NA",INDEX(Results_Long!$O:$O,$F82))</f>
        <v>1.4126853430024299E-2</v>
      </c>
      <c r="T82" s="6" t="str">
        <f>IF(INDEX(Results_Long!$AG:$AG,$F82)="","NA",INDEX(Results_Long!$AG:$AG,$F82))</f>
        <v>NA</v>
      </c>
      <c r="U82" s="5" t="str">
        <f>IF(INDEX(Results_Long!$AJ:$AJ,$F82)="","NA",INDEX(Results_Long!$AJ:$AJ,$F82))</f>
        <v>cumulative 3L refit after adding study 'Borsuk &amp; Shrimali (2026)' (median sample_mid = 2014.00); ordering: study-wise median sample_mid, ties alphabetical [DEC-045/H-Q17]; full display (CI band)</v>
      </c>
    </row>
    <row r="83" spans="1:21" ht="34.5" customHeight="1" x14ac:dyDescent="0.3">
      <c r="A83" s="6" t="s">
        <v>485</v>
      </c>
      <c r="B83" s="7" t="s">
        <v>277</v>
      </c>
      <c r="C83" s="7" t="s">
        <v>278</v>
      </c>
      <c r="D83" s="7" t="s">
        <v>486</v>
      </c>
      <c r="E83" s="7" t="s">
        <v>487</v>
      </c>
      <c r="F83" s="8">
        <f>SUMPRODUCT((Results_Long!$A$2:$A$178=$B83)*(Results_Long!$B$2:$B$178=$C83)*(Results_Long!$C$2:$C$178=$D83)*(Results_Long!$D$2:$D$178=$E83)*ROW(Results_Long!$A$2:$A$178))</f>
        <v>97</v>
      </c>
      <c r="G83" s="9">
        <f>IF(INDEX(Results_Long!$H:$H,$F83)="","NA",INDEX(Results_Long!$H:$H,$F83))</f>
        <v>1754</v>
      </c>
      <c r="H83" s="9">
        <f>IF(INDEX(Results_Long!$I:$I,$F83)="","NA",INDEX(Results_Long!$I:$I,$F83))</f>
        <v>70</v>
      </c>
      <c r="I83" s="9">
        <f>IF(INDEX(Results_Long!$J:$J,$F83)="","NA",INDEX(Results_Long!$J:$J,$F83))</f>
        <v>69</v>
      </c>
      <c r="J83" s="10">
        <f>IF(INDEX(Results_Long!$K:$K,$F83)="","NA",INDEX(Results_Long!$K:$K,$F83))</f>
        <v>-6.2729049836605794E-2</v>
      </c>
      <c r="K83" s="10">
        <f>IF(INDEX(Results_Long!$P:$P,$F83)="","NA",INDEX(Results_Long!$P:$P,$F83))</f>
        <v>-0.111903450473692</v>
      </c>
      <c r="L83" s="10">
        <f>IF(INDEX(Results_Long!$Q:$Q,$F83)="","NA",INDEX(Results_Long!$Q:$Q,$F83))</f>
        <v>-1.3554649199519601E-2</v>
      </c>
      <c r="M83" s="10">
        <f>IF(INDEX(Results_Long!$T:$T,$F83)="","NA",INDEX(Results_Long!$T:$T,$F83))</f>
        <v>-6.2646900917151499E-2</v>
      </c>
      <c r="N83" s="10">
        <f>IF(INDEX(Results_Long!$U:$U,$F83)="","NA",INDEX(Results_Long!$U:$U,$F83))</f>
        <v>-0.111438679093081</v>
      </c>
      <c r="O83" s="10">
        <f>IF(INDEX(Results_Long!$V:$V,$F83)="","NA",INDEX(Results_Long!$V:$V,$F83))</f>
        <v>-1.3553819135332899E-2</v>
      </c>
      <c r="P83" s="10">
        <f>IF(INDEX(Results_Long!$L:$L,$F83)="","NA",INDEX(Results_Long!$L:$L,$F83))</f>
        <v>2.4642086518705201E-2</v>
      </c>
      <c r="Q83" s="11">
        <f>IF(INDEX(Results_Long!$M:$M,$F83)="","NA",INDEX(Results_Long!$M:$M,$F83))</f>
        <v>-2.5456062654836402</v>
      </c>
      <c r="R83" s="12">
        <f>IF(INDEX(Results_Long!$N:$N,$F83)="","NA",INDEX(Results_Long!$N:$N,$F83))</f>
        <v>67.856529609534505</v>
      </c>
      <c r="S83" s="10">
        <f>IF(INDEX(Results_Long!$O:$O,$F83)="","NA",INDEX(Results_Long!$O:$O,$F83))</f>
        <v>1.3185912642566199E-2</v>
      </c>
      <c r="T83" s="6" t="str">
        <f>IF(INDEX(Results_Long!$AG:$AG,$F83)="","NA",INDEX(Results_Long!$AG:$AG,$F83))</f>
        <v>NA</v>
      </c>
      <c r="U83" s="5" t="str">
        <f>IF(INDEX(Results_Long!$AJ:$AJ,$F83)="","NA",INDEX(Results_Long!$AJ:$AJ,$F83))</f>
        <v>cumulative 3L refit after adding study 'Christ et al (2022)' (median sample_mid = 2014.00); ordering: study-wise median sample_mid, ties alphabetical [DEC-045/H-Q17]; full display (CI band)</v>
      </c>
    </row>
    <row r="84" spans="1:21" ht="34.5" customHeight="1" x14ac:dyDescent="0.3">
      <c r="A84" s="6" t="s">
        <v>488</v>
      </c>
      <c r="B84" s="7" t="s">
        <v>277</v>
      </c>
      <c r="C84" s="7" t="s">
        <v>278</v>
      </c>
      <c r="D84" s="7" t="s">
        <v>489</v>
      </c>
      <c r="E84" s="7" t="s">
        <v>490</v>
      </c>
      <c r="F84" s="8">
        <f>SUMPRODUCT((Results_Long!$A$2:$A$178=$B84)*(Results_Long!$B$2:$B$178=$C84)*(Results_Long!$C$2:$C$178=$D84)*(Results_Long!$D$2:$D$178=$E84)*ROW(Results_Long!$A$2:$A$178))</f>
        <v>98</v>
      </c>
      <c r="G84" s="9">
        <f>IF(INDEX(Results_Long!$H:$H,$F84)="","NA",INDEX(Results_Long!$H:$H,$F84))</f>
        <v>1790</v>
      </c>
      <c r="H84" s="9">
        <f>IF(INDEX(Results_Long!$I:$I,$F84)="","NA",INDEX(Results_Long!$I:$I,$F84))</f>
        <v>71</v>
      </c>
      <c r="I84" s="9">
        <f>IF(INDEX(Results_Long!$J:$J,$F84)="","NA",INDEX(Results_Long!$J:$J,$F84))</f>
        <v>70</v>
      </c>
      <c r="J84" s="10">
        <f>IF(INDEX(Results_Long!$K:$K,$F84)="","NA",INDEX(Results_Long!$K:$K,$F84))</f>
        <v>-6.2107621986361501E-2</v>
      </c>
      <c r="K84" s="10">
        <f>IF(INDEX(Results_Long!$P:$P,$F84)="","NA",INDEX(Results_Long!$P:$P,$F84))</f>
        <v>-0.110598030625216</v>
      </c>
      <c r="L84" s="10">
        <f>IF(INDEX(Results_Long!$Q:$Q,$F84)="","NA",INDEX(Results_Long!$Q:$Q,$F84))</f>
        <v>-1.36172133475067E-2</v>
      </c>
      <c r="M84" s="10">
        <f>IF(INDEX(Results_Long!$T:$T,$F84)="","NA",INDEX(Results_Long!$T:$T,$F84))</f>
        <v>-6.2027887925076401E-2</v>
      </c>
      <c r="N84" s="10">
        <f>IF(INDEX(Results_Long!$U:$U,$F84)="","NA",INDEX(Results_Long!$U:$U,$F84))</f>
        <v>-0.110149283862987</v>
      </c>
      <c r="O84" s="10">
        <f>IF(INDEX(Results_Long!$V:$V,$F84)="","NA",INDEX(Results_Long!$V:$V,$F84))</f>
        <v>-1.3616371736784601E-2</v>
      </c>
      <c r="P84" s="10">
        <f>IF(INDEX(Results_Long!$L:$L,$F84)="","NA",INDEX(Results_Long!$L:$L,$F84))</f>
        <v>2.4305730801092499E-2</v>
      </c>
      <c r="Q84" s="11">
        <f>IF(INDEX(Results_Long!$M:$M,$F84)="","NA",INDEX(Results_Long!$M:$M,$F84))</f>
        <v>-2.5552665951344302</v>
      </c>
      <c r="R84" s="12">
        <f>IF(INDEX(Results_Long!$N:$N,$F84)="","NA",INDEX(Results_Long!$N:$N,$F84))</f>
        <v>68.856534510335194</v>
      </c>
      <c r="S84" s="10">
        <f>IF(INDEX(Results_Long!$O:$O,$F84)="","NA",INDEX(Results_Long!$O:$O,$F84))</f>
        <v>1.28235121339403E-2</v>
      </c>
      <c r="T84" s="6" t="str">
        <f>IF(INDEX(Results_Long!$AG:$AG,$F84)="","NA",INDEX(Results_Long!$AG:$AG,$F84))</f>
        <v>NA</v>
      </c>
      <c r="U84" s="5" t="str">
        <f>IF(INDEX(Results_Long!$AJ:$AJ,$F84)="","NA",INDEX(Results_Long!$AJ:$AJ,$F84))</f>
        <v>cumulative 3L refit after adding study 'Hui et al (2024)' (median sample_mid = 2014.00); ordering: study-wise median sample_mid, ties alphabetical [DEC-045/H-Q17]; full display (CI band)</v>
      </c>
    </row>
    <row r="85" spans="1:21" ht="34.5" customHeight="1" x14ac:dyDescent="0.3">
      <c r="A85" s="6" t="s">
        <v>491</v>
      </c>
      <c r="B85" s="7" t="s">
        <v>277</v>
      </c>
      <c r="C85" s="7" t="s">
        <v>278</v>
      </c>
      <c r="D85" s="7" t="s">
        <v>492</v>
      </c>
      <c r="E85" s="7" t="s">
        <v>493</v>
      </c>
      <c r="F85" s="8">
        <f>SUMPRODUCT((Results_Long!$A$2:$A$178=$B85)*(Results_Long!$B$2:$B$178=$C85)*(Results_Long!$C$2:$C$178=$D85)*(Results_Long!$D$2:$D$178=$E85)*ROW(Results_Long!$A$2:$A$178))</f>
        <v>99</v>
      </c>
      <c r="G85" s="9">
        <f>IF(INDEX(Results_Long!$H:$H,$F85)="","NA",INDEX(Results_Long!$H:$H,$F85))</f>
        <v>1844</v>
      </c>
      <c r="H85" s="9">
        <f>IF(INDEX(Results_Long!$I:$I,$F85)="","NA",INDEX(Results_Long!$I:$I,$F85))</f>
        <v>72</v>
      </c>
      <c r="I85" s="9">
        <f>IF(INDEX(Results_Long!$J:$J,$F85)="","NA",INDEX(Results_Long!$J:$J,$F85))</f>
        <v>71</v>
      </c>
      <c r="J85" s="10">
        <f>IF(INDEX(Results_Long!$K:$K,$F85)="","NA",INDEX(Results_Long!$K:$K,$F85))</f>
        <v>-6.1151028182419902E-2</v>
      </c>
      <c r="K85" s="10">
        <f>IF(INDEX(Results_Long!$P:$P,$F85)="","NA",INDEX(Results_Long!$P:$P,$F85))</f>
        <v>-0.10905413459046499</v>
      </c>
      <c r="L85" s="10">
        <f>IF(INDEX(Results_Long!$Q:$Q,$F85)="","NA",INDEX(Results_Long!$Q:$Q,$F85))</f>
        <v>-1.32479217743749E-2</v>
      </c>
      <c r="M85" s="10">
        <f>IF(INDEX(Results_Long!$T:$T,$F85)="","NA",INDEX(Results_Long!$T:$T,$F85))</f>
        <v>-6.10749183222178E-2</v>
      </c>
      <c r="N85" s="10">
        <f>IF(INDEX(Results_Long!$U:$U,$F85)="","NA",INDEX(Results_Long!$U:$U,$F85))</f>
        <v>-0.10862386151013299</v>
      </c>
      <c r="O85" s="10">
        <f>IF(INDEX(Results_Long!$V:$V,$F85)="","NA",INDEX(Results_Long!$V:$V,$F85))</f>
        <v>-1.32471467925405E-2</v>
      </c>
      <c r="P85" s="10">
        <f>IF(INDEX(Results_Long!$L:$L,$F85)="","NA",INDEX(Results_Long!$L:$L,$F85))</f>
        <v>2.4017510580892899E-2</v>
      </c>
      <c r="Q85" s="11">
        <f>IF(INDEX(Results_Long!$M:$M,$F85)="","NA",INDEX(Results_Long!$M:$M,$F85))</f>
        <v>-2.5461018524987602</v>
      </c>
      <c r="R85" s="12">
        <f>IF(INDEX(Results_Long!$N:$N,$F85)="","NA",INDEX(Results_Long!$N:$N,$F85))</f>
        <v>69.859649998599707</v>
      </c>
      <c r="S85" s="10">
        <f>IF(INDEX(Results_Long!$O:$O,$F85)="","NA",INDEX(Results_Long!$O:$O,$F85))</f>
        <v>1.3101324615926601E-2</v>
      </c>
      <c r="T85" s="6" t="str">
        <f>IF(INDEX(Results_Long!$AG:$AG,$F85)="","NA",INDEX(Results_Long!$AG:$AG,$F85))</f>
        <v>NA</v>
      </c>
      <c r="U85" s="5" t="str">
        <f>IF(INDEX(Results_Long!$AJ:$AJ,$F85)="","NA",INDEX(Results_Long!$AJ:$AJ,$F85))</f>
        <v>cumulative 3L refit after adding study 'Kölbel et al (2020)' (median sample_mid = 2014.00); ordering: study-wise median sample_mid, ties alphabetical [DEC-045/H-Q17]; full display (CI band)</v>
      </c>
    </row>
    <row r="86" spans="1:21" ht="34.5" customHeight="1" x14ac:dyDescent="0.3">
      <c r="A86" s="6" t="s">
        <v>494</v>
      </c>
      <c r="B86" s="7" t="s">
        <v>277</v>
      </c>
      <c r="C86" s="7" t="s">
        <v>278</v>
      </c>
      <c r="D86" s="7" t="s">
        <v>495</v>
      </c>
      <c r="E86" s="7" t="s">
        <v>496</v>
      </c>
      <c r="F86" s="8">
        <f>SUMPRODUCT((Results_Long!$A$2:$A$178=$B86)*(Results_Long!$B$2:$B$178=$C86)*(Results_Long!$C$2:$C$178=$D86)*(Results_Long!$D$2:$D$178=$E86)*ROW(Results_Long!$A$2:$A$178))</f>
        <v>100</v>
      </c>
      <c r="G86" s="9">
        <f>IF(INDEX(Results_Long!$H:$H,$F86)="","NA",INDEX(Results_Long!$H:$H,$F86))</f>
        <v>1858</v>
      </c>
      <c r="H86" s="9">
        <f>IF(INDEX(Results_Long!$I:$I,$F86)="","NA",INDEX(Results_Long!$I:$I,$F86))</f>
        <v>73</v>
      </c>
      <c r="I86" s="9">
        <f>IF(INDEX(Results_Long!$J:$J,$F86)="","NA",INDEX(Results_Long!$J:$J,$F86))</f>
        <v>72</v>
      </c>
      <c r="J86" s="10">
        <f>IF(INDEX(Results_Long!$K:$K,$F86)="","NA",INDEX(Results_Long!$K:$K,$F86))</f>
        <v>-6.0786376629729001E-2</v>
      </c>
      <c r="K86" s="10">
        <f>IF(INDEX(Results_Long!$P:$P,$F86)="","NA",INDEX(Results_Long!$P:$P,$F86))</f>
        <v>-0.107983176705175</v>
      </c>
      <c r="L86" s="10">
        <f>IF(INDEX(Results_Long!$Q:$Q,$F86)="","NA",INDEX(Results_Long!$Q:$Q,$F86))</f>
        <v>-1.3589576554283E-2</v>
      </c>
      <c r="M86" s="10">
        <f>IF(INDEX(Results_Long!$T:$T,$F86)="","NA",INDEX(Results_Long!$T:$T,$F86))</f>
        <v>-6.0711618897967203E-2</v>
      </c>
      <c r="N86" s="10">
        <f>IF(INDEX(Results_Long!$U:$U,$F86)="","NA",INDEX(Results_Long!$U:$U,$F86))</f>
        <v>-0.107565417284559</v>
      </c>
      <c r="O86" s="10">
        <f>IF(INDEX(Results_Long!$V:$V,$F86)="","NA",INDEX(Results_Long!$V:$V,$F86))</f>
        <v>-1.3588740057185401E-2</v>
      </c>
      <c r="P86" s="10">
        <f>IF(INDEX(Results_Long!$L:$L,$F86)="","NA",INDEX(Results_Long!$L:$L,$F86))</f>
        <v>2.3669251493213601E-2</v>
      </c>
      <c r="Q86" s="11">
        <f>IF(INDEX(Results_Long!$M:$M,$F86)="","NA",INDEX(Results_Long!$M:$M,$F86))</f>
        <v>-2.5681579600080502</v>
      </c>
      <c r="R86" s="12">
        <f>IF(INDEX(Results_Long!$N:$N,$F86)="","NA",INDEX(Results_Long!$N:$N,$F86))</f>
        <v>70.856791154230606</v>
      </c>
      <c r="S86" s="10">
        <f>IF(INDEX(Results_Long!$O:$O,$F86)="","NA",INDEX(Results_Long!$O:$O,$F86))</f>
        <v>1.23335540246349E-2</v>
      </c>
      <c r="T86" s="6" t="str">
        <f>IF(INDEX(Results_Long!$AG:$AG,$F86)="","NA",INDEX(Results_Long!$AG:$AG,$F86))</f>
        <v>NA</v>
      </c>
      <c r="U86" s="5" t="str">
        <f>IF(INDEX(Results_Long!$AJ:$AJ,$F86)="","NA",INDEX(Results_Long!$AJ:$AJ,$F86))</f>
        <v>cumulative 3L refit after adding study 'Ma et al (2022)' (median sample_mid = 2014.00); ordering: study-wise median sample_mid, ties alphabetical [DEC-045/H-Q17]; full display (CI band)</v>
      </c>
    </row>
    <row r="87" spans="1:21" ht="34.5" customHeight="1" x14ac:dyDescent="0.3">
      <c r="A87" s="6" t="s">
        <v>497</v>
      </c>
      <c r="B87" s="7" t="s">
        <v>277</v>
      </c>
      <c r="C87" s="7" t="s">
        <v>278</v>
      </c>
      <c r="D87" s="7" t="s">
        <v>498</v>
      </c>
      <c r="E87" s="7" t="s">
        <v>499</v>
      </c>
      <c r="F87" s="8">
        <f>SUMPRODUCT((Results_Long!$A$2:$A$178=$B87)*(Results_Long!$B$2:$B$178=$C87)*(Results_Long!$C$2:$C$178=$D87)*(Results_Long!$D$2:$D$178=$E87)*ROW(Results_Long!$A$2:$A$178))</f>
        <v>101</v>
      </c>
      <c r="G87" s="9">
        <f>IF(INDEX(Results_Long!$H:$H,$F87)="","NA",INDEX(Results_Long!$H:$H,$F87))</f>
        <v>1894</v>
      </c>
      <c r="H87" s="9">
        <f>IF(INDEX(Results_Long!$I:$I,$F87)="","NA",INDEX(Results_Long!$I:$I,$F87))</f>
        <v>74</v>
      </c>
      <c r="I87" s="9">
        <f>IF(INDEX(Results_Long!$J:$J,$F87)="","NA",INDEX(Results_Long!$J:$J,$F87))</f>
        <v>73</v>
      </c>
      <c r="J87" s="10">
        <f>IF(INDEX(Results_Long!$K:$K,$F87)="","NA",INDEX(Results_Long!$K:$K,$F87))</f>
        <v>-6.0108255557374098E-2</v>
      </c>
      <c r="K87" s="10">
        <f>IF(INDEX(Results_Long!$P:$P,$F87)="","NA",INDEX(Results_Long!$P:$P,$F87))</f>
        <v>-0.10651607720846699</v>
      </c>
      <c r="L87" s="10">
        <f>IF(INDEX(Results_Long!$Q:$Q,$F87)="","NA",INDEX(Results_Long!$Q:$Q,$F87))</f>
        <v>-1.37004339062814E-2</v>
      </c>
      <c r="M87" s="10">
        <f>IF(INDEX(Results_Long!$T:$T,$F87)="","NA",INDEX(Results_Long!$T:$T,$F87))</f>
        <v>-6.0035969599726603E-2</v>
      </c>
      <c r="N87" s="10">
        <f>IF(INDEX(Results_Long!$U:$U,$F87)="","NA",INDEX(Results_Long!$U:$U,$F87))</f>
        <v>-0.106115064758669</v>
      </c>
      <c r="O87" s="10">
        <f>IF(INDEX(Results_Long!$V:$V,$F87)="","NA",INDEX(Results_Long!$V:$V,$F87))</f>
        <v>-1.36995767715265E-2</v>
      </c>
      <c r="P87" s="10">
        <f>IF(INDEX(Results_Long!$L:$L,$F87)="","NA",INDEX(Results_Long!$L:$L,$F87))</f>
        <v>2.3279148540945701E-2</v>
      </c>
      <c r="Q87" s="11">
        <f>IF(INDEX(Results_Long!$M:$M,$F87)="","NA",INDEX(Results_Long!$M:$M,$F87))</f>
        <v>-2.582064178664</v>
      </c>
      <c r="R87" s="12">
        <f>IF(INDEX(Results_Long!$N:$N,$F87)="","NA",INDEX(Results_Long!$N:$N,$F87))</f>
        <v>71.847113870424295</v>
      </c>
      <c r="S87" s="10">
        <f>IF(INDEX(Results_Long!$O:$O,$F87)="","NA",INDEX(Results_Long!$O:$O,$F87))</f>
        <v>1.18596493882659E-2</v>
      </c>
      <c r="T87" s="6" t="str">
        <f>IF(INDEX(Results_Long!$AG:$AG,$F87)="","NA",INDEX(Results_Long!$AG:$AG,$F87))</f>
        <v>NA</v>
      </c>
      <c r="U87" s="5" t="str">
        <f>IF(INDEX(Results_Long!$AJ:$AJ,$F87)="","NA",INDEX(Results_Long!$AJ:$AJ,$F87))</f>
        <v>cumulative 3L refit after adding study 'Palea, Drogo (2020)' (median sample_mid = 2014.00); ordering: study-wise median sample_mid, ties alphabetical [DEC-045/H-Q17]; full display (CI band)</v>
      </c>
    </row>
    <row r="88" spans="1:21" ht="34.5" customHeight="1" x14ac:dyDescent="0.3">
      <c r="A88" s="6" t="s">
        <v>500</v>
      </c>
      <c r="B88" s="7" t="s">
        <v>277</v>
      </c>
      <c r="C88" s="7" t="s">
        <v>278</v>
      </c>
      <c r="D88" s="7" t="s">
        <v>501</v>
      </c>
      <c r="E88" s="7" t="s">
        <v>502</v>
      </c>
      <c r="F88" s="8">
        <f>SUMPRODUCT((Results_Long!$A$2:$A$178=$B88)*(Results_Long!$B$2:$B$178=$C88)*(Results_Long!$C$2:$C$178=$D88)*(Results_Long!$D$2:$D$178=$E88)*ROW(Results_Long!$A$2:$A$178))</f>
        <v>102</v>
      </c>
      <c r="G88" s="9">
        <f>IF(INDEX(Results_Long!$H:$H,$F88)="","NA",INDEX(Results_Long!$H:$H,$F88))</f>
        <v>1898</v>
      </c>
      <c r="H88" s="9">
        <f>IF(INDEX(Results_Long!$I:$I,$F88)="","NA",INDEX(Results_Long!$I:$I,$F88))</f>
        <v>75</v>
      </c>
      <c r="I88" s="9">
        <f>IF(INDEX(Results_Long!$J:$J,$F88)="","NA",INDEX(Results_Long!$J:$J,$F88))</f>
        <v>74</v>
      </c>
      <c r="J88" s="10">
        <f>IF(INDEX(Results_Long!$K:$K,$F88)="","NA",INDEX(Results_Long!$K:$K,$F88))</f>
        <v>-5.8889370512563897E-2</v>
      </c>
      <c r="K88" s="10">
        <f>IF(INDEX(Results_Long!$P:$P,$F88)="","NA",INDEX(Results_Long!$P:$P,$F88))</f>
        <v>-0.10462048486796401</v>
      </c>
      <c r="L88" s="10">
        <f>IF(INDEX(Results_Long!$Q:$Q,$F88)="","NA",INDEX(Results_Long!$Q:$Q,$F88))</f>
        <v>-1.3158256157163499E-2</v>
      </c>
      <c r="M88" s="10">
        <f>IF(INDEX(Results_Long!$T:$T,$F88)="","NA",INDEX(Results_Long!$T:$T,$F88))</f>
        <v>-5.8821389526024503E-2</v>
      </c>
      <c r="N88" s="10">
        <f>IF(INDEX(Results_Long!$U:$U,$F88)="","NA",INDEX(Results_Long!$U:$U,$F88))</f>
        <v>-0.104240442722791</v>
      </c>
      <c r="O88" s="10">
        <f>IF(INDEX(Results_Long!$V:$V,$F88)="","NA",INDEX(Results_Long!$V:$V,$F88))</f>
        <v>-1.31574968042229E-2</v>
      </c>
      <c r="P88" s="10">
        <f>IF(INDEX(Results_Long!$L:$L,$F88)="","NA",INDEX(Results_Long!$L:$L,$F88))</f>
        <v>2.2945048606305599E-2</v>
      </c>
      <c r="Q88" s="11">
        <f>IF(INDEX(Results_Long!$M:$M,$F88)="","NA",INDEX(Results_Long!$M:$M,$F88))</f>
        <v>-2.5665393664226301</v>
      </c>
      <c r="R88" s="12">
        <f>IF(INDEX(Results_Long!$N:$N,$F88)="","NA",INDEX(Results_Long!$N:$N,$F88))</f>
        <v>72.839424544320295</v>
      </c>
      <c r="S88" s="10">
        <f>IF(INDEX(Results_Long!$O:$O,$F88)="","NA",INDEX(Results_Long!$O:$O,$F88))</f>
        <v>1.2326639815594599E-2</v>
      </c>
      <c r="T88" s="6" t="str">
        <f>IF(INDEX(Results_Long!$AG:$AG,$F88)="","NA",INDEX(Results_Long!$AG:$AG,$F88))</f>
        <v>NA</v>
      </c>
      <c r="U88" s="5" t="str">
        <f>IF(INDEX(Results_Long!$AJ:$AJ,$F88)="","NA",INDEX(Results_Long!$AJ:$AJ,$F88))</f>
        <v>cumulative 3L refit after adding study 'Yilmaz (2022)' (median sample_mid = 2014.00); ordering: study-wise median sample_mid, ties alphabetical [DEC-045/H-Q17]; full display (CI band)</v>
      </c>
    </row>
    <row r="89" spans="1:21" ht="34.5" customHeight="1" x14ac:dyDescent="0.3">
      <c r="A89" s="6" t="s">
        <v>503</v>
      </c>
      <c r="B89" s="7" t="s">
        <v>277</v>
      </c>
      <c r="C89" s="7" t="s">
        <v>278</v>
      </c>
      <c r="D89" s="7" t="s">
        <v>504</v>
      </c>
      <c r="E89" s="7" t="s">
        <v>505</v>
      </c>
      <c r="F89" s="8">
        <f>SUMPRODUCT((Results_Long!$A$2:$A$178=$B89)*(Results_Long!$B$2:$B$178=$C89)*(Results_Long!$C$2:$C$178=$D89)*(Results_Long!$D$2:$D$178=$E89)*ROW(Results_Long!$A$2:$A$178))</f>
        <v>103</v>
      </c>
      <c r="G89" s="9">
        <f>IF(INDEX(Results_Long!$H:$H,$F89)="","NA",INDEX(Results_Long!$H:$H,$F89))</f>
        <v>1926</v>
      </c>
      <c r="H89" s="9">
        <f>IF(INDEX(Results_Long!$I:$I,$F89)="","NA",INDEX(Results_Long!$I:$I,$F89))</f>
        <v>76</v>
      </c>
      <c r="I89" s="9">
        <f>IF(INDEX(Results_Long!$J:$J,$F89)="","NA",INDEX(Results_Long!$J:$J,$F89))</f>
        <v>75</v>
      </c>
      <c r="J89" s="10">
        <f>IF(INDEX(Results_Long!$K:$K,$F89)="","NA",INDEX(Results_Long!$K:$K,$F89))</f>
        <v>-5.8339034599167901E-2</v>
      </c>
      <c r="K89" s="10">
        <f>IF(INDEX(Results_Long!$P:$P,$F89)="","NA",INDEX(Results_Long!$P:$P,$F89))</f>
        <v>-0.10346074613885201</v>
      </c>
      <c r="L89" s="10">
        <f>IF(INDEX(Results_Long!$Q:$Q,$F89)="","NA",INDEX(Results_Long!$Q:$Q,$F89))</f>
        <v>-1.32173230594842E-2</v>
      </c>
      <c r="M89" s="10">
        <f>IF(INDEX(Results_Long!$T:$T,$F89)="","NA",INDEX(Results_Long!$T:$T,$F89))</f>
        <v>-5.8272940051824901E-2</v>
      </c>
      <c r="N89" s="10">
        <f>IF(INDEX(Results_Long!$U:$U,$F89)="","NA",INDEX(Results_Long!$U:$U,$F89))</f>
        <v>-0.10309316761411901</v>
      </c>
      <c r="O89" s="10">
        <f>IF(INDEX(Results_Long!$V:$V,$F89)="","NA",INDEX(Results_Long!$V:$V,$F89))</f>
        <v>-1.3216553434932001E-2</v>
      </c>
      <c r="P89" s="10">
        <f>IF(INDEX(Results_Long!$L:$L,$F89)="","NA",INDEX(Results_Long!$L:$L,$F89))</f>
        <v>2.26444592342342E-2</v>
      </c>
      <c r="Q89" s="11">
        <f>IF(INDEX(Results_Long!$M:$M,$F89)="","NA",INDEX(Results_Long!$M:$M,$F89))</f>
        <v>-2.5763050464446602</v>
      </c>
      <c r="R89" s="12">
        <f>IF(INDEX(Results_Long!$N:$N,$F89)="","NA",INDEX(Results_Long!$N:$N,$F89))</f>
        <v>73.8383260052575</v>
      </c>
      <c r="S89" s="10">
        <f>IF(INDEX(Results_Long!$O:$O,$F89)="","NA",INDEX(Results_Long!$O:$O,$F89))</f>
        <v>1.1984230685169499E-2</v>
      </c>
      <c r="T89" s="6" t="str">
        <f>IF(INDEX(Results_Long!$AG:$AG,$F89)="","NA",INDEX(Results_Long!$AG:$AG,$F89))</f>
        <v>NA</v>
      </c>
      <c r="U89" s="5" t="str">
        <f>IF(INDEX(Results_Long!$AJ:$AJ,$F89)="","NA",INDEX(Results_Long!$AJ:$AJ,$F89))</f>
        <v>cumulative 3L refit after adding study 'Zhu, Zhao (2022)' (median sample_mid = 2014.00); ordering: study-wise median sample_mid, ties alphabetical [DEC-045/H-Q17]; full display (CI band)</v>
      </c>
    </row>
    <row r="90" spans="1:21" ht="34.5" customHeight="1" x14ac:dyDescent="0.3">
      <c r="A90" s="6" t="s">
        <v>506</v>
      </c>
      <c r="B90" s="7" t="s">
        <v>277</v>
      </c>
      <c r="C90" s="7" t="s">
        <v>278</v>
      </c>
      <c r="D90" s="7" t="s">
        <v>507</v>
      </c>
      <c r="E90" s="7" t="s">
        <v>508</v>
      </c>
      <c r="F90" s="8">
        <f>SUMPRODUCT((Results_Long!$A$2:$A$178=$B90)*(Results_Long!$B$2:$B$178=$C90)*(Results_Long!$C$2:$C$178=$D90)*(Results_Long!$D$2:$D$178=$E90)*ROW(Results_Long!$A$2:$A$178))</f>
        <v>104</v>
      </c>
      <c r="G90" s="9">
        <f>IF(INDEX(Results_Long!$H:$H,$F90)="","NA",INDEX(Results_Long!$H:$H,$F90))</f>
        <v>1928</v>
      </c>
      <c r="H90" s="9">
        <f>IF(INDEX(Results_Long!$I:$I,$F90)="","NA",INDEX(Results_Long!$I:$I,$F90))</f>
        <v>77</v>
      </c>
      <c r="I90" s="9">
        <f>IF(INDEX(Results_Long!$J:$J,$F90)="","NA",INDEX(Results_Long!$J:$J,$F90))</f>
        <v>76</v>
      </c>
      <c r="J90" s="10">
        <f>IF(INDEX(Results_Long!$K:$K,$F90)="","NA",INDEX(Results_Long!$K:$K,$F90))</f>
        <v>-5.8658158471273897E-2</v>
      </c>
      <c r="K90" s="10">
        <f>IF(INDEX(Results_Long!$P:$P,$F90)="","NA",INDEX(Results_Long!$P:$P,$F90))</f>
        <v>-0.103180361003162</v>
      </c>
      <c r="L90" s="10">
        <f>IF(INDEX(Results_Long!$Q:$Q,$F90)="","NA",INDEX(Results_Long!$Q:$Q,$F90))</f>
        <v>-1.41359559393854E-2</v>
      </c>
      <c r="M90" s="10">
        <f>IF(INDEX(Results_Long!$T:$T,$F90)="","NA",INDEX(Results_Long!$T:$T,$F90))</f>
        <v>-5.8590974338603101E-2</v>
      </c>
      <c r="N90" s="10">
        <f>IF(INDEX(Results_Long!$U:$U,$F90)="","NA",INDEX(Results_Long!$U:$U,$F90))</f>
        <v>-0.10281575445648999</v>
      </c>
      <c r="O90" s="10">
        <f>IF(INDEX(Results_Long!$V:$V,$F90)="","NA",INDEX(Results_Long!$V:$V,$F90))</f>
        <v>-1.41350144409947E-2</v>
      </c>
      <c r="P90" s="10">
        <f>IF(INDEX(Results_Long!$L:$L,$F90)="","NA",INDEX(Results_Long!$L:$L,$F90))</f>
        <v>2.2348522804318899E-2</v>
      </c>
      <c r="Q90" s="11">
        <f>IF(INDEX(Results_Long!$M:$M,$F90)="","NA",INDEX(Results_Long!$M:$M,$F90))</f>
        <v>-2.6246995823785801</v>
      </c>
      <c r="R90" s="12">
        <f>IF(INDEX(Results_Long!$N:$N,$F90)="","NA",INDEX(Results_Long!$N:$N,$F90))</f>
        <v>74.829565716043405</v>
      </c>
      <c r="S90" s="10">
        <f>IF(INDEX(Results_Long!$O:$O,$F90)="","NA",INDEX(Results_Long!$O:$O,$F90))</f>
        <v>1.05085846756176E-2</v>
      </c>
      <c r="T90" s="6" t="str">
        <f>IF(INDEX(Results_Long!$AG:$AG,$F90)="","NA",INDEX(Results_Long!$AG:$AG,$F90))</f>
        <v>NA</v>
      </c>
      <c r="U90" s="5" t="str">
        <f>IF(INDEX(Results_Long!$AJ:$AJ,$F90)="","NA",INDEX(Results_Long!$AJ:$AJ,$F90))</f>
        <v>cumulative 3L refit after adding study 'Apergis et al (2022)' (median sample_mid = 2014.50); ordering: study-wise median sample_mid, ties alphabetical [DEC-045/H-Q17]; full display (CI band)</v>
      </c>
    </row>
    <row r="91" spans="1:21" ht="34.5" customHeight="1" x14ac:dyDescent="0.3">
      <c r="A91" s="6" t="s">
        <v>509</v>
      </c>
      <c r="B91" s="7" t="s">
        <v>277</v>
      </c>
      <c r="C91" s="7" t="s">
        <v>278</v>
      </c>
      <c r="D91" s="7" t="s">
        <v>510</v>
      </c>
      <c r="E91" s="7" t="s">
        <v>511</v>
      </c>
      <c r="F91" s="8">
        <f>SUMPRODUCT((Results_Long!$A$2:$A$178=$B91)*(Results_Long!$B$2:$B$178=$C91)*(Results_Long!$C$2:$C$178=$D91)*(Results_Long!$D$2:$D$178=$E91)*ROW(Results_Long!$A$2:$A$178))</f>
        <v>105</v>
      </c>
      <c r="G91" s="9">
        <f>IF(INDEX(Results_Long!$H:$H,$F91)="","NA",INDEX(Results_Long!$H:$H,$F91))</f>
        <v>1936</v>
      </c>
      <c r="H91" s="9">
        <f>IF(INDEX(Results_Long!$I:$I,$F91)="","NA",INDEX(Results_Long!$I:$I,$F91))</f>
        <v>78</v>
      </c>
      <c r="I91" s="9">
        <f>IF(INDEX(Results_Long!$J:$J,$F91)="","NA",INDEX(Results_Long!$J:$J,$F91))</f>
        <v>77</v>
      </c>
      <c r="J91" s="10">
        <f>IF(INDEX(Results_Long!$K:$K,$F91)="","NA",INDEX(Results_Long!$K:$K,$F91))</f>
        <v>-6.1712020063674801E-2</v>
      </c>
      <c r="K91" s="10">
        <f>IF(INDEX(Results_Long!$P:$P,$F91)="","NA",INDEX(Results_Long!$P:$P,$F91))</f>
        <v>-0.10289488454005399</v>
      </c>
      <c r="L91" s="10">
        <f>IF(INDEX(Results_Long!$Q:$Q,$F91)="","NA",INDEX(Results_Long!$Q:$Q,$F91))</f>
        <v>-2.0529155587295098E-2</v>
      </c>
      <c r="M91" s="10">
        <f>IF(INDEX(Results_Long!$T:$T,$F91)="","NA",INDEX(Results_Long!$T:$T,$F91))</f>
        <v>-6.1633798414771603E-2</v>
      </c>
      <c r="N91" s="10">
        <f>IF(INDEX(Results_Long!$U:$U,$F91)="","NA",INDEX(Results_Long!$U:$U,$F91))</f>
        <v>-0.102533287504581</v>
      </c>
      <c r="O91" s="10">
        <f>IF(INDEX(Results_Long!$V:$V,$F91)="","NA",INDEX(Results_Long!$V:$V,$F91))</f>
        <v>-2.0526272094985799E-2</v>
      </c>
      <c r="P91" s="10">
        <f>IF(INDEX(Results_Long!$L:$L,$F91)="","NA",INDEX(Results_Long!$L:$L,$F91))</f>
        <v>2.0675113476849898E-2</v>
      </c>
      <c r="Q91" s="11">
        <f>IF(INDEX(Results_Long!$M:$M,$F91)="","NA",INDEX(Results_Long!$M:$M,$F91))</f>
        <v>-2.9848455309700799</v>
      </c>
      <c r="R91" s="12">
        <f>IF(INDEX(Results_Long!$N:$N,$F91)="","NA",INDEX(Results_Long!$N:$N,$F91))</f>
        <v>75.455356212206993</v>
      </c>
      <c r="S91" s="10">
        <f>IF(INDEX(Results_Long!$O:$O,$F91)="","NA",INDEX(Results_Long!$O:$O,$F91))</f>
        <v>3.8224768389847901E-3</v>
      </c>
      <c r="T91" s="6" t="str">
        <f>IF(INDEX(Results_Long!$AG:$AG,$F91)="","NA",INDEX(Results_Long!$AG:$AG,$F91))</f>
        <v>NA</v>
      </c>
      <c r="U91" s="5" t="str">
        <f>IF(INDEX(Results_Long!$AJ:$AJ,$F91)="","NA",INDEX(Results_Long!$AJ:$AJ,$F91))</f>
        <v>cumulative 3L refit after adding study 'Ben Slimane et al (2019)' (median sample_mid = 2014.50); ordering: study-wise median sample_mid, ties alphabetical [DEC-045/H-Q17]; full display (CI band)</v>
      </c>
    </row>
    <row r="92" spans="1:21" ht="34.5" customHeight="1" x14ac:dyDescent="0.3">
      <c r="A92" s="6" t="s">
        <v>512</v>
      </c>
      <c r="B92" s="7" t="s">
        <v>277</v>
      </c>
      <c r="C92" s="7" t="s">
        <v>278</v>
      </c>
      <c r="D92" s="7" t="s">
        <v>513</v>
      </c>
      <c r="E92" s="7" t="s">
        <v>514</v>
      </c>
      <c r="F92" s="8">
        <f>SUMPRODUCT((Results_Long!$A$2:$A$178=$B92)*(Results_Long!$B$2:$B$178=$C92)*(Results_Long!$C$2:$C$178=$D92)*(Results_Long!$D$2:$D$178=$E92)*ROW(Results_Long!$A$2:$A$178))</f>
        <v>106</v>
      </c>
      <c r="G92" s="9">
        <f>IF(INDEX(Results_Long!$H:$H,$F92)="","NA",INDEX(Results_Long!$H:$H,$F92))</f>
        <v>1939</v>
      </c>
      <c r="H92" s="9">
        <f>IF(INDEX(Results_Long!$I:$I,$F92)="","NA",INDEX(Results_Long!$I:$I,$F92))</f>
        <v>79</v>
      </c>
      <c r="I92" s="9">
        <f>IF(INDEX(Results_Long!$J:$J,$F92)="","NA",INDEX(Results_Long!$J:$J,$F92))</f>
        <v>78</v>
      </c>
      <c r="J92" s="10">
        <f>IF(INDEX(Results_Long!$K:$K,$F92)="","NA",INDEX(Results_Long!$K:$K,$F92))</f>
        <v>-6.1333333731654803E-2</v>
      </c>
      <c r="K92" s="10">
        <f>IF(INDEX(Results_Long!$P:$P,$F92)="","NA",INDEX(Results_Long!$P:$P,$F92))</f>
        <v>-0.10208504265952099</v>
      </c>
      <c r="L92" s="10">
        <f>IF(INDEX(Results_Long!$Q:$Q,$F92)="","NA",INDEX(Results_Long!$Q:$Q,$F92))</f>
        <v>-2.05816248037883E-2</v>
      </c>
      <c r="M92" s="10">
        <f>IF(INDEX(Results_Long!$T:$T,$F92)="","NA",INDEX(Results_Long!$T:$T,$F92))</f>
        <v>-6.1256541820939599E-2</v>
      </c>
      <c r="N92" s="10">
        <f>IF(INDEX(Results_Long!$U:$U,$F92)="","NA",INDEX(Results_Long!$U:$U,$F92))</f>
        <v>-0.10173189318333201</v>
      </c>
      <c r="O92" s="10">
        <f>IF(INDEX(Results_Long!$V:$V,$F92)="","NA",INDEX(Results_Long!$V:$V,$F92))</f>
        <v>-2.05787191482035E-2</v>
      </c>
      <c r="P92" s="10">
        <f>IF(INDEX(Results_Long!$L:$L,$F92)="","NA",INDEX(Results_Long!$L:$L,$F92))</f>
        <v>2.0462482055707599E-2</v>
      </c>
      <c r="Q92" s="11">
        <f>IF(INDEX(Results_Long!$M:$M,$F92)="","NA",INDEX(Results_Long!$M:$M,$F92))</f>
        <v>-2.9973555292402598</v>
      </c>
      <c r="R92" s="12">
        <f>IF(INDEX(Results_Long!$N:$N,$F92)="","NA",INDEX(Results_Long!$N:$N,$F92))</f>
        <v>76.330801499942595</v>
      </c>
      <c r="S92" s="10">
        <f>IF(INDEX(Results_Long!$O:$O,$F92)="","NA",INDEX(Results_Long!$O:$O,$F92))</f>
        <v>3.6733400696538601E-3</v>
      </c>
      <c r="T92" s="6" t="str">
        <f>IF(INDEX(Results_Long!$AG:$AG,$F92)="","NA",INDEX(Results_Long!$AG:$AG,$F92))</f>
        <v>NA</v>
      </c>
      <c r="U92" s="5" t="str">
        <f>IF(INDEX(Results_Long!$AJ:$AJ,$F92)="","NA",INDEX(Results_Long!$AJ:$AJ,$F92))</f>
        <v>cumulative 3L refit after adding study 'Devalle et al (2017)' (median sample_mid = 2015.00); ordering: study-wise median sample_mid, ties alphabetical [DEC-045/H-Q17]; full display (CI band)</v>
      </c>
    </row>
    <row r="93" spans="1:21" ht="34.5" customHeight="1" x14ac:dyDescent="0.3">
      <c r="A93" s="6" t="s">
        <v>515</v>
      </c>
      <c r="B93" s="7" t="s">
        <v>277</v>
      </c>
      <c r="C93" s="7" t="s">
        <v>278</v>
      </c>
      <c r="D93" s="7" t="s">
        <v>516</v>
      </c>
      <c r="E93" s="7" t="s">
        <v>517</v>
      </c>
      <c r="F93" s="8">
        <f>SUMPRODUCT((Results_Long!$A$2:$A$178=$B93)*(Results_Long!$B$2:$B$178=$C93)*(Results_Long!$C$2:$C$178=$D93)*(Results_Long!$D$2:$D$178=$E93)*ROW(Results_Long!$A$2:$A$178))</f>
        <v>107</v>
      </c>
      <c r="G93" s="9">
        <f>IF(INDEX(Results_Long!$H:$H,$F93)="","NA",INDEX(Results_Long!$H:$H,$F93))</f>
        <v>1947</v>
      </c>
      <c r="H93" s="9">
        <f>IF(INDEX(Results_Long!$I:$I,$F93)="","NA",INDEX(Results_Long!$I:$I,$F93))</f>
        <v>80</v>
      </c>
      <c r="I93" s="9">
        <f>IF(INDEX(Results_Long!$J:$J,$F93)="","NA",INDEX(Results_Long!$J:$J,$F93))</f>
        <v>79</v>
      </c>
      <c r="J93" s="10">
        <f>IF(INDEX(Results_Long!$K:$K,$F93)="","NA",INDEX(Results_Long!$K:$K,$F93))</f>
        <v>-6.0944487469519602E-2</v>
      </c>
      <c r="K93" s="10">
        <f>IF(INDEX(Results_Long!$P:$P,$F93)="","NA",INDEX(Results_Long!$P:$P,$F93))</f>
        <v>-0.10105071480939</v>
      </c>
      <c r="L93" s="10">
        <f>IF(INDEX(Results_Long!$Q:$Q,$F93)="","NA",INDEX(Results_Long!$Q:$Q,$F93))</f>
        <v>-2.0838260129649001E-2</v>
      </c>
      <c r="M93" s="10">
        <f>IF(INDEX(Results_Long!$T:$T,$F93)="","NA",INDEX(Results_Long!$T:$T,$F93))</f>
        <v>-6.0869145443471703E-2</v>
      </c>
      <c r="N93" s="10">
        <f>IF(INDEX(Results_Long!$U:$U,$F93)="","NA",INDEX(Results_Long!$U:$U,$F93))</f>
        <v>-0.10070816262710799</v>
      </c>
      <c r="O93" s="10">
        <f>IF(INDEX(Results_Long!$V:$V,$F93)="","NA",INDEX(Results_Long!$V:$V,$F93))</f>
        <v>-2.0835244432791701E-2</v>
      </c>
      <c r="P93" s="10">
        <f>IF(INDEX(Results_Long!$L:$L,$F93)="","NA",INDEX(Results_Long!$L:$L,$F93))</f>
        <v>2.0142463364558098E-2</v>
      </c>
      <c r="Q93" s="11">
        <f>IF(INDEX(Results_Long!$M:$M,$F93)="","NA",INDEX(Results_Long!$M:$M,$F93))</f>
        <v>-3.0256720027976001</v>
      </c>
      <c r="R93" s="12">
        <f>IF(INDEX(Results_Long!$N:$N,$F93)="","NA",INDEX(Results_Long!$N:$N,$F93))</f>
        <v>77.306956398954497</v>
      </c>
      <c r="S93" s="10">
        <f>IF(INDEX(Results_Long!$O:$O,$F93)="","NA",INDEX(Results_Long!$O:$O,$F93))</f>
        <v>3.3677135239143E-3</v>
      </c>
      <c r="T93" s="6" t="str">
        <f>IF(INDEX(Results_Long!$AG:$AG,$F93)="","NA",INDEX(Results_Long!$AG:$AG,$F93))</f>
        <v>NA</v>
      </c>
      <c r="U93" s="5" t="str">
        <f>IF(INDEX(Results_Long!$AJ:$AJ,$F93)="","NA",INDEX(Results_Long!$AJ:$AJ,$F93))</f>
        <v>cumulative 3L refit after adding study 'Ding et al (2022)' (median sample_mid = 2015.00); ordering: study-wise median sample_mid, ties alphabetical [DEC-045/H-Q17]; full display (CI band)</v>
      </c>
    </row>
    <row r="94" spans="1:21" ht="34.5" customHeight="1" x14ac:dyDescent="0.3">
      <c r="A94" s="6" t="s">
        <v>518</v>
      </c>
      <c r="B94" s="7" t="s">
        <v>277</v>
      </c>
      <c r="C94" s="7" t="s">
        <v>278</v>
      </c>
      <c r="D94" s="7" t="s">
        <v>519</v>
      </c>
      <c r="E94" s="7" t="s">
        <v>520</v>
      </c>
      <c r="F94" s="8">
        <f>SUMPRODUCT((Results_Long!$A$2:$A$178=$B94)*(Results_Long!$B$2:$B$178=$C94)*(Results_Long!$C$2:$C$178=$D94)*(Results_Long!$D$2:$D$178=$E94)*ROW(Results_Long!$A$2:$A$178))</f>
        <v>108</v>
      </c>
      <c r="G94" s="9">
        <f>IF(INDEX(Results_Long!$H:$H,$F94)="","NA",INDEX(Results_Long!$H:$H,$F94))</f>
        <v>1980</v>
      </c>
      <c r="H94" s="9">
        <f>IF(INDEX(Results_Long!$I:$I,$F94)="","NA",INDEX(Results_Long!$I:$I,$F94))</f>
        <v>81</v>
      </c>
      <c r="I94" s="9">
        <f>IF(INDEX(Results_Long!$J:$J,$F94)="","NA",INDEX(Results_Long!$J:$J,$F94))</f>
        <v>80</v>
      </c>
      <c r="J94" s="10">
        <f>IF(INDEX(Results_Long!$K:$K,$F94)="","NA",INDEX(Results_Long!$K:$K,$F94))</f>
        <v>-6.1349286690142099E-2</v>
      </c>
      <c r="K94" s="10">
        <f>IF(INDEX(Results_Long!$P:$P,$F94)="","NA",INDEX(Results_Long!$P:$P,$F94))</f>
        <v>-0.100952292007104</v>
      </c>
      <c r="L94" s="10">
        <f>IF(INDEX(Results_Long!$Q:$Q,$F94)="","NA",INDEX(Results_Long!$Q:$Q,$F94))</f>
        <v>-2.174628137318E-2</v>
      </c>
      <c r="M94" s="10">
        <f>IF(INDEX(Results_Long!$T:$T,$F94)="","NA",INDEX(Results_Long!$T:$T,$F94))</f>
        <v>-6.1272434902588602E-2</v>
      </c>
      <c r="N94" s="10">
        <f>IF(INDEX(Results_Long!$U:$U,$F94)="","NA",INDEX(Results_Long!$U:$U,$F94))</f>
        <v>-0.10061073707670801</v>
      </c>
      <c r="O94" s="10">
        <f>IF(INDEX(Results_Long!$V:$V,$F94)="","NA",INDEX(Results_Long!$V:$V,$F94))</f>
        <v>-2.1742854077203999E-2</v>
      </c>
      <c r="P94" s="10">
        <f>IF(INDEX(Results_Long!$L:$L,$F94)="","NA",INDEX(Results_Long!$L:$L,$F94))</f>
        <v>1.98937588189649E-2</v>
      </c>
      <c r="Q94" s="11">
        <f>IF(INDEX(Results_Long!$M:$M,$F94)="","NA",INDEX(Results_Long!$M:$M,$F94))</f>
        <v>-3.0838459060666401</v>
      </c>
      <c r="R94" s="12">
        <f>IF(INDEX(Results_Long!$N:$N,$F94)="","NA",INDEX(Results_Long!$N:$N,$F94))</f>
        <v>78.304551271082701</v>
      </c>
      <c r="S94" s="10">
        <f>IF(INDEX(Results_Long!$O:$O,$F94)="","NA",INDEX(Results_Long!$O:$O,$F94))</f>
        <v>2.8223465856459201E-3</v>
      </c>
      <c r="T94" s="6" t="str">
        <f>IF(INDEX(Results_Long!$AG:$AG,$F94)="","NA",INDEX(Results_Long!$AG:$AG,$F94))</f>
        <v>NA</v>
      </c>
      <c r="U94" s="5" t="str">
        <f>IF(INDEX(Results_Long!$AJ:$AJ,$F94)="","NA",INDEX(Results_Long!$AJ:$AJ,$F94))</f>
        <v>cumulative 3L refit after adding study 'Kim, Kim (2022)' (median sample_mid = 2015.00); ordering: study-wise median sample_mid, ties alphabetical [DEC-045/H-Q17]; full display (CI band)</v>
      </c>
    </row>
    <row r="95" spans="1:21" ht="34.5" customHeight="1" x14ac:dyDescent="0.3">
      <c r="A95" s="6" t="s">
        <v>521</v>
      </c>
      <c r="B95" s="7" t="s">
        <v>277</v>
      </c>
      <c r="C95" s="7" t="s">
        <v>278</v>
      </c>
      <c r="D95" s="7" t="s">
        <v>522</v>
      </c>
      <c r="E95" s="7" t="s">
        <v>523</v>
      </c>
      <c r="F95" s="8">
        <f>SUMPRODUCT((Results_Long!$A$2:$A$178=$B95)*(Results_Long!$B$2:$B$178=$C95)*(Results_Long!$C$2:$C$178=$D95)*(Results_Long!$D$2:$D$178=$E95)*ROW(Results_Long!$A$2:$A$178))</f>
        <v>109</v>
      </c>
      <c r="G95" s="9">
        <f>IF(INDEX(Results_Long!$H:$H,$F95)="","NA",INDEX(Results_Long!$H:$H,$F95))</f>
        <v>1989</v>
      </c>
      <c r="H95" s="9">
        <f>IF(INDEX(Results_Long!$I:$I,$F95)="","NA",INDEX(Results_Long!$I:$I,$F95))</f>
        <v>82</v>
      </c>
      <c r="I95" s="9">
        <f>IF(INDEX(Results_Long!$J:$J,$F95)="","NA",INDEX(Results_Long!$J:$J,$F95))</f>
        <v>81</v>
      </c>
      <c r="J95" s="10">
        <f>IF(INDEX(Results_Long!$K:$K,$F95)="","NA",INDEX(Results_Long!$K:$K,$F95))</f>
        <v>-6.0900111177678497E-2</v>
      </c>
      <c r="K95" s="10">
        <f>IF(INDEX(Results_Long!$P:$P,$F95)="","NA",INDEX(Results_Long!$P:$P,$F95))</f>
        <v>-9.9941782077180102E-2</v>
      </c>
      <c r="L95" s="10">
        <f>IF(INDEX(Results_Long!$Q:$Q,$F95)="","NA",INDEX(Results_Long!$Q:$Q,$F95))</f>
        <v>-2.1858440278176901E-2</v>
      </c>
      <c r="M95" s="10">
        <f>IF(INDEX(Results_Long!$T:$T,$F95)="","NA",INDEX(Results_Long!$T:$T,$F95))</f>
        <v>-6.0824933448743797E-2</v>
      </c>
      <c r="N95" s="10">
        <f>IF(INDEX(Results_Long!$U:$U,$F95)="","NA",INDEX(Results_Long!$U:$U,$F95))</f>
        <v>-9.9610354687660205E-2</v>
      </c>
      <c r="O95" s="10">
        <f>IF(INDEX(Results_Long!$V:$V,$F95)="","NA",INDEX(Results_Long!$V:$V,$F95))</f>
        <v>-2.1854959685030598E-2</v>
      </c>
      <c r="P95" s="10">
        <f>IF(INDEX(Results_Long!$L:$L,$F95)="","NA",INDEX(Results_Long!$L:$L,$F95))</f>
        <v>1.9615608886017901E-2</v>
      </c>
      <c r="Q95" s="11">
        <f>IF(INDEX(Results_Long!$M:$M,$F95)="","NA",INDEX(Results_Long!$M:$M,$F95))</f>
        <v>-3.10467605321639</v>
      </c>
      <c r="R95" s="12">
        <f>IF(INDEX(Results_Long!$N:$N,$F95)="","NA",INDEX(Results_Long!$N:$N,$F95))</f>
        <v>79.290219343112994</v>
      </c>
      <c r="S95" s="10">
        <f>IF(INDEX(Results_Long!$O:$O,$F95)="","NA",INDEX(Results_Long!$O:$O,$F95))</f>
        <v>2.6413168313196801E-3</v>
      </c>
      <c r="T95" s="6" t="str">
        <f>IF(INDEX(Results_Long!$AG:$AG,$F95)="","NA",INDEX(Results_Long!$AG:$AG,$F95))</f>
        <v>NA</v>
      </c>
      <c r="U95" s="5" t="str">
        <f>IF(INDEX(Results_Long!$AJ:$AJ,$F95)="","NA",INDEX(Results_Long!$AJ:$AJ,$F95))</f>
        <v>cumulative 3L refit after adding study 'Lee (2022)' (median sample_mid = 2015.00); ordering: study-wise median sample_mid, ties alphabetical [DEC-045/H-Q17]; full display (CI band)</v>
      </c>
    </row>
    <row r="96" spans="1:21" ht="34.5" customHeight="1" x14ac:dyDescent="0.3">
      <c r="A96" s="6" t="s">
        <v>524</v>
      </c>
      <c r="B96" s="7" t="s">
        <v>277</v>
      </c>
      <c r="C96" s="7" t="s">
        <v>278</v>
      </c>
      <c r="D96" s="7" t="s">
        <v>525</v>
      </c>
      <c r="E96" s="7" t="s">
        <v>526</v>
      </c>
      <c r="F96" s="8">
        <f>SUMPRODUCT((Results_Long!$A$2:$A$178=$B96)*(Results_Long!$B$2:$B$178=$C96)*(Results_Long!$C$2:$C$178=$D96)*(Results_Long!$D$2:$D$178=$E96)*ROW(Results_Long!$A$2:$A$178))</f>
        <v>110</v>
      </c>
      <c r="G96" s="9">
        <f>IF(INDEX(Results_Long!$H:$H,$F96)="","NA",INDEX(Results_Long!$H:$H,$F96))</f>
        <v>1999</v>
      </c>
      <c r="H96" s="9">
        <f>IF(INDEX(Results_Long!$I:$I,$F96)="","NA",INDEX(Results_Long!$I:$I,$F96))</f>
        <v>83</v>
      </c>
      <c r="I96" s="9">
        <f>IF(INDEX(Results_Long!$J:$J,$F96)="","NA",INDEX(Results_Long!$J:$J,$F96))</f>
        <v>82</v>
      </c>
      <c r="J96" s="10">
        <f>IF(INDEX(Results_Long!$K:$K,$F96)="","NA",INDEX(Results_Long!$K:$K,$F96))</f>
        <v>-6.0152706609857699E-2</v>
      </c>
      <c r="K96" s="10">
        <f>IF(INDEX(Results_Long!$P:$P,$F96)="","NA",INDEX(Results_Long!$P:$P,$F96))</f>
        <v>-9.86626114197314E-2</v>
      </c>
      <c r="L96" s="10">
        <f>IF(INDEX(Results_Long!$Q:$Q,$F96)="","NA",INDEX(Results_Long!$Q:$Q,$F96))</f>
        <v>-2.1642801799983999E-2</v>
      </c>
      <c r="M96" s="10">
        <f>IF(INDEX(Results_Long!$T:$T,$F96)="","NA",INDEX(Results_Long!$T:$T,$F96))</f>
        <v>-6.0080260318271302E-2</v>
      </c>
      <c r="N96" s="10">
        <f>IF(INDEX(Results_Long!$U:$U,$F96)="","NA",INDEX(Results_Long!$U:$U,$F96))</f>
        <v>-9.8343715543840998E-2</v>
      </c>
      <c r="O96" s="10">
        <f>IF(INDEX(Results_Long!$V:$V,$F96)="","NA",INDEX(Results_Long!$V:$V,$F96))</f>
        <v>-2.16394231918083E-2</v>
      </c>
      <c r="P96" s="10">
        <f>IF(INDEX(Results_Long!$L:$L,$F96)="","NA",INDEX(Results_Long!$L:$L,$F96))</f>
        <v>1.9352112621629301E-2</v>
      </c>
      <c r="Q96" s="11">
        <f>IF(INDEX(Results_Long!$M:$M,$F96)="","NA",INDEX(Results_Long!$M:$M,$F96))</f>
        <v>-3.1083276428759001</v>
      </c>
      <c r="R96" s="12">
        <f>IF(INDEX(Results_Long!$N:$N,$F96)="","NA",INDEX(Results_Long!$N:$N,$F96))</f>
        <v>80.275190378173093</v>
      </c>
      <c r="S96" s="10">
        <f>IF(INDEX(Results_Long!$O:$O,$F96)="","NA",INDEX(Results_Long!$O:$O,$F96))</f>
        <v>2.6026723594474699E-3</v>
      </c>
      <c r="T96" s="6" t="str">
        <f>IF(INDEX(Results_Long!$AG:$AG,$F96)="","NA",INDEX(Results_Long!$AG:$AG,$F96))</f>
        <v>NA</v>
      </c>
      <c r="U96" s="5" t="str">
        <f>IF(INDEX(Results_Long!$AJ:$AJ,$F96)="","NA",INDEX(Results_Long!$AJ:$AJ,$F96))</f>
        <v>cumulative 3L refit after adding study 'Luo et al (2019)' (median sample_mid = 2015.00); ordering: study-wise median sample_mid, ties alphabetical [DEC-045/H-Q17]; full display (CI band)</v>
      </c>
    </row>
    <row r="97" spans="1:21" ht="34.5" customHeight="1" x14ac:dyDescent="0.3">
      <c r="A97" s="6" t="s">
        <v>527</v>
      </c>
      <c r="B97" s="7" t="s">
        <v>277</v>
      </c>
      <c r="C97" s="7" t="s">
        <v>278</v>
      </c>
      <c r="D97" s="7" t="s">
        <v>528</v>
      </c>
      <c r="E97" s="7" t="s">
        <v>529</v>
      </c>
      <c r="F97" s="8">
        <f>SUMPRODUCT((Results_Long!$A$2:$A$178=$B97)*(Results_Long!$B$2:$B$178=$C97)*(Results_Long!$C$2:$C$178=$D97)*(Results_Long!$D$2:$D$178=$E97)*ROW(Results_Long!$A$2:$A$178))</f>
        <v>111</v>
      </c>
      <c r="G97" s="9">
        <f>IF(INDEX(Results_Long!$H:$H,$F97)="","NA",INDEX(Results_Long!$H:$H,$F97))</f>
        <v>2037</v>
      </c>
      <c r="H97" s="9">
        <f>IF(INDEX(Results_Long!$I:$I,$F97)="","NA",INDEX(Results_Long!$I:$I,$F97))</f>
        <v>84</v>
      </c>
      <c r="I97" s="9">
        <f>IF(INDEX(Results_Long!$J:$J,$F97)="","NA",INDEX(Results_Long!$J:$J,$F97))</f>
        <v>83</v>
      </c>
      <c r="J97" s="10">
        <f>IF(INDEX(Results_Long!$K:$K,$F97)="","NA",INDEX(Results_Long!$K:$K,$F97))</f>
        <v>-5.9572207803339897E-2</v>
      </c>
      <c r="K97" s="10">
        <f>IF(INDEX(Results_Long!$P:$P,$F97)="","NA",INDEX(Results_Long!$P:$P,$F97))</f>
        <v>-9.7648891049651396E-2</v>
      </c>
      <c r="L97" s="10">
        <f>IF(INDEX(Results_Long!$Q:$Q,$F97)="","NA",INDEX(Results_Long!$Q:$Q,$F97))</f>
        <v>-2.14955245570283E-2</v>
      </c>
      <c r="M97" s="10">
        <f>IF(INDEX(Results_Long!$T:$T,$F97)="","NA",INDEX(Results_Long!$T:$T,$F97))</f>
        <v>-5.9501836793691497E-2</v>
      </c>
      <c r="N97" s="10">
        <f>IF(INDEX(Results_Long!$U:$U,$F97)="","NA",INDEX(Results_Long!$U:$U,$F97))</f>
        <v>-9.7339699607050301E-2</v>
      </c>
      <c r="O97" s="10">
        <f>IF(INDEX(Results_Long!$V:$V,$F97)="","NA",INDEX(Results_Long!$V:$V,$F97))</f>
        <v>-2.1492214445488E-2</v>
      </c>
      <c r="P97" s="10">
        <f>IF(INDEX(Results_Long!$L:$L,$F97)="","NA",INDEX(Results_Long!$L:$L,$F97))</f>
        <v>1.9138020449149699E-2</v>
      </c>
      <c r="Q97" s="11">
        <f>IF(INDEX(Results_Long!$M:$M,$F97)="","NA",INDEX(Results_Long!$M:$M,$F97))</f>
        <v>-3.1127674861475398</v>
      </c>
      <c r="R97" s="12">
        <f>IF(INDEX(Results_Long!$N:$N,$F97)="","NA",INDEX(Results_Long!$N:$N,$F97))</f>
        <v>81.278001416122507</v>
      </c>
      <c r="S97" s="10">
        <f>IF(INDEX(Results_Long!$O:$O,$F97)="","NA",INDEX(Results_Long!$O:$O,$F97))</f>
        <v>2.5584415356960798E-3</v>
      </c>
      <c r="T97" s="6" t="str">
        <f>IF(INDEX(Results_Long!$AG:$AG,$F97)="","NA",INDEX(Results_Long!$AG:$AG,$F97))</f>
        <v>NA</v>
      </c>
      <c r="U97" s="5" t="str">
        <f>IF(INDEX(Results_Long!$AJ:$AJ,$F97)="","NA",INDEX(Results_Long!$AJ:$AJ,$F97))</f>
        <v>cumulative 3L refit after adding study 'Ho &amp; Wong (2023)' (median sample_mid = 2015.50); ordering: study-wise median sample_mid, ties alphabetical [DEC-045/H-Q17]; full display (CI band)</v>
      </c>
    </row>
    <row r="98" spans="1:21" ht="34.5" customHeight="1" x14ac:dyDescent="0.3">
      <c r="A98" s="6" t="s">
        <v>530</v>
      </c>
      <c r="B98" s="7" t="s">
        <v>277</v>
      </c>
      <c r="C98" s="7" t="s">
        <v>278</v>
      </c>
      <c r="D98" s="7" t="s">
        <v>531</v>
      </c>
      <c r="E98" s="7" t="s">
        <v>532</v>
      </c>
      <c r="F98" s="8">
        <f>SUMPRODUCT((Results_Long!$A$2:$A$178=$B98)*(Results_Long!$B$2:$B$178=$C98)*(Results_Long!$C$2:$C$178=$D98)*(Results_Long!$D$2:$D$178=$E98)*ROW(Results_Long!$A$2:$A$178))</f>
        <v>112</v>
      </c>
      <c r="G98" s="9">
        <f>IF(INDEX(Results_Long!$H:$H,$F98)="","NA",INDEX(Results_Long!$H:$H,$F98))</f>
        <v>2042</v>
      </c>
      <c r="H98" s="9">
        <f>IF(INDEX(Results_Long!$I:$I,$F98)="","NA",INDEX(Results_Long!$I:$I,$F98))</f>
        <v>85</v>
      </c>
      <c r="I98" s="9">
        <f>IF(INDEX(Results_Long!$J:$J,$F98)="","NA",INDEX(Results_Long!$J:$J,$F98))</f>
        <v>84</v>
      </c>
      <c r="J98" s="10">
        <f>IF(INDEX(Results_Long!$K:$K,$F98)="","NA",INDEX(Results_Long!$K:$K,$F98))</f>
        <v>-6.0372986653910901E-2</v>
      </c>
      <c r="K98" s="10">
        <f>IF(INDEX(Results_Long!$P:$P,$F98)="","NA",INDEX(Results_Long!$P:$P,$F98))</f>
        <v>-9.7882039266956905E-2</v>
      </c>
      <c r="L98" s="10">
        <f>IF(INDEX(Results_Long!$Q:$Q,$F98)="","NA",INDEX(Results_Long!$Q:$Q,$F98))</f>
        <v>-2.28639340408648E-2</v>
      </c>
      <c r="M98" s="10">
        <f>IF(INDEX(Results_Long!$T:$T,$F98)="","NA",INDEX(Results_Long!$T:$T,$F98))</f>
        <v>-6.0299742322896602E-2</v>
      </c>
      <c r="N98" s="10">
        <f>IF(INDEX(Results_Long!$U:$U,$F98)="","NA",INDEX(Results_Long!$U:$U,$F98))</f>
        <v>-9.7570633495874096E-2</v>
      </c>
      <c r="O98" s="10">
        <f>IF(INDEX(Results_Long!$V:$V,$F98)="","NA",INDEX(Results_Long!$V:$V,$F98))</f>
        <v>-2.2859950761026399E-2</v>
      </c>
      <c r="P98" s="10">
        <f>IF(INDEX(Results_Long!$L:$L,$F98)="","NA",INDEX(Results_Long!$L:$L,$F98))</f>
        <v>1.8856068010665299E-2</v>
      </c>
      <c r="Q98" s="11">
        <f>IF(INDEX(Results_Long!$M:$M,$F98)="","NA",INDEX(Results_Long!$M:$M,$F98))</f>
        <v>-3.2017802767662298</v>
      </c>
      <c r="R98" s="12">
        <f>IF(INDEX(Results_Long!$N:$N,$F98)="","NA",INDEX(Results_Long!$N:$N,$F98))</f>
        <v>82.245074016744596</v>
      </c>
      <c r="S98" s="10">
        <f>IF(INDEX(Results_Long!$O:$O,$F98)="","NA",INDEX(Results_Long!$O:$O,$F98))</f>
        <v>1.9424888974833999E-3</v>
      </c>
      <c r="T98" s="6" t="str">
        <f>IF(INDEX(Results_Long!$AG:$AG,$F98)="","NA",INDEX(Results_Long!$AG:$AG,$F98))</f>
        <v>NA</v>
      </c>
      <c r="U98" s="5" t="str">
        <f>IF(INDEX(Results_Long!$AJ:$AJ,$F98)="","NA",INDEX(Results_Long!$AJ:$AJ,$F98))</f>
        <v>cumulative 3L refit after adding study 'Kordschia (2020)' (median sample_mid = 2015.50); ordering: study-wise median sample_mid, ties alphabetical [DEC-045/H-Q17]; full display (CI band)</v>
      </c>
    </row>
    <row r="99" spans="1:21" ht="34.5" customHeight="1" x14ac:dyDescent="0.3">
      <c r="A99" s="6" t="s">
        <v>533</v>
      </c>
      <c r="B99" s="7" t="s">
        <v>277</v>
      </c>
      <c r="C99" s="7" t="s">
        <v>278</v>
      </c>
      <c r="D99" s="7" t="s">
        <v>534</v>
      </c>
      <c r="E99" s="7" t="s">
        <v>535</v>
      </c>
      <c r="F99" s="8">
        <f>SUMPRODUCT((Results_Long!$A$2:$A$178=$B99)*(Results_Long!$B$2:$B$178=$C99)*(Results_Long!$C$2:$C$178=$D99)*(Results_Long!$D$2:$D$178=$E99)*ROW(Results_Long!$A$2:$A$178))</f>
        <v>113</v>
      </c>
      <c r="G99" s="9">
        <f>IF(INDEX(Results_Long!$H:$H,$F99)="","NA",INDEX(Results_Long!$H:$H,$F99))</f>
        <v>2048</v>
      </c>
      <c r="H99" s="9">
        <f>IF(INDEX(Results_Long!$I:$I,$F99)="","NA",INDEX(Results_Long!$I:$I,$F99))</f>
        <v>86</v>
      </c>
      <c r="I99" s="9">
        <f>IF(INDEX(Results_Long!$J:$J,$F99)="","NA",INDEX(Results_Long!$J:$J,$F99))</f>
        <v>85</v>
      </c>
      <c r="J99" s="10">
        <f>IF(INDEX(Results_Long!$K:$K,$F99)="","NA",INDEX(Results_Long!$K:$K,$F99))</f>
        <v>-5.9687270015869098E-2</v>
      </c>
      <c r="K99" s="10">
        <f>IF(INDEX(Results_Long!$P:$P,$F99)="","NA",INDEX(Results_Long!$P:$P,$F99))</f>
        <v>-9.6704354221465005E-2</v>
      </c>
      <c r="L99" s="10">
        <f>IF(INDEX(Results_Long!$Q:$Q,$F99)="","NA",INDEX(Results_Long!$Q:$Q,$F99))</f>
        <v>-2.2670185810273202E-2</v>
      </c>
      <c r="M99" s="10">
        <f>IF(INDEX(Results_Long!$T:$T,$F99)="","NA",INDEX(Results_Long!$T:$T,$F99))</f>
        <v>-5.96164908465973E-2</v>
      </c>
      <c r="N99" s="10">
        <f>IF(INDEX(Results_Long!$U:$U,$F99)="","NA",INDEX(Results_Long!$U:$U,$F99))</f>
        <v>-9.6404026533080903E-2</v>
      </c>
      <c r="O99" s="10">
        <f>IF(INDEX(Results_Long!$V:$V,$F99)="","NA",INDEX(Results_Long!$V:$V,$F99))</f>
        <v>-2.2666302923613699E-2</v>
      </c>
      <c r="P99" s="10">
        <f>IF(INDEX(Results_Long!$L:$L,$F99)="","NA",INDEX(Results_Long!$L:$L,$F99))</f>
        <v>1.8612037517521E-2</v>
      </c>
      <c r="Q99" s="11">
        <f>IF(INDEX(Results_Long!$M:$M,$F99)="","NA",INDEX(Results_Long!$M:$M,$F99))</f>
        <v>-3.2069175639518601</v>
      </c>
      <c r="R99" s="12">
        <f>IF(INDEX(Results_Long!$N:$N,$F99)="","NA",INDEX(Results_Long!$N:$N,$F99))</f>
        <v>83.2295465189857</v>
      </c>
      <c r="S99" s="10">
        <f>IF(INDEX(Results_Long!$O:$O,$F99)="","NA",INDEX(Results_Long!$O:$O,$F99))</f>
        <v>1.9045372434126199E-3</v>
      </c>
      <c r="T99" s="6" t="str">
        <f>IF(INDEX(Results_Long!$AG:$AG,$F99)="","NA",INDEX(Results_Long!$AG:$AG,$F99))</f>
        <v>NA</v>
      </c>
      <c r="U99" s="5" t="str">
        <f>IF(INDEX(Results_Long!$AJ:$AJ,$F99)="","NA",INDEX(Results_Long!$AJ:$AJ,$F99))</f>
        <v>cumulative 3L refit after adding study 'Owolabi et al (2024)' (median sample_mid = 2015.50); ordering: study-wise median sample_mid, ties alphabetical [DEC-045/H-Q17]; full display (CI band)</v>
      </c>
    </row>
    <row r="100" spans="1:21" ht="34.5" customHeight="1" x14ac:dyDescent="0.3">
      <c r="A100" s="6" t="s">
        <v>536</v>
      </c>
      <c r="B100" s="7" t="s">
        <v>277</v>
      </c>
      <c r="C100" s="7" t="s">
        <v>278</v>
      </c>
      <c r="D100" s="7" t="s">
        <v>537</v>
      </c>
      <c r="E100" s="7" t="s">
        <v>538</v>
      </c>
      <c r="F100" s="8">
        <f>SUMPRODUCT((Results_Long!$A$2:$A$178=$B100)*(Results_Long!$B$2:$B$178=$C100)*(Results_Long!$C$2:$C$178=$D100)*(Results_Long!$D$2:$D$178=$E100)*ROW(Results_Long!$A$2:$A$178))</f>
        <v>114</v>
      </c>
      <c r="G100" s="9">
        <f>IF(INDEX(Results_Long!$H:$H,$F100)="","NA",INDEX(Results_Long!$H:$H,$F100))</f>
        <v>2066</v>
      </c>
      <c r="H100" s="9">
        <f>IF(INDEX(Results_Long!$I:$I,$F100)="","NA",INDEX(Results_Long!$I:$I,$F100))</f>
        <v>87</v>
      </c>
      <c r="I100" s="9">
        <f>IF(INDEX(Results_Long!$J:$J,$F100)="","NA",INDEX(Results_Long!$J:$J,$F100))</f>
        <v>86</v>
      </c>
      <c r="J100" s="10">
        <f>IF(INDEX(Results_Long!$K:$K,$F100)="","NA",INDEX(Results_Long!$K:$K,$F100))</f>
        <v>-5.90108848859296E-2</v>
      </c>
      <c r="K100" s="10">
        <f>IF(INDEX(Results_Long!$P:$P,$F100)="","NA",INDEX(Results_Long!$P:$P,$F100))</f>
        <v>-9.5571731269343901E-2</v>
      </c>
      <c r="L100" s="10">
        <f>IF(INDEX(Results_Long!$Q:$Q,$F100)="","NA",INDEX(Results_Long!$Q:$Q,$F100))</f>
        <v>-2.2450038502515299E-2</v>
      </c>
      <c r="M100" s="10">
        <f>IF(INDEX(Results_Long!$T:$T,$F100)="","NA",INDEX(Results_Long!$T:$T,$F100))</f>
        <v>-5.8942482598895E-2</v>
      </c>
      <c r="N100" s="10">
        <f>IF(INDEX(Results_Long!$U:$U,$F100)="","NA",INDEX(Results_Long!$U:$U,$F100))</f>
        <v>-9.5281807825511697E-2</v>
      </c>
      <c r="O100" s="10">
        <f>IF(INDEX(Results_Long!$V:$V,$F100)="","NA",INDEX(Results_Long!$V:$V,$F100))</f>
        <v>-2.2446267624615102E-2</v>
      </c>
      <c r="P100" s="10">
        <f>IF(INDEX(Results_Long!$L:$L,$F100)="","NA",INDEX(Results_Long!$L:$L,$F100))</f>
        <v>1.8385833519357599E-2</v>
      </c>
      <c r="Q100" s="11">
        <f>IF(INDEX(Results_Long!$M:$M,$F100)="","NA",INDEX(Results_Long!$M:$M,$F100))</f>
        <v>-3.2095844239968701</v>
      </c>
      <c r="R100" s="12">
        <f>IF(INDEX(Results_Long!$N:$N,$F100)="","NA",INDEX(Results_Long!$N:$N,$F100))</f>
        <v>84.220715631100703</v>
      </c>
      <c r="S100" s="10">
        <f>IF(INDEX(Results_Long!$O:$O,$F100)="","NA",INDEX(Results_Long!$O:$O,$F100))</f>
        <v>1.88166546707938E-3</v>
      </c>
      <c r="T100" s="6" t="str">
        <f>IF(INDEX(Results_Long!$AG:$AG,$F100)="","NA",INDEX(Results_Long!$AG:$AG,$F100))</f>
        <v>NA</v>
      </c>
      <c r="U100" s="5" t="str">
        <f>IF(INDEX(Results_Long!$AJ:$AJ,$F100)="","NA",INDEX(Results_Long!$AJ:$AJ,$F100))</f>
        <v>cumulative 3L refit after adding study 'Ririmasse et al (2026)' (median sample_mid = 2015.50); ordering: study-wise median sample_mid, ties alphabetical [DEC-045/H-Q17]; full display (CI band)</v>
      </c>
    </row>
    <row r="101" spans="1:21" ht="34.5" customHeight="1" x14ac:dyDescent="0.3">
      <c r="A101" s="6" t="s">
        <v>539</v>
      </c>
      <c r="B101" s="7" t="s">
        <v>277</v>
      </c>
      <c r="C101" s="7" t="s">
        <v>278</v>
      </c>
      <c r="D101" s="7" t="s">
        <v>540</v>
      </c>
      <c r="E101" s="7" t="s">
        <v>541</v>
      </c>
      <c r="F101" s="8">
        <f>SUMPRODUCT((Results_Long!$A$2:$A$178=$B101)*(Results_Long!$B$2:$B$178=$C101)*(Results_Long!$C$2:$C$178=$D101)*(Results_Long!$D$2:$D$178=$E101)*ROW(Results_Long!$A$2:$A$178))</f>
        <v>115</v>
      </c>
      <c r="G101" s="9">
        <f>IF(INDEX(Results_Long!$H:$H,$F101)="","NA",INDEX(Results_Long!$H:$H,$F101))</f>
        <v>2078</v>
      </c>
      <c r="H101" s="9">
        <f>IF(INDEX(Results_Long!$I:$I,$F101)="","NA",INDEX(Results_Long!$I:$I,$F101))</f>
        <v>88</v>
      </c>
      <c r="I101" s="9">
        <f>IF(INDEX(Results_Long!$J:$J,$F101)="","NA",INDEX(Results_Long!$J:$J,$F101))</f>
        <v>87</v>
      </c>
      <c r="J101" s="10">
        <f>IF(INDEX(Results_Long!$K:$K,$F101)="","NA",INDEX(Results_Long!$K:$K,$F101))</f>
        <v>-5.9490679685313901E-2</v>
      </c>
      <c r="K101" s="10">
        <f>IF(INDEX(Results_Long!$P:$P,$F101)="","NA",INDEX(Results_Long!$P:$P,$F101))</f>
        <v>-9.55620299806694E-2</v>
      </c>
      <c r="L101" s="10">
        <f>IF(INDEX(Results_Long!$Q:$Q,$F101)="","NA",INDEX(Results_Long!$Q:$Q,$F101))</f>
        <v>-2.3419329389958402E-2</v>
      </c>
      <c r="M101" s="10">
        <f>IF(INDEX(Results_Long!$T:$T,$F101)="","NA",INDEX(Results_Long!$T:$T,$F101))</f>
        <v>-5.9420596929485398E-2</v>
      </c>
      <c r="N101" s="10">
        <f>IF(INDEX(Results_Long!$U:$U,$F101)="","NA",INDEX(Results_Long!$U:$U,$F101))</f>
        <v>-9.5272194602293095E-2</v>
      </c>
      <c r="O101" s="10">
        <f>IF(INDEX(Results_Long!$V:$V,$F101)="","NA",INDEX(Results_Long!$V:$V,$F101))</f>
        <v>-2.3415048768318399E-2</v>
      </c>
      <c r="P101" s="10">
        <f>IF(INDEX(Results_Long!$L:$L,$F101)="","NA",INDEX(Results_Long!$L:$L,$F101))</f>
        <v>1.81427226957654E-2</v>
      </c>
      <c r="Q101" s="11">
        <f>IF(INDEX(Results_Long!$M:$M,$F101)="","NA",INDEX(Results_Long!$M:$M,$F101))</f>
        <v>-3.2790381401353401</v>
      </c>
      <c r="R101" s="12">
        <f>IF(INDEX(Results_Long!$N:$N,$F101)="","NA",INDEX(Results_Long!$N:$N,$F101))</f>
        <v>85.203381315515998</v>
      </c>
      <c r="S101" s="10">
        <f>IF(INDEX(Results_Long!$O:$O,$F101)="","NA",INDEX(Results_Long!$O:$O,$F101))</f>
        <v>1.5093394407795901E-3</v>
      </c>
      <c r="T101" s="6" t="str">
        <f>IF(INDEX(Results_Long!$AG:$AG,$F101)="","NA",INDEX(Results_Long!$AG:$AG,$F101))</f>
        <v>NA</v>
      </c>
      <c r="U101" s="5" t="str">
        <f>IF(INDEX(Results_Long!$AJ:$AJ,$F101)="","NA",INDEX(Results_Long!$AJ:$AJ,$F101))</f>
        <v>cumulative 3L refit after adding study 'Xiang &amp; Gong (2026)' (median sample_mid = 2015.50); ordering: study-wise median sample_mid, ties alphabetical [DEC-045/H-Q17]; full display (CI band)</v>
      </c>
    </row>
    <row r="102" spans="1:21" ht="34.5" customHeight="1" x14ac:dyDescent="0.3">
      <c r="A102" s="6" t="s">
        <v>542</v>
      </c>
      <c r="B102" s="7" t="s">
        <v>277</v>
      </c>
      <c r="C102" s="7" t="s">
        <v>278</v>
      </c>
      <c r="D102" s="7" t="s">
        <v>543</v>
      </c>
      <c r="E102" s="7" t="s">
        <v>544</v>
      </c>
      <c r="F102" s="8">
        <f>SUMPRODUCT((Results_Long!$A$2:$A$178=$B102)*(Results_Long!$B$2:$B$178=$C102)*(Results_Long!$C$2:$C$178=$D102)*(Results_Long!$D$2:$D$178=$E102)*ROW(Results_Long!$A$2:$A$178))</f>
        <v>116</v>
      </c>
      <c r="G102" s="9">
        <f>IF(INDEX(Results_Long!$H:$H,$F102)="","NA",INDEX(Results_Long!$H:$H,$F102))</f>
        <v>2080</v>
      </c>
      <c r="H102" s="9">
        <f>IF(INDEX(Results_Long!$I:$I,$F102)="","NA",INDEX(Results_Long!$I:$I,$F102))</f>
        <v>89</v>
      </c>
      <c r="I102" s="9">
        <f>IF(INDEX(Results_Long!$J:$J,$F102)="","NA",INDEX(Results_Long!$J:$J,$F102))</f>
        <v>88</v>
      </c>
      <c r="J102" s="10">
        <f>IF(INDEX(Results_Long!$K:$K,$F102)="","NA",INDEX(Results_Long!$K:$K,$F102))</f>
        <v>-5.8635769466352801E-2</v>
      </c>
      <c r="K102" s="10">
        <f>IF(INDEX(Results_Long!$P:$P,$F102)="","NA",INDEX(Results_Long!$P:$P,$F102))</f>
        <v>-9.4329388464302097E-2</v>
      </c>
      <c r="L102" s="10">
        <f>IF(INDEX(Results_Long!$Q:$Q,$F102)="","NA",INDEX(Results_Long!$Q:$Q,$F102))</f>
        <v>-2.2942150468403401E-2</v>
      </c>
      <c r="M102" s="10">
        <f>IF(INDEX(Results_Long!$T:$T,$F102)="","NA",INDEX(Results_Long!$T:$T,$F102))</f>
        <v>-5.85686621636827E-2</v>
      </c>
      <c r="N102" s="10">
        <f>IF(INDEX(Results_Long!$U:$U,$F102)="","NA",INDEX(Results_Long!$U:$U,$F102))</f>
        <v>-9.4050598674222496E-2</v>
      </c>
      <c r="O102" s="10">
        <f>IF(INDEX(Results_Long!$V:$V,$F102)="","NA",INDEX(Results_Long!$V:$V,$F102))</f>
        <v>-2.2938126174492701E-2</v>
      </c>
      <c r="P102" s="10">
        <f>IF(INDEX(Results_Long!$L:$L,$F102)="","NA",INDEX(Results_Long!$L:$L,$F102))</f>
        <v>1.79556295187293E-2</v>
      </c>
      <c r="Q102" s="11">
        <f>IF(INDEX(Results_Long!$M:$M,$F102)="","NA",INDEX(Results_Long!$M:$M,$F102))</f>
        <v>-3.2655925210079899</v>
      </c>
      <c r="R102" s="12">
        <f>IF(INDEX(Results_Long!$N:$N,$F102)="","NA",INDEX(Results_Long!$N:$N,$F102))</f>
        <v>86.167716108906205</v>
      </c>
      <c r="S102" s="10">
        <f>IF(INDEX(Results_Long!$O:$O,$F102)="","NA",INDEX(Results_Long!$O:$O,$F102))</f>
        <v>1.5684274478064101E-3</v>
      </c>
      <c r="T102" s="6" t="str">
        <f>IF(INDEX(Results_Long!$AG:$AG,$F102)="","NA",INDEX(Results_Long!$AG:$AG,$F102))</f>
        <v>NA</v>
      </c>
      <c r="U102" s="5" t="str">
        <f>IF(INDEX(Results_Long!$AJ:$AJ,$F102)="","NA",INDEX(Results_Long!$AJ:$AJ,$F102))</f>
        <v>cumulative 3L refit after adding study 'Du et al (2022)' (median sample_mid = 2016.00); ordering: study-wise median sample_mid, ties alphabetical [DEC-045/H-Q17]; full display (CI band)</v>
      </c>
    </row>
    <row r="103" spans="1:21" ht="34.5" customHeight="1" x14ac:dyDescent="0.3">
      <c r="A103" s="6" t="s">
        <v>545</v>
      </c>
      <c r="B103" s="7" t="s">
        <v>277</v>
      </c>
      <c r="C103" s="7" t="s">
        <v>278</v>
      </c>
      <c r="D103" s="7" t="s">
        <v>546</v>
      </c>
      <c r="E103" s="7" t="s">
        <v>547</v>
      </c>
      <c r="F103" s="8">
        <f>SUMPRODUCT((Results_Long!$A$2:$A$178=$B103)*(Results_Long!$B$2:$B$178=$C103)*(Results_Long!$C$2:$C$178=$D103)*(Results_Long!$D$2:$D$178=$E103)*ROW(Results_Long!$A$2:$A$178))</f>
        <v>117</v>
      </c>
      <c r="G103" s="9">
        <f>IF(INDEX(Results_Long!$H:$H,$F103)="","NA",INDEX(Results_Long!$H:$H,$F103))</f>
        <v>2086</v>
      </c>
      <c r="H103" s="9">
        <f>IF(INDEX(Results_Long!$I:$I,$F103)="","NA",INDEX(Results_Long!$I:$I,$F103))</f>
        <v>90</v>
      </c>
      <c r="I103" s="9">
        <f>IF(INDEX(Results_Long!$J:$J,$F103)="","NA",INDEX(Results_Long!$J:$J,$F103))</f>
        <v>89</v>
      </c>
      <c r="J103" s="10">
        <f>IF(INDEX(Results_Long!$K:$K,$F103)="","NA",INDEX(Results_Long!$K:$K,$F103))</f>
        <v>-5.8903458384835801E-2</v>
      </c>
      <c r="K103" s="10">
        <f>IF(INDEX(Results_Long!$P:$P,$F103)="","NA",INDEX(Results_Long!$P:$P,$F103))</f>
        <v>-9.4139496442909698E-2</v>
      </c>
      <c r="L103" s="10">
        <f>IF(INDEX(Results_Long!$Q:$Q,$F103)="","NA",INDEX(Results_Long!$Q:$Q,$F103))</f>
        <v>-2.36674203267619E-2</v>
      </c>
      <c r="M103" s="10">
        <f>IF(INDEX(Results_Long!$T:$T,$F103)="","NA",INDEX(Results_Long!$T:$T,$F103))</f>
        <v>-5.8835428643245397E-2</v>
      </c>
      <c r="N103" s="10">
        <f>IF(INDEX(Results_Long!$U:$U,$F103)="","NA",INDEX(Results_Long!$U:$U,$F103))</f>
        <v>-9.3862382986406798E-2</v>
      </c>
      <c r="O103" s="10">
        <f>IF(INDEX(Results_Long!$V:$V,$F103)="","NA",INDEX(Results_Long!$V:$V,$F103))</f>
        <v>-2.3663002240202201E-2</v>
      </c>
      <c r="P103" s="10">
        <f>IF(INDEX(Results_Long!$L:$L,$F103)="","NA",INDEX(Results_Long!$L:$L,$F103))</f>
        <v>1.7728291226448301E-2</v>
      </c>
      <c r="Q103" s="11">
        <f>IF(INDEX(Results_Long!$M:$M,$F103)="","NA",INDEX(Results_Long!$M:$M,$F103))</f>
        <v>-3.3225682967662098</v>
      </c>
      <c r="R103" s="12">
        <f>IF(INDEX(Results_Long!$N:$N,$F103)="","NA",INDEX(Results_Long!$N:$N,$F103))</f>
        <v>87.150928258731</v>
      </c>
      <c r="S103" s="10">
        <f>IF(INDEX(Results_Long!$O:$O,$F103)="","NA",INDEX(Results_Long!$O:$O,$F103))</f>
        <v>1.30506165990772E-3</v>
      </c>
      <c r="T103" s="6" t="str">
        <f>IF(INDEX(Results_Long!$AG:$AG,$F103)="","NA",INDEX(Results_Long!$AG:$AG,$F103))</f>
        <v>NA</v>
      </c>
      <c r="U103" s="5" t="str">
        <f>IF(INDEX(Results_Long!$AJ:$AJ,$F103)="","NA",INDEX(Results_Long!$AJ:$AJ,$F103))</f>
        <v>cumulative 3L refit after adding study 'Tan et al (2021)' (median sample_mid = 2016.00); ordering: study-wise median sample_mid, ties alphabetical [DEC-045/H-Q17]; full display (CI band)</v>
      </c>
    </row>
    <row r="104" spans="1:21" ht="34.5" customHeight="1" x14ac:dyDescent="0.3">
      <c r="A104" s="6" t="s">
        <v>548</v>
      </c>
      <c r="B104" s="7" t="s">
        <v>277</v>
      </c>
      <c r="C104" s="7" t="s">
        <v>278</v>
      </c>
      <c r="D104" s="7" t="s">
        <v>549</v>
      </c>
      <c r="E104" s="7" t="s">
        <v>550</v>
      </c>
      <c r="F104" s="8">
        <f>SUMPRODUCT((Results_Long!$A$2:$A$178=$B104)*(Results_Long!$B$2:$B$178=$C104)*(Results_Long!$C$2:$C$178=$D104)*(Results_Long!$D$2:$D$178=$E104)*ROW(Results_Long!$A$2:$A$178))</f>
        <v>118</v>
      </c>
      <c r="G104" s="9">
        <f>IF(INDEX(Results_Long!$H:$H,$F104)="","NA",INDEX(Results_Long!$H:$H,$F104))</f>
        <v>2087</v>
      </c>
      <c r="H104" s="9">
        <f>IF(INDEX(Results_Long!$I:$I,$F104)="","NA",INDEX(Results_Long!$I:$I,$F104))</f>
        <v>91</v>
      </c>
      <c r="I104" s="9">
        <f>IF(INDEX(Results_Long!$J:$J,$F104)="","NA",INDEX(Results_Long!$J:$J,$F104))</f>
        <v>90</v>
      </c>
      <c r="J104" s="10">
        <f>IF(INDEX(Results_Long!$K:$K,$F104)="","NA",INDEX(Results_Long!$K:$K,$F104))</f>
        <v>-5.8707853235751999E-2</v>
      </c>
      <c r="K104" s="10">
        <f>IF(INDEX(Results_Long!$P:$P,$F104)="","NA",INDEX(Results_Long!$P:$P,$F104))</f>
        <v>-9.3608520961505196E-2</v>
      </c>
      <c r="L104" s="10">
        <f>IF(INDEX(Results_Long!$Q:$Q,$F104)="","NA",INDEX(Results_Long!$Q:$Q,$F104))</f>
        <v>-2.3807185509998802E-2</v>
      </c>
      <c r="M104" s="10">
        <f>IF(INDEX(Results_Long!$T:$T,$F104)="","NA",INDEX(Results_Long!$T:$T,$F104))</f>
        <v>-5.8640498361573097E-2</v>
      </c>
      <c r="N104" s="10">
        <f>IF(INDEX(Results_Long!$U:$U,$F104)="","NA",INDEX(Results_Long!$U:$U,$F104))</f>
        <v>-9.3336059295229395E-2</v>
      </c>
      <c r="O104" s="10">
        <f>IF(INDEX(Results_Long!$V:$V,$F104)="","NA",INDEX(Results_Long!$V:$V,$F104))</f>
        <v>-2.3802688700757801E-2</v>
      </c>
      <c r="P104" s="10">
        <f>IF(INDEX(Results_Long!$L:$L,$F104)="","NA",INDEX(Results_Long!$L:$L,$F104))</f>
        <v>1.7562064049002801E-2</v>
      </c>
      <c r="Q104" s="11">
        <f>IF(INDEX(Results_Long!$M:$M,$F104)="","NA",INDEX(Results_Long!$M:$M,$F104))</f>
        <v>-3.3428788935025802</v>
      </c>
      <c r="R104" s="12">
        <f>IF(INDEX(Results_Long!$N:$N,$F104)="","NA",INDEX(Results_Long!$N:$N,$F104))</f>
        <v>88.044193963095495</v>
      </c>
      <c r="S104" s="10">
        <f>IF(INDEX(Results_Long!$O:$O,$F104)="","NA",INDEX(Results_Long!$O:$O,$F104))</f>
        <v>1.21887861436874E-3</v>
      </c>
      <c r="T104" s="6" t="str">
        <f>IF(INDEX(Results_Long!$AG:$AG,$F104)="","NA",INDEX(Results_Long!$AG:$AG,$F104))</f>
        <v>NA</v>
      </c>
      <c r="U104" s="5" t="str">
        <f>IF(INDEX(Results_Long!$AJ:$AJ,$F104)="","NA",INDEX(Results_Long!$AJ:$AJ,$F104))</f>
        <v>cumulative 3L refit after adding study 'Wang et al (2022a)' (median sample_mid = 2016.00); ordering: study-wise median sample_mid, ties alphabetical [DEC-045/H-Q17]; full display (CI band)</v>
      </c>
    </row>
    <row r="105" spans="1:21" ht="34.5" customHeight="1" x14ac:dyDescent="0.3">
      <c r="A105" s="6" t="s">
        <v>551</v>
      </c>
      <c r="B105" s="7" t="s">
        <v>277</v>
      </c>
      <c r="C105" s="7" t="s">
        <v>278</v>
      </c>
      <c r="D105" s="7" t="s">
        <v>552</v>
      </c>
      <c r="E105" s="7" t="s">
        <v>553</v>
      </c>
      <c r="F105" s="8">
        <f>SUMPRODUCT((Results_Long!$A$2:$A$178=$B105)*(Results_Long!$B$2:$B$178=$C105)*(Results_Long!$C$2:$C$178=$D105)*(Results_Long!$D$2:$D$178=$E105)*ROW(Results_Long!$A$2:$A$178))</f>
        <v>119</v>
      </c>
      <c r="G105" s="9">
        <f>IF(INDEX(Results_Long!$H:$H,$F105)="","NA",INDEX(Results_Long!$H:$H,$F105))</f>
        <v>2116</v>
      </c>
      <c r="H105" s="9">
        <f>IF(INDEX(Results_Long!$I:$I,$F105)="","NA",INDEX(Results_Long!$I:$I,$F105))</f>
        <v>92</v>
      </c>
      <c r="I105" s="9">
        <f>IF(INDEX(Results_Long!$J:$J,$F105)="","NA",INDEX(Results_Long!$J:$J,$F105))</f>
        <v>91</v>
      </c>
      <c r="J105" s="10">
        <f>IF(INDEX(Results_Long!$K:$K,$F105)="","NA",INDEX(Results_Long!$K:$K,$F105))</f>
        <v>-5.8574237025663799E-2</v>
      </c>
      <c r="K105" s="10">
        <f>IF(INDEX(Results_Long!$P:$P,$F105)="","NA",INDEX(Results_Long!$P:$P,$F105))</f>
        <v>-9.30676256144191E-2</v>
      </c>
      <c r="L105" s="10">
        <f>IF(INDEX(Results_Long!$Q:$Q,$F105)="","NA",INDEX(Results_Long!$Q:$Q,$F105))</f>
        <v>-2.4080848436908501E-2</v>
      </c>
      <c r="M105" s="10">
        <f>IF(INDEX(Results_Long!$T:$T,$F105)="","NA",INDEX(Results_Long!$T:$T,$F105))</f>
        <v>-5.8507340576080397E-2</v>
      </c>
      <c r="N105" s="10">
        <f>IF(INDEX(Results_Long!$U:$U,$F105)="","NA",INDEX(Results_Long!$U:$U,$F105))</f>
        <v>-9.2799849004542301E-2</v>
      </c>
      <c r="O105" s="10">
        <f>IF(INDEX(Results_Long!$V:$V,$F105)="","NA",INDEX(Results_Long!$V:$V,$F105))</f>
        <v>-2.4076194790590501E-2</v>
      </c>
      <c r="P105" s="10">
        <f>IF(INDEX(Results_Long!$L:$L,$F105)="","NA",INDEX(Results_Long!$L:$L,$F105))</f>
        <v>1.7359820949016801E-2</v>
      </c>
      <c r="Q105" s="11">
        <f>IF(INDEX(Results_Long!$M:$M,$F105)="","NA",INDEX(Results_Long!$M:$M,$F105))</f>
        <v>-3.37412679529861</v>
      </c>
      <c r="R105" s="12">
        <f>IF(INDEX(Results_Long!$N:$N,$F105)="","NA",INDEX(Results_Long!$N:$N,$F105))</f>
        <v>89.038566354742997</v>
      </c>
      <c r="S105" s="10">
        <f>IF(INDEX(Results_Long!$O:$O,$F105)="","NA",INDEX(Results_Long!$O:$O,$F105))</f>
        <v>1.0982462756722799E-3</v>
      </c>
      <c r="T105" s="6" t="str">
        <f>IF(INDEX(Results_Long!$AG:$AG,$F105)="","NA",INDEX(Results_Long!$AG:$AG,$F105))</f>
        <v>NA</v>
      </c>
      <c r="U105" s="5" t="str">
        <f>IF(INDEX(Results_Long!$AJ:$AJ,$F105)="","NA",INDEX(Results_Long!$AJ:$AJ,$F105))</f>
        <v>cumulative 3L refit after adding study 'Lin et al (2025)' (median sample_mid = 2017.00); ordering: study-wise median sample_mid, ties alphabetical [DEC-045/H-Q17]; full display (CI band)</v>
      </c>
    </row>
    <row r="106" spans="1:21" ht="34.5" customHeight="1" x14ac:dyDescent="0.3">
      <c r="A106" s="6" t="s">
        <v>554</v>
      </c>
      <c r="B106" s="7" t="s">
        <v>277</v>
      </c>
      <c r="C106" s="7" t="s">
        <v>278</v>
      </c>
      <c r="D106" s="7" t="s">
        <v>555</v>
      </c>
      <c r="E106" s="7" t="s">
        <v>556</v>
      </c>
      <c r="F106" s="8">
        <f>SUMPRODUCT((Results_Long!$A$2:$A$178=$B106)*(Results_Long!$B$2:$B$178=$C106)*(Results_Long!$C$2:$C$178=$D106)*(Results_Long!$D$2:$D$178=$E106)*ROW(Results_Long!$A$2:$A$178))</f>
        <v>120</v>
      </c>
      <c r="G106" s="9">
        <f>IF(INDEX(Results_Long!$H:$H,$F106)="","NA",INDEX(Results_Long!$H:$H,$F106))</f>
        <v>2126</v>
      </c>
      <c r="H106" s="9">
        <f>IF(INDEX(Results_Long!$I:$I,$F106)="","NA",INDEX(Results_Long!$I:$I,$F106))</f>
        <v>93</v>
      </c>
      <c r="I106" s="9">
        <f>IF(INDEX(Results_Long!$J:$J,$F106)="","NA",INDEX(Results_Long!$J:$J,$F106))</f>
        <v>92</v>
      </c>
      <c r="J106" s="10">
        <f>IF(INDEX(Results_Long!$K:$K,$F106)="","NA",INDEX(Results_Long!$K:$K,$F106))</f>
        <v>-5.8257529601576097E-2</v>
      </c>
      <c r="K106" s="10">
        <f>IF(INDEX(Results_Long!$P:$P,$F106)="","NA",INDEX(Results_Long!$P:$P,$F106))</f>
        <v>-9.2314657895799707E-2</v>
      </c>
      <c r="L106" s="10">
        <f>IF(INDEX(Results_Long!$Q:$Q,$F106)="","NA",INDEX(Results_Long!$Q:$Q,$F106))</f>
        <v>-2.4200401307352501E-2</v>
      </c>
      <c r="M106" s="10">
        <f>IF(INDEX(Results_Long!$T:$T,$F106)="","NA",INDEX(Results_Long!$T:$T,$F106))</f>
        <v>-5.8191711438032E-2</v>
      </c>
      <c r="N106" s="10">
        <f>IF(INDEX(Results_Long!$U:$U,$F106)="","NA",INDEX(Results_Long!$U:$U,$F106))</f>
        <v>-9.2053313679051701E-2</v>
      </c>
      <c r="O106" s="10">
        <f>IF(INDEX(Results_Long!$V:$V,$F106)="","NA",INDEX(Results_Long!$V:$V,$F106))</f>
        <v>-2.4195678016153199E-2</v>
      </c>
      <c r="P106" s="10">
        <f>IF(INDEX(Results_Long!$L:$L,$F106)="","NA",INDEX(Results_Long!$L:$L,$F106))</f>
        <v>1.7142839076073901E-2</v>
      </c>
      <c r="Q106" s="11">
        <f>IF(INDEX(Results_Long!$M:$M,$F106)="","NA",INDEX(Results_Long!$M:$M,$F106))</f>
        <v>-3.3983594749416799</v>
      </c>
      <c r="R106" s="12">
        <f>IF(INDEX(Results_Long!$N:$N,$F106)="","NA",INDEX(Results_Long!$N:$N,$F106))</f>
        <v>90.022050837626097</v>
      </c>
      <c r="S106" s="10">
        <f>IF(INDEX(Results_Long!$O:$O,$F106)="","NA",INDEX(Results_Long!$O:$O,$F106))</f>
        <v>1.0115513440580801E-3</v>
      </c>
      <c r="T106" s="6" t="str">
        <f>IF(INDEX(Results_Long!$AG:$AG,$F106)="","NA",INDEX(Results_Long!$AG:$AG,$F106))</f>
        <v>NA</v>
      </c>
      <c r="U106" s="5" t="str">
        <f>IF(INDEX(Results_Long!$AJ:$AJ,$F106)="","NA",INDEX(Results_Long!$AJ:$AJ,$F106))</f>
        <v>cumulative 3L refit after adding study 'Liu et al (2023)' (median sample_mid = 2017.00); ordering: study-wise median sample_mid, ties alphabetical [DEC-045/H-Q17]; full display (CI band)</v>
      </c>
    </row>
    <row r="107" spans="1:21" ht="34.5" customHeight="1" x14ac:dyDescent="0.3">
      <c r="A107" s="6" t="s">
        <v>557</v>
      </c>
      <c r="B107" s="7" t="s">
        <v>277</v>
      </c>
      <c r="C107" s="7" t="s">
        <v>278</v>
      </c>
      <c r="D107" s="7" t="s">
        <v>558</v>
      </c>
      <c r="E107" s="7" t="s">
        <v>559</v>
      </c>
      <c r="F107" s="8">
        <f>SUMPRODUCT((Results_Long!$A$2:$A$178=$B107)*(Results_Long!$B$2:$B$178=$C107)*(Results_Long!$C$2:$C$178=$D107)*(Results_Long!$D$2:$D$178=$E107)*ROW(Results_Long!$A$2:$A$178))</f>
        <v>121</v>
      </c>
      <c r="G107" s="9">
        <f>IF(INDEX(Results_Long!$H:$H,$F107)="","NA",INDEX(Results_Long!$H:$H,$F107))</f>
        <v>2131</v>
      </c>
      <c r="H107" s="9">
        <f>IF(INDEX(Results_Long!$I:$I,$F107)="","NA",INDEX(Results_Long!$I:$I,$F107))</f>
        <v>94</v>
      </c>
      <c r="I107" s="9">
        <f>IF(INDEX(Results_Long!$J:$J,$F107)="","NA",INDEX(Results_Long!$J:$J,$F107))</f>
        <v>93</v>
      </c>
      <c r="J107" s="10">
        <f>IF(INDEX(Results_Long!$K:$K,$F107)="","NA",INDEX(Results_Long!$K:$K,$F107))</f>
        <v>-5.9317267509402999E-2</v>
      </c>
      <c r="K107" s="10">
        <f>IF(INDEX(Results_Long!$P:$P,$F107)="","NA",INDEX(Results_Long!$P:$P,$F107))</f>
        <v>-9.3080942074972001E-2</v>
      </c>
      <c r="L107" s="10">
        <f>IF(INDEX(Results_Long!$Q:$Q,$F107)="","NA",INDEX(Results_Long!$Q:$Q,$F107))</f>
        <v>-2.5553592943834001E-2</v>
      </c>
      <c r="M107" s="10">
        <f>IF(INDEX(Results_Long!$T:$T,$F107)="","NA",INDEX(Results_Long!$T:$T,$F107))</f>
        <v>-5.92477952596977E-2</v>
      </c>
      <c r="N107" s="10">
        <f>IF(INDEX(Results_Long!$U:$U,$F107)="","NA",INDEX(Results_Long!$U:$U,$F107))</f>
        <v>-9.2813050769925701E-2</v>
      </c>
      <c r="O107" s="10">
        <f>IF(INDEX(Results_Long!$V:$V,$F107)="","NA",INDEX(Results_Long!$V:$V,$F107))</f>
        <v>-2.5548032349121699E-2</v>
      </c>
      <c r="P107" s="10">
        <f>IF(INDEX(Results_Long!$L:$L,$F107)="","NA",INDEX(Results_Long!$L:$L,$F107))</f>
        <v>1.6997619815544599E-2</v>
      </c>
      <c r="Q107" s="11">
        <f>IF(INDEX(Results_Long!$M:$M,$F107)="","NA",INDEX(Results_Long!$M:$M,$F107))</f>
        <v>-3.48973963137807</v>
      </c>
      <c r="R107" s="12">
        <f>IF(INDEX(Results_Long!$N:$N,$F107)="","NA",INDEX(Results_Long!$N:$N,$F107))</f>
        <v>91.001823658508997</v>
      </c>
      <c r="S107" s="10">
        <f>IF(INDEX(Results_Long!$O:$O,$F107)="","NA",INDEX(Results_Long!$O:$O,$F107))</f>
        <v>7.4738611800669497E-4</v>
      </c>
      <c r="T107" s="6" t="str">
        <f>IF(INDEX(Results_Long!$AG:$AG,$F107)="","NA",INDEX(Results_Long!$AG:$AG,$F107))</f>
        <v>NA</v>
      </c>
      <c r="U107" s="5" t="str">
        <f>IF(INDEX(Results_Long!$AJ:$AJ,$F107)="","NA",INDEX(Results_Long!$AJ:$AJ,$F107))</f>
        <v>cumulative 3L refit after adding study 'Nasih et al (2024)' (median sample_mid = 2017.00); ordering: study-wise median sample_mid, ties alphabetical [DEC-045/H-Q17]; full display (CI band)</v>
      </c>
    </row>
    <row r="108" spans="1:21" ht="34.5" customHeight="1" x14ac:dyDescent="0.3">
      <c r="A108" s="6" t="s">
        <v>560</v>
      </c>
      <c r="B108" s="7" t="s">
        <v>277</v>
      </c>
      <c r="C108" s="7" t="s">
        <v>278</v>
      </c>
      <c r="D108" s="7" t="s">
        <v>561</v>
      </c>
      <c r="E108" s="7" t="s">
        <v>562</v>
      </c>
      <c r="F108" s="8">
        <f>SUMPRODUCT((Results_Long!$A$2:$A$178=$B108)*(Results_Long!$B$2:$B$178=$C108)*(Results_Long!$C$2:$C$178=$D108)*(Results_Long!$D$2:$D$178=$E108)*ROW(Results_Long!$A$2:$A$178))</f>
        <v>122</v>
      </c>
      <c r="G108" s="9">
        <f>IF(INDEX(Results_Long!$H:$H,$F108)="","NA",INDEX(Results_Long!$H:$H,$F108))</f>
        <v>2137</v>
      </c>
      <c r="H108" s="9">
        <f>IF(INDEX(Results_Long!$I:$I,$F108)="","NA",INDEX(Results_Long!$I:$I,$F108))</f>
        <v>95</v>
      </c>
      <c r="I108" s="9">
        <f>IF(INDEX(Results_Long!$J:$J,$F108)="","NA",INDEX(Results_Long!$J:$J,$F108))</f>
        <v>94</v>
      </c>
      <c r="J108" s="10">
        <f>IF(INDEX(Results_Long!$K:$K,$F108)="","NA",INDEX(Results_Long!$K:$K,$F108))</f>
        <v>-6.0077312300514898E-2</v>
      </c>
      <c r="K108" s="10">
        <f>IF(INDEX(Results_Long!$P:$P,$F108)="","NA",INDEX(Results_Long!$P:$P,$F108))</f>
        <v>-9.3503505301812104E-2</v>
      </c>
      <c r="L108" s="10">
        <f>IF(INDEX(Results_Long!$Q:$Q,$F108)="","NA",INDEX(Results_Long!$Q:$Q,$F108))</f>
        <v>-2.6651119299217801E-2</v>
      </c>
      <c r="M108" s="10">
        <f>IF(INDEX(Results_Long!$T:$T,$F108)="","NA",INDEX(Results_Long!$T:$T,$F108))</f>
        <v>-6.0005137814927598E-2</v>
      </c>
      <c r="N108" s="10">
        <f>IF(INDEX(Results_Long!$U:$U,$F108)="","NA",INDEX(Results_Long!$U:$U,$F108))</f>
        <v>-9.3231957472056801E-2</v>
      </c>
      <c r="O108" s="10">
        <f>IF(INDEX(Results_Long!$V:$V,$F108)="","NA",INDEX(Results_Long!$V:$V,$F108))</f>
        <v>-2.6644811153243901E-2</v>
      </c>
      <c r="P108" s="10">
        <f>IF(INDEX(Results_Long!$L:$L,$F108)="","NA",INDEX(Results_Long!$L:$L,$F108))</f>
        <v>1.6830138537009699E-2</v>
      </c>
      <c r="Q108" s="11">
        <f>IF(INDEX(Results_Long!$M:$M,$F108)="","NA",INDEX(Results_Long!$M:$M,$F108))</f>
        <v>-3.5696267246050302</v>
      </c>
      <c r="R108" s="12">
        <f>IF(INDEX(Results_Long!$N:$N,$F108)="","NA",INDEX(Results_Long!$N:$N,$F108))</f>
        <v>91.982415796851399</v>
      </c>
      <c r="S108" s="10">
        <f>IF(INDEX(Results_Long!$O:$O,$F108)="","NA",INDEX(Results_Long!$O:$O,$F108))</f>
        <v>5.7059435424262298E-4</v>
      </c>
      <c r="T108" s="6" t="str">
        <f>IF(INDEX(Results_Long!$AG:$AG,$F108)="","NA",INDEX(Results_Long!$AG:$AG,$F108))</f>
        <v>NA</v>
      </c>
      <c r="U108" s="5" t="str">
        <f>IF(INDEX(Results_Long!$AJ:$AJ,$F108)="","NA",INDEX(Results_Long!$AJ:$AJ,$F108))</f>
        <v>cumulative 3L refit after adding study 'Ratajczak &amp; Mikolajewicz (2021)' (median sample_mid = 2017.00); ordering: study-wise median sample_mid, ties alphabetical [DEC-045/H-Q17]; full display (CI band)</v>
      </c>
    </row>
    <row r="109" spans="1:21" ht="34.5" customHeight="1" x14ac:dyDescent="0.3">
      <c r="A109" s="6" t="s">
        <v>563</v>
      </c>
      <c r="B109" s="7" t="s">
        <v>277</v>
      </c>
      <c r="C109" s="7" t="s">
        <v>278</v>
      </c>
      <c r="D109" s="7" t="s">
        <v>564</v>
      </c>
      <c r="E109" s="7" t="s">
        <v>565</v>
      </c>
      <c r="F109" s="8">
        <f>SUMPRODUCT((Results_Long!$A$2:$A$178=$B109)*(Results_Long!$B$2:$B$178=$C109)*(Results_Long!$C$2:$C$178=$D109)*(Results_Long!$D$2:$D$178=$E109)*ROW(Results_Long!$A$2:$A$178))</f>
        <v>123</v>
      </c>
      <c r="G109" s="9">
        <f>IF(INDEX(Results_Long!$H:$H,$F109)="","NA",INDEX(Results_Long!$H:$H,$F109))</f>
        <v>2162</v>
      </c>
      <c r="H109" s="9">
        <f>IF(INDEX(Results_Long!$I:$I,$F109)="","NA",INDEX(Results_Long!$I:$I,$F109))</f>
        <v>96</v>
      </c>
      <c r="I109" s="9">
        <f>IF(INDEX(Results_Long!$J:$J,$F109)="","NA",INDEX(Results_Long!$J:$J,$F109))</f>
        <v>95</v>
      </c>
      <c r="J109" s="10">
        <f>IF(INDEX(Results_Long!$K:$K,$F109)="","NA",INDEX(Results_Long!$K:$K,$F109))</f>
        <v>-5.9629800582716101E-2</v>
      </c>
      <c r="K109" s="10">
        <f>IF(INDEX(Results_Long!$P:$P,$F109)="","NA",INDEX(Results_Long!$P:$P,$F109))</f>
        <v>-9.2694502839161405E-2</v>
      </c>
      <c r="L109" s="10">
        <f>IF(INDEX(Results_Long!$Q:$Q,$F109)="","NA",INDEX(Results_Long!$Q:$Q,$F109))</f>
        <v>-2.6565098326270801E-2</v>
      </c>
      <c r="M109" s="10">
        <f>IF(INDEX(Results_Long!$T:$T,$F109)="","NA",INDEX(Results_Long!$T:$T,$F109))</f>
        <v>-5.9559225470914502E-2</v>
      </c>
      <c r="N109" s="10">
        <f>IF(INDEX(Results_Long!$U:$U,$F109)="","NA",INDEX(Results_Long!$U:$U,$F109))</f>
        <v>-9.24299267008033E-2</v>
      </c>
      <c r="O109" s="10">
        <f>IF(INDEX(Results_Long!$V:$V,$F109)="","NA",INDEX(Results_Long!$V:$V,$F109))</f>
        <v>-2.6558851053729699E-2</v>
      </c>
      <c r="P109" s="10">
        <f>IF(INDEX(Results_Long!$L:$L,$F109)="","NA",INDEX(Results_Long!$L:$L,$F109))</f>
        <v>1.6650501304691201E-2</v>
      </c>
      <c r="Q109" s="11">
        <f>IF(INDEX(Results_Long!$M:$M,$F109)="","NA",INDEX(Results_Long!$M:$M,$F109))</f>
        <v>-3.5812615783475401</v>
      </c>
      <c r="R109" s="12">
        <f>IF(INDEX(Results_Long!$N:$N,$F109)="","NA",INDEX(Results_Long!$N:$N,$F109))</f>
        <v>92.977264118160704</v>
      </c>
      <c r="S109" s="10">
        <f>IF(INDEX(Results_Long!$O:$O,$F109)="","NA",INDEX(Results_Long!$O:$O,$F109))</f>
        <v>5.4621636298866503E-4</v>
      </c>
      <c r="T109" s="6" t="str">
        <f>IF(INDEX(Results_Long!$AG:$AG,$F109)="","NA",INDEX(Results_Long!$AG:$AG,$F109))</f>
        <v>NA</v>
      </c>
      <c r="U109" s="5" t="str">
        <f>IF(INDEX(Results_Long!$AJ:$AJ,$F109)="","NA",INDEX(Results_Long!$AJ:$AJ,$F109))</f>
        <v>cumulative 3L refit after adding study 'Tan et al (2026)' (median sample_mid = 2017.00); ordering: study-wise median sample_mid, ties alphabetical [DEC-045/H-Q17]; full display (CI band)</v>
      </c>
    </row>
    <row r="110" spans="1:21" ht="34.5" customHeight="1" x14ac:dyDescent="0.3">
      <c r="A110" s="6" t="s">
        <v>566</v>
      </c>
      <c r="B110" s="7" t="s">
        <v>277</v>
      </c>
      <c r="C110" s="7" t="s">
        <v>278</v>
      </c>
      <c r="D110" s="7" t="s">
        <v>567</v>
      </c>
      <c r="E110" s="7" t="s">
        <v>568</v>
      </c>
      <c r="F110" s="8">
        <f>SUMPRODUCT((Results_Long!$A$2:$A$178=$B110)*(Results_Long!$B$2:$B$178=$C110)*(Results_Long!$C$2:$C$178=$D110)*(Results_Long!$D$2:$D$178=$E110)*ROW(Results_Long!$A$2:$A$178))</f>
        <v>124</v>
      </c>
      <c r="G110" s="9">
        <f>IF(INDEX(Results_Long!$H:$H,$F110)="","NA",INDEX(Results_Long!$H:$H,$F110))</f>
        <v>2175</v>
      </c>
      <c r="H110" s="9">
        <f>IF(INDEX(Results_Long!$I:$I,$F110)="","NA",INDEX(Results_Long!$I:$I,$F110))</f>
        <v>97</v>
      </c>
      <c r="I110" s="9">
        <f>IF(INDEX(Results_Long!$J:$J,$F110)="","NA",INDEX(Results_Long!$J:$J,$F110))</f>
        <v>96</v>
      </c>
      <c r="J110" s="10">
        <f>IF(INDEX(Results_Long!$K:$K,$F110)="","NA",INDEX(Results_Long!$K:$K,$F110))</f>
        <v>-5.9514625651181402E-2</v>
      </c>
      <c r="K110" s="10">
        <f>IF(INDEX(Results_Long!$P:$P,$F110)="","NA",INDEX(Results_Long!$P:$P,$F110))</f>
        <v>-9.2179160027826695E-2</v>
      </c>
      <c r="L110" s="10">
        <f>IF(INDEX(Results_Long!$Q:$Q,$F110)="","NA",INDEX(Results_Long!$Q:$Q,$F110))</f>
        <v>-2.6850091274536102E-2</v>
      </c>
      <c r="M110" s="10">
        <f>IF(INDEX(Results_Long!$T:$T,$F110)="","NA",INDEX(Results_Long!$T:$T,$F110))</f>
        <v>-5.9444458312804399E-2</v>
      </c>
      <c r="N110" s="10">
        <f>IF(INDEX(Results_Long!$U:$U,$F110)="","NA",INDEX(Results_Long!$U:$U,$F110))</f>
        <v>-9.1918962319667993E-2</v>
      </c>
      <c r="O110" s="10">
        <f>IF(INDEX(Results_Long!$V:$V,$F110)="","NA",INDEX(Results_Long!$V:$V,$F110))</f>
        <v>-2.68436408124786E-2</v>
      </c>
      <c r="P110" s="10">
        <f>IF(INDEX(Results_Long!$L:$L,$F110)="","NA",INDEX(Results_Long!$L:$L,$F110))</f>
        <v>1.6451258962021799E-2</v>
      </c>
      <c r="Q110" s="11">
        <f>IF(INDEX(Results_Long!$M:$M,$F110)="","NA",INDEX(Results_Long!$M:$M,$F110))</f>
        <v>-3.6176335068685299</v>
      </c>
      <c r="R110" s="12">
        <f>IF(INDEX(Results_Long!$N:$N,$F110)="","NA",INDEX(Results_Long!$N:$N,$F110))</f>
        <v>93.961594239493905</v>
      </c>
      <c r="S110" s="10">
        <f>IF(INDEX(Results_Long!$O:$O,$F110)="","NA",INDEX(Results_Long!$O:$O,$F110))</f>
        <v>4.8092533540659702E-4</v>
      </c>
      <c r="T110" s="6" t="str">
        <f>IF(INDEX(Results_Long!$AG:$AG,$F110)="","NA",INDEX(Results_Long!$AG:$AG,$F110))</f>
        <v>NA</v>
      </c>
      <c r="U110" s="5" t="str">
        <f>IF(INDEX(Results_Long!$AJ:$AJ,$F110)="","NA",INDEX(Results_Long!$AJ:$AJ,$F110))</f>
        <v>cumulative 3L refit after adding study 'Temiz (2022)' (median sample_mid = 2017.00); ordering: study-wise median sample_mid, ties alphabetical [DEC-045/H-Q17]; full display (CI band)</v>
      </c>
    </row>
    <row r="111" spans="1:21" ht="34.5" customHeight="1" x14ac:dyDescent="0.3">
      <c r="A111" s="6" t="s">
        <v>569</v>
      </c>
      <c r="B111" s="7" t="s">
        <v>277</v>
      </c>
      <c r="C111" s="7" t="s">
        <v>278</v>
      </c>
      <c r="D111" s="7" t="s">
        <v>570</v>
      </c>
      <c r="E111" s="7" t="s">
        <v>571</v>
      </c>
      <c r="F111" s="8">
        <f>SUMPRODUCT((Results_Long!$A$2:$A$178=$B111)*(Results_Long!$B$2:$B$178=$C111)*(Results_Long!$C$2:$C$178=$D111)*(Results_Long!$D$2:$D$178=$E111)*ROW(Results_Long!$A$2:$A$178))</f>
        <v>125</v>
      </c>
      <c r="G111" s="9">
        <f>IF(INDEX(Results_Long!$H:$H,$F111)="","NA",INDEX(Results_Long!$H:$H,$F111))</f>
        <v>2199</v>
      </c>
      <c r="H111" s="9">
        <f>IF(INDEX(Results_Long!$I:$I,$F111)="","NA",INDEX(Results_Long!$I:$I,$F111))</f>
        <v>98</v>
      </c>
      <c r="I111" s="9">
        <f>IF(INDEX(Results_Long!$J:$J,$F111)="","NA",INDEX(Results_Long!$J:$J,$F111))</f>
        <v>97</v>
      </c>
      <c r="J111" s="10">
        <f>IF(INDEX(Results_Long!$K:$K,$F111)="","NA",INDEX(Results_Long!$K:$K,$F111))</f>
        <v>-5.9498142435411898E-2</v>
      </c>
      <c r="K111" s="10">
        <f>IF(INDEX(Results_Long!$P:$P,$F111)="","NA",INDEX(Results_Long!$P:$P,$F111))</f>
        <v>-9.1785810330925505E-2</v>
      </c>
      <c r="L111" s="10">
        <f>IF(INDEX(Results_Long!$Q:$Q,$F111)="","NA",INDEX(Results_Long!$Q:$Q,$F111))</f>
        <v>-2.7210474539898302E-2</v>
      </c>
      <c r="M111" s="10">
        <f>IF(INDEX(Results_Long!$T:$T,$F111)="","NA",INDEX(Results_Long!$T:$T,$F111))</f>
        <v>-5.9428033326752901E-2</v>
      </c>
      <c r="N111" s="10">
        <f>IF(INDEX(Results_Long!$U:$U,$F111)="","NA",INDEX(Results_Long!$U:$U,$F111))</f>
        <v>-9.1528921989676104E-2</v>
      </c>
      <c r="O111" s="10">
        <f>IF(INDEX(Results_Long!$V:$V,$F111)="","NA",INDEX(Results_Long!$V:$V,$F111))</f>
        <v>-2.7203760893096701E-2</v>
      </c>
      <c r="P111" s="10">
        <f>IF(INDEX(Results_Long!$L:$L,$F111)="","NA",INDEX(Results_Long!$L:$L,$F111))</f>
        <v>1.6263660761280101E-2</v>
      </c>
      <c r="Q111" s="11">
        <f>IF(INDEX(Results_Long!$M:$M,$F111)="","NA",INDEX(Results_Long!$M:$M,$F111))</f>
        <v>-3.6583487142736502</v>
      </c>
      <c r="R111" s="12">
        <f>IF(INDEX(Results_Long!$N:$N,$F111)="","NA",INDEX(Results_Long!$N:$N,$F111))</f>
        <v>94.950056806747199</v>
      </c>
      <c r="S111" s="10">
        <f>IF(INDEX(Results_Long!$O:$O,$F111)="","NA",INDEX(Results_Long!$O:$O,$F111))</f>
        <v>4.16770162980609E-4</v>
      </c>
      <c r="T111" s="6" t="str">
        <f>IF(INDEX(Results_Long!$AG:$AG,$F111)="","NA",INDEX(Results_Long!$AG:$AG,$F111))</f>
        <v>NA</v>
      </c>
      <c r="U111" s="5" t="str">
        <f>IF(INDEX(Results_Long!$AJ:$AJ,$F111)="","NA",INDEX(Results_Long!$AJ:$AJ,$F111))</f>
        <v>cumulative 3L refit after adding study 'Wang et al (2025a)' (median sample_mid = 2017.00); ordering: study-wise median sample_mid, ties alphabetical [DEC-045/H-Q17]; full display (CI band)</v>
      </c>
    </row>
    <row r="112" spans="1:21" ht="34.5" customHeight="1" x14ac:dyDescent="0.3">
      <c r="A112" s="6" t="s">
        <v>572</v>
      </c>
      <c r="B112" s="7" t="s">
        <v>277</v>
      </c>
      <c r="C112" s="7" t="s">
        <v>278</v>
      </c>
      <c r="D112" s="7" t="s">
        <v>573</v>
      </c>
      <c r="E112" s="7" t="s">
        <v>574</v>
      </c>
      <c r="F112" s="8">
        <f>SUMPRODUCT((Results_Long!$A$2:$A$178=$B112)*(Results_Long!$B$2:$B$178=$C112)*(Results_Long!$C$2:$C$178=$D112)*(Results_Long!$D$2:$D$178=$E112)*ROW(Results_Long!$A$2:$A$178))</f>
        <v>126</v>
      </c>
      <c r="G112" s="9">
        <f>IF(INDEX(Results_Long!$H:$H,$F112)="","NA",INDEX(Results_Long!$H:$H,$F112))</f>
        <v>2369</v>
      </c>
      <c r="H112" s="9">
        <f>IF(INDEX(Results_Long!$I:$I,$F112)="","NA",INDEX(Results_Long!$I:$I,$F112))</f>
        <v>99</v>
      </c>
      <c r="I112" s="9">
        <f>IF(INDEX(Results_Long!$J:$J,$F112)="","NA",INDEX(Results_Long!$J:$J,$F112))</f>
        <v>98</v>
      </c>
      <c r="J112" s="10">
        <f>IF(INDEX(Results_Long!$K:$K,$F112)="","NA",INDEX(Results_Long!$K:$K,$F112))</f>
        <v>-5.8937901533731699E-2</v>
      </c>
      <c r="K112" s="10">
        <f>IF(INDEX(Results_Long!$P:$P,$F112)="","NA",INDEX(Results_Long!$P:$P,$F112))</f>
        <v>-9.10077866106727E-2</v>
      </c>
      <c r="L112" s="10">
        <f>IF(INDEX(Results_Long!$Q:$Q,$F112)="","NA",INDEX(Results_Long!$Q:$Q,$F112))</f>
        <v>-2.68680164567906E-2</v>
      </c>
      <c r="M112" s="10">
        <f>IF(INDEX(Results_Long!$T:$T,$F112)="","NA",INDEX(Results_Long!$T:$T,$F112))</f>
        <v>-5.8869752493902999E-2</v>
      </c>
      <c r="N112" s="10">
        <f>IF(INDEX(Results_Long!$U:$U,$F112)="","NA",INDEX(Results_Long!$U:$U,$F112))</f>
        <v>-9.0757361408592099E-2</v>
      </c>
      <c r="O112" s="10">
        <f>IF(INDEX(Results_Long!$V:$V,$F112)="","NA",INDEX(Results_Long!$V:$V,$F112))</f>
        <v>-2.6861553069565499E-2</v>
      </c>
      <c r="P112" s="10">
        <f>IF(INDEX(Results_Long!$L:$L,$F112)="","NA",INDEX(Results_Long!$L:$L,$F112))</f>
        <v>1.6156190367319301E-2</v>
      </c>
      <c r="Q112" s="11">
        <f>IF(INDEX(Results_Long!$M:$M,$F112)="","NA",INDEX(Results_Long!$M:$M,$F112))</f>
        <v>-3.6480073701626501</v>
      </c>
      <c r="R112" s="12">
        <f>IF(INDEX(Results_Long!$N:$N,$F112)="","NA",INDEX(Results_Long!$N:$N,$F112))</f>
        <v>95.976394080094096</v>
      </c>
      <c r="S112" s="10">
        <f>IF(INDEX(Results_Long!$O:$O,$F112)="","NA",INDEX(Results_Long!$O:$O,$F112))</f>
        <v>4.2966206878337503E-4</v>
      </c>
      <c r="T112" s="6" t="str">
        <f>IF(INDEX(Results_Long!$AG:$AG,$F112)="","NA",INDEX(Results_Long!$AG:$AG,$F112))</f>
        <v>NA</v>
      </c>
      <c r="U112" s="5" t="str">
        <f>IF(INDEX(Results_Long!$AJ:$AJ,$F112)="","NA",INDEX(Results_Long!$AJ:$AJ,$F112))</f>
        <v>cumulative 3L refit after adding study 'Panjwani et al (2023)' (median sample_mid = 2017.50); ordering: study-wise median sample_mid, ties alphabetical [DEC-045/H-Q17]; full display (CI band)</v>
      </c>
    </row>
    <row r="113" spans="1:21" ht="34.5" customHeight="1" x14ac:dyDescent="0.3">
      <c r="A113" s="6" t="s">
        <v>575</v>
      </c>
      <c r="B113" s="7" t="s">
        <v>277</v>
      </c>
      <c r="C113" s="7" t="s">
        <v>278</v>
      </c>
      <c r="D113" s="7" t="s">
        <v>576</v>
      </c>
      <c r="E113" s="7" t="s">
        <v>577</v>
      </c>
      <c r="F113" s="8">
        <f>SUMPRODUCT((Results_Long!$A$2:$A$178=$B113)*(Results_Long!$B$2:$B$178=$C113)*(Results_Long!$C$2:$C$178=$D113)*(Results_Long!$D$2:$D$178=$E113)*ROW(Results_Long!$A$2:$A$178))</f>
        <v>127</v>
      </c>
      <c r="G113" s="9">
        <f>IF(INDEX(Results_Long!$H:$H,$F113)="","NA",INDEX(Results_Long!$H:$H,$F113))</f>
        <v>2382</v>
      </c>
      <c r="H113" s="9">
        <f>IF(INDEX(Results_Long!$I:$I,$F113)="","NA",INDEX(Results_Long!$I:$I,$F113))</f>
        <v>100</v>
      </c>
      <c r="I113" s="9">
        <f>IF(INDEX(Results_Long!$J:$J,$F113)="","NA",INDEX(Results_Long!$J:$J,$F113))</f>
        <v>99</v>
      </c>
      <c r="J113" s="10">
        <f>IF(INDEX(Results_Long!$K:$K,$F113)="","NA",INDEX(Results_Long!$K:$K,$F113))</f>
        <v>-5.9574151245886602E-2</v>
      </c>
      <c r="K113" s="10">
        <f>IF(INDEX(Results_Long!$P:$P,$F113)="","NA",INDEX(Results_Long!$P:$P,$F113))</f>
        <v>-9.1312254537878307E-2</v>
      </c>
      <c r="L113" s="10">
        <f>IF(INDEX(Results_Long!$Q:$Q,$F113)="","NA",INDEX(Results_Long!$Q:$Q,$F113))</f>
        <v>-2.78360479538949E-2</v>
      </c>
      <c r="M113" s="10">
        <f>IF(INDEX(Results_Long!$T:$T,$F113)="","NA",INDEX(Results_Long!$T:$T,$F113))</f>
        <v>-5.9503773355317001E-2</v>
      </c>
      <c r="N113" s="10">
        <f>IF(INDEX(Results_Long!$U:$U,$F113)="","NA",INDEX(Results_Long!$U:$U,$F113))</f>
        <v>-9.1059313111266305E-2</v>
      </c>
      <c r="O113" s="10">
        <f>IF(INDEX(Results_Long!$V:$V,$F113)="","NA",INDEX(Results_Long!$V:$V,$F113))</f>
        <v>-2.7828860635403602E-2</v>
      </c>
      <c r="P113" s="10">
        <f>IF(INDEX(Results_Long!$L:$L,$F113)="","NA",INDEX(Results_Long!$L:$L,$F113))</f>
        <v>1.5991122287845199E-2</v>
      </c>
      <c r="Q113" s="11">
        <f>IF(INDEX(Results_Long!$M:$M,$F113)="","NA",INDEX(Results_Long!$M:$M,$F113))</f>
        <v>-3.7254515457722901</v>
      </c>
      <c r="R113" s="12">
        <f>IF(INDEX(Results_Long!$N:$N,$F113)="","NA",INDEX(Results_Long!$N:$N,$F113))</f>
        <v>96.963200777467506</v>
      </c>
      <c r="S113" s="10">
        <f>IF(INDEX(Results_Long!$O:$O,$F113)="","NA",INDEX(Results_Long!$O:$O,$F113))</f>
        <v>3.2763994861189602E-4</v>
      </c>
      <c r="T113" s="6" t="str">
        <f>IF(INDEX(Results_Long!$AG:$AG,$F113)="","NA",INDEX(Results_Long!$AG:$AG,$F113))</f>
        <v>NA</v>
      </c>
      <c r="U113" s="5" t="str">
        <f>IF(INDEX(Results_Long!$AJ:$AJ,$F113)="","NA",INDEX(Results_Long!$AJ:$AJ,$F113))</f>
        <v>cumulative 3L refit after adding study 'Tang et al (2023)' (median sample_mid = 2018.00); ordering: study-wise median sample_mid, ties alphabetical [DEC-045/H-Q17]; full display (CI band)</v>
      </c>
    </row>
    <row r="114" spans="1:21" ht="34.5" customHeight="1" x14ac:dyDescent="0.3">
      <c r="A114" s="6" t="s">
        <v>578</v>
      </c>
      <c r="B114" s="7" t="s">
        <v>277</v>
      </c>
      <c r="C114" s="7" t="s">
        <v>278</v>
      </c>
      <c r="D114" s="7" t="s">
        <v>579</v>
      </c>
      <c r="E114" s="7" t="s">
        <v>580</v>
      </c>
      <c r="F114" s="8">
        <f>SUMPRODUCT((Results_Long!$A$2:$A$178=$B114)*(Results_Long!$B$2:$B$178=$C114)*(Results_Long!$C$2:$C$178=$D114)*(Results_Long!$D$2:$D$178=$E114)*ROW(Results_Long!$A$2:$A$178))</f>
        <v>128</v>
      </c>
      <c r="G114" s="9">
        <f>IF(INDEX(Results_Long!$H:$H,$F114)="","NA",INDEX(Results_Long!$H:$H,$F114))</f>
        <v>2443</v>
      </c>
      <c r="H114" s="9">
        <f>IF(INDEX(Results_Long!$I:$I,$F114)="","NA",INDEX(Results_Long!$I:$I,$F114))</f>
        <v>101</v>
      </c>
      <c r="I114" s="9">
        <f>IF(INDEX(Results_Long!$J:$J,$F114)="","NA",INDEX(Results_Long!$J:$J,$F114))</f>
        <v>100</v>
      </c>
      <c r="J114" s="10">
        <f>IF(INDEX(Results_Long!$K:$K,$F114)="","NA",INDEX(Results_Long!$K:$K,$F114))</f>
        <v>-5.9089734430684097E-2</v>
      </c>
      <c r="K114" s="10">
        <f>IF(INDEX(Results_Long!$P:$P,$F114)="","NA",INDEX(Results_Long!$P:$P,$F114))</f>
        <v>-9.0613388221488803E-2</v>
      </c>
      <c r="L114" s="10">
        <f>IF(INDEX(Results_Long!$Q:$Q,$F114)="","NA",INDEX(Results_Long!$Q:$Q,$F114))</f>
        <v>-2.7566080639879299E-2</v>
      </c>
      <c r="M114" s="10">
        <f>IF(INDEX(Results_Long!$T:$T,$F114)="","NA",INDEX(Results_Long!$T:$T,$F114))</f>
        <v>-5.9021057837931303E-2</v>
      </c>
      <c r="N114" s="10">
        <f>IF(INDEX(Results_Long!$U:$U,$F114)="","NA",INDEX(Results_Long!$U:$U,$F114))</f>
        <v>-9.0366197657716293E-2</v>
      </c>
      <c r="O114" s="10">
        <f>IF(INDEX(Results_Long!$V:$V,$F114)="","NA",INDEX(Results_Long!$V:$V,$F114))</f>
        <v>-2.7559100376231702E-2</v>
      </c>
      <c r="P114" s="10">
        <f>IF(INDEX(Results_Long!$L:$L,$F114)="","NA",INDEX(Results_Long!$L:$L,$F114))</f>
        <v>1.5885172064790801E-2</v>
      </c>
      <c r="Q114" s="11">
        <f>IF(INDEX(Results_Long!$M:$M,$F114)="","NA",INDEX(Results_Long!$M:$M,$F114))</f>
        <v>-3.7198044937552401</v>
      </c>
      <c r="R114" s="12">
        <f>IF(INDEX(Results_Long!$N:$N,$F114)="","NA",INDEX(Results_Long!$N:$N,$F114))</f>
        <v>97.988355998441804</v>
      </c>
      <c r="S114" s="10">
        <f>IF(INDEX(Results_Long!$O:$O,$F114)="","NA",INDEX(Results_Long!$O:$O,$F114))</f>
        <v>3.3245773353954701E-4</v>
      </c>
      <c r="T114" s="6" t="str">
        <f>IF(INDEX(Results_Long!$AG:$AG,$F114)="","NA",INDEX(Results_Long!$AG:$AG,$F114))</f>
        <v>NA</v>
      </c>
      <c r="U114" s="5" t="str">
        <f>IF(INDEX(Results_Long!$AJ:$AJ,$F114)="","NA",INDEX(Results_Long!$AJ:$AJ,$F114))</f>
        <v>cumulative 3L refit after adding study 'Boermans et al (2023)' (median sample_mid = 2018.50); ordering: study-wise median sample_mid, ties alphabetical [DEC-045/H-Q17]; full display (CI band)</v>
      </c>
    </row>
    <row r="115" spans="1:21" ht="34.5" customHeight="1" x14ac:dyDescent="0.3">
      <c r="A115" s="6" t="s">
        <v>581</v>
      </c>
      <c r="B115" s="7" t="s">
        <v>277</v>
      </c>
      <c r="C115" s="7" t="s">
        <v>278</v>
      </c>
      <c r="D115" s="7" t="s">
        <v>582</v>
      </c>
      <c r="E115" s="7" t="s">
        <v>583</v>
      </c>
      <c r="F115" s="8">
        <f>SUMPRODUCT((Results_Long!$A$2:$A$178=$B115)*(Results_Long!$B$2:$B$178=$C115)*(Results_Long!$C$2:$C$178=$D115)*(Results_Long!$D$2:$D$178=$E115)*ROW(Results_Long!$A$2:$A$178))</f>
        <v>129</v>
      </c>
      <c r="G115" s="9">
        <f>IF(INDEX(Results_Long!$H:$H,$F115)="","NA",INDEX(Results_Long!$H:$H,$F115))</f>
        <v>2459</v>
      </c>
      <c r="H115" s="9">
        <f>IF(INDEX(Results_Long!$I:$I,$F115)="","NA",INDEX(Results_Long!$I:$I,$F115))</f>
        <v>102</v>
      </c>
      <c r="I115" s="9">
        <f>IF(INDEX(Results_Long!$J:$J,$F115)="","NA",INDEX(Results_Long!$J:$J,$F115))</f>
        <v>101</v>
      </c>
      <c r="J115" s="10">
        <f>IF(INDEX(Results_Long!$K:$K,$F115)="","NA",INDEX(Results_Long!$K:$K,$F115))</f>
        <v>-5.9055982165174797E-2</v>
      </c>
      <c r="K115" s="10">
        <f>IF(INDEX(Results_Long!$P:$P,$F115)="","NA",INDEX(Results_Long!$P:$P,$F115))</f>
        <v>-9.0215654049708396E-2</v>
      </c>
      <c r="L115" s="10">
        <f>IF(INDEX(Results_Long!$Q:$Q,$F115)="","NA",INDEX(Results_Long!$Q:$Q,$F115))</f>
        <v>-2.7896310280641299E-2</v>
      </c>
      <c r="M115" s="10">
        <f>IF(INDEX(Results_Long!$T:$T,$F115)="","NA",INDEX(Results_Long!$T:$T,$F115))</f>
        <v>-5.8987423080950799E-2</v>
      </c>
      <c r="N115" s="10">
        <f>IF(INDEX(Results_Long!$U:$U,$F115)="","NA",INDEX(Results_Long!$U:$U,$F115))</f>
        <v>-8.9971697244718707E-2</v>
      </c>
      <c r="O115" s="10">
        <f>IF(INDEX(Results_Long!$V:$V,$F115)="","NA",INDEX(Results_Long!$V:$V,$F115))</f>
        <v>-2.78890761912069E-2</v>
      </c>
      <c r="P115" s="10">
        <f>IF(INDEX(Results_Long!$L:$L,$F115)="","NA",INDEX(Results_Long!$L:$L,$F115))</f>
        <v>1.57037089364238E-2</v>
      </c>
      <c r="Q115" s="11">
        <f>IF(INDEX(Results_Long!$M:$M,$F115)="","NA",INDEX(Results_Long!$M:$M,$F115))</f>
        <v>-3.7606391206218701</v>
      </c>
      <c r="R115" s="12">
        <f>IF(INDEX(Results_Long!$N:$N,$F115)="","NA",INDEX(Results_Long!$N:$N,$F115))</f>
        <v>98.972678215170504</v>
      </c>
      <c r="S115" s="10">
        <f>IF(INDEX(Results_Long!$O:$O,$F115)="","NA",INDEX(Results_Long!$O:$O,$F115))</f>
        <v>2.8704208914168399E-4</v>
      </c>
      <c r="T115" s="6" t="str">
        <f>IF(INDEX(Results_Long!$AG:$AG,$F115)="","NA",INDEX(Results_Long!$AG:$AG,$F115))</f>
        <v>NA</v>
      </c>
      <c r="U115" s="5" t="str">
        <f>IF(INDEX(Results_Long!$AJ:$AJ,$F115)="","NA",INDEX(Results_Long!$AJ:$AJ,$F115))</f>
        <v>cumulative 3L refit after adding study 'Boubaker et al (2026)' (median sample_mid = 2019.00); ordering: study-wise median sample_mid, ties alphabetical [DEC-045/H-Q17]; full display (CI band)</v>
      </c>
    </row>
    <row r="116" spans="1:21" ht="34.5" customHeight="1" x14ac:dyDescent="0.3">
      <c r="A116" s="6" t="s">
        <v>584</v>
      </c>
      <c r="B116" s="7" t="s">
        <v>277</v>
      </c>
      <c r="C116" s="7" t="s">
        <v>278</v>
      </c>
      <c r="D116" s="7" t="s">
        <v>585</v>
      </c>
      <c r="E116" s="7" t="s">
        <v>586</v>
      </c>
      <c r="F116" s="8">
        <f>SUMPRODUCT((Results_Long!$A$2:$A$178=$B116)*(Results_Long!$B$2:$B$178=$C116)*(Results_Long!$C$2:$C$178=$D116)*(Results_Long!$D$2:$D$178=$E116)*ROW(Results_Long!$A$2:$A$178))</f>
        <v>130</v>
      </c>
      <c r="G116" s="9">
        <f>IF(INDEX(Results_Long!$H:$H,$F116)="","NA",INDEX(Results_Long!$H:$H,$F116))</f>
        <v>2476</v>
      </c>
      <c r="H116" s="9">
        <f>IF(INDEX(Results_Long!$I:$I,$F116)="","NA",INDEX(Results_Long!$I:$I,$F116))</f>
        <v>103</v>
      </c>
      <c r="I116" s="9">
        <f>IF(INDEX(Results_Long!$J:$J,$F116)="","NA",INDEX(Results_Long!$J:$J,$F116))</f>
        <v>102</v>
      </c>
      <c r="J116" s="10">
        <f>IF(INDEX(Results_Long!$K:$K,$F116)="","NA",INDEX(Results_Long!$K:$K,$F116))</f>
        <v>-5.8853183455587703E-2</v>
      </c>
      <c r="K116" s="10">
        <f>IF(INDEX(Results_Long!$P:$P,$F116)="","NA",INDEX(Results_Long!$P:$P,$F116))</f>
        <v>-8.9667323250790298E-2</v>
      </c>
      <c r="L116" s="10">
        <f>IF(INDEX(Results_Long!$Q:$Q,$F116)="","NA",INDEX(Results_Long!$Q:$Q,$F116))</f>
        <v>-2.8039043660385201E-2</v>
      </c>
      <c r="M116" s="10">
        <f>IF(INDEX(Results_Long!$T:$T,$F116)="","NA",INDEX(Results_Long!$T:$T,$F116))</f>
        <v>-5.8785327597923702E-2</v>
      </c>
      <c r="N116" s="10">
        <f>IF(INDEX(Results_Long!$U:$U,$F116)="","NA",INDEX(Results_Long!$U:$U,$F116))</f>
        <v>-8.9427778352922802E-2</v>
      </c>
      <c r="O116" s="10">
        <f>IF(INDEX(Results_Long!$V:$V,$F116)="","NA",INDEX(Results_Long!$V:$V,$F116))</f>
        <v>-2.8031697984143102E-2</v>
      </c>
      <c r="P116" s="10">
        <f>IF(INDEX(Results_Long!$L:$L,$F116)="","NA",INDEX(Results_Long!$L:$L,$F116))</f>
        <v>1.5531467105433501E-2</v>
      </c>
      <c r="Q116" s="11">
        <f>IF(INDEX(Results_Long!$M:$M,$F116)="","NA",INDEX(Results_Long!$M:$M,$F116))</f>
        <v>-3.78928681083829</v>
      </c>
      <c r="R116" s="12">
        <f>IF(INDEX(Results_Long!$N:$N,$F116)="","NA",INDEX(Results_Long!$N:$N,$F116))</f>
        <v>99.959888367495097</v>
      </c>
      <c r="S116" s="10">
        <f>IF(INDEX(Results_Long!$O:$O,$F116)="","NA",INDEX(Results_Long!$O:$O,$F116))</f>
        <v>2.58361987956986E-4</v>
      </c>
      <c r="T116" s="6" t="str">
        <f>IF(INDEX(Results_Long!$AG:$AG,$F116)="","NA",INDEX(Results_Long!$AG:$AG,$F116))</f>
        <v>NA</v>
      </c>
      <c r="U116" s="5" t="str">
        <f>IF(INDEX(Results_Long!$AJ:$AJ,$F116)="","NA",INDEX(Results_Long!$AJ:$AJ,$F116))</f>
        <v>cumulative 3L refit after adding study 'Gonzales Sanches et al (2026)' (median sample_mid = 2019.00); ordering: study-wise median sample_mid, ties alphabetical [DEC-045/H-Q17]; full display (CI band)</v>
      </c>
    </row>
    <row r="117" spans="1:21" ht="34.5" customHeight="1" x14ac:dyDescent="0.3">
      <c r="A117" s="6" t="s">
        <v>587</v>
      </c>
      <c r="B117" s="7" t="s">
        <v>277</v>
      </c>
      <c r="C117" s="7" t="s">
        <v>278</v>
      </c>
      <c r="D117" s="7" t="s">
        <v>588</v>
      </c>
      <c r="E117" s="7" t="s">
        <v>589</v>
      </c>
      <c r="F117" s="8">
        <f>SUMPRODUCT((Results_Long!$A$2:$A$178=$B117)*(Results_Long!$B$2:$B$178=$C117)*(Results_Long!$C$2:$C$178=$D117)*(Results_Long!$D$2:$D$178=$E117)*ROW(Results_Long!$A$2:$A$178))</f>
        <v>131</v>
      </c>
      <c r="G117" s="9">
        <f>IF(INDEX(Results_Long!$H:$H,$F117)="","NA",INDEX(Results_Long!$H:$H,$F117))</f>
        <v>2491</v>
      </c>
      <c r="H117" s="9">
        <f>IF(INDEX(Results_Long!$I:$I,$F117)="","NA",INDEX(Results_Long!$I:$I,$F117))</f>
        <v>104</v>
      </c>
      <c r="I117" s="9">
        <f>IF(INDEX(Results_Long!$J:$J,$F117)="","NA",INDEX(Results_Long!$J:$J,$F117))</f>
        <v>103</v>
      </c>
      <c r="J117" s="10">
        <f>IF(INDEX(Results_Long!$K:$K,$F117)="","NA",INDEX(Results_Long!$K:$K,$F117))</f>
        <v>-5.85325422070277E-2</v>
      </c>
      <c r="K117" s="10">
        <f>IF(INDEX(Results_Long!$P:$P,$F117)="","NA",INDEX(Results_Long!$P:$P,$F117))</f>
        <v>-8.9009566923907102E-2</v>
      </c>
      <c r="L117" s="10">
        <f>IF(INDEX(Results_Long!$Q:$Q,$F117)="","NA",INDEX(Results_Long!$Q:$Q,$F117))</f>
        <v>-2.8055517490148198E-2</v>
      </c>
      <c r="M117" s="10">
        <f>IF(INDEX(Results_Long!$T:$T,$F117)="","NA",INDEX(Results_Long!$T:$T,$F117))</f>
        <v>-5.8465788382008499E-2</v>
      </c>
      <c r="N117" s="10">
        <f>IF(INDEX(Results_Long!$U:$U,$F117)="","NA",INDEX(Results_Long!$U:$U,$F117))</f>
        <v>-8.8775244029763098E-2</v>
      </c>
      <c r="O117" s="10">
        <f>IF(INDEX(Results_Long!$V:$V,$F117)="","NA",INDEX(Results_Long!$V:$V,$F117))</f>
        <v>-2.8048158861561701E-2</v>
      </c>
      <c r="P117" s="10">
        <f>IF(INDEX(Results_Long!$L:$L,$F117)="","NA",INDEX(Results_Long!$L:$L,$F117))</f>
        <v>1.5363388222975701E-2</v>
      </c>
      <c r="Q117" s="11">
        <f>IF(INDEX(Results_Long!$M:$M,$F117)="","NA",INDEX(Results_Long!$M:$M,$F117))</f>
        <v>-3.8098719733901798</v>
      </c>
      <c r="R117" s="12">
        <f>IF(INDEX(Results_Long!$N:$N,$F117)="","NA",INDEX(Results_Long!$N:$N,$F117))</f>
        <v>100.946670846373</v>
      </c>
      <c r="S117" s="10">
        <f>IF(INDEX(Results_Long!$O:$O,$F117)="","NA",INDEX(Results_Long!$O:$O,$F117))</f>
        <v>2.39115682193052E-4</v>
      </c>
      <c r="T117" s="6" t="str">
        <f>IF(INDEX(Results_Long!$AG:$AG,$F117)="","NA",INDEX(Results_Long!$AG:$AG,$F117))</f>
        <v>NA</v>
      </c>
      <c r="U117" s="5" t="str">
        <f>IF(INDEX(Results_Long!$AJ:$AJ,$F117)="","NA",INDEX(Results_Long!$AJ:$AJ,$F117))</f>
        <v>cumulative 3L refit after adding study 'Shi et al (2025)' (median sample_mid = 2019.00); ordering: study-wise median sample_mid, ties alphabetical [DEC-045/H-Q17]; full display (CI band)</v>
      </c>
    </row>
    <row r="118" spans="1:21" ht="34.5" customHeight="1" x14ac:dyDescent="0.3">
      <c r="A118" s="6" t="s">
        <v>590</v>
      </c>
      <c r="B118" s="7" t="s">
        <v>277</v>
      </c>
      <c r="C118" s="7" t="s">
        <v>278</v>
      </c>
      <c r="D118" s="7" t="s">
        <v>591</v>
      </c>
      <c r="E118" s="7" t="s">
        <v>592</v>
      </c>
      <c r="F118" s="8">
        <f>SUMPRODUCT((Results_Long!$A$2:$A$178=$B118)*(Results_Long!$B$2:$B$178=$C118)*(Results_Long!$C$2:$C$178=$D118)*(Results_Long!$D$2:$D$178=$E118)*ROW(Results_Long!$A$2:$A$178))</f>
        <v>132</v>
      </c>
      <c r="G118" s="9">
        <f>IF(INDEX(Results_Long!$H:$H,$F118)="","NA",INDEX(Results_Long!$H:$H,$F118))</f>
        <v>2499</v>
      </c>
      <c r="H118" s="9">
        <f>IF(INDEX(Results_Long!$I:$I,$F118)="","NA",INDEX(Results_Long!$I:$I,$F118))</f>
        <v>105</v>
      </c>
      <c r="I118" s="9">
        <f>IF(INDEX(Results_Long!$J:$J,$F118)="","NA",INDEX(Results_Long!$J:$J,$F118))</f>
        <v>104</v>
      </c>
      <c r="J118" s="10">
        <f>IF(INDEX(Results_Long!$K:$K,$F118)="","NA",INDEX(Results_Long!$K:$K,$F118))</f>
        <v>-5.8198795003143497E-2</v>
      </c>
      <c r="K118" s="10">
        <f>IF(INDEX(Results_Long!$P:$P,$F118)="","NA",INDEX(Results_Long!$P:$P,$F118))</f>
        <v>-8.8337969736604099E-2</v>
      </c>
      <c r="L118" s="10">
        <f>IF(INDEX(Results_Long!$Q:$Q,$F118)="","NA",INDEX(Results_Long!$Q:$Q,$F118))</f>
        <v>-2.8059620269682901E-2</v>
      </c>
      <c r="M118" s="10">
        <f>IF(INDEX(Results_Long!$T:$T,$F118)="","NA",INDEX(Results_Long!$T:$T,$F118))</f>
        <v>-5.8133175531117499E-2</v>
      </c>
      <c r="N118" s="10">
        <f>IF(INDEX(Results_Long!$U:$U,$F118)="","NA",INDEX(Results_Long!$U:$U,$F118))</f>
        <v>-8.8108900101367404E-2</v>
      </c>
      <c r="O118" s="10">
        <f>IF(INDEX(Results_Long!$V:$V,$F118)="","NA",INDEX(Results_Long!$V:$V,$F118))</f>
        <v>-2.8052258412971098E-2</v>
      </c>
      <c r="P118" s="10">
        <f>IF(INDEX(Results_Long!$L:$L,$F118)="","NA",INDEX(Results_Long!$L:$L,$F118))</f>
        <v>1.5194836622273901E-2</v>
      </c>
      <c r="Q118" s="11">
        <f>IF(INDEX(Results_Long!$M:$M,$F118)="","NA",INDEX(Results_Long!$M:$M,$F118))</f>
        <v>-3.8301691850921702</v>
      </c>
      <c r="R118" s="12">
        <f>IF(INDEX(Results_Long!$N:$N,$F118)="","NA",INDEX(Results_Long!$N:$N,$F118))</f>
        <v>101.918764783781</v>
      </c>
      <c r="S118" s="10">
        <f>IF(INDEX(Results_Long!$O:$O,$F118)="","NA",INDEX(Results_Long!$O:$O,$F118))</f>
        <v>2.2146879254369799E-4</v>
      </c>
      <c r="T118" s="6" t="str">
        <f>IF(INDEX(Results_Long!$AG:$AG,$F118)="","NA",INDEX(Results_Long!$AG:$AG,$F118))</f>
        <v>NA</v>
      </c>
      <c r="U118" s="5" t="str">
        <f>IF(INDEX(Results_Long!$AJ:$AJ,$F118)="","NA",INDEX(Results_Long!$AJ:$AJ,$F118))</f>
        <v>cumulative 3L refit after adding study 'Wang &amp; Wijethilake (2026)' (median sample_mid = 2019.00); ordering: study-wise median sample_mid, ties alphabetical [DEC-045/H-Q17]; full display (CI band)</v>
      </c>
    </row>
    <row r="119" spans="1:21" ht="34.5" customHeight="1" x14ac:dyDescent="0.3">
      <c r="A119" s="6" t="s">
        <v>593</v>
      </c>
      <c r="B119" s="7" t="s">
        <v>277</v>
      </c>
      <c r="C119" s="7" t="s">
        <v>278</v>
      </c>
      <c r="D119" s="7" t="s">
        <v>594</v>
      </c>
      <c r="E119" s="7" t="s">
        <v>595</v>
      </c>
      <c r="F119" s="8">
        <f>SUMPRODUCT((Results_Long!$A$2:$A$178=$B119)*(Results_Long!$B$2:$B$178=$C119)*(Results_Long!$C$2:$C$178=$D119)*(Results_Long!$D$2:$D$178=$E119)*ROW(Results_Long!$A$2:$A$178))</f>
        <v>133</v>
      </c>
      <c r="G119" s="9">
        <f>IF(INDEX(Results_Long!$H:$H,$F119)="","NA",INDEX(Results_Long!$H:$H,$F119))</f>
        <v>2508</v>
      </c>
      <c r="H119" s="9">
        <f>IF(INDEX(Results_Long!$I:$I,$F119)="","NA",INDEX(Results_Long!$I:$I,$F119))</f>
        <v>106</v>
      </c>
      <c r="I119" s="9">
        <f>IF(INDEX(Results_Long!$J:$J,$F119)="","NA",INDEX(Results_Long!$J:$J,$F119))</f>
        <v>105</v>
      </c>
      <c r="J119" s="10">
        <f>IF(INDEX(Results_Long!$K:$K,$F119)="","NA",INDEX(Results_Long!$K:$K,$F119))</f>
        <v>-5.7879797708501199E-2</v>
      </c>
      <c r="K119" s="10">
        <f>IF(INDEX(Results_Long!$P:$P,$F119)="","NA",INDEX(Results_Long!$P:$P,$F119))</f>
        <v>-8.7684708494180905E-2</v>
      </c>
      <c r="L119" s="10">
        <f>IF(INDEX(Results_Long!$Q:$Q,$F119)="","NA",INDEX(Results_Long!$Q:$Q,$F119))</f>
        <v>-2.8074886922821399E-2</v>
      </c>
      <c r="M119" s="10">
        <f>IF(INDEX(Results_Long!$T:$T,$F119)="","NA",INDEX(Results_Long!$T:$T,$F119))</f>
        <v>-5.7815250392094099E-2</v>
      </c>
      <c r="N119" s="10">
        <f>IF(INDEX(Results_Long!$U:$U,$F119)="","NA",INDEX(Results_Long!$U:$U,$F119))</f>
        <v>-8.7460673023902896E-2</v>
      </c>
      <c r="O119" s="10">
        <f>IF(INDEX(Results_Long!$V:$V,$F119)="","NA",INDEX(Results_Long!$V:$V,$F119))</f>
        <v>-2.80675130458003E-2</v>
      </c>
      <c r="P119" s="10">
        <f>IF(INDEX(Results_Long!$L:$L,$F119)="","NA",INDEX(Results_Long!$L:$L,$F119))</f>
        <v>1.5028039499109601E-2</v>
      </c>
      <c r="Q119" s="11">
        <f>IF(INDEX(Results_Long!$M:$M,$F119)="","NA",INDEX(Results_Long!$M:$M,$F119))</f>
        <v>-3.8514536584715899</v>
      </c>
      <c r="R119" s="12">
        <f>IF(INDEX(Results_Long!$N:$N,$F119)="","NA",INDEX(Results_Long!$N:$N,$F119))</f>
        <v>102.901556929438</v>
      </c>
      <c r="S119" s="10">
        <f>IF(INDEX(Results_Long!$O:$O,$F119)="","NA",INDEX(Results_Long!$O:$O,$F119))</f>
        <v>2.0432376264577901E-4</v>
      </c>
      <c r="T119" s="6" t="str">
        <f>IF(INDEX(Results_Long!$AG:$AG,$F119)="","NA",INDEX(Results_Long!$AG:$AG,$F119))</f>
        <v>NA</v>
      </c>
      <c r="U119" s="5" t="str">
        <f>IF(INDEX(Results_Long!$AJ:$AJ,$F119)="","NA",INDEX(Results_Long!$AJ:$AJ,$F119))</f>
        <v>cumulative 3L refit after adding study 'Ali et al (2026)' (median sample_mid = 2019.50); ordering: study-wise median sample_mid, ties alphabetical [DEC-045/H-Q17]; full display (CI band)</v>
      </c>
    </row>
    <row r="120" spans="1:21" ht="34.5" customHeight="1" x14ac:dyDescent="0.3">
      <c r="A120" s="6" t="s">
        <v>596</v>
      </c>
      <c r="B120" s="7" t="s">
        <v>277</v>
      </c>
      <c r="C120" s="7" t="s">
        <v>278</v>
      </c>
      <c r="D120" s="7" t="s">
        <v>597</v>
      </c>
      <c r="E120" s="7" t="s">
        <v>598</v>
      </c>
      <c r="F120" s="8">
        <f>SUMPRODUCT((Results_Long!$A$2:$A$178=$B120)*(Results_Long!$B$2:$B$178=$C120)*(Results_Long!$C$2:$C$178=$D120)*(Results_Long!$D$2:$D$178=$E120)*ROW(Results_Long!$A$2:$A$178))</f>
        <v>134</v>
      </c>
      <c r="G120" s="9">
        <f>IF(INDEX(Results_Long!$H:$H,$F120)="","NA",INDEX(Results_Long!$H:$H,$F120))</f>
        <v>2529</v>
      </c>
      <c r="H120" s="9">
        <f>IF(INDEX(Results_Long!$I:$I,$F120)="","NA",INDEX(Results_Long!$I:$I,$F120))</f>
        <v>107</v>
      </c>
      <c r="I120" s="9">
        <f>IF(INDEX(Results_Long!$J:$J,$F120)="","NA",INDEX(Results_Long!$J:$J,$F120))</f>
        <v>106</v>
      </c>
      <c r="J120" s="10">
        <f>IF(INDEX(Results_Long!$K:$K,$F120)="","NA",INDEX(Results_Long!$K:$K,$F120))</f>
        <v>-5.77215013118813E-2</v>
      </c>
      <c r="K120" s="10">
        <f>IF(INDEX(Results_Long!$P:$P,$F120)="","NA",INDEX(Results_Long!$P:$P,$F120))</f>
        <v>-8.7128266323439701E-2</v>
      </c>
      <c r="L120" s="10">
        <f>IF(INDEX(Results_Long!$Q:$Q,$F120)="","NA",INDEX(Results_Long!$Q:$Q,$F120))</f>
        <v>-2.8314736300322899E-2</v>
      </c>
      <c r="M120" s="10">
        <f>IF(INDEX(Results_Long!$T:$T,$F120)="","NA",INDEX(Results_Long!$T:$T,$F120))</f>
        <v>-5.7657481674939698E-2</v>
      </c>
      <c r="N120" s="10">
        <f>IF(INDEX(Results_Long!$U:$U,$F120)="","NA",INDEX(Results_Long!$U:$U,$F120))</f>
        <v>-8.6908460467405899E-2</v>
      </c>
      <c r="O120" s="10">
        <f>IF(INDEX(Results_Long!$V:$V,$F120)="","NA",INDEX(Results_Long!$V:$V,$F120))</f>
        <v>-2.8307171855517701E-2</v>
      </c>
      <c r="P120" s="10">
        <f>IF(INDEX(Results_Long!$L:$L,$F120)="","NA",INDEX(Results_Long!$L:$L,$F120))</f>
        <v>1.48289212968656E-2</v>
      </c>
      <c r="Q120" s="11">
        <f>IF(INDEX(Results_Long!$M:$M,$F120)="","NA",INDEX(Results_Long!$M:$M,$F120))</f>
        <v>-3.8924949533639999</v>
      </c>
      <c r="R120" s="12">
        <f>IF(INDEX(Results_Long!$N:$N,$F120)="","NA",INDEX(Results_Long!$N:$N,$F120))</f>
        <v>103.86267549290299</v>
      </c>
      <c r="S120" s="10">
        <f>IF(INDEX(Results_Long!$O:$O,$F120)="","NA",INDEX(Results_Long!$O:$O,$F120))</f>
        <v>1.7555501989131099E-4</v>
      </c>
      <c r="T120" s="6" t="str">
        <f>IF(INDEX(Results_Long!$AG:$AG,$F120)="","NA",INDEX(Results_Long!$AG:$AG,$F120))</f>
        <v>NA</v>
      </c>
      <c r="U120" s="5" t="str">
        <f>IF(INDEX(Results_Long!$AJ:$AJ,$F120)="","NA",INDEX(Results_Long!$AJ:$AJ,$F120))</f>
        <v>cumulative 3L refit after adding study 'Kozak (2021)' (median sample_mid = 2019.50); ordering: study-wise median sample_mid, ties alphabetical [DEC-045/H-Q17]; full display (CI band)</v>
      </c>
    </row>
    <row r="121" spans="1:21" ht="34.5" customHeight="1" x14ac:dyDescent="0.3">
      <c r="A121" s="6" t="s">
        <v>599</v>
      </c>
      <c r="B121" s="7" t="s">
        <v>277</v>
      </c>
      <c r="C121" s="7" t="s">
        <v>278</v>
      </c>
      <c r="D121" s="7" t="s">
        <v>600</v>
      </c>
      <c r="E121" s="7" t="s">
        <v>601</v>
      </c>
      <c r="F121" s="8">
        <f>SUMPRODUCT((Results_Long!$A$2:$A$178=$B121)*(Results_Long!$B$2:$B$178=$C121)*(Results_Long!$C$2:$C$178=$D121)*(Results_Long!$D$2:$D$178=$E121)*ROW(Results_Long!$A$2:$A$178))</f>
        <v>135</v>
      </c>
      <c r="G121" s="9">
        <f>IF(INDEX(Results_Long!$H:$H,$F121)="","NA",INDEX(Results_Long!$H:$H,$F121))</f>
        <v>2611</v>
      </c>
      <c r="H121" s="9">
        <f>IF(INDEX(Results_Long!$I:$I,$F121)="","NA",INDEX(Results_Long!$I:$I,$F121))</f>
        <v>108</v>
      </c>
      <c r="I121" s="9">
        <f>IF(INDEX(Results_Long!$J:$J,$F121)="","NA",INDEX(Results_Long!$J:$J,$F121))</f>
        <v>107</v>
      </c>
      <c r="J121" s="10">
        <f>IF(INDEX(Results_Long!$K:$K,$F121)="","NA",INDEX(Results_Long!$K:$K,$F121))</f>
        <v>-5.74042514037858E-2</v>
      </c>
      <c r="K121" s="10">
        <f>IF(INDEX(Results_Long!$P:$P,$F121)="","NA",INDEX(Results_Long!$P:$P,$F121))</f>
        <v>-8.6677431249560094E-2</v>
      </c>
      <c r="L121" s="10">
        <f>IF(INDEX(Results_Long!$Q:$Q,$F121)="","NA",INDEX(Results_Long!$Q:$Q,$F121))</f>
        <v>-2.8131071558011499E-2</v>
      </c>
      <c r="M121" s="10">
        <f>IF(INDEX(Results_Long!$T:$T,$F121)="","NA",INDEX(Results_Long!$T:$T,$F121))</f>
        <v>-5.7341280654453902E-2</v>
      </c>
      <c r="N121" s="10">
        <f>IF(INDEX(Results_Long!$U:$U,$F121)="","NA",INDEX(Results_Long!$U:$U,$F121))</f>
        <v>-8.6461013085839894E-2</v>
      </c>
      <c r="O121" s="10">
        <f>IF(INDEX(Results_Long!$V:$V,$F121)="","NA",INDEX(Results_Long!$V:$V,$F121))</f>
        <v>-2.81236533309711E-2</v>
      </c>
      <c r="P121" s="10">
        <f>IF(INDEX(Results_Long!$L:$L,$F121)="","NA",INDEX(Results_Long!$L:$L,$F121))</f>
        <v>1.47632859388168E-2</v>
      </c>
      <c r="Q121" s="11">
        <f>IF(INDEX(Results_Long!$M:$M,$F121)="","NA",INDEX(Results_Long!$M:$M,$F121))</f>
        <v>-3.8883112907035202</v>
      </c>
      <c r="R121" s="12">
        <f>IF(INDEX(Results_Long!$N:$N,$F121)="","NA",INDEX(Results_Long!$N:$N,$F121))</f>
        <v>104.904384904598</v>
      </c>
      <c r="S121" s="10">
        <f>IF(INDEX(Results_Long!$O:$O,$F121)="","NA",INDEX(Results_Long!$O:$O,$F121))</f>
        <v>1.7729512239008499E-4</v>
      </c>
      <c r="T121" s="6" t="str">
        <f>IF(INDEX(Results_Long!$AG:$AG,$F121)="","NA",INDEX(Results_Long!$AG:$AG,$F121))</f>
        <v>NA</v>
      </c>
      <c r="U121" s="5" t="str">
        <f>IF(INDEX(Results_Long!$AJ:$AJ,$F121)="","NA",INDEX(Results_Long!$AJ:$AJ,$F121))</f>
        <v>cumulative 3L refit after adding study 'Altavilla et al (2024)' (median sample_mid = 2020.00); ordering: study-wise median sample_mid, ties alphabetical [DEC-045/H-Q17]; full display (CI band)</v>
      </c>
    </row>
    <row r="122" spans="1:21" ht="34.5" customHeight="1" x14ac:dyDescent="0.3">
      <c r="A122" s="6" t="s">
        <v>602</v>
      </c>
      <c r="B122" s="7" t="s">
        <v>277</v>
      </c>
      <c r="C122" s="7" t="s">
        <v>278</v>
      </c>
      <c r="D122" s="7" t="s">
        <v>603</v>
      </c>
      <c r="E122" s="7" t="s">
        <v>604</v>
      </c>
      <c r="F122" s="8">
        <f>SUMPRODUCT((Results_Long!$A$2:$A$178=$B122)*(Results_Long!$B$2:$B$178=$C122)*(Results_Long!$C$2:$C$178=$D122)*(Results_Long!$D$2:$D$178=$E122)*ROW(Results_Long!$A$2:$A$178))</f>
        <v>136</v>
      </c>
      <c r="G122" s="9">
        <f>IF(INDEX(Results_Long!$H:$H,$F122)="","NA",INDEX(Results_Long!$H:$H,$F122))</f>
        <v>2623</v>
      </c>
      <c r="H122" s="9">
        <f>IF(INDEX(Results_Long!$I:$I,$F122)="","NA",INDEX(Results_Long!$I:$I,$F122))</f>
        <v>109</v>
      </c>
      <c r="I122" s="9">
        <f>IF(INDEX(Results_Long!$J:$J,$F122)="","NA",INDEX(Results_Long!$J:$J,$F122))</f>
        <v>108</v>
      </c>
      <c r="J122" s="10">
        <f>IF(INDEX(Results_Long!$K:$K,$F122)="","NA",INDEX(Results_Long!$K:$K,$F122))</f>
        <v>-5.8554902719245502E-2</v>
      </c>
      <c r="K122" s="10">
        <f>IF(INDEX(Results_Long!$P:$P,$F122)="","NA",INDEX(Results_Long!$P:$P,$F122))</f>
        <v>-8.75954110115965E-2</v>
      </c>
      <c r="L122" s="10">
        <f>IF(INDEX(Results_Long!$Q:$Q,$F122)="","NA",INDEX(Results_Long!$Q:$Q,$F122))</f>
        <v>-2.9514394426894498E-2</v>
      </c>
      <c r="M122" s="10">
        <f>IF(INDEX(Results_Long!$T:$T,$F122)="","NA",INDEX(Results_Long!$T:$T,$F122))</f>
        <v>-5.8488072431304702E-2</v>
      </c>
      <c r="N122" s="10">
        <f>IF(INDEX(Results_Long!$U:$U,$F122)="","NA",INDEX(Results_Long!$U:$U,$F122))</f>
        <v>-8.7372057918892701E-2</v>
      </c>
      <c r="O122" s="10">
        <f>IF(INDEX(Results_Long!$V:$V,$F122)="","NA",INDEX(Results_Long!$V:$V,$F122))</f>
        <v>-2.9505827420771201E-2</v>
      </c>
      <c r="P122" s="10">
        <f>IF(INDEX(Results_Long!$L:$L,$F122)="","NA",INDEX(Results_Long!$L:$L,$F122))</f>
        <v>1.46475256186284E-2</v>
      </c>
      <c r="Q122" s="11">
        <f>IF(INDEX(Results_Long!$M:$M,$F122)="","NA",INDEX(Results_Long!$M:$M,$F122))</f>
        <v>-3.9975968804435298</v>
      </c>
      <c r="R122" s="12">
        <f>IF(INDEX(Results_Long!$N:$N,$F122)="","NA",INDEX(Results_Long!$N:$N,$F122))</f>
        <v>105.88500647687501</v>
      </c>
      <c r="S122" s="10">
        <f>IF(INDEX(Results_Long!$O:$O,$F122)="","NA",INDEX(Results_Long!$O:$O,$F122))</f>
        <v>1.1861304058003601E-4</v>
      </c>
      <c r="T122" s="6" t="str">
        <f>IF(INDEX(Results_Long!$AG:$AG,$F122)="","NA",INDEX(Results_Long!$AG:$AG,$F122))</f>
        <v>NA</v>
      </c>
      <c r="U122" s="5" t="str">
        <f>IF(INDEX(Results_Long!$AJ:$AJ,$F122)="","NA",INDEX(Results_Long!$AJ:$AJ,$F122))</f>
        <v>cumulative 3L refit after adding study 'Brinette et al (2026)' (median sample_mid = 2020.00); ordering: study-wise median sample_mid, ties alphabetical [DEC-045/H-Q17]; full display (CI band)</v>
      </c>
    </row>
    <row r="123" spans="1:21" ht="34.5" customHeight="1" x14ac:dyDescent="0.3">
      <c r="A123" s="6" t="s">
        <v>605</v>
      </c>
      <c r="B123" s="7" t="s">
        <v>277</v>
      </c>
      <c r="C123" s="7" t="s">
        <v>278</v>
      </c>
      <c r="D123" s="7" t="s">
        <v>606</v>
      </c>
      <c r="E123" s="7" t="s">
        <v>607</v>
      </c>
      <c r="F123" s="8">
        <f>SUMPRODUCT((Results_Long!$A$2:$A$178=$B123)*(Results_Long!$B$2:$B$178=$C123)*(Results_Long!$C$2:$C$178=$D123)*(Results_Long!$D$2:$D$178=$E123)*ROW(Results_Long!$A$2:$A$178))</f>
        <v>137</v>
      </c>
      <c r="G123" s="9">
        <f>IF(INDEX(Results_Long!$H:$H,$F123)="","NA",INDEX(Results_Long!$H:$H,$F123))</f>
        <v>2653</v>
      </c>
      <c r="H123" s="9">
        <f>IF(INDEX(Results_Long!$I:$I,$F123)="","NA",INDEX(Results_Long!$I:$I,$F123))</f>
        <v>110</v>
      </c>
      <c r="I123" s="9">
        <f>IF(INDEX(Results_Long!$J:$J,$F123)="","NA",INDEX(Results_Long!$J:$J,$F123))</f>
        <v>109</v>
      </c>
      <c r="J123" s="10">
        <f>IF(INDEX(Results_Long!$K:$K,$F123)="","NA",INDEX(Results_Long!$K:$K,$F123))</f>
        <v>-5.7868883529201803E-2</v>
      </c>
      <c r="K123" s="10">
        <f>IF(INDEX(Results_Long!$P:$P,$F123)="","NA",INDEX(Results_Long!$P:$P,$F123))</f>
        <v>-8.6630755519935404E-2</v>
      </c>
      <c r="L123" s="10">
        <f>IF(INDEX(Results_Long!$Q:$Q,$F123)="","NA",INDEX(Results_Long!$Q:$Q,$F123))</f>
        <v>-2.9107011538468199E-2</v>
      </c>
      <c r="M123" s="10">
        <f>IF(INDEX(Results_Long!$T:$T,$F123)="","NA",INDEX(Results_Long!$T:$T,$F123))</f>
        <v>-5.7804372687701701E-2</v>
      </c>
      <c r="N123" s="10">
        <f>IF(INDEX(Results_Long!$U:$U,$F123)="","NA",INDEX(Results_Long!$U:$U,$F123))</f>
        <v>-8.6414686094023599E-2</v>
      </c>
      <c r="O123" s="10">
        <f>IF(INDEX(Results_Long!$V:$V,$F123)="","NA",INDEX(Results_Long!$V:$V,$F123))</f>
        <v>-2.9098794327293401E-2</v>
      </c>
      <c r="P123" s="10">
        <f>IF(INDEX(Results_Long!$L:$L,$F123)="","NA",INDEX(Results_Long!$L:$L,$F123))</f>
        <v>1.45085341228199E-2</v>
      </c>
      <c r="Q123" s="11">
        <f>IF(INDEX(Results_Long!$M:$M,$F123)="","NA",INDEX(Results_Long!$M:$M,$F123))</f>
        <v>-3.9886099477260299</v>
      </c>
      <c r="R123" s="12">
        <f>IF(INDEX(Results_Long!$N:$N,$F123)="","NA",INDEX(Results_Long!$N:$N,$F123))</f>
        <v>106.871584347259</v>
      </c>
      <c r="S123" s="10">
        <f>IF(INDEX(Results_Long!$O:$O,$F123)="","NA",INDEX(Results_Long!$O:$O,$F123))</f>
        <v>1.21952195197085E-4</v>
      </c>
      <c r="T123" s="6" t="str">
        <f>IF(INDEX(Results_Long!$AG:$AG,$F123)="","NA",INDEX(Results_Long!$AG:$AG,$F123))</f>
        <v>NA</v>
      </c>
      <c r="U123" s="5" t="str">
        <f>IF(INDEX(Results_Long!$AJ:$AJ,$F123)="","NA",INDEX(Results_Long!$AJ:$AJ,$F123))</f>
        <v>cumulative 3L refit after adding study 'Ferriani (2022)' (median sample_mid = 2020.00); ordering: study-wise median sample_mid, ties alphabetical [DEC-045/H-Q17]; full display (CI band)</v>
      </c>
    </row>
    <row r="124" spans="1:21" ht="34.5" customHeight="1" x14ac:dyDescent="0.3">
      <c r="A124" s="6" t="s">
        <v>608</v>
      </c>
      <c r="B124" s="7" t="s">
        <v>277</v>
      </c>
      <c r="C124" s="7" t="s">
        <v>278</v>
      </c>
      <c r="D124" s="7" t="s">
        <v>609</v>
      </c>
      <c r="E124" s="7" t="s">
        <v>610</v>
      </c>
      <c r="F124" s="8">
        <f>SUMPRODUCT((Results_Long!$A$2:$A$178=$B124)*(Results_Long!$B$2:$B$178=$C124)*(Results_Long!$C$2:$C$178=$D124)*(Results_Long!$D$2:$D$178=$E124)*ROW(Results_Long!$A$2:$A$178))</f>
        <v>138</v>
      </c>
      <c r="G124" s="9">
        <f>IF(INDEX(Results_Long!$H:$H,$F124)="","NA",INDEX(Results_Long!$H:$H,$F124))</f>
        <v>2669</v>
      </c>
      <c r="H124" s="9">
        <f>IF(INDEX(Results_Long!$I:$I,$F124)="","NA",INDEX(Results_Long!$I:$I,$F124))</f>
        <v>111</v>
      </c>
      <c r="I124" s="9">
        <f>IF(INDEX(Results_Long!$J:$J,$F124)="","NA",INDEX(Results_Long!$J:$J,$F124))</f>
        <v>110</v>
      </c>
      <c r="J124" s="10">
        <f>IF(INDEX(Results_Long!$K:$K,$F124)="","NA",INDEX(Results_Long!$K:$K,$F124))</f>
        <v>-5.9031904540426797E-2</v>
      </c>
      <c r="K124" s="10">
        <f>IF(INDEX(Results_Long!$P:$P,$F124)="","NA",INDEX(Results_Long!$P:$P,$F124))</f>
        <v>-8.7638822979755698E-2</v>
      </c>
      <c r="L124" s="10">
        <f>IF(INDEX(Results_Long!$Q:$Q,$F124)="","NA",INDEX(Results_Long!$Q:$Q,$F124))</f>
        <v>-3.0424986101097898E-2</v>
      </c>
      <c r="M124" s="10">
        <f>IF(INDEX(Results_Long!$T:$T,$F124)="","NA",INDEX(Results_Long!$T:$T,$F124))</f>
        <v>-5.8963429200611997E-2</v>
      </c>
      <c r="N124" s="10">
        <f>IF(INDEX(Results_Long!$U:$U,$F124)="","NA",INDEX(Results_Long!$U:$U,$F124))</f>
        <v>-8.7415138322017402E-2</v>
      </c>
      <c r="O124" s="10">
        <f>IF(INDEX(Results_Long!$V:$V,$F124)="","NA",INDEX(Results_Long!$V:$V,$F124))</f>
        <v>-3.0415601644410699E-2</v>
      </c>
      <c r="P124" s="10">
        <f>IF(INDEX(Results_Long!$L:$L,$F124)="","NA",INDEX(Results_Long!$L:$L,$F124))</f>
        <v>1.4431903349052999E-2</v>
      </c>
      <c r="Q124" s="11">
        <f>IF(INDEX(Results_Long!$M:$M,$F124)="","NA",INDEX(Results_Long!$M:$M,$F124))</f>
        <v>-4.0903755459462996</v>
      </c>
      <c r="R124" s="12">
        <f>IF(INDEX(Results_Long!$N:$N,$F124)="","NA",INDEX(Results_Long!$N:$N,$F124))</f>
        <v>107.872746211685</v>
      </c>
      <c r="S124" s="10">
        <f>IF(INDEX(Results_Long!$O:$O,$F124)="","NA",INDEX(Results_Long!$O:$O,$F124))</f>
        <v>8.3256203593585205E-5</v>
      </c>
      <c r="T124" s="6" t="str">
        <f>IF(INDEX(Results_Long!$AG:$AG,$F124)="","NA",INDEX(Results_Long!$AG:$AG,$F124))</f>
        <v>NA</v>
      </c>
      <c r="U124" s="5" t="str">
        <f>IF(INDEX(Results_Long!$AJ:$AJ,$F124)="","NA",INDEX(Results_Long!$AJ:$AJ,$F124))</f>
        <v>cumulative 3L refit after adding study 'Wang et al (2025b)' (median sample_mid = 2020.00); ordering: study-wise median sample_mid, ties alphabetical [DEC-045/H-Q17]; full display (CI band)</v>
      </c>
    </row>
    <row r="125" spans="1:21" ht="34.5" customHeight="1" x14ac:dyDescent="0.3">
      <c r="A125" s="6" t="s">
        <v>611</v>
      </c>
      <c r="B125" s="7" t="s">
        <v>277</v>
      </c>
      <c r="C125" s="7" t="s">
        <v>278</v>
      </c>
      <c r="D125" s="7" t="s">
        <v>612</v>
      </c>
      <c r="E125" s="7" t="s">
        <v>613</v>
      </c>
      <c r="F125" s="8">
        <f>SUMPRODUCT((Results_Long!$A$2:$A$178=$B125)*(Results_Long!$B$2:$B$178=$C125)*(Results_Long!$C$2:$C$178=$D125)*(Results_Long!$D$2:$D$178=$E125)*ROW(Results_Long!$A$2:$A$178))</f>
        <v>139</v>
      </c>
      <c r="G125" s="9">
        <f>IF(INDEX(Results_Long!$H:$H,$F125)="","NA",INDEX(Results_Long!$H:$H,$F125))</f>
        <v>2685</v>
      </c>
      <c r="H125" s="9">
        <f>IF(INDEX(Results_Long!$I:$I,$F125)="","NA",INDEX(Results_Long!$I:$I,$F125))</f>
        <v>112</v>
      </c>
      <c r="I125" s="9">
        <f>IF(INDEX(Results_Long!$J:$J,$F125)="","NA",INDEX(Results_Long!$J:$J,$F125))</f>
        <v>111</v>
      </c>
      <c r="J125" s="10">
        <f>IF(INDEX(Results_Long!$K:$K,$F125)="","NA",INDEX(Results_Long!$K:$K,$F125))</f>
        <v>-5.9066767837680702E-2</v>
      </c>
      <c r="K125" s="10">
        <f>IF(INDEX(Results_Long!$P:$P,$F125)="","NA",INDEX(Results_Long!$P:$P,$F125))</f>
        <v>-8.7359442789889802E-2</v>
      </c>
      <c r="L125" s="10">
        <f>IF(INDEX(Results_Long!$Q:$Q,$F125)="","NA",INDEX(Results_Long!$Q:$Q,$F125))</f>
        <v>-3.0774092885471602E-2</v>
      </c>
      <c r="M125" s="10">
        <f>IF(INDEX(Results_Long!$T:$T,$F125)="","NA",INDEX(Results_Long!$T:$T,$F125))</f>
        <v>-5.8998171217697203E-2</v>
      </c>
      <c r="N125" s="10">
        <f>IF(INDEX(Results_Long!$U:$U,$F125)="","NA",INDEX(Results_Long!$U:$U,$F125))</f>
        <v>-8.7137886225871306E-2</v>
      </c>
      <c r="O125" s="10">
        <f>IF(INDEX(Results_Long!$V:$V,$F125)="","NA",INDEX(Results_Long!$V:$V,$F125))</f>
        <v>-3.07643817493993E-2</v>
      </c>
      <c r="P125" s="10">
        <f>IF(INDEX(Results_Long!$L:$L,$F125)="","NA",INDEX(Results_Long!$L:$L,$F125))</f>
        <v>1.4274826527245099E-2</v>
      </c>
      <c r="Q125" s="11">
        <f>IF(INDEX(Results_Long!$M:$M,$F125)="","NA",INDEX(Results_Long!$M:$M,$F125))</f>
        <v>-4.1378273651833997</v>
      </c>
      <c r="R125" s="12">
        <f>IF(INDEX(Results_Long!$N:$N,$F125)="","NA",INDEX(Results_Long!$N:$N,$F125))</f>
        <v>108.851623469735</v>
      </c>
      <c r="S125" s="10">
        <f>IF(INDEX(Results_Long!$O:$O,$F125)="","NA",INDEX(Results_Long!$O:$O,$F125))</f>
        <v>6.9314361535539307E-5</v>
      </c>
      <c r="T125" s="6" t="str">
        <f>IF(INDEX(Results_Long!$AG:$AG,$F125)="","NA",INDEX(Results_Long!$AG:$AG,$F125))</f>
        <v>NA</v>
      </c>
      <c r="U125" s="5" t="str">
        <f>IF(INDEX(Results_Long!$AJ:$AJ,$F125)="","NA",INDEX(Results_Long!$AJ:$AJ,$F125))</f>
        <v>cumulative 3L refit after adding study 'Almutairi (2026)' (median sample_mid = 2020.50); ordering: study-wise median sample_mid, ties alphabetical [DEC-045/H-Q17]; full display (CI band)</v>
      </c>
    </row>
    <row r="126" spans="1:21" ht="34.5" customHeight="1" x14ac:dyDescent="0.3">
      <c r="A126" s="6" t="s">
        <v>614</v>
      </c>
      <c r="B126" s="7" t="s">
        <v>277</v>
      </c>
      <c r="C126" s="7" t="s">
        <v>278</v>
      </c>
      <c r="D126" s="7" t="s">
        <v>615</v>
      </c>
      <c r="E126" s="7" t="s">
        <v>616</v>
      </c>
      <c r="F126" s="8">
        <f>SUMPRODUCT((Results_Long!$A$2:$A$178=$B126)*(Results_Long!$B$2:$B$178=$C126)*(Results_Long!$C$2:$C$178=$D126)*(Results_Long!$D$2:$D$178=$E126)*ROW(Results_Long!$A$2:$A$178))</f>
        <v>140</v>
      </c>
      <c r="G126" s="9">
        <f>IF(INDEX(Results_Long!$H:$H,$F126)="","NA",INDEX(Results_Long!$H:$H,$F126))</f>
        <v>2705</v>
      </c>
      <c r="H126" s="9">
        <f>IF(INDEX(Results_Long!$I:$I,$F126)="","NA",INDEX(Results_Long!$I:$I,$F126))</f>
        <v>113</v>
      </c>
      <c r="I126" s="9">
        <f>IF(INDEX(Results_Long!$J:$J,$F126)="","NA",INDEX(Results_Long!$J:$J,$F126))</f>
        <v>112</v>
      </c>
      <c r="J126" s="10">
        <f>IF(INDEX(Results_Long!$K:$K,$F126)="","NA",INDEX(Results_Long!$K:$K,$F126))</f>
        <v>-5.8779059737144798E-2</v>
      </c>
      <c r="K126" s="10">
        <f>IF(INDEX(Results_Long!$P:$P,$F126)="","NA",INDEX(Results_Long!$P:$P,$F126))</f>
        <v>-8.6741752407110503E-2</v>
      </c>
      <c r="L126" s="10">
        <f>IF(INDEX(Results_Long!$Q:$Q,$F126)="","NA",INDEX(Results_Long!$Q:$Q,$F126))</f>
        <v>-3.0816367067178999E-2</v>
      </c>
      <c r="M126" s="10">
        <f>IF(INDEX(Results_Long!$T:$T,$F126)="","NA",INDEX(Results_Long!$T:$T,$F126))</f>
        <v>-5.8711459708171501E-2</v>
      </c>
      <c r="N126" s="10">
        <f>IF(INDEX(Results_Long!$U:$U,$F126)="","NA",INDEX(Results_Long!$U:$U,$F126))</f>
        <v>-8.6524853055021195E-2</v>
      </c>
      <c r="O126" s="10">
        <f>IF(INDEX(Results_Long!$V:$V,$F126)="","NA",INDEX(Results_Long!$V:$V,$F126))</f>
        <v>-3.0806615865874201E-2</v>
      </c>
      <c r="P126" s="10">
        <f>IF(INDEX(Results_Long!$L:$L,$F126)="","NA",INDEX(Results_Long!$L:$L,$F126))</f>
        <v>1.41097385556259E-2</v>
      </c>
      <c r="Q126" s="11">
        <f>IF(INDEX(Results_Long!$M:$M,$F126)="","NA",INDEX(Results_Long!$M:$M,$F126))</f>
        <v>-4.1658503809560798</v>
      </c>
      <c r="R126" s="12">
        <f>IF(INDEX(Results_Long!$N:$N,$F126)="","NA",INDEX(Results_Long!$N:$N,$F126))</f>
        <v>109.822475369779</v>
      </c>
      <c r="S126" s="10">
        <f>IF(INDEX(Results_Long!$O:$O,$F126)="","NA",INDEX(Results_Long!$O:$O,$F126))</f>
        <v>6.2015541449490205E-5</v>
      </c>
      <c r="T126" s="6" t="str">
        <f>IF(INDEX(Results_Long!$AG:$AG,$F126)="","NA",INDEX(Results_Long!$AG:$AG,$F126))</f>
        <v>NA</v>
      </c>
      <c r="U126" s="5" t="str">
        <f>IF(INDEX(Results_Long!$AJ:$AJ,$F126)="","NA",INDEX(Results_Long!$AJ:$AJ,$F126))</f>
        <v>cumulative 3L refit after adding study 'Cicchini et al (2026)' (median sample_mid = 2022.50); ordering: study-wise median sample_mid, ties alphabetical [DEC-045/H-Q17]; full display (CI band)</v>
      </c>
    </row>
    <row r="128" spans="1:21" ht="15" customHeight="1" x14ac:dyDescent="0.3">
      <c r="A128" s="3" t="s">
        <v>160</v>
      </c>
      <c r="B128" s="3" t="s">
        <v>161</v>
      </c>
      <c r="C128" s="3" t="s">
        <v>162</v>
      </c>
      <c r="D128" s="3" t="s">
        <v>163</v>
      </c>
      <c r="E128" s="3" t="s">
        <v>164</v>
      </c>
      <c r="F128" s="3" t="s">
        <v>165</v>
      </c>
      <c r="G128" s="3" t="s">
        <v>271</v>
      </c>
      <c r="H128" s="3" t="s">
        <v>179</v>
      </c>
      <c r="I128" s="3" t="s">
        <v>180</v>
      </c>
    </row>
    <row r="129" spans="1:12" ht="34.5" customHeight="1" x14ac:dyDescent="0.3">
      <c r="A129" s="6" t="s">
        <v>617</v>
      </c>
      <c r="B129" s="7" t="s">
        <v>273</v>
      </c>
      <c r="C129" s="7" t="s">
        <v>274</v>
      </c>
      <c r="D129" s="7" t="s">
        <v>184</v>
      </c>
      <c r="E129" s="7" t="s">
        <v>618</v>
      </c>
      <c r="F129" s="8">
        <f>SUMPRODUCT((Results_Long!$A$2:$A$178=$B129)*(Results_Long!$B$2:$B$178=$C129)*(Results_Long!$C$2:$C$178=$D129)*(Results_Long!$D$2:$D$178=$E129)*ROW(Results_Long!$A$2:$A$178))</f>
        <v>173</v>
      </c>
      <c r="G129" s="10" t="str">
        <f>IF(INDEX(Results_Long!$N:$N,$F129)="","NA",INDEX(Results_Long!$N:$N,$F129))</f>
        <v>NA</v>
      </c>
      <c r="H129" s="6">
        <f>IF(INDEX(Results_Long!$AG:$AG,$F129)="","NA",INDEX(Results_Long!$AG:$AG,$F129))</f>
        <v>10</v>
      </c>
      <c r="I129" s="5" t="str">
        <f>IF(INDEX(Results_Long!$AJ:$AJ,$F129)="","NA",INDEX(Results_Long!$AJ:$AJ,$F129))</f>
        <v>first cumulative step with &gt;= 10 clusters (CI band from here; steps 1-9 point-only in the figure) [DEC-045/H-Q17]; floor study = 'Chen, Gao (2011)'</v>
      </c>
    </row>
    <row r="130" spans="1:12" ht="34.5" customHeight="1" x14ac:dyDescent="0.3">
      <c r="A130" s="6" t="s">
        <v>619</v>
      </c>
      <c r="B130" s="7" t="s">
        <v>273</v>
      </c>
      <c r="C130" s="7" t="s">
        <v>274</v>
      </c>
      <c r="D130" s="7" t="s">
        <v>184</v>
      </c>
      <c r="E130" s="7" t="s">
        <v>620</v>
      </c>
      <c r="F130" s="8">
        <f>SUMPRODUCT((Results_Long!$A$2:$A$178=$B130)*(Results_Long!$B$2:$B$178=$C130)*(Results_Long!$C$2:$C$178=$D130)*(Results_Long!$D$2:$D$178=$E130)*ROW(Results_Long!$A$2:$A$178))</f>
        <v>174</v>
      </c>
      <c r="G130" s="10" t="str">
        <f>IF(INDEX(Results_Long!$N:$N,$F130)="","NA",INDEX(Results_Long!$N:$N,$F130))</f>
        <v>NA</v>
      </c>
      <c r="H130" s="6" t="str">
        <f>IF(INDEX(Results_Long!$AG:$AG,$F130)="","NA",INDEX(Results_Long!$AG:$AG,$F130))</f>
        <v>NA</v>
      </c>
      <c r="I130" s="5" t="str">
        <f>IF(INDEX(Results_Long!$AJ:$AJ,$F130)="","NA",INDEX(Results_Long!$AJ:$AJ,$F130))</f>
        <v>ordering: study-wise median sample_mid, ties alphabetical; first 5: Nandy, Lodh (2012) (1998.50); Chava (2010) (1999.00); Schneider (2010) (1999.00); Chava (2014) (1999.50); Oikonomou et al (2014) (2000.00)</v>
      </c>
    </row>
    <row r="132" spans="1:12" ht="15" customHeight="1" x14ac:dyDescent="0.3">
      <c r="A132" s="13" t="s">
        <v>207</v>
      </c>
    </row>
    <row r="133" spans="1:12" ht="15" customHeight="1" x14ac:dyDescent="0.3">
      <c r="A133" s="27" t="s">
        <v>621</v>
      </c>
      <c r="B133" s="28"/>
      <c r="C133" s="28"/>
      <c r="D133" s="28"/>
      <c r="E133" s="28"/>
      <c r="F133" s="28"/>
      <c r="G133" s="28"/>
      <c r="H133" s="28"/>
      <c r="I133" s="28"/>
      <c r="J133" s="28"/>
    </row>
    <row r="134" spans="1:12" ht="15" customHeight="1" x14ac:dyDescent="0.3">
      <c r="A134" s="27" t="s">
        <v>622</v>
      </c>
      <c r="B134" s="28"/>
      <c r="C134" s="28"/>
      <c r="D134" s="28"/>
      <c r="E134" s="28"/>
      <c r="F134" s="28"/>
      <c r="G134" s="28"/>
      <c r="H134" s="28"/>
      <c r="I134" s="28"/>
      <c r="J134" s="28"/>
    </row>
    <row r="135" spans="1:12" ht="15" customHeight="1" x14ac:dyDescent="0.3">
      <c r="A135" s="27" t="s">
        <v>623</v>
      </c>
      <c r="B135" s="28"/>
      <c r="C135" s="28"/>
      <c r="D135" s="28"/>
      <c r="E135" s="28"/>
      <c r="F135" s="28"/>
      <c r="G135" s="28"/>
      <c r="H135" s="28"/>
      <c r="I135" s="28"/>
      <c r="J135" s="28"/>
    </row>
    <row r="137" spans="1:12" ht="15" customHeight="1" x14ac:dyDescent="0.3">
      <c r="A137" s="3" t="s">
        <v>211</v>
      </c>
      <c r="B137" s="3" t="s">
        <v>212</v>
      </c>
    </row>
    <row r="138" spans="1:12" ht="15" customHeight="1" x14ac:dyDescent="0.3">
      <c r="A138" s="14" t="s">
        <v>624</v>
      </c>
      <c r="B138" s="27" t="s">
        <v>625</v>
      </c>
      <c r="C138" s="28"/>
      <c r="D138" s="28"/>
      <c r="E138" s="28"/>
      <c r="F138" s="28"/>
      <c r="G138" s="28"/>
      <c r="H138" s="28"/>
      <c r="I138" s="28"/>
      <c r="J138" s="28"/>
    </row>
    <row r="139" spans="1:12" ht="15" customHeight="1" x14ac:dyDescent="0.3">
      <c r="A139" s="14" t="s">
        <v>626</v>
      </c>
      <c r="B139" s="27" t="s">
        <v>627</v>
      </c>
      <c r="C139" s="28"/>
      <c r="D139" s="28"/>
      <c r="E139" s="28"/>
      <c r="F139" s="28"/>
      <c r="G139" s="28"/>
      <c r="H139" s="28"/>
      <c r="I139" s="28"/>
      <c r="J139" s="28"/>
    </row>
    <row r="141" spans="1:12" ht="15" customHeight="1" x14ac:dyDescent="0.3">
      <c r="A141" s="29" t="s">
        <v>628</v>
      </c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</row>
  </sheetData>
  <mergeCells count="6">
    <mergeCell ref="A133:J133"/>
    <mergeCell ref="A135:J135"/>
    <mergeCell ref="A141:L141"/>
    <mergeCell ref="A134:J134"/>
    <mergeCell ref="B138:J138"/>
    <mergeCell ref="B139:J139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41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20" width="9" customWidth="1"/>
    <col min="21" max="21" width="60" customWidth="1"/>
  </cols>
  <sheetData>
    <row r="1" spans="1:22" ht="15" customHeight="1" x14ac:dyDescent="0.3">
      <c r="A1" s="1" t="s">
        <v>629</v>
      </c>
    </row>
    <row r="2" spans="1:22" ht="15" customHeight="1" x14ac:dyDescent="0.3">
      <c r="A2" s="2" t="s">
        <v>630</v>
      </c>
    </row>
    <row r="3" spans="1:22" ht="15" customHeight="1" x14ac:dyDescent="0.3">
      <c r="A3" s="2" t="s">
        <v>2</v>
      </c>
    </row>
    <row r="5" spans="1:22" ht="15" customHeight="1" x14ac:dyDescent="0.3">
      <c r="A5" s="3" t="s">
        <v>160</v>
      </c>
      <c r="B5" s="3" t="s">
        <v>161</v>
      </c>
      <c r="C5" s="3" t="s">
        <v>162</v>
      </c>
      <c r="D5" s="3" t="s">
        <v>163</v>
      </c>
      <c r="E5" s="3" t="s">
        <v>164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175</v>
      </c>
      <c r="Q5" s="3" t="s">
        <v>176</v>
      </c>
      <c r="R5" s="3" t="s">
        <v>177</v>
      </c>
      <c r="S5" s="3" t="s">
        <v>178</v>
      </c>
      <c r="T5" s="3" t="s">
        <v>179</v>
      </c>
      <c r="U5" s="3" t="s">
        <v>180</v>
      </c>
      <c r="V5" s="15" t="s">
        <v>631</v>
      </c>
    </row>
    <row r="6" spans="1:22" ht="23.25" customHeight="1" x14ac:dyDescent="0.3">
      <c r="A6" s="6" t="s">
        <v>632</v>
      </c>
      <c r="B6" s="7" t="s">
        <v>633</v>
      </c>
      <c r="C6" s="7" t="s">
        <v>634</v>
      </c>
      <c r="D6" s="7" t="s">
        <v>635</v>
      </c>
      <c r="E6" s="7" t="s">
        <v>636</v>
      </c>
      <c r="F6" s="8">
        <f>SUMPRODUCT((Results_Long!$A$2:$A$178=$B6)*(Results_Long!$B$2:$B$178=$C6)*(Results_Long!$C$2:$C$178=$D6)*(Results_Long!$D$2:$D$178=$E6)*ROW(Results_Long!$A$2:$A$178))</f>
        <v>141</v>
      </c>
      <c r="G6" s="9">
        <f>IF(INDEX(Results_Long!$H:$H,$F6)="","NA",INDEX(Results_Long!$H:$H,$F6))</f>
        <v>312</v>
      </c>
      <c r="H6" s="9">
        <f>IF(INDEX(Results_Long!$I:$I,$F6)="","NA",INDEX(Results_Long!$I:$I,$F6))</f>
        <v>9</v>
      </c>
      <c r="I6" s="9">
        <f>IF(INDEX(Results_Long!$J:$J,$F6)="","NA",INDEX(Results_Long!$J:$J,$F6))</f>
        <v>9</v>
      </c>
      <c r="J6" s="10">
        <f>IF(INDEX(Results_Long!$K:$K,$F6)="","NA",INDEX(Results_Long!$K:$K,$F6))</f>
        <v>-1.48714200641961E-2</v>
      </c>
      <c r="K6" s="10" t="str">
        <f>IF(INDEX(Results_Long!$P:$P,$F6)="","NA",INDEX(Results_Long!$P:$P,$F6))</f>
        <v>NA</v>
      </c>
      <c r="L6" s="10" t="str">
        <f>IF(INDEX(Results_Long!$Q:$Q,$F6)="","NA",INDEX(Results_Long!$Q:$Q,$F6))</f>
        <v>NA</v>
      </c>
      <c r="M6" s="10">
        <f>IF(INDEX(Results_Long!$T:$T,$F6)="","NA",INDEX(Results_Long!$T:$T,$F6))</f>
        <v>-1.48703238443738E-2</v>
      </c>
      <c r="N6" s="10" t="str">
        <f>IF(INDEX(Results_Long!$U:$U,$F6)="","NA",INDEX(Results_Long!$U:$U,$F6))</f>
        <v>NA</v>
      </c>
      <c r="O6" s="10" t="str">
        <f>IF(INDEX(Results_Long!$V:$V,$F6)="","NA",INDEX(Results_Long!$V:$V,$F6))</f>
        <v>NA</v>
      </c>
      <c r="P6" s="10" t="str">
        <f>IF(INDEX(Results_Long!$L:$L,$F6)="","NA",INDEX(Results_Long!$L:$L,$F6))</f>
        <v>NA</v>
      </c>
      <c r="Q6" s="11" t="str">
        <f>IF(INDEX(Results_Long!$M:$M,$F6)="","NA",INDEX(Results_Long!$M:$M,$F6))</f>
        <v>NA</v>
      </c>
      <c r="R6" s="12" t="str">
        <f>IF(INDEX(Results_Long!$N:$N,$F6)="","NA",INDEX(Results_Long!$N:$N,$F6))</f>
        <v>NA</v>
      </c>
      <c r="S6" s="10" t="str">
        <f>IF(INDEX(Results_Long!$O:$O,$F6)="","NA",INDEX(Results_Long!$O:$O,$F6))</f>
        <v>NA</v>
      </c>
      <c r="T6" s="6" t="str">
        <f>IF(INDEX(Results_Long!$AG:$AG,$F6)="","NA",INDEX(Results_Long!$AG:$AG,$F6))</f>
        <v>NA</v>
      </c>
      <c r="U6" s="5" t="str">
        <f>IF(INDEX(Results_Long!$AJ:$AJ,$F6)="","NA",INDEX(Results_Long!$AJ:$AJ,$F6))</f>
        <v>descriptive tier (5-9 clusters: 9) [DEC-045 S6]: estimate only; se/CI/p suppressed by rule; window [1998, 2004) on sample_mid</v>
      </c>
      <c r="V6" s="21" t="str">
        <f t="shared" ref="V6:V26" si="0">IF($I6="NA","NA",IF($I6&gt;=10,"full CR2",IF($I6&gt;=5,"descriptive (5-9)","not estimable (&lt;5)")))</f>
        <v>descriptive (5-9)</v>
      </c>
    </row>
    <row r="7" spans="1:22" ht="23.25" customHeight="1" x14ac:dyDescent="0.3">
      <c r="A7" s="6" t="s">
        <v>637</v>
      </c>
      <c r="B7" s="7" t="s">
        <v>633</v>
      </c>
      <c r="C7" s="7" t="s">
        <v>634</v>
      </c>
      <c r="D7" s="7" t="s">
        <v>638</v>
      </c>
      <c r="E7" s="7" t="s">
        <v>636</v>
      </c>
      <c r="F7" s="8">
        <f>SUMPRODUCT((Results_Long!$A$2:$A$178=$B7)*(Results_Long!$B$2:$B$178=$C7)*(Results_Long!$C$2:$C$178=$D7)*(Results_Long!$D$2:$D$178=$E7)*ROW(Results_Long!$A$2:$A$178))</f>
        <v>142</v>
      </c>
      <c r="G7" s="9">
        <f>IF(INDEX(Results_Long!$H:$H,$F7)="","NA",INDEX(Results_Long!$H:$H,$F7))</f>
        <v>306</v>
      </c>
      <c r="H7" s="9">
        <f>IF(INDEX(Results_Long!$I:$I,$F7)="","NA",INDEX(Results_Long!$I:$I,$F7))</f>
        <v>8</v>
      </c>
      <c r="I7" s="9">
        <f>IF(INDEX(Results_Long!$J:$J,$F7)="","NA",INDEX(Results_Long!$J:$J,$F7))</f>
        <v>8</v>
      </c>
      <c r="J7" s="10">
        <f>IF(INDEX(Results_Long!$K:$K,$F7)="","NA",INDEX(Results_Long!$K:$K,$F7))</f>
        <v>-1.51867203135413E-2</v>
      </c>
      <c r="K7" s="10" t="str">
        <f>IF(INDEX(Results_Long!$P:$P,$F7)="","NA",INDEX(Results_Long!$P:$P,$F7))</f>
        <v>NA</v>
      </c>
      <c r="L7" s="10" t="str">
        <f>IF(INDEX(Results_Long!$Q:$Q,$F7)="","NA",INDEX(Results_Long!$Q:$Q,$F7))</f>
        <v>NA</v>
      </c>
      <c r="M7" s="10">
        <f>IF(INDEX(Results_Long!$T:$T,$F7)="","NA",INDEX(Results_Long!$T:$T,$F7))</f>
        <v>-1.51855528840342E-2</v>
      </c>
      <c r="N7" s="10" t="str">
        <f>IF(INDEX(Results_Long!$U:$U,$F7)="","NA",INDEX(Results_Long!$U:$U,$F7))</f>
        <v>NA</v>
      </c>
      <c r="O7" s="10" t="str">
        <f>IF(INDEX(Results_Long!$V:$V,$F7)="","NA",INDEX(Results_Long!$V:$V,$F7))</f>
        <v>NA</v>
      </c>
      <c r="P7" s="10" t="str">
        <f>IF(INDEX(Results_Long!$L:$L,$F7)="","NA",INDEX(Results_Long!$L:$L,$F7))</f>
        <v>NA</v>
      </c>
      <c r="Q7" s="11" t="str">
        <f>IF(INDEX(Results_Long!$M:$M,$F7)="","NA",INDEX(Results_Long!$M:$M,$F7))</f>
        <v>NA</v>
      </c>
      <c r="R7" s="12" t="str">
        <f>IF(INDEX(Results_Long!$N:$N,$F7)="","NA",INDEX(Results_Long!$N:$N,$F7))</f>
        <v>NA</v>
      </c>
      <c r="S7" s="10" t="str">
        <f>IF(INDEX(Results_Long!$O:$O,$F7)="","NA",INDEX(Results_Long!$O:$O,$F7))</f>
        <v>NA</v>
      </c>
      <c r="T7" s="6" t="str">
        <f>IF(INDEX(Results_Long!$AG:$AG,$F7)="","NA",INDEX(Results_Long!$AG:$AG,$F7))</f>
        <v>NA</v>
      </c>
      <c r="U7" s="5" t="str">
        <f>IF(INDEX(Results_Long!$AJ:$AJ,$F7)="","NA",INDEX(Results_Long!$AJ:$AJ,$F7))</f>
        <v>descriptive tier (5-9 clusters: 8) [DEC-045 S6]: estimate only; se/CI/p suppressed by rule; window [1999, 2005) on sample_mid</v>
      </c>
      <c r="V7" s="21" t="str">
        <f t="shared" si="0"/>
        <v>descriptive (5-9)</v>
      </c>
    </row>
    <row r="8" spans="1:22" ht="23.25" customHeight="1" x14ac:dyDescent="0.3">
      <c r="A8" s="6" t="s">
        <v>639</v>
      </c>
      <c r="B8" s="7" t="s">
        <v>633</v>
      </c>
      <c r="C8" s="7" t="s">
        <v>634</v>
      </c>
      <c r="D8" s="7" t="s">
        <v>640</v>
      </c>
      <c r="E8" s="7" t="s">
        <v>636</v>
      </c>
      <c r="F8" s="8">
        <f>SUMPRODUCT((Results_Long!$A$2:$A$178=$B8)*(Results_Long!$B$2:$B$178=$C8)*(Results_Long!$C$2:$C$178=$D8)*(Results_Long!$D$2:$D$178=$E8)*ROW(Results_Long!$A$2:$A$178))</f>
        <v>143</v>
      </c>
      <c r="G8" s="9">
        <f>IF(INDEX(Results_Long!$H:$H,$F8)="","NA",INDEX(Results_Long!$H:$H,$F8))</f>
        <v>242</v>
      </c>
      <c r="H8" s="9">
        <f>IF(INDEX(Results_Long!$I:$I,$F8)="","NA",INDEX(Results_Long!$I:$I,$F8))</f>
        <v>8</v>
      </c>
      <c r="I8" s="9">
        <f>IF(INDEX(Results_Long!$J:$J,$F8)="","NA",INDEX(Results_Long!$J:$J,$F8))</f>
        <v>8</v>
      </c>
      <c r="J8" s="10">
        <f>IF(INDEX(Results_Long!$K:$K,$F8)="","NA",INDEX(Results_Long!$K:$K,$F8))</f>
        <v>-1.6355716354717401E-2</v>
      </c>
      <c r="K8" s="10" t="str">
        <f>IF(INDEX(Results_Long!$P:$P,$F8)="","NA",INDEX(Results_Long!$P:$P,$F8))</f>
        <v>NA</v>
      </c>
      <c r="L8" s="10" t="str">
        <f>IF(INDEX(Results_Long!$Q:$Q,$F8)="","NA",INDEX(Results_Long!$Q:$Q,$F8))</f>
        <v>NA</v>
      </c>
      <c r="M8" s="10">
        <f>IF(INDEX(Results_Long!$T:$T,$F8)="","NA",INDEX(Results_Long!$T:$T,$F8))</f>
        <v>-1.6354258074489099E-2</v>
      </c>
      <c r="N8" s="10" t="str">
        <f>IF(INDEX(Results_Long!$U:$U,$F8)="","NA",INDEX(Results_Long!$U:$U,$F8))</f>
        <v>NA</v>
      </c>
      <c r="O8" s="10" t="str">
        <f>IF(INDEX(Results_Long!$V:$V,$F8)="","NA",INDEX(Results_Long!$V:$V,$F8))</f>
        <v>NA</v>
      </c>
      <c r="P8" s="10" t="str">
        <f>IF(INDEX(Results_Long!$L:$L,$F8)="","NA",INDEX(Results_Long!$L:$L,$F8))</f>
        <v>NA</v>
      </c>
      <c r="Q8" s="11" t="str">
        <f>IF(INDEX(Results_Long!$M:$M,$F8)="","NA",INDEX(Results_Long!$M:$M,$F8))</f>
        <v>NA</v>
      </c>
      <c r="R8" s="12" t="str">
        <f>IF(INDEX(Results_Long!$N:$N,$F8)="","NA",INDEX(Results_Long!$N:$N,$F8))</f>
        <v>NA</v>
      </c>
      <c r="S8" s="10" t="str">
        <f>IF(INDEX(Results_Long!$O:$O,$F8)="","NA",INDEX(Results_Long!$O:$O,$F8))</f>
        <v>NA</v>
      </c>
      <c r="T8" s="6" t="str">
        <f>IF(INDEX(Results_Long!$AG:$AG,$F8)="","NA",INDEX(Results_Long!$AG:$AG,$F8))</f>
        <v>NA</v>
      </c>
      <c r="U8" s="5" t="str">
        <f>IF(INDEX(Results_Long!$AJ:$AJ,$F8)="","NA",INDEX(Results_Long!$AJ:$AJ,$F8))</f>
        <v>descriptive tier (5-9 clusters: 8) [DEC-045 S6]: estimate only; se/CI/p suppressed by rule; window [2000, 2006) on sample_mid</v>
      </c>
      <c r="V8" s="21" t="str">
        <f t="shared" si="0"/>
        <v>descriptive (5-9)</v>
      </c>
    </row>
    <row r="9" spans="1:22" ht="23.25" customHeight="1" x14ac:dyDescent="0.3">
      <c r="A9" s="6" t="s">
        <v>641</v>
      </c>
      <c r="B9" s="7" t="s">
        <v>633</v>
      </c>
      <c r="C9" s="7" t="s">
        <v>634</v>
      </c>
      <c r="D9" s="7" t="s">
        <v>642</v>
      </c>
      <c r="E9" s="7" t="s">
        <v>636</v>
      </c>
      <c r="F9" s="8">
        <f>SUMPRODUCT((Results_Long!$A$2:$A$178=$B9)*(Results_Long!$B$2:$B$178=$C9)*(Results_Long!$C$2:$C$178=$D9)*(Results_Long!$D$2:$D$178=$E9)*ROW(Results_Long!$A$2:$A$178))</f>
        <v>144</v>
      </c>
      <c r="G9" s="9">
        <f>IF(INDEX(Results_Long!$H:$H,$F9)="","NA",INDEX(Results_Long!$H:$H,$F9))</f>
        <v>75</v>
      </c>
      <c r="H9" s="9">
        <f>IF(INDEX(Results_Long!$I:$I,$F9)="","NA",INDEX(Results_Long!$I:$I,$F9))</f>
        <v>6</v>
      </c>
      <c r="I9" s="9">
        <f>IF(INDEX(Results_Long!$J:$J,$F9)="","NA",INDEX(Results_Long!$J:$J,$F9))</f>
        <v>6</v>
      </c>
      <c r="J9" s="10">
        <f>IF(INDEX(Results_Long!$K:$K,$F9)="","NA",INDEX(Results_Long!$K:$K,$F9))</f>
        <v>-3.9045798003424698E-2</v>
      </c>
      <c r="K9" s="10" t="str">
        <f>IF(INDEX(Results_Long!$P:$P,$F9)="","NA",INDEX(Results_Long!$P:$P,$F9))</f>
        <v>NA</v>
      </c>
      <c r="L9" s="10" t="str">
        <f>IF(INDEX(Results_Long!$Q:$Q,$F9)="","NA",INDEX(Results_Long!$Q:$Q,$F9))</f>
        <v>NA</v>
      </c>
      <c r="M9" s="10">
        <f>IF(INDEX(Results_Long!$T:$T,$F9)="","NA",INDEX(Results_Long!$T:$T,$F9))</f>
        <v>-3.9025967356059302E-2</v>
      </c>
      <c r="N9" s="10" t="str">
        <f>IF(INDEX(Results_Long!$U:$U,$F9)="","NA",INDEX(Results_Long!$U:$U,$F9))</f>
        <v>NA</v>
      </c>
      <c r="O9" s="10" t="str">
        <f>IF(INDEX(Results_Long!$V:$V,$F9)="","NA",INDEX(Results_Long!$V:$V,$F9))</f>
        <v>NA</v>
      </c>
      <c r="P9" s="10" t="str">
        <f>IF(INDEX(Results_Long!$L:$L,$F9)="","NA",INDEX(Results_Long!$L:$L,$F9))</f>
        <v>NA</v>
      </c>
      <c r="Q9" s="11" t="str">
        <f>IF(INDEX(Results_Long!$M:$M,$F9)="","NA",INDEX(Results_Long!$M:$M,$F9))</f>
        <v>NA</v>
      </c>
      <c r="R9" s="12" t="str">
        <f>IF(INDEX(Results_Long!$N:$N,$F9)="","NA",INDEX(Results_Long!$N:$N,$F9))</f>
        <v>NA</v>
      </c>
      <c r="S9" s="10" t="str">
        <f>IF(INDEX(Results_Long!$O:$O,$F9)="","NA",INDEX(Results_Long!$O:$O,$F9))</f>
        <v>NA</v>
      </c>
      <c r="T9" s="6" t="str">
        <f>IF(INDEX(Results_Long!$AG:$AG,$F9)="","NA",INDEX(Results_Long!$AG:$AG,$F9))</f>
        <v>NA</v>
      </c>
      <c r="U9" s="5" t="str">
        <f>IF(INDEX(Results_Long!$AJ:$AJ,$F9)="","NA",INDEX(Results_Long!$AJ:$AJ,$F9))</f>
        <v>descriptive tier (5-9 clusters: 6) [DEC-045 S6]: estimate only; se/CI/p suppressed by rule; window [2001, 2007) on sample_mid</v>
      </c>
      <c r="V9" s="21" t="str">
        <f t="shared" si="0"/>
        <v>descriptive (5-9)</v>
      </c>
    </row>
    <row r="10" spans="1:22" ht="23.25" customHeight="1" x14ac:dyDescent="0.3">
      <c r="A10" s="6" t="s">
        <v>643</v>
      </c>
      <c r="B10" s="7" t="s">
        <v>633</v>
      </c>
      <c r="C10" s="7" t="s">
        <v>634</v>
      </c>
      <c r="D10" s="7" t="s">
        <v>644</v>
      </c>
      <c r="E10" s="7" t="s">
        <v>636</v>
      </c>
      <c r="F10" s="8">
        <f>SUMPRODUCT((Results_Long!$A$2:$A$178=$B10)*(Results_Long!$B$2:$B$178=$C10)*(Results_Long!$C$2:$C$178=$D10)*(Results_Long!$D$2:$D$178=$E10)*ROW(Results_Long!$A$2:$A$178))</f>
        <v>145</v>
      </c>
      <c r="G10" s="9">
        <f>IF(INDEX(Results_Long!$H:$H,$F10)="","NA",INDEX(Results_Long!$H:$H,$F10))</f>
        <v>26</v>
      </c>
      <c r="H10" s="9">
        <f>IF(INDEX(Results_Long!$I:$I,$F10)="","NA",INDEX(Results_Long!$I:$I,$F10))</f>
        <v>4</v>
      </c>
      <c r="I10" s="9">
        <f>IF(INDEX(Results_Long!$J:$J,$F10)="","NA",INDEX(Results_Long!$J:$J,$F10))</f>
        <v>4</v>
      </c>
      <c r="J10" s="10" t="str">
        <f>IF(INDEX(Results_Long!$K:$K,$F10)="","NA",INDEX(Results_Long!$K:$K,$F10))</f>
        <v>NA</v>
      </c>
      <c r="K10" s="10" t="str">
        <f>IF(INDEX(Results_Long!$P:$P,$F10)="","NA",INDEX(Results_Long!$P:$P,$F10))</f>
        <v>NA</v>
      </c>
      <c r="L10" s="10" t="str">
        <f>IF(INDEX(Results_Long!$Q:$Q,$F10)="","NA",INDEX(Results_Long!$Q:$Q,$F10))</f>
        <v>NA</v>
      </c>
      <c r="M10" s="10" t="str">
        <f>IF(INDEX(Results_Long!$T:$T,$F10)="","NA",INDEX(Results_Long!$T:$T,$F10))</f>
        <v>NA</v>
      </c>
      <c r="N10" s="10" t="str">
        <f>IF(INDEX(Results_Long!$U:$U,$F10)="","NA",INDEX(Results_Long!$U:$U,$F10))</f>
        <v>NA</v>
      </c>
      <c r="O10" s="10" t="str">
        <f>IF(INDEX(Results_Long!$V:$V,$F10)="","NA",INDEX(Results_Long!$V:$V,$F10))</f>
        <v>NA</v>
      </c>
      <c r="P10" s="10" t="str">
        <f>IF(INDEX(Results_Long!$L:$L,$F10)="","NA",INDEX(Results_Long!$L:$L,$F10))</f>
        <v>NA</v>
      </c>
      <c r="Q10" s="11" t="str">
        <f>IF(INDEX(Results_Long!$M:$M,$F10)="","NA",INDEX(Results_Long!$M:$M,$F10))</f>
        <v>NA</v>
      </c>
      <c r="R10" s="12" t="str">
        <f>IF(INDEX(Results_Long!$N:$N,$F10)="","NA",INDEX(Results_Long!$N:$N,$F10))</f>
        <v>NA</v>
      </c>
      <c r="S10" s="10" t="str">
        <f>IF(INDEX(Results_Long!$O:$O,$F10)="","NA",INDEX(Results_Long!$O:$O,$F10))</f>
        <v>NA</v>
      </c>
      <c r="T10" s="6" t="str">
        <f>IF(INDEX(Results_Long!$AG:$AG,$F10)="","NA",INDEX(Results_Long!$AG:$AG,$F10))</f>
        <v>NA</v>
      </c>
      <c r="U10" s="5" t="str">
        <f>IF(INDEX(Results_Long!$AJ:$AJ,$F10)="","NA",INDEX(Results_Long!$AJ:$AJ,$F10))</f>
        <v>not_estimable: 4 clusters &lt; 5 [DEC-045 S6 tier]; window [2002, 2008); no fit attempted</v>
      </c>
      <c r="V10" s="21" t="str">
        <f t="shared" si="0"/>
        <v>not estimable (&lt;5)</v>
      </c>
    </row>
    <row r="11" spans="1:22" ht="23.25" customHeight="1" x14ac:dyDescent="0.3">
      <c r="A11" s="6" t="s">
        <v>645</v>
      </c>
      <c r="B11" s="7" t="s">
        <v>633</v>
      </c>
      <c r="C11" s="7" t="s">
        <v>634</v>
      </c>
      <c r="D11" s="7" t="s">
        <v>646</v>
      </c>
      <c r="E11" s="7" t="s">
        <v>636</v>
      </c>
      <c r="F11" s="8">
        <f>SUMPRODUCT((Results_Long!$A$2:$A$178=$B11)*(Results_Long!$B$2:$B$178=$C11)*(Results_Long!$C$2:$C$178=$D11)*(Results_Long!$D$2:$D$178=$E11)*ROW(Results_Long!$A$2:$A$178))</f>
        <v>146</v>
      </c>
      <c r="G11" s="9">
        <f>IF(INDEX(Results_Long!$H:$H,$F11)="","NA",INDEX(Results_Long!$H:$H,$F11))</f>
        <v>67</v>
      </c>
      <c r="H11" s="9">
        <f>IF(INDEX(Results_Long!$I:$I,$F11)="","NA",INDEX(Results_Long!$I:$I,$F11))</f>
        <v>7</v>
      </c>
      <c r="I11" s="9">
        <f>IF(INDEX(Results_Long!$J:$J,$F11)="","NA",INDEX(Results_Long!$J:$J,$F11))</f>
        <v>7</v>
      </c>
      <c r="J11" s="10">
        <f>IF(INDEX(Results_Long!$K:$K,$F11)="","NA",INDEX(Results_Long!$K:$K,$F11))</f>
        <v>-6.4797512902352306E-2</v>
      </c>
      <c r="K11" s="10" t="str">
        <f>IF(INDEX(Results_Long!$P:$P,$F11)="","NA",INDEX(Results_Long!$P:$P,$F11))</f>
        <v>NA</v>
      </c>
      <c r="L11" s="10" t="str">
        <f>IF(INDEX(Results_Long!$Q:$Q,$F11)="","NA",INDEX(Results_Long!$Q:$Q,$F11))</f>
        <v>NA</v>
      </c>
      <c r="M11" s="10">
        <f>IF(INDEX(Results_Long!$T:$T,$F11)="","NA",INDEX(Results_Long!$T:$T,$F11))</f>
        <v>-6.4706976133666896E-2</v>
      </c>
      <c r="N11" s="10" t="str">
        <f>IF(INDEX(Results_Long!$U:$U,$F11)="","NA",INDEX(Results_Long!$U:$U,$F11))</f>
        <v>NA</v>
      </c>
      <c r="O11" s="10" t="str">
        <f>IF(INDEX(Results_Long!$V:$V,$F11)="","NA",INDEX(Results_Long!$V:$V,$F11))</f>
        <v>NA</v>
      </c>
      <c r="P11" s="10" t="str">
        <f>IF(INDEX(Results_Long!$L:$L,$F11)="","NA",INDEX(Results_Long!$L:$L,$F11))</f>
        <v>NA</v>
      </c>
      <c r="Q11" s="11" t="str">
        <f>IF(INDEX(Results_Long!$M:$M,$F11)="","NA",INDEX(Results_Long!$M:$M,$F11))</f>
        <v>NA</v>
      </c>
      <c r="R11" s="12" t="str">
        <f>IF(INDEX(Results_Long!$N:$N,$F11)="","NA",INDEX(Results_Long!$N:$N,$F11))</f>
        <v>NA</v>
      </c>
      <c r="S11" s="10" t="str">
        <f>IF(INDEX(Results_Long!$O:$O,$F11)="","NA",INDEX(Results_Long!$O:$O,$F11))</f>
        <v>NA</v>
      </c>
      <c r="T11" s="6" t="str">
        <f>IF(INDEX(Results_Long!$AG:$AG,$F11)="","NA",INDEX(Results_Long!$AG:$AG,$F11))</f>
        <v>NA</v>
      </c>
      <c r="U11" s="5" t="str">
        <f>IF(INDEX(Results_Long!$AJ:$AJ,$F11)="","NA",INDEX(Results_Long!$AJ:$AJ,$F11))</f>
        <v>descriptive tier (5-9 clusters: 7) [DEC-045 S6]: estimate only; se/CI/p suppressed by rule; window [2003, 2009) on sample_mid</v>
      </c>
      <c r="V11" s="21" t="str">
        <f t="shared" si="0"/>
        <v>descriptive (5-9)</v>
      </c>
    </row>
    <row r="12" spans="1:22" ht="23.25" customHeight="1" x14ac:dyDescent="0.3">
      <c r="A12" s="6" t="s">
        <v>647</v>
      </c>
      <c r="B12" s="7" t="s">
        <v>633</v>
      </c>
      <c r="C12" s="7" t="s">
        <v>634</v>
      </c>
      <c r="D12" s="7" t="s">
        <v>648</v>
      </c>
      <c r="E12" s="7" t="s">
        <v>636</v>
      </c>
      <c r="F12" s="8">
        <f>SUMPRODUCT((Results_Long!$A$2:$A$178=$B12)*(Results_Long!$B$2:$B$178=$C12)*(Results_Long!$C$2:$C$178=$D12)*(Results_Long!$D$2:$D$178=$E12)*ROW(Results_Long!$A$2:$A$178))</f>
        <v>147</v>
      </c>
      <c r="G12" s="9">
        <f>IF(INDEX(Results_Long!$H:$H,$F12)="","NA",INDEX(Results_Long!$H:$H,$F12))</f>
        <v>85</v>
      </c>
      <c r="H12" s="9">
        <f>IF(INDEX(Results_Long!$I:$I,$F12)="","NA",INDEX(Results_Long!$I:$I,$F12))</f>
        <v>8</v>
      </c>
      <c r="I12" s="9">
        <f>IF(INDEX(Results_Long!$J:$J,$F12)="","NA",INDEX(Results_Long!$J:$J,$F12))</f>
        <v>8</v>
      </c>
      <c r="J12" s="10">
        <f>IF(INDEX(Results_Long!$K:$K,$F12)="","NA",INDEX(Results_Long!$K:$K,$F12))</f>
        <v>-7.1015842557823006E-2</v>
      </c>
      <c r="K12" s="10" t="str">
        <f>IF(INDEX(Results_Long!$P:$P,$F12)="","NA",INDEX(Results_Long!$P:$P,$F12))</f>
        <v>NA</v>
      </c>
      <c r="L12" s="10" t="str">
        <f>IF(INDEX(Results_Long!$Q:$Q,$F12)="","NA",INDEX(Results_Long!$Q:$Q,$F12))</f>
        <v>NA</v>
      </c>
      <c r="M12" s="10">
        <f>IF(INDEX(Results_Long!$T:$T,$F12)="","NA",INDEX(Results_Long!$T:$T,$F12))</f>
        <v>-7.0896699352812703E-2</v>
      </c>
      <c r="N12" s="10" t="str">
        <f>IF(INDEX(Results_Long!$U:$U,$F12)="","NA",INDEX(Results_Long!$U:$U,$F12))</f>
        <v>NA</v>
      </c>
      <c r="O12" s="10" t="str">
        <f>IF(INDEX(Results_Long!$V:$V,$F12)="","NA",INDEX(Results_Long!$V:$V,$F12))</f>
        <v>NA</v>
      </c>
      <c r="P12" s="10" t="str">
        <f>IF(INDEX(Results_Long!$L:$L,$F12)="","NA",INDEX(Results_Long!$L:$L,$F12))</f>
        <v>NA</v>
      </c>
      <c r="Q12" s="11" t="str">
        <f>IF(INDEX(Results_Long!$M:$M,$F12)="","NA",INDEX(Results_Long!$M:$M,$F12))</f>
        <v>NA</v>
      </c>
      <c r="R12" s="12" t="str">
        <f>IF(INDEX(Results_Long!$N:$N,$F12)="","NA",INDEX(Results_Long!$N:$N,$F12))</f>
        <v>NA</v>
      </c>
      <c r="S12" s="10" t="str">
        <f>IF(INDEX(Results_Long!$O:$O,$F12)="","NA",INDEX(Results_Long!$O:$O,$F12))</f>
        <v>NA</v>
      </c>
      <c r="T12" s="6" t="str">
        <f>IF(INDEX(Results_Long!$AG:$AG,$F12)="","NA",INDEX(Results_Long!$AG:$AG,$F12))</f>
        <v>NA</v>
      </c>
      <c r="U12" s="5" t="str">
        <f>IF(INDEX(Results_Long!$AJ:$AJ,$F12)="","NA",INDEX(Results_Long!$AJ:$AJ,$F12))</f>
        <v>descriptive tier (5-9 clusters: 8) [DEC-045 S6]: estimate only; se/CI/p suppressed by rule; window [2004, 2010) on sample_mid</v>
      </c>
      <c r="V12" s="21" t="str">
        <f t="shared" si="0"/>
        <v>descriptive (5-9)</v>
      </c>
    </row>
    <row r="13" spans="1:22" ht="23.25" customHeight="1" x14ac:dyDescent="0.3">
      <c r="A13" s="6" t="s">
        <v>649</v>
      </c>
      <c r="B13" s="7" t="s">
        <v>633</v>
      </c>
      <c r="C13" s="7" t="s">
        <v>634</v>
      </c>
      <c r="D13" s="7" t="s">
        <v>650</v>
      </c>
      <c r="E13" s="7" t="s">
        <v>636</v>
      </c>
      <c r="F13" s="8">
        <f>SUMPRODUCT((Results_Long!$A$2:$A$178=$B13)*(Results_Long!$B$2:$B$178=$C13)*(Results_Long!$C$2:$C$178=$D13)*(Results_Long!$D$2:$D$178=$E13)*ROW(Results_Long!$A$2:$A$178))</f>
        <v>148</v>
      </c>
      <c r="G13" s="9">
        <f>IF(INDEX(Results_Long!$H:$H,$F13)="","NA",INDEX(Results_Long!$H:$H,$F13))</f>
        <v>436</v>
      </c>
      <c r="H13" s="9">
        <f>IF(INDEX(Results_Long!$I:$I,$F13)="","NA",INDEX(Results_Long!$I:$I,$F13))</f>
        <v>18</v>
      </c>
      <c r="I13" s="9">
        <f>IF(INDEX(Results_Long!$J:$J,$F13)="","NA",INDEX(Results_Long!$J:$J,$F13))</f>
        <v>18</v>
      </c>
      <c r="J13" s="10">
        <f>IF(INDEX(Results_Long!$K:$K,$F13)="","NA",INDEX(Results_Long!$K:$K,$F13))</f>
        <v>-4.1300989186840602E-2</v>
      </c>
      <c r="K13" s="10">
        <f>IF(INDEX(Results_Long!$P:$P,$F13)="","NA",INDEX(Results_Long!$P:$P,$F13))</f>
        <v>-6.3075731140246005E-2</v>
      </c>
      <c r="L13" s="10">
        <f>IF(INDEX(Results_Long!$Q:$Q,$F13)="","NA",INDEX(Results_Long!$Q:$Q,$F13))</f>
        <v>-1.9526247233435198E-2</v>
      </c>
      <c r="M13" s="10">
        <f>IF(INDEX(Results_Long!$T:$T,$F13)="","NA",INDEX(Results_Long!$T:$T,$F13))</f>
        <v>-4.1277521845727999E-2</v>
      </c>
      <c r="N13" s="10">
        <f>IF(INDEX(Results_Long!$U:$U,$F13)="","NA",INDEX(Results_Long!$U:$U,$F13))</f>
        <v>-6.2992214109970801E-2</v>
      </c>
      <c r="O13" s="10">
        <f>IF(INDEX(Results_Long!$V:$V,$F13)="","NA",INDEX(Results_Long!$V:$V,$F13))</f>
        <v>-1.9523765992897402E-2</v>
      </c>
      <c r="P13" s="10">
        <f>IF(INDEX(Results_Long!$L:$L,$F13)="","NA",INDEX(Results_Long!$L:$L,$F13))</f>
        <v>1.02055137453229E-2</v>
      </c>
      <c r="Q13" s="11">
        <f>IF(INDEX(Results_Long!$M:$M,$F13)="","NA",INDEX(Results_Long!$M:$M,$F13))</f>
        <v>-4.04692896580229</v>
      </c>
      <c r="R13" s="12">
        <f>IF(INDEX(Results_Long!$N:$N,$F13)="","NA",INDEX(Results_Long!$N:$N,$F13))</f>
        <v>14.826400463289101</v>
      </c>
      <c r="S13" s="10">
        <f>IF(INDEX(Results_Long!$O:$O,$F13)="","NA",INDEX(Results_Long!$O:$O,$F13))</f>
        <v>1.0770773814721499E-3</v>
      </c>
      <c r="T13" s="6" t="str">
        <f>IF(INDEX(Results_Long!$AG:$AG,$F13)="","NA",INDEX(Results_Long!$AG:$AG,$F13))</f>
        <v>NA</v>
      </c>
      <c r="U13" s="5" t="str">
        <f>IF(INDEX(Results_Long!$AJ:$AJ,$F13)="","NA",INDEX(Results_Long!$AJ:$AJ,$F13))</f>
        <v>full-inference tier (&gt;= 10 clusters: 18) [DEC-045 S6]; window [2005, 2011) on sample_mid; width 6 y, step 1 y, anchor 1998</v>
      </c>
      <c r="V13" s="21" t="str">
        <f t="shared" si="0"/>
        <v>full CR2</v>
      </c>
    </row>
    <row r="14" spans="1:22" ht="23.25" customHeight="1" x14ac:dyDescent="0.3">
      <c r="A14" s="6" t="s">
        <v>651</v>
      </c>
      <c r="B14" s="7" t="s">
        <v>633</v>
      </c>
      <c r="C14" s="7" t="s">
        <v>634</v>
      </c>
      <c r="D14" s="7" t="s">
        <v>652</v>
      </c>
      <c r="E14" s="7" t="s">
        <v>636</v>
      </c>
      <c r="F14" s="8">
        <f>SUMPRODUCT((Results_Long!$A$2:$A$178=$B14)*(Results_Long!$B$2:$B$178=$C14)*(Results_Long!$C$2:$C$178=$D14)*(Results_Long!$D$2:$D$178=$E14)*ROW(Results_Long!$A$2:$A$178))</f>
        <v>149</v>
      </c>
      <c r="G14" s="9">
        <f>IF(INDEX(Results_Long!$H:$H,$F14)="","NA",INDEX(Results_Long!$H:$H,$F14))</f>
        <v>674</v>
      </c>
      <c r="H14" s="9">
        <f>IF(INDEX(Results_Long!$I:$I,$F14)="","NA",INDEX(Results_Long!$I:$I,$F14))</f>
        <v>24</v>
      </c>
      <c r="I14" s="9">
        <f>IF(INDEX(Results_Long!$J:$J,$F14)="","NA",INDEX(Results_Long!$J:$J,$F14))</f>
        <v>24</v>
      </c>
      <c r="J14" s="10">
        <f>IF(INDEX(Results_Long!$K:$K,$F14)="","NA",INDEX(Results_Long!$K:$K,$F14))</f>
        <v>-5.2902864288935501E-2</v>
      </c>
      <c r="K14" s="10">
        <f>IF(INDEX(Results_Long!$P:$P,$F14)="","NA",INDEX(Results_Long!$P:$P,$F14))</f>
        <v>-7.5234653383599803E-2</v>
      </c>
      <c r="L14" s="10">
        <f>IF(INDEX(Results_Long!$Q:$Q,$F14)="","NA",INDEX(Results_Long!$Q:$Q,$F14))</f>
        <v>-3.0571075194271099E-2</v>
      </c>
      <c r="M14" s="10">
        <f>IF(INDEX(Results_Long!$T:$T,$F14)="","NA",INDEX(Results_Long!$T:$T,$F14))</f>
        <v>-5.2853566164499599E-2</v>
      </c>
      <c r="N14" s="10">
        <f>IF(INDEX(Results_Long!$U:$U,$F14)="","NA",INDEX(Results_Long!$U:$U,$F14))</f>
        <v>-7.5093024976753506E-2</v>
      </c>
      <c r="O14" s="10">
        <f>IF(INDEX(Results_Long!$V:$V,$F14)="","NA",INDEX(Results_Long!$V:$V,$F14))</f>
        <v>-3.0561554939709398E-2</v>
      </c>
      <c r="P14" s="10">
        <f>IF(INDEX(Results_Long!$L:$L,$F14)="","NA",INDEX(Results_Long!$L:$L,$F14))</f>
        <v>1.0733015214343999E-2</v>
      </c>
      <c r="Q14" s="11">
        <f>IF(INDEX(Results_Long!$M:$M,$F14)="","NA",INDEX(Results_Long!$M:$M,$F14))</f>
        <v>-4.9289843750742097</v>
      </c>
      <c r="R14" s="12">
        <f>IF(INDEX(Results_Long!$N:$N,$F14)="","NA",INDEX(Results_Long!$N:$N,$F14))</f>
        <v>20.827496099852699</v>
      </c>
      <c r="S14" s="10">
        <f>IF(INDEX(Results_Long!$O:$O,$F14)="","NA",INDEX(Results_Long!$O:$O,$F14))</f>
        <v>7.2489785110033399E-5</v>
      </c>
      <c r="T14" s="6" t="str">
        <f>IF(INDEX(Results_Long!$AG:$AG,$F14)="","NA",INDEX(Results_Long!$AG:$AG,$F14))</f>
        <v>NA</v>
      </c>
      <c r="U14" s="5" t="str">
        <f>IF(INDEX(Results_Long!$AJ:$AJ,$F14)="","NA",INDEX(Results_Long!$AJ:$AJ,$F14))</f>
        <v>full-inference tier (&gt;= 10 clusters: 24) [DEC-045 S6]; window [2006, 2012) on sample_mid; width 6 y, step 1 y, anchor 1998</v>
      </c>
      <c r="V14" s="21" t="str">
        <f t="shared" si="0"/>
        <v>full CR2</v>
      </c>
    </row>
    <row r="15" spans="1:22" ht="23.25" customHeight="1" x14ac:dyDescent="0.3">
      <c r="A15" s="6" t="s">
        <v>653</v>
      </c>
      <c r="B15" s="7" t="s">
        <v>633</v>
      </c>
      <c r="C15" s="7" t="s">
        <v>634</v>
      </c>
      <c r="D15" s="7" t="s">
        <v>654</v>
      </c>
      <c r="E15" s="7" t="s">
        <v>636</v>
      </c>
      <c r="F15" s="8">
        <f>SUMPRODUCT((Results_Long!$A$2:$A$178=$B15)*(Results_Long!$B$2:$B$178=$C15)*(Results_Long!$C$2:$C$178=$D15)*(Results_Long!$D$2:$D$178=$E15)*ROW(Results_Long!$A$2:$A$178))</f>
        <v>150</v>
      </c>
      <c r="G15" s="9">
        <f>IF(INDEX(Results_Long!$H:$H,$F15)="","NA",INDEX(Results_Long!$H:$H,$F15))</f>
        <v>1008</v>
      </c>
      <c r="H15" s="9">
        <f>IF(INDEX(Results_Long!$I:$I,$F15)="","NA",INDEX(Results_Long!$I:$I,$F15))</f>
        <v>43</v>
      </c>
      <c r="I15" s="9">
        <f>IF(INDEX(Results_Long!$J:$J,$F15)="","NA",INDEX(Results_Long!$J:$J,$F15))</f>
        <v>42</v>
      </c>
      <c r="J15" s="10">
        <f>IF(INDEX(Results_Long!$K:$K,$F15)="","NA",INDEX(Results_Long!$K:$K,$F15))</f>
        <v>-8.6801725380718897E-2</v>
      </c>
      <c r="K15" s="10">
        <f>IF(INDEX(Results_Long!$P:$P,$F15)="","NA",INDEX(Results_Long!$P:$P,$F15))</f>
        <v>-0.16763356182724101</v>
      </c>
      <c r="L15" s="10">
        <f>IF(INDEX(Results_Long!$Q:$Q,$F15)="","NA",INDEX(Results_Long!$Q:$Q,$F15))</f>
        <v>-5.9698889341972296E-3</v>
      </c>
      <c r="M15" s="10">
        <f>IF(INDEX(Results_Long!$T:$T,$F15)="","NA",INDEX(Results_Long!$T:$T,$F15))</f>
        <v>-8.6584376729003404E-2</v>
      </c>
      <c r="N15" s="10">
        <f>IF(INDEX(Results_Long!$U:$U,$F15)="","NA",INDEX(Results_Long!$U:$U,$F15))</f>
        <v>-0.16608078909691201</v>
      </c>
      <c r="O15" s="10">
        <f>IF(INDEX(Results_Long!$V:$V,$F15)="","NA",INDEX(Results_Long!$V:$V,$F15))</f>
        <v>-5.9698180137756698E-3</v>
      </c>
      <c r="P15" s="10">
        <f>IF(INDEX(Results_Long!$L:$L,$F15)="","NA",INDEX(Results_Long!$L:$L,$F15))</f>
        <v>4.0022875213596702E-2</v>
      </c>
      <c r="Q15" s="11">
        <f>IF(INDEX(Results_Long!$M:$M,$F15)="","NA",INDEX(Results_Long!$M:$M,$F15))</f>
        <v>-2.1688028388133</v>
      </c>
      <c r="R15" s="12">
        <f>IF(INDEX(Results_Long!$N:$N,$F15)="","NA",INDEX(Results_Long!$N:$N,$F15))</f>
        <v>40.933297423358503</v>
      </c>
      <c r="S15" s="10">
        <f>IF(INDEX(Results_Long!$O:$O,$F15)="","NA",INDEX(Results_Long!$O:$O,$F15))</f>
        <v>3.5960827125381303E-2</v>
      </c>
      <c r="T15" s="6" t="str">
        <f>IF(INDEX(Results_Long!$AG:$AG,$F15)="","NA",INDEX(Results_Long!$AG:$AG,$F15))</f>
        <v>NA</v>
      </c>
      <c r="U15" s="5" t="str">
        <f>IF(INDEX(Results_Long!$AJ:$AJ,$F15)="","NA",INDEX(Results_Long!$AJ:$AJ,$F15))</f>
        <v>full-inference tier (&gt;= 10 clusters: 42) [DEC-045 S6]; window [2007, 2013) on sample_mid; width 6 y, step 1 y, anchor 1998</v>
      </c>
      <c r="V15" s="21" t="str">
        <f t="shared" si="0"/>
        <v>full CR2</v>
      </c>
    </row>
    <row r="16" spans="1:22" ht="23.25" customHeight="1" x14ac:dyDescent="0.3">
      <c r="A16" s="6" t="s">
        <v>655</v>
      </c>
      <c r="B16" s="7" t="s">
        <v>633</v>
      </c>
      <c r="C16" s="7" t="s">
        <v>634</v>
      </c>
      <c r="D16" s="7" t="s">
        <v>656</v>
      </c>
      <c r="E16" s="7" t="s">
        <v>636</v>
      </c>
      <c r="F16" s="8">
        <f>SUMPRODUCT((Results_Long!$A$2:$A$178=$B16)*(Results_Long!$B$2:$B$178=$C16)*(Results_Long!$C$2:$C$178=$D16)*(Results_Long!$D$2:$D$178=$E16)*ROW(Results_Long!$A$2:$A$178))</f>
        <v>151</v>
      </c>
      <c r="G16" s="9">
        <f>IF(INDEX(Results_Long!$H:$H,$F16)="","NA",INDEX(Results_Long!$H:$H,$F16))</f>
        <v>1368</v>
      </c>
      <c r="H16" s="9">
        <f>IF(INDEX(Results_Long!$I:$I,$F16)="","NA",INDEX(Results_Long!$I:$I,$F16))</f>
        <v>54</v>
      </c>
      <c r="I16" s="9">
        <f>IF(INDEX(Results_Long!$J:$J,$F16)="","NA",INDEX(Results_Long!$J:$J,$F16))</f>
        <v>53</v>
      </c>
      <c r="J16" s="10">
        <f>IF(INDEX(Results_Long!$K:$K,$F16)="","NA",INDEX(Results_Long!$K:$K,$F16))</f>
        <v>-7.3528679830586405E-2</v>
      </c>
      <c r="K16" s="10">
        <f>IF(INDEX(Results_Long!$P:$P,$F16)="","NA",INDEX(Results_Long!$P:$P,$F16))</f>
        <v>-0.137615130835367</v>
      </c>
      <c r="L16" s="10">
        <f>IF(INDEX(Results_Long!$Q:$Q,$F16)="","NA",INDEX(Results_Long!$Q:$Q,$F16))</f>
        <v>-9.4422288258062398E-3</v>
      </c>
      <c r="M16" s="10">
        <f>IF(INDEX(Results_Long!$T:$T,$F16)="","NA",INDEX(Results_Long!$T:$T,$F16))</f>
        <v>-7.3396455648405801E-2</v>
      </c>
      <c r="N16" s="10">
        <f>IF(INDEX(Results_Long!$U:$U,$F16)="","NA",INDEX(Results_Long!$U:$U,$F16))</f>
        <v>-0.136752946466005</v>
      </c>
      <c r="O16" s="10">
        <f>IF(INDEX(Results_Long!$V:$V,$F16)="","NA",INDEX(Results_Long!$V:$V,$F16))</f>
        <v>-9.4419482263527997E-3</v>
      </c>
      <c r="P16" s="10">
        <f>IF(INDEX(Results_Long!$L:$L,$F16)="","NA",INDEX(Results_Long!$L:$L,$F16))</f>
        <v>3.1936071828760598E-2</v>
      </c>
      <c r="Q16" s="11">
        <f>IF(INDEX(Results_Long!$M:$M,$F16)="","NA",INDEX(Results_Long!$M:$M,$F16))</f>
        <v>-2.3023708183286602</v>
      </c>
      <c r="R16" s="12">
        <f>IF(INDEX(Results_Long!$N:$N,$F16)="","NA",INDEX(Results_Long!$N:$N,$F16))</f>
        <v>51.930738722036999</v>
      </c>
      <c r="S16" s="10">
        <f>IF(INDEX(Results_Long!$O:$O,$F16)="","NA",INDEX(Results_Long!$O:$O,$F16))</f>
        <v>2.5354623111179801E-2</v>
      </c>
      <c r="T16" s="6" t="str">
        <f>IF(INDEX(Results_Long!$AG:$AG,$F16)="","NA",INDEX(Results_Long!$AG:$AG,$F16))</f>
        <v>NA</v>
      </c>
      <c r="U16" s="5" t="str">
        <f>IF(INDEX(Results_Long!$AJ:$AJ,$F16)="","NA",INDEX(Results_Long!$AJ:$AJ,$F16))</f>
        <v>full-inference tier (&gt;= 10 clusters: 53) [DEC-045 S6]; window [2008, 2014) on sample_mid; width 6 y, step 1 y, anchor 1998</v>
      </c>
      <c r="V16" s="21" t="str">
        <f t="shared" si="0"/>
        <v>full CR2</v>
      </c>
    </row>
    <row r="17" spans="1:22" ht="23.25" customHeight="1" x14ac:dyDescent="0.3">
      <c r="A17" s="6" t="s">
        <v>657</v>
      </c>
      <c r="B17" s="7" t="s">
        <v>633</v>
      </c>
      <c r="C17" s="7" t="s">
        <v>634</v>
      </c>
      <c r="D17" s="7" t="s">
        <v>658</v>
      </c>
      <c r="E17" s="7" t="s">
        <v>636</v>
      </c>
      <c r="F17" s="8">
        <f>SUMPRODUCT((Results_Long!$A$2:$A$178=$B17)*(Results_Long!$B$2:$B$178=$C17)*(Results_Long!$C$2:$C$178=$D17)*(Results_Long!$D$2:$D$178=$E17)*ROW(Results_Long!$A$2:$A$178))</f>
        <v>152</v>
      </c>
      <c r="G17" s="9">
        <f>IF(INDEX(Results_Long!$H:$H,$F17)="","NA",INDEX(Results_Long!$H:$H,$F17))</f>
        <v>1552</v>
      </c>
      <c r="H17" s="9">
        <f>IF(INDEX(Results_Long!$I:$I,$F17)="","NA",INDEX(Results_Long!$I:$I,$F17))</f>
        <v>63</v>
      </c>
      <c r="I17" s="9">
        <f>IF(INDEX(Results_Long!$J:$J,$F17)="","NA",INDEX(Results_Long!$J:$J,$F17))</f>
        <v>62</v>
      </c>
      <c r="J17" s="10">
        <f>IF(INDEX(Results_Long!$K:$K,$F17)="","NA",INDEX(Results_Long!$K:$K,$F17))</f>
        <v>-6.6472226346664401E-2</v>
      </c>
      <c r="K17" s="10">
        <f>IF(INDEX(Results_Long!$P:$P,$F17)="","NA",INDEX(Results_Long!$P:$P,$F17))</f>
        <v>-0.117909969476232</v>
      </c>
      <c r="L17" s="10">
        <f>IF(INDEX(Results_Long!$Q:$Q,$F17)="","NA",INDEX(Results_Long!$Q:$Q,$F17))</f>
        <v>-1.50344832170971E-2</v>
      </c>
      <c r="M17" s="10">
        <f>IF(INDEX(Results_Long!$T:$T,$F17)="","NA",INDEX(Results_Long!$T:$T,$F17))</f>
        <v>-6.6374495304181005E-2</v>
      </c>
      <c r="N17" s="10">
        <f>IF(INDEX(Results_Long!$U:$U,$F17)="","NA",INDEX(Results_Long!$U:$U,$F17))</f>
        <v>-0.11736656649247</v>
      </c>
      <c r="O17" s="10">
        <f>IF(INDEX(Results_Long!$V:$V,$F17)="","NA",INDEX(Results_Long!$V:$V,$F17))</f>
        <v>-1.5033350542933E-2</v>
      </c>
      <c r="P17" s="10">
        <f>IF(INDEX(Results_Long!$L:$L,$F17)="","NA",INDEX(Results_Long!$L:$L,$F17))</f>
        <v>2.57207336653234E-2</v>
      </c>
      <c r="Q17" s="11">
        <f>IF(INDEX(Results_Long!$M:$M,$F17)="","NA",INDEX(Results_Long!$M:$M,$F17))</f>
        <v>-2.5843829811232002</v>
      </c>
      <c r="R17" s="12">
        <f>IF(INDEX(Results_Long!$N:$N,$F17)="","NA",INDEX(Results_Long!$N:$N,$F17))</f>
        <v>60.652657754601201</v>
      </c>
      <c r="S17" s="10">
        <f>IF(INDEX(Results_Long!$O:$O,$F17)="","NA",INDEX(Results_Long!$O:$O,$F17))</f>
        <v>1.21786406101609E-2</v>
      </c>
      <c r="T17" s="6" t="str">
        <f>IF(INDEX(Results_Long!$AG:$AG,$F17)="","NA",INDEX(Results_Long!$AG:$AG,$F17))</f>
        <v>NA</v>
      </c>
      <c r="U17" s="5" t="str">
        <f>IF(INDEX(Results_Long!$AJ:$AJ,$F17)="","NA",INDEX(Results_Long!$AJ:$AJ,$F17))</f>
        <v>full-inference tier (&gt;= 10 clusters: 62) [DEC-045 S6]; window [2009, 2015) on sample_mid; width 6 y, step 1 y, anchor 1998</v>
      </c>
      <c r="V17" s="21" t="str">
        <f t="shared" si="0"/>
        <v>full CR2</v>
      </c>
    </row>
    <row r="18" spans="1:22" ht="23.25" customHeight="1" x14ac:dyDescent="0.3">
      <c r="A18" s="6" t="s">
        <v>659</v>
      </c>
      <c r="B18" s="7" t="s">
        <v>633</v>
      </c>
      <c r="C18" s="7" t="s">
        <v>634</v>
      </c>
      <c r="D18" s="7" t="s">
        <v>660</v>
      </c>
      <c r="E18" s="7" t="s">
        <v>636</v>
      </c>
      <c r="F18" s="8">
        <f>SUMPRODUCT((Results_Long!$A$2:$A$178=$B18)*(Results_Long!$B$2:$B$178=$C18)*(Results_Long!$C$2:$C$178=$D18)*(Results_Long!$D$2:$D$178=$E18)*ROW(Results_Long!$A$2:$A$178))</f>
        <v>153</v>
      </c>
      <c r="G18" s="9">
        <f>IF(INDEX(Results_Long!$H:$H,$F18)="","NA",INDEX(Results_Long!$H:$H,$F18))</f>
        <v>1676</v>
      </c>
      <c r="H18" s="9">
        <f>IF(INDEX(Results_Long!$I:$I,$F18)="","NA",INDEX(Results_Long!$I:$I,$F18))</f>
        <v>72</v>
      </c>
      <c r="I18" s="9">
        <f>IF(INDEX(Results_Long!$J:$J,$F18)="","NA",INDEX(Results_Long!$J:$J,$F18))</f>
        <v>71</v>
      </c>
      <c r="J18" s="10">
        <f>IF(INDEX(Results_Long!$K:$K,$F18)="","NA",INDEX(Results_Long!$K:$K,$F18))</f>
        <v>-6.2432418439040099E-2</v>
      </c>
      <c r="K18" s="10">
        <f>IF(INDEX(Results_Long!$P:$P,$F18)="","NA",INDEX(Results_Long!$P:$P,$F18))</f>
        <v>-0.106857030455107</v>
      </c>
      <c r="L18" s="10">
        <f>IF(INDEX(Results_Long!$Q:$Q,$F18)="","NA",INDEX(Results_Long!$Q:$Q,$F18))</f>
        <v>-1.8007806422973501E-2</v>
      </c>
      <c r="M18" s="10">
        <f>IF(INDEX(Results_Long!$T:$T,$F18)="","NA",INDEX(Results_Long!$T:$T,$F18))</f>
        <v>-6.2351428207197503E-2</v>
      </c>
      <c r="N18" s="10">
        <f>IF(INDEX(Results_Long!$U:$U,$F18)="","NA",INDEX(Results_Long!$U:$U,$F18))</f>
        <v>-0.106452166523497</v>
      </c>
      <c r="O18" s="10">
        <f>IF(INDEX(Results_Long!$V:$V,$F18)="","NA",INDEX(Results_Long!$V:$V,$F18))</f>
        <v>-1.80058601450514E-2</v>
      </c>
      <c r="P18" s="10">
        <f>IF(INDEX(Results_Long!$L:$L,$F18)="","NA",INDEX(Results_Long!$L:$L,$F18))</f>
        <v>2.2271271251453499E-2</v>
      </c>
      <c r="Q18" s="11">
        <f>IF(INDEX(Results_Long!$M:$M,$F18)="","NA",INDEX(Results_Long!$M:$M,$F18))</f>
        <v>-2.8032714313497298</v>
      </c>
      <c r="R18" s="12">
        <f>IF(INDEX(Results_Long!$N:$N,$F18)="","NA",INDEX(Results_Long!$N:$N,$F18))</f>
        <v>69.469691161663107</v>
      </c>
      <c r="S18" s="10">
        <f>IF(INDEX(Results_Long!$O:$O,$F18)="","NA",INDEX(Results_Long!$O:$O,$F18))</f>
        <v>6.5519430657647896E-3</v>
      </c>
      <c r="T18" s="6" t="str">
        <f>IF(INDEX(Results_Long!$AG:$AG,$F18)="","NA",INDEX(Results_Long!$AG:$AG,$F18))</f>
        <v>NA</v>
      </c>
      <c r="U18" s="5" t="str">
        <f>IF(INDEX(Results_Long!$AJ:$AJ,$F18)="","NA",INDEX(Results_Long!$AJ:$AJ,$F18))</f>
        <v>full-inference tier (&gt;= 10 clusters: 71) [DEC-045 S6]; window [2010, 2016) on sample_mid; width 6 y, step 1 y, anchor 1998</v>
      </c>
      <c r="V18" s="21" t="str">
        <f t="shared" si="0"/>
        <v>full CR2</v>
      </c>
    </row>
    <row r="19" spans="1:22" ht="23.25" customHeight="1" x14ac:dyDescent="0.3">
      <c r="A19" s="6" t="s">
        <v>661</v>
      </c>
      <c r="B19" s="7" t="s">
        <v>633</v>
      </c>
      <c r="C19" s="7" t="s">
        <v>634</v>
      </c>
      <c r="D19" s="7" t="s">
        <v>662</v>
      </c>
      <c r="E19" s="7" t="s">
        <v>636</v>
      </c>
      <c r="F19" s="8">
        <f>SUMPRODUCT((Results_Long!$A$2:$A$178=$B19)*(Results_Long!$B$2:$B$178=$C19)*(Results_Long!$C$2:$C$178=$D19)*(Results_Long!$D$2:$D$178=$E19)*ROW(Results_Long!$A$2:$A$178))</f>
        <v>154</v>
      </c>
      <c r="G19" s="9">
        <f>IF(INDEX(Results_Long!$H:$H,$F19)="","NA",INDEX(Results_Long!$H:$H,$F19))</f>
        <v>1339</v>
      </c>
      <c r="H19" s="9">
        <f>IF(INDEX(Results_Long!$I:$I,$F19)="","NA",INDEX(Results_Long!$I:$I,$F19))</f>
        <v>65</v>
      </c>
      <c r="I19" s="9">
        <f>IF(INDEX(Results_Long!$J:$J,$F19)="","NA",INDEX(Results_Long!$J:$J,$F19))</f>
        <v>64</v>
      </c>
      <c r="J19" s="10">
        <f>IF(INDEX(Results_Long!$K:$K,$F19)="","NA",INDEX(Results_Long!$K:$K,$F19))</f>
        <v>-6.5468398828848695E-2</v>
      </c>
      <c r="K19" s="10">
        <f>IF(INDEX(Results_Long!$P:$P,$F19)="","NA",INDEX(Results_Long!$P:$P,$F19))</f>
        <v>-0.114006861699504</v>
      </c>
      <c r="L19" s="10">
        <f>IF(INDEX(Results_Long!$Q:$Q,$F19)="","NA",INDEX(Results_Long!$Q:$Q,$F19))</f>
        <v>-1.6929935958193899E-2</v>
      </c>
      <c r="M19" s="10">
        <f>IF(INDEX(Results_Long!$T:$T,$F19)="","NA",INDEX(Results_Long!$T:$T,$F19))</f>
        <v>-6.5375023964795095E-2</v>
      </c>
      <c r="N19" s="10">
        <f>IF(INDEX(Results_Long!$U:$U,$F19)="","NA",INDEX(Results_Long!$U:$U,$F19))</f>
        <v>-0.11351547907242</v>
      </c>
      <c r="O19" s="10">
        <f>IF(INDEX(Results_Long!$V:$V,$F19)="","NA",INDEX(Results_Long!$V:$V,$F19))</f>
        <v>-1.6928318642121E-2</v>
      </c>
      <c r="P19" s="10">
        <f>IF(INDEX(Results_Long!$L:$L,$F19)="","NA",INDEX(Results_Long!$L:$L,$F19))</f>
        <v>2.4284854222608301E-2</v>
      </c>
      <c r="Q19" s="11">
        <f>IF(INDEX(Results_Long!$M:$M,$F19)="","NA",INDEX(Results_Long!$M:$M,$F19))</f>
        <v>-2.6958530707546999</v>
      </c>
      <c r="R19" s="12">
        <f>IF(INDEX(Results_Long!$N:$N,$F19)="","NA",INDEX(Results_Long!$N:$N,$F19))</f>
        <v>62.405185209443403</v>
      </c>
      <c r="S19" s="10">
        <f>IF(INDEX(Results_Long!$O:$O,$F19)="","NA",INDEX(Results_Long!$O:$O,$F19))</f>
        <v>9.0126823535384096E-3</v>
      </c>
      <c r="T19" s="6" t="str">
        <f>IF(INDEX(Results_Long!$AG:$AG,$F19)="","NA",INDEX(Results_Long!$AG:$AG,$F19))</f>
        <v>NA</v>
      </c>
      <c r="U19" s="5" t="str">
        <f>IF(INDEX(Results_Long!$AJ:$AJ,$F19)="","NA",INDEX(Results_Long!$AJ:$AJ,$F19))</f>
        <v>full-inference tier (&gt;= 10 clusters: 64) [DEC-045 S6]; window [2011, 2017) on sample_mid; width 6 y, step 1 y, anchor 1998</v>
      </c>
      <c r="V19" s="21" t="str">
        <f t="shared" si="0"/>
        <v>full CR2</v>
      </c>
    </row>
    <row r="20" spans="1:22" ht="23.25" customHeight="1" x14ac:dyDescent="0.3">
      <c r="A20" s="6" t="s">
        <v>663</v>
      </c>
      <c r="B20" s="7" t="s">
        <v>633</v>
      </c>
      <c r="C20" s="7" t="s">
        <v>634</v>
      </c>
      <c r="D20" s="7" t="s">
        <v>664</v>
      </c>
      <c r="E20" s="7" t="s">
        <v>636</v>
      </c>
      <c r="F20" s="8">
        <f>SUMPRODUCT((Results_Long!$A$2:$A$178=$B20)*(Results_Long!$B$2:$B$178=$C20)*(Results_Long!$C$2:$C$178=$D20)*(Results_Long!$D$2:$D$178=$E20)*ROW(Results_Long!$A$2:$A$178))</f>
        <v>155</v>
      </c>
      <c r="G20" s="9">
        <f>IF(INDEX(Results_Long!$H:$H,$F20)="","NA",INDEX(Results_Long!$H:$H,$F20))</f>
        <v>1365</v>
      </c>
      <c r="H20" s="9">
        <f>IF(INDEX(Results_Long!$I:$I,$F20)="","NA",INDEX(Results_Long!$I:$I,$F20))</f>
        <v>64</v>
      </c>
      <c r="I20" s="9">
        <f>IF(INDEX(Results_Long!$J:$J,$F20)="","NA",INDEX(Results_Long!$J:$J,$F20))</f>
        <v>63</v>
      </c>
      <c r="J20" s="10">
        <f>IF(INDEX(Results_Long!$K:$K,$F20)="","NA",INDEX(Results_Long!$K:$K,$F20))</f>
        <v>-6.3369749202987394E-2</v>
      </c>
      <c r="K20" s="10">
        <f>IF(INDEX(Results_Long!$P:$P,$F20)="","NA",INDEX(Results_Long!$P:$P,$F20))</f>
        <v>-0.11353401975393899</v>
      </c>
      <c r="L20" s="10">
        <f>IF(INDEX(Results_Long!$Q:$Q,$F20)="","NA",INDEX(Results_Long!$Q:$Q,$F20))</f>
        <v>-1.32054786520361E-2</v>
      </c>
      <c r="M20" s="10">
        <f>IF(INDEX(Results_Long!$T:$T,$F20)="","NA",INDEX(Results_Long!$T:$T,$F20))</f>
        <v>-6.3285060071247401E-2</v>
      </c>
      <c r="N20" s="10">
        <f>IF(INDEX(Results_Long!$U:$U,$F20)="","NA",INDEX(Results_Long!$U:$U,$F20))</f>
        <v>-0.113048705037317</v>
      </c>
      <c r="O20" s="10">
        <f>IF(INDEX(Results_Long!$V:$V,$F20)="","NA",INDEX(Results_Long!$V:$V,$F20))</f>
        <v>-1.32047110945796E-2</v>
      </c>
      <c r="P20" s="10">
        <f>IF(INDEX(Results_Long!$L:$L,$F20)="","NA",INDEX(Results_Long!$L:$L,$F20))</f>
        <v>2.5091274338674498E-2</v>
      </c>
      <c r="Q20" s="11">
        <f>IF(INDEX(Results_Long!$M:$M,$F20)="","NA",INDEX(Results_Long!$M:$M,$F20))</f>
        <v>-2.5255691818455102</v>
      </c>
      <c r="R20" s="12">
        <f>IF(INDEX(Results_Long!$N:$N,$F20)="","NA",INDEX(Results_Long!$N:$N,$F20))</f>
        <v>61.535777951637897</v>
      </c>
      <c r="S20" s="10">
        <f>IF(INDEX(Results_Long!$O:$O,$F20)="","NA",INDEX(Results_Long!$O:$O,$F20))</f>
        <v>1.41413216225099E-2</v>
      </c>
      <c r="T20" s="6" t="str">
        <f>IF(INDEX(Results_Long!$AG:$AG,$F20)="","NA",INDEX(Results_Long!$AG:$AG,$F20))</f>
        <v>NA</v>
      </c>
      <c r="U20" s="5" t="str">
        <f>IF(INDEX(Results_Long!$AJ:$AJ,$F20)="","NA",INDEX(Results_Long!$AJ:$AJ,$F20))</f>
        <v>full-inference tier (&gt;= 10 clusters: 63) [DEC-045 S6]; window [2012, 2018) on sample_mid; width 6 y, step 1 y, anchor 1998</v>
      </c>
      <c r="V20" s="21" t="str">
        <f t="shared" si="0"/>
        <v>full CR2</v>
      </c>
    </row>
    <row r="21" spans="1:22" ht="23.25" customHeight="1" x14ac:dyDescent="0.3">
      <c r="A21" s="6" t="s">
        <v>665</v>
      </c>
      <c r="B21" s="7" t="s">
        <v>633</v>
      </c>
      <c r="C21" s="7" t="s">
        <v>634</v>
      </c>
      <c r="D21" s="7" t="s">
        <v>666</v>
      </c>
      <c r="E21" s="7" t="s">
        <v>636</v>
      </c>
      <c r="F21" s="8">
        <f>SUMPRODUCT((Results_Long!$A$2:$A$178=$B21)*(Results_Long!$B$2:$B$178=$C21)*(Results_Long!$C$2:$C$178=$D21)*(Results_Long!$D$2:$D$178=$E21)*ROW(Results_Long!$A$2:$A$178))</f>
        <v>156</v>
      </c>
      <c r="G21" s="9">
        <f>IF(INDEX(Results_Long!$H:$H,$F21)="","NA",INDEX(Results_Long!$H:$H,$F21))</f>
        <v>1097</v>
      </c>
      <c r="H21" s="9">
        <f>IF(INDEX(Results_Long!$I:$I,$F21)="","NA",INDEX(Results_Long!$I:$I,$F21))</f>
        <v>46</v>
      </c>
      <c r="I21" s="9">
        <f>IF(INDEX(Results_Long!$J:$J,$F21)="","NA",INDEX(Results_Long!$J:$J,$F21))</f>
        <v>46</v>
      </c>
      <c r="J21" s="10">
        <f>IF(INDEX(Results_Long!$K:$K,$F21)="","NA",INDEX(Results_Long!$K:$K,$F21))</f>
        <v>-3.8931966083907303E-2</v>
      </c>
      <c r="K21" s="10">
        <f>IF(INDEX(Results_Long!$P:$P,$F21)="","NA",INDEX(Results_Long!$P:$P,$F21))</f>
        <v>-5.4394016369388697E-2</v>
      </c>
      <c r="L21" s="10">
        <f>IF(INDEX(Results_Long!$Q:$Q,$F21)="","NA",INDEX(Results_Long!$Q:$Q,$F21))</f>
        <v>-2.3469915798425799E-2</v>
      </c>
      <c r="M21" s="10">
        <f>IF(INDEX(Results_Long!$T:$T,$F21)="","NA",INDEX(Results_Long!$T:$T,$F21))</f>
        <v>-3.89123083011014E-2</v>
      </c>
      <c r="N21" s="10">
        <f>IF(INDEX(Results_Long!$U:$U,$F21)="","NA",INDEX(Results_Long!$U:$U,$F21))</f>
        <v>-5.4340434426282801E-2</v>
      </c>
      <c r="O21" s="10">
        <f>IF(INDEX(Results_Long!$V:$V,$F21)="","NA",INDEX(Results_Long!$V:$V,$F21))</f>
        <v>-2.3465607382124401E-2</v>
      </c>
      <c r="P21" s="10">
        <f>IF(INDEX(Results_Long!$L:$L,$F21)="","NA",INDEX(Results_Long!$L:$L,$F21))</f>
        <v>7.6260060655317999E-3</v>
      </c>
      <c r="Q21" s="11">
        <f>IF(INDEX(Results_Long!$M:$M,$F21)="","NA",INDEX(Results_Long!$M:$M,$F21))</f>
        <v>-5.1051580275909902</v>
      </c>
      <c r="R21" s="12">
        <f>IF(INDEX(Results_Long!$N:$N,$F21)="","NA",INDEX(Results_Long!$N:$N,$F21))</f>
        <v>36.284312556995999</v>
      </c>
      <c r="S21" s="10">
        <f>IF(INDEX(Results_Long!$O:$O,$F21)="","NA",INDEX(Results_Long!$O:$O,$F21))</f>
        <v>1.0683447303589301E-5</v>
      </c>
      <c r="T21" s="6" t="str">
        <f>IF(INDEX(Results_Long!$AG:$AG,$F21)="","NA",INDEX(Results_Long!$AG:$AG,$F21))</f>
        <v>NA</v>
      </c>
      <c r="U21" s="5" t="str">
        <f>IF(INDEX(Results_Long!$AJ:$AJ,$F21)="","NA",INDEX(Results_Long!$AJ:$AJ,$F21))</f>
        <v>full-inference tier (&gt;= 10 clusters: 46) [DEC-045 S6]; window [2013, 2019) on sample_mid; width 6 y, step 1 y, anchor 1998</v>
      </c>
      <c r="V21" s="21" t="str">
        <f t="shared" si="0"/>
        <v>full CR2</v>
      </c>
    </row>
    <row r="22" spans="1:22" ht="23.25" customHeight="1" x14ac:dyDescent="0.3">
      <c r="A22" s="6" t="s">
        <v>667</v>
      </c>
      <c r="B22" s="7" t="s">
        <v>633</v>
      </c>
      <c r="C22" s="7" t="s">
        <v>634</v>
      </c>
      <c r="D22" s="7" t="s">
        <v>668</v>
      </c>
      <c r="E22" s="7" t="s">
        <v>636</v>
      </c>
      <c r="F22" s="8">
        <f>SUMPRODUCT((Results_Long!$A$2:$A$178=$B22)*(Results_Long!$B$2:$B$178=$C22)*(Results_Long!$C$2:$C$178=$D22)*(Results_Long!$D$2:$D$178=$E22)*ROW(Results_Long!$A$2:$A$178))</f>
        <v>157</v>
      </c>
      <c r="G22" s="9">
        <f>IF(INDEX(Results_Long!$H:$H,$F22)="","NA",INDEX(Results_Long!$H:$H,$F22))</f>
        <v>823</v>
      </c>
      <c r="H22" s="9">
        <f>IF(INDEX(Results_Long!$I:$I,$F22)="","NA",INDEX(Results_Long!$I:$I,$F22))</f>
        <v>41</v>
      </c>
      <c r="I22" s="9">
        <f>IF(INDEX(Results_Long!$J:$J,$F22)="","NA",INDEX(Results_Long!$J:$J,$F22))</f>
        <v>41</v>
      </c>
      <c r="J22" s="10">
        <f>IF(INDEX(Results_Long!$K:$K,$F22)="","NA",INDEX(Results_Long!$K:$K,$F22))</f>
        <v>-4.1259598158217801E-2</v>
      </c>
      <c r="K22" s="10">
        <f>IF(INDEX(Results_Long!$P:$P,$F22)="","NA",INDEX(Results_Long!$P:$P,$F22))</f>
        <v>-5.7323974054926501E-2</v>
      </c>
      <c r="L22" s="10">
        <f>IF(INDEX(Results_Long!$Q:$Q,$F22)="","NA",INDEX(Results_Long!$Q:$Q,$F22))</f>
        <v>-2.5195222261509199E-2</v>
      </c>
      <c r="M22" s="10">
        <f>IF(INDEX(Results_Long!$T:$T,$F22)="","NA",INDEX(Results_Long!$T:$T,$F22))</f>
        <v>-4.12362012699658E-2</v>
      </c>
      <c r="N22" s="10">
        <f>IF(INDEX(Results_Long!$U:$U,$F22)="","NA",INDEX(Results_Long!$U:$U,$F22))</f>
        <v>-5.72612668911733E-2</v>
      </c>
      <c r="O22" s="10">
        <f>IF(INDEX(Results_Long!$V:$V,$F22)="","NA",INDEX(Results_Long!$V:$V,$F22))</f>
        <v>-2.5189892312364001E-2</v>
      </c>
      <c r="P22" s="10">
        <f>IF(INDEX(Results_Long!$L:$L,$F22)="","NA",INDEX(Results_Long!$L:$L,$F22))</f>
        <v>7.8480137527658506E-3</v>
      </c>
      <c r="Q22" s="11">
        <f>IF(INDEX(Results_Long!$M:$M,$F22)="","NA",INDEX(Results_Long!$M:$M,$F22))</f>
        <v>-5.2573300019609199</v>
      </c>
      <c r="R22" s="12">
        <f>IF(INDEX(Results_Long!$N:$N,$F22)="","NA",INDEX(Results_Long!$N:$N,$F22))</f>
        <v>28.454146632190099</v>
      </c>
      <c r="S22" s="10">
        <f>IF(INDEX(Results_Long!$O:$O,$F22)="","NA",INDEX(Results_Long!$O:$O,$F22))</f>
        <v>1.31033504320179E-5</v>
      </c>
      <c r="T22" s="6" t="str">
        <f>IF(INDEX(Results_Long!$AG:$AG,$F22)="","NA",INDEX(Results_Long!$AG:$AG,$F22))</f>
        <v>NA</v>
      </c>
      <c r="U22" s="5" t="str">
        <f>IF(INDEX(Results_Long!$AJ:$AJ,$F22)="","NA",INDEX(Results_Long!$AJ:$AJ,$F22))</f>
        <v>full-inference tier (&gt;= 10 clusters: 41) [DEC-045 S6]; window [2014, 2020) on sample_mid; width 6 y, step 1 y, anchor 1998</v>
      </c>
      <c r="V22" s="21" t="str">
        <f t="shared" si="0"/>
        <v>full CR2</v>
      </c>
    </row>
    <row r="23" spans="1:22" ht="23.25" customHeight="1" x14ac:dyDescent="0.3">
      <c r="A23" s="6" t="s">
        <v>669</v>
      </c>
      <c r="B23" s="7" t="s">
        <v>633</v>
      </c>
      <c r="C23" s="7" t="s">
        <v>634</v>
      </c>
      <c r="D23" s="7" t="s">
        <v>670</v>
      </c>
      <c r="E23" s="7" t="s">
        <v>636</v>
      </c>
      <c r="F23" s="8">
        <f>SUMPRODUCT((Results_Long!$A$2:$A$178=$B23)*(Results_Long!$B$2:$B$178=$C23)*(Results_Long!$C$2:$C$178=$D23)*(Results_Long!$D$2:$D$178=$E23)*ROW(Results_Long!$A$2:$A$178))</f>
        <v>158</v>
      </c>
      <c r="G23" s="9">
        <f>IF(INDEX(Results_Long!$H:$H,$F23)="","NA",INDEX(Results_Long!$H:$H,$F23))</f>
        <v>754</v>
      </c>
      <c r="H23" s="9">
        <f>IF(INDEX(Results_Long!$I:$I,$F23)="","NA",INDEX(Results_Long!$I:$I,$F23))</f>
        <v>35</v>
      </c>
      <c r="I23" s="9">
        <f>IF(INDEX(Results_Long!$J:$J,$F23)="","NA",INDEX(Results_Long!$J:$J,$F23))</f>
        <v>35</v>
      </c>
      <c r="J23" s="10">
        <f>IF(INDEX(Results_Long!$K:$K,$F23)="","NA",INDEX(Results_Long!$K:$K,$F23))</f>
        <v>-4.7836983608535402E-2</v>
      </c>
      <c r="K23" s="10">
        <f>IF(INDEX(Results_Long!$P:$P,$F23)="","NA",INDEX(Results_Long!$P:$P,$F23))</f>
        <v>-6.3697766687157403E-2</v>
      </c>
      <c r="L23" s="10">
        <f>IF(INDEX(Results_Long!$Q:$Q,$F23)="","NA",INDEX(Results_Long!$Q:$Q,$F23))</f>
        <v>-3.1976200529913401E-2</v>
      </c>
      <c r="M23" s="10">
        <f>IF(INDEX(Results_Long!$T:$T,$F23)="","NA",INDEX(Results_Long!$T:$T,$F23))</f>
        <v>-4.7800527294129799E-2</v>
      </c>
      <c r="N23" s="10">
        <f>IF(INDEX(Results_Long!$U:$U,$F23)="","NA",INDEX(Results_Long!$U:$U,$F23))</f>
        <v>-6.3611757052286597E-2</v>
      </c>
      <c r="O23" s="10">
        <f>IF(INDEX(Results_Long!$V:$V,$F23)="","NA",INDEX(Results_Long!$V:$V,$F23))</f>
        <v>-3.1965306671251303E-2</v>
      </c>
      <c r="P23" s="10">
        <f>IF(INDEX(Results_Long!$L:$L,$F23)="","NA",INDEX(Results_Long!$L:$L,$F23))</f>
        <v>7.7681801262849803E-3</v>
      </c>
      <c r="Q23" s="11">
        <f>IF(INDEX(Results_Long!$M:$M,$F23)="","NA",INDEX(Results_Long!$M:$M,$F23))</f>
        <v>-6.1580682773653397</v>
      </c>
      <c r="R23" s="12">
        <f>IF(INDEX(Results_Long!$N:$N,$F23)="","NA",INDEX(Results_Long!$N:$N,$F23))</f>
        <v>30.179561043451901</v>
      </c>
      <c r="S23" s="10">
        <f>IF(INDEX(Results_Long!$O:$O,$F23)="","NA",INDEX(Results_Long!$O:$O,$F23))</f>
        <v>8.7511116931634802E-7</v>
      </c>
      <c r="T23" s="6" t="str">
        <f>IF(INDEX(Results_Long!$AG:$AG,$F23)="","NA",INDEX(Results_Long!$AG:$AG,$F23))</f>
        <v>NA</v>
      </c>
      <c r="U23" s="5" t="str">
        <f>IF(INDEX(Results_Long!$AJ:$AJ,$F23)="","NA",INDEX(Results_Long!$AJ:$AJ,$F23))</f>
        <v>full-inference tier (&gt;= 10 clusters: 35) [DEC-045 S6]; window [2015, 2021) on sample_mid; width 6 y, step 1 y, anchor 1998</v>
      </c>
      <c r="V23" s="21" t="str">
        <f t="shared" si="0"/>
        <v>full CR2</v>
      </c>
    </row>
    <row r="24" spans="1:22" ht="23.25" customHeight="1" x14ac:dyDescent="0.3">
      <c r="A24" s="6" t="s">
        <v>671</v>
      </c>
      <c r="B24" s="7" t="s">
        <v>633</v>
      </c>
      <c r="C24" s="7" t="s">
        <v>634</v>
      </c>
      <c r="D24" s="7" t="s">
        <v>672</v>
      </c>
      <c r="E24" s="7" t="s">
        <v>636</v>
      </c>
      <c r="F24" s="8">
        <f>SUMPRODUCT((Results_Long!$A$2:$A$178=$B24)*(Results_Long!$B$2:$B$178=$C24)*(Results_Long!$C$2:$C$178=$D24)*(Results_Long!$D$2:$D$178=$E24)*ROW(Results_Long!$A$2:$A$178))</f>
        <v>159</v>
      </c>
      <c r="G24" s="9">
        <f>IF(INDEX(Results_Long!$H:$H,$F24)="","NA",INDEX(Results_Long!$H:$H,$F24))</f>
        <v>612</v>
      </c>
      <c r="H24" s="9">
        <f>IF(INDEX(Results_Long!$I:$I,$F24)="","NA",INDEX(Results_Long!$I:$I,$F24))</f>
        <v>25</v>
      </c>
      <c r="I24" s="9">
        <f>IF(INDEX(Results_Long!$J:$J,$F24)="","NA",INDEX(Results_Long!$J:$J,$F24))</f>
        <v>25</v>
      </c>
      <c r="J24" s="10">
        <f>IF(INDEX(Results_Long!$K:$K,$F24)="","NA",INDEX(Results_Long!$K:$K,$F24))</f>
        <v>-5.0845322510934002E-2</v>
      </c>
      <c r="K24" s="10">
        <f>IF(INDEX(Results_Long!$P:$P,$F24)="","NA",INDEX(Results_Long!$P:$P,$F24))</f>
        <v>-7.0433451923272994E-2</v>
      </c>
      <c r="L24" s="10">
        <f>IF(INDEX(Results_Long!$Q:$Q,$F24)="","NA",INDEX(Results_Long!$Q:$Q,$F24))</f>
        <v>-3.12571930985951E-2</v>
      </c>
      <c r="M24" s="10">
        <f>IF(INDEX(Results_Long!$T:$T,$F24)="","NA",INDEX(Results_Long!$T:$T,$F24))</f>
        <v>-5.0801551870741403E-2</v>
      </c>
      <c r="N24" s="10">
        <f>IF(INDEX(Results_Long!$U:$U,$F24)="","NA",INDEX(Results_Long!$U:$U,$F24))</f>
        <v>-7.0317212151494404E-2</v>
      </c>
      <c r="O24" s="10">
        <f>IF(INDEX(Results_Long!$V:$V,$F24)="","NA",INDEX(Results_Long!$V:$V,$F24))</f>
        <v>-3.12470175230718E-2</v>
      </c>
      <c r="P24" s="10">
        <f>IF(INDEX(Results_Long!$L:$L,$F24)="","NA",INDEX(Results_Long!$L:$L,$F24))</f>
        <v>9.4386895033015308E-3</v>
      </c>
      <c r="Q24" s="11">
        <f>IF(INDEX(Results_Long!$M:$M,$F24)="","NA",INDEX(Results_Long!$M:$M,$F24))</f>
        <v>-5.3869048762700604</v>
      </c>
      <c r="R24" s="12">
        <f>IF(INDEX(Results_Long!$N:$N,$F24)="","NA",INDEX(Results_Long!$N:$N,$F24))</f>
        <v>21.741826330679402</v>
      </c>
      <c r="S24" s="10">
        <f>IF(INDEX(Results_Long!$O:$O,$F24)="","NA",INDEX(Results_Long!$O:$O,$F24))</f>
        <v>2.1571887773754901E-5</v>
      </c>
      <c r="T24" s="6" t="str">
        <f>IF(INDEX(Results_Long!$AG:$AG,$F24)="","NA",INDEX(Results_Long!$AG:$AG,$F24))</f>
        <v>NA</v>
      </c>
      <c r="U24" s="5" t="str">
        <f>IF(INDEX(Results_Long!$AJ:$AJ,$F24)="","NA",INDEX(Results_Long!$AJ:$AJ,$F24))</f>
        <v>full-inference tier (&gt;= 10 clusters: 25) [DEC-045 S6]; window [2016, 2022) on sample_mid; width 6 y, step 1 y, anchor 1998</v>
      </c>
      <c r="V24" s="21" t="str">
        <f t="shared" si="0"/>
        <v>full CR2</v>
      </c>
    </row>
    <row r="25" spans="1:22" ht="23.25" customHeight="1" x14ac:dyDescent="0.3">
      <c r="A25" s="6" t="s">
        <v>673</v>
      </c>
      <c r="B25" s="7" t="s">
        <v>633</v>
      </c>
      <c r="C25" s="7" t="s">
        <v>634</v>
      </c>
      <c r="D25" s="7" t="s">
        <v>674</v>
      </c>
      <c r="E25" s="7" t="s">
        <v>636</v>
      </c>
      <c r="F25" s="8">
        <f>SUMPRODUCT((Results_Long!$A$2:$A$178=$B25)*(Results_Long!$B$2:$B$178=$C25)*(Results_Long!$C$2:$C$178=$D25)*(Results_Long!$D$2:$D$178=$E25)*ROW(Results_Long!$A$2:$A$178))</f>
        <v>160</v>
      </c>
      <c r="G25" s="9">
        <f>IF(INDEX(Results_Long!$H:$H,$F25)="","NA",INDEX(Results_Long!$H:$H,$F25))</f>
        <v>618</v>
      </c>
      <c r="H25" s="9">
        <f>IF(INDEX(Results_Long!$I:$I,$F25)="","NA",INDEX(Results_Long!$I:$I,$F25))</f>
        <v>22</v>
      </c>
      <c r="I25" s="9">
        <f>IF(INDEX(Results_Long!$J:$J,$F25)="","NA",INDEX(Results_Long!$J:$J,$F25))</f>
        <v>22</v>
      </c>
      <c r="J25" s="10">
        <f>IF(INDEX(Results_Long!$K:$K,$F25)="","NA",INDEX(Results_Long!$K:$K,$F25))</f>
        <v>-5.0953482266777497E-2</v>
      </c>
      <c r="K25" s="10">
        <f>IF(INDEX(Results_Long!$P:$P,$F25)="","NA",INDEX(Results_Long!$P:$P,$F25))</f>
        <v>-7.1980993924645104E-2</v>
      </c>
      <c r="L25" s="10">
        <f>IF(INDEX(Results_Long!$Q:$Q,$F25)="","NA",INDEX(Results_Long!$Q:$Q,$F25))</f>
        <v>-2.9925970608909801E-2</v>
      </c>
      <c r="M25" s="10">
        <f>IF(INDEX(Results_Long!$T:$T,$F25)="","NA",INDEX(Results_Long!$T:$T,$F25))</f>
        <v>-5.09094318949515E-2</v>
      </c>
      <c r="N25" s="10">
        <f>IF(INDEX(Results_Long!$U:$U,$F25)="","NA",INDEX(Results_Long!$U:$U,$F25))</f>
        <v>-7.1856933535616702E-2</v>
      </c>
      <c r="O25" s="10">
        <f>IF(INDEX(Results_Long!$V:$V,$F25)="","NA",INDEX(Results_Long!$V:$V,$F25))</f>
        <v>-2.9917040270147799E-2</v>
      </c>
      <c r="P25" s="10">
        <f>IF(INDEX(Results_Long!$L:$L,$F25)="","NA",INDEX(Results_Long!$L:$L,$F25))</f>
        <v>1.00632609446794E-2</v>
      </c>
      <c r="Q25" s="11">
        <f>IF(INDEX(Results_Long!$M:$M,$F25)="","NA",INDEX(Results_Long!$M:$M,$F25))</f>
        <v>-5.0633172037258296</v>
      </c>
      <c r="R25" s="12">
        <f>IF(INDEX(Results_Long!$N:$N,$F25)="","NA",INDEX(Results_Long!$N:$N,$F25))</f>
        <v>19.480890625887</v>
      </c>
      <c r="S25" s="10">
        <f>IF(INDEX(Results_Long!$O:$O,$F25)="","NA",INDEX(Results_Long!$O:$O,$F25))</f>
        <v>6.4160376578281805E-5</v>
      </c>
      <c r="T25" s="6" t="str">
        <f>IF(INDEX(Results_Long!$AG:$AG,$F25)="","NA",INDEX(Results_Long!$AG:$AG,$F25))</f>
        <v>NA</v>
      </c>
      <c r="U25" s="5" t="str">
        <f>IF(INDEX(Results_Long!$AJ:$AJ,$F25)="","NA",INDEX(Results_Long!$AJ:$AJ,$F25))</f>
        <v>full-inference tier (&gt;= 10 clusters: 22) [DEC-045 S6]; window [2017, 2023) on sample_mid; width 6 y, step 1 y, anchor 1998</v>
      </c>
      <c r="V25" s="21" t="str">
        <f t="shared" si="0"/>
        <v>full CR2</v>
      </c>
    </row>
    <row r="26" spans="1:22" ht="23.25" customHeight="1" x14ac:dyDescent="0.3">
      <c r="A26" s="6" t="s">
        <v>675</v>
      </c>
      <c r="B26" s="7" t="s">
        <v>633</v>
      </c>
      <c r="C26" s="7" t="s">
        <v>634</v>
      </c>
      <c r="D26" s="7" t="s">
        <v>676</v>
      </c>
      <c r="E26" s="7" t="s">
        <v>636</v>
      </c>
      <c r="F26" s="8">
        <f>SUMPRODUCT((Results_Long!$A$2:$A$178=$B26)*(Results_Long!$B$2:$B$178=$C26)*(Results_Long!$C$2:$C$178=$D26)*(Results_Long!$D$2:$D$178=$E26)*ROW(Results_Long!$A$2:$A$178))</f>
        <v>161</v>
      </c>
      <c r="G26" s="9">
        <f>IF(INDEX(Results_Long!$H:$H,$F26)="","NA",INDEX(Results_Long!$H:$H,$F26))</f>
        <v>336</v>
      </c>
      <c r="H26" s="9">
        <f>IF(INDEX(Results_Long!$I:$I,$F26)="","NA",INDEX(Results_Long!$I:$I,$F26))</f>
        <v>14</v>
      </c>
      <c r="I26" s="9">
        <f>IF(INDEX(Results_Long!$J:$J,$F26)="","NA",INDEX(Results_Long!$J:$J,$F26))</f>
        <v>14</v>
      </c>
      <c r="J26" s="10">
        <f>IF(INDEX(Results_Long!$K:$K,$F26)="","NA",INDEX(Results_Long!$K:$K,$F26))</f>
        <v>-5.33834695525452E-2</v>
      </c>
      <c r="K26" s="10">
        <f>IF(INDEX(Results_Long!$P:$P,$F26)="","NA",INDEX(Results_Long!$P:$P,$F26))</f>
        <v>-8.6601890755343996E-2</v>
      </c>
      <c r="L26" s="10">
        <f>IF(INDEX(Results_Long!$Q:$Q,$F26)="","NA",INDEX(Results_Long!$Q:$Q,$F26))</f>
        <v>-2.0165048349746501E-2</v>
      </c>
      <c r="M26" s="10">
        <f>IF(INDEX(Results_Long!$T:$T,$F26)="","NA",INDEX(Results_Long!$T:$T,$F26))</f>
        <v>-5.3332816646889401E-2</v>
      </c>
      <c r="N26" s="10">
        <f>IF(INDEX(Results_Long!$U:$U,$F26)="","NA",INDEX(Results_Long!$U:$U,$F26))</f>
        <v>-8.6386036805550195E-2</v>
      </c>
      <c r="O26" s="10">
        <f>IF(INDEX(Results_Long!$V:$V,$F26)="","NA",INDEX(Results_Long!$V:$V,$F26))</f>
        <v>-2.01623155619137E-2</v>
      </c>
      <c r="P26" s="10">
        <f>IF(INDEX(Results_Long!$L:$L,$F26)="","NA",INDEX(Results_Long!$L:$L,$F26))</f>
        <v>1.53241125341996E-2</v>
      </c>
      <c r="Q26" s="11">
        <f>IF(INDEX(Results_Long!$M:$M,$F26)="","NA",INDEX(Results_Long!$M:$M,$F26))</f>
        <v>-3.4836255237232598</v>
      </c>
      <c r="R26" s="12">
        <f>IF(INDEX(Results_Long!$N:$N,$F26)="","NA",INDEX(Results_Long!$N:$N,$F26))</f>
        <v>12.580064394696199</v>
      </c>
      <c r="S26" s="10">
        <f>IF(INDEX(Results_Long!$O:$O,$F26)="","NA",INDEX(Results_Long!$O:$O,$F26))</f>
        <v>4.2267155735488497E-3</v>
      </c>
      <c r="T26" s="6" t="str">
        <f>IF(INDEX(Results_Long!$AG:$AG,$F26)="","NA",INDEX(Results_Long!$AG:$AG,$F26))</f>
        <v>NA</v>
      </c>
      <c r="U26" s="5" t="str">
        <f>IF(INDEX(Results_Long!$AJ:$AJ,$F26)="","NA",INDEX(Results_Long!$AJ:$AJ,$F26))</f>
        <v>full-inference tier (&gt;= 10 clusters: 14) [DEC-045 S6]; window [2018, 2024) on sample_mid; width 6 y, step 1 y, anchor 1998</v>
      </c>
      <c r="V26" s="21" t="str">
        <f t="shared" si="0"/>
        <v>full CR2</v>
      </c>
    </row>
    <row r="28" spans="1:22" ht="15" customHeight="1" x14ac:dyDescent="0.3">
      <c r="A28" s="3" t="s">
        <v>160</v>
      </c>
      <c r="B28" s="3" t="s">
        <v>161</v>
      </c>
      <c r="C28" s="3" t="s">
        <v>162</v>
      </c>
      <c r="D28" s="3" t="s">
        <v>163</v>
      </c>
      <c r="E28" s="3" t="s">
        <v>164</v>
      </c>
      <c r="F28" s="3" t="s">
        <v>165</v>
      </c>
      <c r="G28" s="3" t="s">
        <v>166</v>
      </c>
      <c r="H28" s="3" t="s">
        <v>167</v>
      </c>
      <c r="I28" s="3" t="s">
        <v>168</v>
      </c>
      <c r="J28" s="3" t="s">
        <v>169</v>
      </c>
      <c r="K28" s="3" t="s">
        <v>170</v>
      </c>
      <c r="L28" s="3" t="s">
        <v>171</v>
      </c>
      <c r="M28" s="3" t="s">
        <v>172</v>
      </c>
      <c r="N28" s="3" t="s">
        <v>173</v>
      </c>
      <c r="O28" s="3" t="s">
        <v>174</v>
      </c>
      <c r="P28" s="3" t="s">
        <v>175</v>
      </c>
      <c r="Q28" s="3" t="s">
        <v>176</v>
      </c>
      <c r="R28" s="3" t="s">
        <v>177</v>
      </c>
      <c r="S28" s="3" t="s">
        <v>178</v>
      </c>
      <c r="T28" s="3" t="s">
        <v>179</v>
      </c>
      <c r="U28" s="3" t="s">
        <v>180</v>
      </c>
    </row>
    <row r="29" spans="1:22" ht="23.25" customHeight="1" x14ac:dyDescent="0.3">
      <c r="A29" s="6" t="s">
        <v>677</v>
      </c>
      <c r="B29" s="7" t="s">
        <v>678</v>
      </c>
      <c r="C29" s="7" t="s">
        <v>679</v>
      </c>
      <c r="D29" s="7" t="s">
        <v>184</v>
      </c>
      <c r="E29" s="7" t="s">
        <v>680</v>
      </c>
      <c r="F29" s="8">
        <f>SUMPRODUCT((Results_Long!$A$2:$A$178=$B29)*(Results_Long!$B$2:$B$178=$C29)*(Results_Long!$C$2:$C$178=$D29)*(Results_Long!$D$2:$D$178=$E29)*ROW(Results_Long!$A$2:$A$178))</f>
        <v>162</v>
      </c>
      <c r="G29" s="9">
        <f>IF(INDEX(Results_Long!$H:$H,$F29)="","NA",INDEX(Results_Long!$H:$H,$F29))</f>
        <v>2713</v>
      </c>
      <c r="H29" s="9">
        <f>IF(INDEX(Results_Long!$I:$I,$F29)="","NA",INDEX(Results_Long!$I:$I,$F29))</f>
        <v>115</v>
      </c>
      <c r="I29" s="9">
        <f>IF(INDEX(Results_Long!$J:$J,$F29)="","NA",INDEX(Results_Long!$J:$J,$F29))</f>
        <v>114</v>
      </c>
      <c r="J29" s="10">
        <f>IF(INDEX(Results_Long!$K:$K,$F29)="","NA",INDEX(Results_Long!$K:$K,$F29))</f>
        <v>-5.8646736610097998E-2</v>
      </c>
      <c r="K29" s="10" t="str">
        <f>IF(INDEX(Results_Long!$P:$P,$F29)="","NA",INDEX(Results_Long!$P:$P,$F29))</f>
        <v>NA</v>
      </c>
      <c r="L29" s="10" t="str">
        <f>IF(INDEX(Results_Long!$Q:$Q,$F29)="","NA",INDEX(Results_Long!$Q:$Q,$F29))</f>
        <v>NA</v>
      </c>
      <c r="M29" s="10">
        <f>IF(INDEX(Results_Long!$T:$T,$F29)="","NA",INDEX(Results_Long!$T:$T,$F29))</f>
        <v>-5.85795916799434E-2</v>
      </c>
      <c r="N29" s="10">
        <f>IF(INDEX(Results_Long!$U:$U,$F29)="","NA",INDEX(Results_Long!$U:$U,$F29))</f>
        <v>-8.5890445375145993E-2</v>
      </c>
      <c r="O29" s="10">
        <f>IF(INDEX(Results_Long!$V:$V,$F29)="","NA",INDEX(Results_Long!$V:$V,$F29))</f>
        <v>-3.1180767616603398E-2</v>
      </c>
      <c r="P29" s="10" t="str">
        <f>IF(INDEX(Results_Long!$L:$L,$F29)="","NA",INDEX(Results_Long!$L:$L,$F29))</f>
        <v>NA</v>
      </c>
      <c r="Q29" s="11" t="str">
        <f>IF(INDEX(Results_Long!$M:$M,$F29)="","NA",INDEX(Results_Long!$M:$M,$F29))</f>
        <v>NA</v>
      </c>
      <c r="R29" s="12" t="str">
        <f>IF(INDEX(Results_Long!$N:$N,$F29)="","NA",INDEX(Results_Long!$N:$N,$F29))</f>
        <v>NA</v>
      </c>
      <c r="S29" s="10" t="str">
        <f>IF(INDEX(Results_Long!$O:$O,$F29)="","NA",INDEX(Results_Long!$O:$O,$F29))</f>
        <v>NA</v>
      </c>
      <c r="T29" s="6" t="str">
        <f>IF(INDEX(Results_Long!$AG:$AG,$F29)="","NA",INDEX(Results_Long!$AG:$AG,$F29))</f>
        <v>NA</v>
      </c>
      <c r="U29" s="5" t="str">
        <f>IF(INDEX(Results_Long!$AJ:$AJ,$F29)="","NA",INDEX(Results_Long!$AJ:$AJ,$F29))</f>
        <v>debt-side pooled mean (E1 refit of T1/A1); descriptive channel-level size comparison, NO formal z-test [DEC-045/H-Q9; N12 scope shift disclosed]</v>
      </c>
    </row>
    <row r="30" spans="1:22" ht="57" customHeight="1" x14ac:dyDescent="0.3">
      <c r="A30" s="6" t="s">
        <v>681</v>
      </c>
      <c r="B30" s="7" t="s">
        <v>678</v>
      </c>
      <c r="C30" s="7" t="s">
        <v>679</v>
      </c>
      <c r="D30" s="7" t="s">
        <v>184</v>
      </c>
      <c r="E30" s="7" t="s">
        <v>682</v>
      </c>
      <c r="F30" s="8">
        <f>SUMPRODUCT((Results_Long!$A$2:$A$178=$B30)*(Results_Long!$B$2:$B$178=$C30)*(Results_Long!$C$2:$C$178=$D30)*(Results_Long!$D$2:$D$178=$E30)*ROW(Results_Long!$A$2:$A$178))</f>
        <v>163</v>
      </c>
      <c r="G30" s="9" t="str">
        <f>IF(INDEX(Results_Long!$H:$H,$F30)="","NA",INDEX(Results_Long!$H:$H,$F30))</f>
        <v>NA</v>
      </c>
      <c r="H30" s="9">
        <f>IF(INDEX(Results_Long!$I:$I,$F30)="","NA",INDEX(Results_Long!$I:$I,$F30))</f>
        <v>75</v>
      </c>
      <c r="I30" s="9" t="str">
        <f>IF(INDEX(Results_Long!$J:$J,$F30)="","NA",INDEX(Results_Long!$J:$J,$F30))</f>
        <v>NA</v>
      </c>
      <c r="J30" s="10" t="str">
        <f>IF(INDEX(Results_Long!$K:$K,$F30)="","NA",INDEX(Results_Long!$K:$K,$F30))</f>
        <v>NA</v>
      </c>
      <c r="K30" s="10" t="str">
        <f>IF(INDEX(Results_Long!$P:$P,$F30)="","NA",INDEX(Results_Long!$P:$P,$F30))</f>
        <v>NA</v>
      </c>
      <c r="L30" s="10" t="str">
        <f>IF(INDEX(Results_Long!$Q:$Q,$F30)="","NA",INDEX(Results_Long!$Q:$Q,$F30))</f>
        <v>NA</v>
      </c>
      <c r="M30" s="10">
        <f>IF(INDEX(Results_Long!$T:$T,$F30)="","NA",INDEX(Results_Long!$T:$T,$F30))</f>
        <v>-3.9E-2</v>
      </c>
      <c r="N30" s="10">
        <f>IF(INDEX(Results_Long!$U:$U,$F30)="","NA",INDEX(Results_Long!$U:$U,$F30))</f>
        <v>-4.5999999999999999E-2</v>
      </c>
      <c r="O30" s="10">
        <f>IF(INDEX(Results_Long!$V:$V,$F30)="","NA",INDEX(Results_Long!$V:$V,$F30))</f>
        <v>-3.2000000000000001E-2</v>
      </c>
      <c r="P30" s="10" t="str">
        <f>IF(INDEX(Results_Long!$L:$L,$F30)="","NA",INDEX(Results_Long!$L:$L,$F30))</f>
        <v>NA</v>
      </c>
      <c r="Q30" s="11" t="str">
        <f>IF(INDEX(Results_Long!$M:$M,$F30)="","NA",INDEX(Results_Long!$M:$M,$F30))</f>
        <v>NA</v>
      </c>
      <c r="R30" s="12" t="str">
        <f>IF(INDEX(Results_Long!$N:$N,$F30)="","NA",INDEX(Results_Long!$N:$N,$F30))</f>
        <v>NA</v>
      </c>
      <c r="S30" s="10" t="str">
        <f>IF(INDEX(Results_Long!$O:$O,$F30)="","NA",INDEX(Results_Long!$O:$O,$F30))</f>
        <v>NA</v>
      </c>
      <c r="T30" s="6" t="str">
        <f>IF(INDEX(Results_Long!$AG:$AG,$F30)="","NA",INDEX(Results_Long!$AG:$AG,$F30))</f>
        <v>NA</v>
      </c>
      <c r="U30" s="5" t="str">
        <f>IF(INDEX(Results_Long!$AJ:$AJ,$F30)="","NA",INDEX(Results_Long!$AJ:$AJ,$F30))</f>
        <v>COE companion STUDY-LEVEL row (Table 3, 75 units; NOT the ES-level -0.041 figure); SE provenance disclosure: COE main model = naive inverse variance at ES level, k = 1,139, no cluster-robust inference; overlap disclosure: 7/120 corpus, 6/115 estimation set, 5/113 period domain; 60/2,713 est ES (2.2%); 0 shared effect sizes [DEC-045/H-Q10]</v>
      </c>
    </row>
    <row r="32" spans="1:22" ht="15" customHeight="1" x14ac:dyDescent="0.3">
      <c r="A32" s="13" t="s">
        <v>207</v>
      </c>
    </row>
    <row r="33" spans="1:12" ht="15" customHeight="1" x14ac:dyDescent="0.3">
      <c r="A33" s="27" t="s">
        <v>683</v>
      </c>
      <c r="B33" s="28"/>
      <c r="C33" s="28"/>
      <c r="D33" s="28"/>
      <c r="E33" s="28"/>
      <c r="F33" s="28"/>
      <c r="G33" s="28"/>
      <c r="H33" s="28"/>
      <c r="I33" s="28"/>
      <c r="J33" s="28"/>
    </row>
    <row r="34" spans="1:12" ht="15" customHeight="1" x14ac:dyDescent="0.3">
      <c r="A34" s="27" t="s">
        <v>684</v>
      </c>
      <c r="B34" s="28"/>
      <c r="C34" s="28"/>
      <c r="D34" s="28"/>
      <c r="E34" s="28"/>
      <c r="F34" s="28"/>
      <c r="G34" s="28"/>
      <c r="H34" s="28"/>
      <c r="I34" s="28"/>
      <c r="J34" s="28"/>
    </row>
    <row r="35" spans="1:12" ht="15" customHeight="1" x14ac:dyDescent="0.3">
      <c r="A35" s="27" t="s">
        <v>685</v>
      </c>
      <c r="B35" s="28"/>
      <c r="C35" s="28"/>
      <c r="D35" s="28"/>
      <c r="E35" s="28"/>
      <c r="F35" s="28"/>
      <c r="G35" s="28"/>
      <c r="H35" s="28"/>
      <c r="I35" s="28"/>
      <c r="J35" s="28"/>
    </row>
    <row r="37" spans="1:12" ht="15" customHeight="1" x14ac:dyDescent="0.3">
      <c r="A37" s="3" t="s">
        <v>211</v>
      </c>
      <c r="B37" s="3" t="s">
        <v>212</v>
      </c>
    </row>
    <row r="38" spans="1:12" ht="15" customHeight="1" x14ac:dyDescent="0.3">
      <c r="A38" s="14" t="s">
        <v>686</v>
      </c>
      <c r="B38" s="27" t="s">
        <v>687</v>
      </c>
      <c r="C38" s="28"/>
      <c r="D38" s="28"/>
      <c r="E38" s="28"/>
      <c r="F38" s="28"/>
      <c r="G38" s="28"/>
      <c r="H38" s="28"/>
      <c r="I38" s="28"/>
      <c r="J38" s="28"/>
    </row>
    <row r="39" spans="1:12" ht="15" customHeight="1" x14ac:dyDescent="0.3">
      <c r="A39" s="14" t="s">
        <v>688</v>
      </c>
      <c r="B39" s="27" t="s">
        <v>689</v>
      </c>
      <c r="C39" s="28"/>
      <c r="D39" s="28"/>
      <c r="E39" s="28"/>
      <c r="F39" s="28"/>
      <c r="G39" s="28"/>
      <c r="H39" s="28"/>
      <c r="I39" s="28"/>
      <c r="J39" s="28"/>
    </row>
    <row r="41" spans="1:12" ht="15" customHeight="1" x14ac:dyDescent="0.3">
      <c r="A41" s="29" t="s">
        <v>690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</row>
  </sheetData>
  <mergeCells count="6">
    <mergeCell ref="A33:J33"/>
    <mergeCell ref="A41:L41"/>
    <mergeCell ref="A34:J34"/>
    <mergeCell ref="A35:J35"/>
    <mergeCell ref="B39:J39"/>
    <mergeCell ref="B38:J38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30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8" width="9" customWidth="1"/>
    <col min="9" max="9" width="60" customWidth="1"/>
    <col min="10" max="20" width="9" customWidth="1"/>
    <col min="21" max="21" width="60" customWidth="1"/>
  </cols>
  <sheetData>
    <row r="1" spans="1:21" ht="15" customHeight="1" x14ac:dyDescent="0.3">
      <c r="A1" s="1" t="s">
        <v>691</v>
      </c>
    </row>
    <row r="2" spans="1:21" ht="15" customHeight="1" x14ac:dyDescent="0.3">
      <c r="A2" s="2" t="s">
        <v>692</v>
      </c>
    </row>
    <row r="3" spans="1:21" ht="15" customHeight="1" x14ac:dyDescent="0.3">
      <c r="A3" s="2" t="s">
        <v>2</v>
      </c>
    </row>
    <row r="5" spans="1:21" ht="15" customHeight="1" x14ac:dyDescent="0.3">
      <c r="A5" s="3" t="s">
        <v>160</v>
      </c>
      <c r="B5" s="3" t="s">
        <v>161</v>
      </c>
      <c r="C5" s="3" t="s">
        <v>162</v>
      </c>
      <c r="D5" s="3" t="s">
        <v>163</v>
      </c>
      <c r="E5" s="3" t="s">
        <v>164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175</v>
      </c>
      <c r="Q5" s="3" t="s">
        <v>176</v>
      </c>
      <c r="R5" s="3" t="s">
        <v>177</v>
      </c>
      <c r="S5" s="3" t="s">
        <v>178</v>
      </c>
      <c r="T5" s="3" t="s">
        <v>179</v>
      </c>
      <c r="U5" s="3" t="s">
        <v>180</v>
      </c>
    </row>
    <row r="6" spans="1:21" ht="45.75" customHeight="1" x14ac:dyDescent="0.3">
      <c r="A6" s="6" t="s">
        <v>693</v>
      </c>
      <c r="B6" s="7" t="s">
        <v>694</v>
      </c>
      <c r="C6" s="7" t="s">
        <v>695</v>
      </c>
      <c r="D6" s="7" t="s">
        <v>184</v>
      </c>
      <c r="E6" s="7" t="s">
        <v>696</v>
      </c>
      <c r="F6" s="8">
        <f>SUMPRODUCT((Results_Long!$A$2:$A$178=$B6)*(Results_Long!$B$2:$B$178=$C6)*(Results_Long!$C$2:$C$178=$D6)*(Results_Long!$D$2:$D$178=$E6)*ROW(Results_Long!$A$2:$A$178))</f>
        <v>164</v>
      </c>
      <c r="G6" s="9">
        <f>IF(INDEX(Results_Long!$H:$H,$F6)="","NA",INDEX(Results_Long!$H:$H,$F6))</f>
        <v>31</v>
      </c>
      <c r="H6" s="9">
        <f>IF(INDEX(Results_Long!$I:$I,$F6)="","NA",INDEX(Results_Long!$I:$I,$F6))</f>
        <v>31</v>
      </c>
      <c r="I6" s="9">
        <f>IF(INDEX(Results_Long!$J:$J,$F6)="","NA",INDEX(Results_Long!$J:$J,$F6))</f>
        <v>31</v>
      </c>
      <c r="J6" s="10" t="str">
        <f>IF(INDEX(Results_Long!$K:$K,$F6)="","NA",INDEX(Results_Long!$K:$K,$F6))</f>
        <v>NA</v>
      </c>
      <c r="K6" s="10" t="str">
        <f>IF(INDEX(Results_Long!$P:$P,$F6)="","NA",INDEX(Results_Long!$P:$P,$F6))</f>
        <v>NA</v>
      </c>
      <c r="L6" s="10" t="str">
        <f>IF(INDEX(Results_Long!$Q:$Q,$F6)="","NA",INDEX(Results_Long!$Q:$Q,$F6))</f>
        <v>NA</v>
      </c>
      <c r="M6" s="10" t="str">
        <f>IF(INDEX(Results_Long!$T:$T,$F6)="","NA",INDEX(Results_Long!$T:$T,$F6))</f>
        <v>NA</v>
      </c>
      <c r="N6" s="10" t="str">
        <f>IF(INDEX(Results_Long!$U:$U,$F6)="","NA",INDEX(Results_Long!$U:$U,$F6))</f>
        <v>NA</v>
      </c>
      <c r="O6" s="10" t="str">
        <f>IF(INDEX(Results_Long!$V:$V,$F6)="","NA",INDEX(Results_Long!$V:$V,$F6))</f>
        <v>NA</v>
      </c>
      <c r="P6" s="10" t="str">
        <f>IF(INDEX(Results_Long!$L:$L,$F6)="","NA",INDEX(Results_Long!$L:$L,$F6))</f>
        <v>NA</v>
      </c>
      <c r="Q6" s="11" t="str">
        <f>IF(INDEX(Results_Long!$M:$M,$F6)="","NA",INDEX(Results_Long!$M:$M,$F6))</f>
        <v>NA</v>
      </c>
      <c r="R6" s="12" t="str">
        <f>IF(INDEX(Results_Long!$N:$N,$F6)="","NA",INDEX(Results_Long!$N:$N,$F6))</f>
        <v>NA</v>
      </c>
      <c r="S6" s="10" t="str">
        <f>IF(INDEX(Results_Long!$O:$O,$F6)="","NA",INDEX(Results_Long!$O:$O,$F6))</f>
        <v>NA</v>
      </c>
      <c r="T6" s="6">
        <f>IF(INDEX(Results_Long!$AG:$AG,$F6)="","NA",INDEX(Results_Long!$AG:$AG,$F6))</f>
        <v>28</v>
      </c>
      <c r="U6" s="5" t="str">
        <f>IF(INDEX(Results_Long!$AJ:$AJ,$F6)="","NA",INDEX(Results_Long!$AJ:$AJ,$F6))</f>
        <v>N13 rule [Annex H/DEC-045]: conditional on &gt;= 5 significant study-level post-cell p; selection = first-reported ES per post study (dat_prep row order); p reconstructed as 2*pnorm(-|zi|/sqrt(vi)) (z-metric; converted-r accuracy caveat)</v>
      </c>
    </row>
    <row r="7" spans="1:21" ht="57" customHeight="1" x14ac:dyDescent="0.3">
      <c r="A7" s="6" t="s">
        <v>697</v>
      </c>
      <c r="B7" s="7" t="s">
        <v>694</v>
      </c>
      <c r="C7" s="7" t="s">
        <v>695</v>
      </c>
      <c r="D7" s="7" t="s">
        <v>184</v>
      </c>
      <c r="E7" s="7" t="s">
        <v>698</v>
      </c>
      <c r="F7" s="8">
        <f>SUMPRODUCT((Results_Long!$A$2:$A$178=$B7)*(Results_Long!$B$2:$B$178=$C7)*(Results_Long!$C$2:$C$178=$D7)*(Results_Long!$D$2:$D$178=$E7)*ROW(Results_Long!$A$2:$A$178))</f>
        <v>165</v>
      </c>
      <c r="G7" s="9" t="str">
        <f>IF(INDEX(Results_Long!$H:$H,$F7)="","NA",INDEX(Results_Long!$H:$H,$F7))</f>
        <v>NA</v>
      </c>
      <c r="H7" s="9">
        <f>IF(INDEX(Results_Long!$I:$I,$F7)="","NA",INDEX(Results_Long!$I:$I,$F7))</f>
        <v>28</v>
      </c>
      <c r="I7" s="9" t="str">
        <f>IF(INDEX(Results_Long!$J:$J,$F7)="","NA",INDEX(Results_Long!$J:$J,$F7))</f>
        <v>NA</v>
      </c>
      <c r="J7" s="10" t="str">
        <f>IF(INDEX(Results_Long!$K:$K,$F7)="","NA",INDEX(Results_Long!$K:$K,$F7))</f>
        <v>NA</v>
      </c>
      <c r="K7" s="10" t="str">
        <f>IF(INDEX(Results_Long!$P:$P,$F7)="","NA",INDEX(Results_Long!$P:$P,$F7))</f>
        <v>NA</v>
      </c>
      <c r="L7" s="10" t="str">
        <f>IF(INDEX(Results_Long!$Q:$Q,$F7)="","NA",INDEX(Results_Long!$Q:$Q,$F7))</f>
        <v>NA</v>
      </c>
      <c r="M7" s="10" t="str">
        <f>IF(INDEX(Results_Long!$T:$T,$F7)="","NA",INDEX(Results_Long!$T:$T,$F7))</f>
        <v>NA</v>
      </c>
      <c r="N7" s="10" t="str">
        <f>IF(INDEX(Results_Long!$U:$U,$F7)="","NA",INDEX(Results_Long!$U:$U,$F7))</f>
        <v>NA</v>
      </c>
      <c r="O7" s="10" t="str">
        <f>IF(INDEX(Results_Long!$V:$V,$F7)="","NA",INDEX(Results_Long!$V:$V,$F7))</f>
        <v>NA</v>
      </c>
      <c r="P7" s="10" t="str">
        <f>IF(INDEX(Results_Long!$L:$L,$F7)="","NA",INDEX(Results_Long!$L:$L,$F7))</f>
        <v>NA</v>
      </c>
      <c r="Q7" s="11" t="str">
        <f>IF(INDEX(Results_Long!$M:$M,$F7)="","NA",INDEX(Results_Long!$M:$M,$F7))</f>
        <v>NA</v>
      </c>
      <c r="R7" s="12" t="str">
        <f>IF(INDEX(Results_Long!$N:$N,$F7)="","NA",INDEX(Results_Long!$N:$N,$F7))</f>
        <v>NA</v>
      </c>
      <c r="S7" s="10" t="str">
        <f>IF(INDEX(Results_Long!$O:$O,$F7)="","NA",INDEX(Results_Long!$O:$O,$F7))</f>
        <v>NA</v>
      </c>
      <c r="T7" s="6">
        <f>IF(INDEX(Results_Long!$AG:$AG,$F7)="","NA",INDEX(Results_Long!$AG:$AG,$F7))</f>
        <v>1.5161931514740001E-6</v>
      </c>
      <c r="U7" s="5" t="str">
        <f>IF(INDEX(Results_Long!$AJ:$AJ,$F7)="","NA",INDEX(Results_Long!$AJ:$AJ,$F7))</f>
        <v>N13 rule [Annex H/DEC-045]: conditional on &gt;= 5 significant study-level post-cell p; selection = first-reported ES per post study (dat_prep row order); p reconstructed as 2*pnorm(-|zi|/sqrt(vi)) (z-metric; converted-r accuracy caveat); share of significant p &lt; .025: 26/28; one-sided binomial vs 0.5 [Simonsohn et al. 2014]</v>
      </c>
    </row>
    <row r="8" spans="1:21" ht="57" customHeight="1" x14ac:dyDescent="0.3">
      <c r="A8" s="6" t="s">
        <v>699</v>
      </c>
      <c r="B8" s="7" t="s">
        <v>694</v>
      </c>
      <c r="C8" s="7" t="s">
        <v>695</v>
      </c>
      <c r="D8" s="7" t="s">
        <v>184</v>
      </c>
      <c r="E8" s="7" t="s">
        <v>700</v>
      </c>
      <c r="F8" s="8">
        <f>SUMPRODUCT((Results_Long!$A$2:$A$178=$B8)*(Results_Long!$B$2:$B$178=$C8)*(Results_Long!$C$2:$C$178=$D8)*(Results_Long!$D$2:$D$178=$E8)*ROW(Results_Long!$A$2:$A$178))</f>
        <v>166</v>
      </c>
      <c r="G8" s="9" t="str">
        <f>IF(INDEX(Results_Long!$H:$H,$F8)="","NA",INDEX(Results_Long!$H:$H,$F8))</f>
        <v>NA</v>
      </c>
      <c r="H8" s="9">
        <f>IF(INDEX(Results_Long!$I:$I,$F8)="","NA",INDEX(Results_Long!$I:$I,$F8))</f>
        <v>28</v>
      </c>
      <c r="I8" s="9" t="str">
        <f>IF(INDEX(Results_Long!$J:$J,$F8)="","NA",INDEX(Results_Long!$J:$J,$F8))</f>
        <v>NA</v>
      </c>
      <c r="J8" s="10" t="str">
        <f>IF(INDEX(Results_Long!$K:$K,$F8)="","NA",INDEX(Results_Long!$K:$K,$F8))</f>
        <v>NA</v>
      </c>
      <c r="K8" s="10" t="str">
        <f>IF(INDEX(Results_Long!$P:$P,$F8)="","NA",INDEX(Results_Long!$P:$P,$F8))</f>
        <v>NA</v>
      </c>
      <c r="L8" s="10" t="str">
        <f>IF(INDEX(Results_Long!$Q:$Q,$F8)="","NA",INDEX(Results_Long!$Q:$Q,$F8))</f>
        <v>NA</v>
      </c>
      <c r="M8" s="10" t="str">
        <f>IF(INDEX(Results_Long!$T:$T,$F8)="","NA",INDEX(Results_Long!$T:$T,$F8))</f>
        <v>NA</v>
      </c>
      <c r="N8" s="10" t="str">
        <f>IF(INDEX(Results_Long!$U:$U,$F8)="","NA",INDEX(Results_Long!$U:$U,$F8))</f>
        <v>NA</v>
      </c>
      <c r="O8" s="10" t="str">
        <f>IF(INDEX(Results_Long!$V:$V,$F8)="","NA",INDEX(Results_Long!$V:$V,$F8))</f>
        <v>NA</v>
      </c>
      <c r="P8" s="10" t="str">
        <f>IF(INDEX(Results_Long!$L:$L,$F8)="","NA",INDEX(Results_Long!$L:$L,$F8))</f>
        <v>NA</v>
      </c>
      <c r="Q8" s="11" t="str">
        <f>IF(INDEX(Results_Long!$M:$M,$F8)="","NA",INDEX(Results_Long!$M:$M,$F8))</f>
        <v>NA</v>
      </c>
      <c r="R8" s="12" t="str">
        <f>IF(INDEX(Results_Long!$N:$N,$F8)="","NA",INDEX(Results_Long!$N:$N,$F8))</f>
        <v>NA</v>
      </c>
      <c r="S8" s="10" t="str">
        <f>IF(INDEX(Results_Long!$O:$O,$F8)="","NA",INDEX(Results_Long!$O:$O,$F8))</f>
        <v>NA</v>
      </c>
      <c r="T8" s="6">
        <f>IF(INDEX(Results_Long!$AG:$AG,$F8)="","NA",INDEX(Results_Long!$AG:$AG,$F8))</f>
        <v>2.05864521899557E-119</v>
      </c>
      <c r="U8" s="5" t="str">
        <f>IF(INDEX(Results_Long!$AJ:$AJ,$F8)="","NA",INDEX(Results_Long!$AJ:$AJ,$F8))</f>
        <v>N13 rule [Annex H/DEC-045]: conditional on &gt;= 5 significant study-level post-cell p; selection = first-reported ES per post study (dat_prep row order); p reconstructed as 2*pnorm(-|zi|/sqrt(vi)) (z-metric; converted-r accuracy caveat); Stouffer z on pp = p/.05: z = -23.2043; right-skew p = pnorm(z)</v>
      </c>
    </row>
    <row r="9" spans="1:21" ht="68.25" customHeight="1" x14ac:dyDescent="0.3">
      <c r="A9" s="6" t="s">
        <v>701</v>
      </c>
      <c r="B9" s="7" t="s">
        <v>694</v>
      </c>
      <c r="C9" s="7" t="s">
        <v>695</v>
      </c>
      <c r="D9" s="7" t="s">
        <v>184</v>
      </c>
      <c r="E9" s="7" t="s">
        <v>702</v>
      </c>
      <c r="F9" s="8">
        <f>SUMPRODUCT((Results_Long!$A$2:$A$178=$B9)*(Results_Long!$B$2:$B$178=$C9)*(Results_Long!$C$2:$C$178=$D9)*(Results_Long!$D$2:$D$178=$E9)*ROW(Results_Long!$A$2:$A$178))</f>
        <v>167</v>
      </c>
      <c r="G9" s="9" t="str">
        <f>IF(INDEX(Results_Long!$H:$H,$F9)="","NA",INDEX(Results_Long!$H:$H,$F9))</f>
        <v>NA</v>
      </c>
      <c r="H9" s="9">
        <f>IF(INDEX(Results_Long!$I:$I,$F9)="","NA",INDEX(Results_Long!$I:$I,$F9))</f>
        <v>28</v>
      </c>
      <c r="I9" s="9" t="str">
        <f>IF(INDEX(Results_Long!$J:$J,$F9)="","NA",INDEX(Results_Long!$J:$J,$F9))</f>
        <v>NA</v>
      </c>
      <c r="J9" s="10" t="str">
        <f>IF(INDEX(Results_Long!$K:$K,$F9)="","NA",INDEX(Results_Long!$K:$K,$F9))</f>
        <v>NA</v>
      </c>
      <c r="K9" s="10" t="str">
        <f>IF(INDEX(Results_Long!$P:$P,$F9)="","NA",INDEX(Results_Long!$P:$P,$F9))</f>
        <v>NA</v>
      </c>
      <c r="L9" s="10" t="str">
        <f>IF(INDEX(Results_Long!$Q:$Q,$F9)="","NA",INDEX(Results_Long!$Q:$Q,$F9))</f>
        <v>NA</v>
      </c>
      <c r="M9" s="10" t="str">
        <f>IF(INDEX(Results_Long!$T:$T,$F9)="","NA",INDEX(Results_Long!$T:$T,$F9))</f>
        <v>NA</v>
      </c>
      <c r="N9" s="10" t="str">
        <f>IF(INDEX(Results_Long!$U:$U,$F9)="","NA",INDEX(Results_Long!$U:$U,$F9))</f>
        <v>NA</v>
      </c>
      <c r="O9" s="10" t="str">
        <f>IF(INDEX(Results_Long!$V:$V,$F9)="","NA",INDEX(Results_Long!$V:$V,$F9))</f>
        <v>NA</v>
      </c>
      <c r="P9" s="10" t="str">
        <f>IF(INDEX(Results_Long!$L:$L,$F9)="","NA",INDEX(Results_Long!$L:$L,$F9))</f>
        <v>NA</v>
      </c>
      <c r="Q9" s="11" t="str">
        <f>IF(INDEX(Results_Long!$M:$M,$F9)="","NA",INDEX(Results_Long!$M:$M,$F9))</f>
        <v>NA</v>
      </c>
      <c r="R9" s="12" t="str">
        <f>IF(INDEX(Results_Long!$N:$N,$F9)="","NA",INDEX(Results_Long!$N:$N,$F9))</f>
        <v>NA</v>
      </c>
      <c r="S9" s="10" t="str">
        <f>IF(INDEX(Results_Long!$O:$O,$F9)="","NA",INDEX(Results_Long!$O:$O,$F9))</f>
        <v>NA</v>
      </c>
      <c r="T9" s="6">
        <f>IF(INDEX(Results_Long!$AG:$AG,$F9)="","NA",INDEX(Results_Long!$AG:$AG,$F9))</f>
        <v>1</v>
      </c>
      <c r="U9" s="5" t="str">
        <f>IF(INDEX(Results_Long!$AJ:$AJ,$F9)="","NA",INDEX(Results_Long!$AJ:$AJ,$F9))</f>
        <v>N13 rule [Annex H/DEC-045]: conditional on &gt;= 5 significant study-level post-cell p; selection = first-reported ES per post study (dat_prep row order); p reconstructed as 2*pnorm(-|zi|/sqrt(vi)) (z-metric; converted-r accuracy caveat); NCP_33 = 1.529236685 (= qnorm(.975) - qnorm(2/3)); Stouffer z on pp33: z = -20.0115; flatter-than-33% p = 1 - pnorm(z); pp33 clip share (upper/lower) = 0/9 of 28</v>
      </c>
    </row>
    <row r="11" spans="1:21" ht="15" customHeight="1" x14ac:dyDescent="0.3">
      <c r="A11" s="3" t="s">
        <v>160</v>
      </c>
      <c r="B11" s="3" t="s">
        <v>161</v>
      </c>
      <c r="C11" s="3" t="s">
        <v>162</v>
      </c>
      <c r="D11" s="3" t="s">
        <v>163</v>
      </c>
      <c r="E11" s="3" t="s">
        <v>164</v>
      </c>
      <c r="F11" s="3" t="s">
        <v>165</v>
      </c>
      <c r="G11" s="3" t="s">
        <v>166</v>
      </c>
      <c r="H11" s="3" t="s">
        <v>167</v>
      </c>
      <c r="I11" s="3" t="s">
        <v>168</v>
      </c>
      <c r="J11" s="3" t="s">
        <v>169</v>
      </c>
      <c r="K11" s="3" t="s">
        <v>170</v>
      </c>
      <c r="L11" s="3" t="s">
        <v>171</v>
      </c>
      <c r="M11" s="3" t="s">
        <v>172</v>
      </c>
      <c r="N11" s="3" t="s">
        <v>173</v>
      </c>
      <c r="O11" s="3" t="s">
        <v>174</v>
      </c>
      <c r="P11" s="3" t="s">
        <v>175</v>
      </c>
      <c r="Q11" s="3" t="s">
        <v>176</v>
      </c>
      <c r="R11" s="3" t="s">
        <v>177</v>
      </c>
      <c r="S11" s="3" t="s">
        <v>178</v>
      </c>
      <c r="T11" s="3" t="s">
        <v>179</v>
      </c>
      <c r="U11" s="3" t="s">
        <v>180</v>
      </c>
    </row>
    <row r="12" spans="1:21" ht="34.5" customHeight="1" x14ac:dyDescent="0.3">
      <c r="A12" s="6" t="s">
        <v>703</v>
      </c>
      <c r="B12" s="7" t="s">
        <v>704</v>
      </c>
      <c r="C12" s="7" t="s">
        <v>705</v>
      </c>
      <c r="D12" s="7" t="s">
        <v>396</v>
      </c>
      <c r="E12" s="7" t="s">
        <v>706</v>
      </c>
      <c r="F12" s="8">
        <f>SUMPRODUCT((Results_Long!$A$2:$A$178=$B12)*(Results_Long!$B$2:$B$178=$C12)*(Results_Long!$C$2:$C$178=$D12)*(Results_Long!$D$2:$D$178=$E12)*ROW(Results_Long!$A$2:$A$178))</f>
        <v>168</v>
      </c>
      <c r="G12" s="9">
        <f>IF(INDEX(Results_Long!$H:$H,$F12)="","NA",INDEX(Results_Long!$H:$H,$F12))</f>
        <v>12</v>
      </c>
      <c r="H12" s="9">
        <f>IF(INDEX(Results_Long!$I:$I,$F12)="","NA",INDEX(Results_Long!$I:$I,$F12))</f>
        <v>1</v>
      </c>
      <c r="I12" s="9">
        <f>IF(INDEX(Results_Long!$J:$J,$F12)="","NA",INDEX(Results_Long!$J:$J,$F12))</f>
        <v>1</v>
      </c>
      <c r="J12" s="10">
        <f>IF(INDEX(Results_Long!$K:$K,$F12)="","NA",INDEX(Results_Long!$K:$K,$F12))</f>
        <v>-5.2348082685068902E-2</v>
      </c>
      <c r="K12" s="10" t="str">
        <f>IF(INDEX(Results_Long!$P:$P,$F12)="","NA",INDEX(Results_Long!$P:$P,$F12))</f>
        <v>NA</v>
      </c>
      <c r="L12" s="10" t="str">
        <f>IF(INDEX(Results_Long!$Q:$Q,$F12)="","NA",INDEX(Results_Long!$Q:$Q,$F12))</f>
        <v>NA</v>
      </c>
      <c r="M12" s="10">
        <f>IF(INDEX(Results_Long!$T:$T,$F12)="","NA",INDEX(Results_Long!$T:$T,$F12))</f>
        <v>-5.2300318177061302E-2</v>
      </c>
      <c r="N12" s="10" t="str">
        <f>IF(INDEX(Results_Long!$U:$U,$F12)="","NA",INDEX(Results_Long!$U:$U,$F12))</f>
        <v>NA</v>
      </c>
      <c r="O12" s="10" t="str">
        <f>IF(INDEX(Results_Long!$V:$V,$F12)="","NA",INDEX(Results_Long!$V:$V,$F12))</f>
        <v>NA</v>
      </c>
      <c r="P12" s="10" t="str">
        <f>IF(INDEX(Results_Long!$L:$L,$F12)="","NA",INDEX(Results_Long!$L:$L,$F12))</f>
        <v>NA</v>
      </c>
      <c r="Q12" s="11" t="str">
        <f>IF(INDEX(Results_Long!$M:$M,$F12)="","NA",INDEX(Results_Long!$M:$M,$F12))</f>
        <v>NA</v>
      </c>
      <c r="R12" s="12" t="str">
        <f>IF(INDEX(Results_Long!$N:$N,$F12)="","NA",INDEX(Results_Long!$N:$N,$F12))</f>
        <v>NA</v>
      </c>
      <c r="S12" s="10" t="str">
        <f>IF(INDEX(Results_Long!$O:$O,$F12)="","NA",INDEX(Results_Long!$O:$O,$F12))</f>
        <v>NA</v>
      </c>
      <c r="T12" s="6">
        <f>IF(INDEX(Results_Long!$AG:$AG,$F12)="","NA",INDEX(Results_Long!$AG:$AG,$F12))</f>
        <v>3.4291927372880102E-2</v>
      </c>
      <c r="U12" s="5" t="str">
        <f>IF(INDEX(Results_Long!$AJ:$AJ,$F12)="","NA",INDEX(Results_Long!$AJ:$AJ,$F12))</f>
        <v>N15 within-study display: descriptive only, explicitly NO p-values (single both-period cluster) [DEC-045/H-Q11; DEC-008 partial reopen]; unweighted mean of Fisher-z within cell; value = SD</v>
      </c>
    </row>
    <row r="13" spans="1:21" ht="34.5" customHeight="1" x14ac:dyDescent="0.3">
      <c r="A13" s="6" t="s">
        <v>707</v>
      </c>
      <c r="B13" s="7" t="s">
        <v>704</v>
      </c>
      <c r="C13" s="7" t="s">
        <v>705</v>
      </c>
      <c r="D13" s="7" t="s">
        <v>396</v>
      </c>
      <c r="E13" s="7" t="s">
        <v>708</v>
      </c>
      <c r="F13" s="8">
        <f>SUMPRODUCT((Results_Long!$A$2:$A$178=$B13)*(Results_Long!$B$2:$B$178=$C13)*(Results_Long!$C$2:$C$178=$D13)*(Results_Long!$D$2:$D$178=$E13)*ROW(Results_Long!$A$2:$A$178))</f>
        <v>169</v>
      </c>
      <c r="G13" s="9">
        <f>IF(INDEX(Results_Long!$H:$H,$F13)="","NA",INDEX(Results_Long!$H:$H,$F13))</f>
        <v>5</v>
      </c>
      <c r="H13" s="9">
        <f>IF(INDEX(Results_Long!$I:$I,$F13)="","NA",INDEX(Results_Long!$I:$I,$F13))</f>
        <v>1</v>
      </c>
      <c r="I13" s="9">
        <f>IF(INDEX(Results_Long!$J:$J,$F13)="","NA",INDEX(Results_Long!$J:$J,$F13))</f>
        <v>1</v>
      </c>
      <c r="J13" s="10">
        <f>IF(INDEX(Results_Long!$K:$K,$F13)="","NA",INDEX(Results_Long!$K:$K,$F13))</f>
        <v>-1.6230795425781999E-2</v>
      </c>
      <c r="K13" s="10" t="str">
        <f>IF(INDEX(Results_Long!$P:$P,$F13)="","NA",INDEX(Results_Long!$P:$P,$F13))</f>
        <v>NA</v>
      </c>
      <c r="L13" s="10" t="str">
        <f>IF(INDEX(Results_Long!$Q:$Q,$F13)="","NA",INDEX(Results_Long!$Q:$Q,$F13))</f>
        <v>NA</v>
      </c>
      <c r="M13" s="10">
        <f>IF(INDEX(Results_Long!$T:$T,$F13)="","NA",INDEX(Results_Long!$T:$T,$F13))</f>
        <v>-1.6229370302630199E-2</v>
      </c>
      <c r="N13" s="10" t="str">
        <f>IF(INDEX(Results_Long!$U:$U,$F13)="","NA",INDEX(Results_Long!$U:$U,$F13))</f>
        <v>NA</v>
      </c>
      <c r="O13" s="10" t="str">
        <f>IF(INDEX(Results_Long!$V:$V,$F13)="","NA",INDEX(Results_Long!$V:$V,$F13))</f>
        <v>NA</v>
      </c>
      <c r="P13" s="10" t="str">
        <f>IF(INDEX(Results_Long!$L:$L,$F13)="","NA",INDEX(Results_Long!$L:$L,$F13))</f>
        <v>NA</v>
      </c>
      <c r="Q13" s="11" t="str">
        <f>IF(INDEX(Results_Long!$M:$M,$F13)="","NA",INDEX(Results_Long!$M:$M,$F13))</f>
        <v>NA</v>
      </c>
      <c r="R13" s="12" t="str">
        <f>IF(INDEX(Results_Long!$N:$N,$F13)="","NA",INDEX(Results_Long!$N:$N,$F13))</f>
        <v>NA</v>
      </c>
      <c r="S13" s="10" t="str">
        <f>IF(INDEX(Results_Long!$O:$O,$F13)="","NA",INDEX(Results_Long!$O:$O,$F13))</f>
        <v>NA</v>
      </c>
      <c r="T13" s="6">
        <f>IF(INDEX(Results_Long!$AG:$AG,$F13)="","NA",INDEX(Results_Long!$AG:$AG,$F13))</f>
        <v>3.2549259689010297E-2</v>
      </c>
      <c r="U13" s="5" t="str">
        <f>IF(INDEX(Results_Long!$AJ:$AJ,$F13)="","NA",INDEX(Results_Long!$AJ:$AJ,$F13))</f>
        <v>N15 within-study display: descriptive only, explicitly NO p-values (single both-period cluster) [DEC-045/H-Q11; DEC-008 partial reopen]; unweighted mean of Fisher-z within cell; value = SD</v>
      </c>
    </row>
    <row r="14" spans="1:21" ht="45.75" customHeight="1" x14ac:dyDescent="0.3">
      <c r="A14" s="6" t="s">
        <v>709</v>
      </c>
      <c r="B14" s="7" t="s">
        <v>704</v>
      </c>
      <c r="C14" s="7" t="s">
        <v>705</v>
      </c>
      <c r="D14" s="7" t="s">
        <v>396</v>
      </c>
      <c r="E14" s="7" t="s">
        <v>710</v>
      </c>
      <c r="F14" s="8">
        <f>SUMPRODUCT((Results_Long!$A$2:$A$178=$B14)*(Results_Long!$B$2:$B$178=$C14)*(Results_Long!$C$2:$C$178=$D14)*(Results_Long!$D$2:$D$178=$E14)*ROW(Results_Long!$A$2:$A$178))</f>
        <v>170</v>
      </c>
      <c r="G14" s="9">
        <f>IF(INDEX(Results_Long!$H:$H,$F14)="","NA",INDEX(Results_Long!$H:$H,$F14))</f>
        <v>17</v>
      </c>
      <c r="H14" s="9">
        <f>IF(INDEX(Results_Long!$I:$I,$F14)="","NA",INDEX(Results_Long!$I:$I,$F14))</f>
        <v>1</v>
      </c>
      <c r="I14" s="9">
        <f>IF(INDEX(Results_Long!$J:$J,$F14)="","NA",INDEX(Results_Long!$J:$J,$F14))</f>
        <v>1</v>
      </c>
      <c r="J14" s="10">
        <f>IF(INDEX(Results_Long!$K:$K,$F14)="","NA",INDEX(Results_Long!$K:$K,$F14))</f>
        <v>3.6117287259286902E-2</v>
      </c>
      <c r="K14" s="10" t="str">
        <f>IF(INDEX(Results_Long!$P:$P,$F14)="","NA",INDEX(Results_Long!$P:$P,$F14))</f>
        <v>NA</v>
      </c>
      <c r="L14" s="10" t="str">
        <f>IF(INDEX(Results_Long!$Q:$Q,$F14)="","NA",INDEX(Results_Long!$Q:$Q,$F14))</f>
        <v>NA</v>
      </c>
      <c r="M14" s="10" t="str">
        <f>IF(INDEX(Results_Long!$T:$T,$F14)="","NA",INDEX(Results_Long!$T:$T,$F14))</f>
        <v>NA</v>
      </c>
      <c r="N14" s="10" t="str">
        <f>IF(INDEX(Results_Long!$U:$U,$F14)="","NA",INDEX(Results_Long!$U:$U,$F14))</f>
        <v>NA</v>
      </c>
      <c r="O14" s="10" t="str">
        <f>IF(INDEX(Results_Long!$V:$V,$F14)="","NA",INDEX(Results_Long!$V:$V,$F14))</f>
        <v>NA</v>
      </c>
      <c r="P14" s="10" t="str">
        <f>IF(INDEX(Results_Long!$L:$L,$F14)="","NA",INDEX(Results_Long!$L:$L,$F14))</f>
        <v>NA</v>
      </c>
      <c r="Q14" s="11" t="str">
        <f>IF(INDEX(Results_Long!$M:$M,$F14)="","NA",INDEX(Results_Long!$M:$M,$F14))</f>
        <v>NA</v>
      </c>
      <c r="R14" s="12" t="str">
        <f>IF(INDEX(Results_Long!$N:$N,$F14)="","NA",INDEX(Results_Long!$N:$N,$F14))</f>
        <v>NA</v>
      </c>
      <c r="S14" s="10" t="str">
        <f>IF(INDEX(Results_Long!$O:$O,$F14)="","NA",INDEX(Results_Long!$O:$O,$F14))</f>
        <v>NA</v>
      </c>
      <c r="T14" s="6" t="str">
        <f>IF(INDEX(Results_Long!$AG:$AG,$F14)="","NA",INDEX(Results_Long!$AG:$AG,$F14))</f>
        <v>NA</v>
      </c>
      <c r="U14" s="5" t="str">
        <f>IF(INDEX(Results_Long!$AJ:$AJ,$F14)="","NA",INDEX(Results_Long!$AJ:$AJ,$F14))</f>
        <v>N15 within-study display: descriptive only, explicitly NO p-values (single both-period cluster) [DEC-045/H-Q11; DEC-008 partial reopen]; unweighted mean of Fisher-z within cell; value = SD; post-minus-pre difference of unweighted cell means; z-only, no CI/p by rule</v>
      </c>
    </row>
    <row r="16" spans="1:21" ht="15" customHeight="1" x14ac:dyDescent="0.3">
      <c r="A16" s="3" t="s">
        <v>160</v>
      </c>
      <c r="B16" s="3" t="s">
        <v>161</v>
      </c>
      <c r="C16" s="3" t="s">
        <v>162</v>
      </c>
      <c r="D16" s="3" t="s">
        <v>163</v>
      </c>
      <c r="E16" s="3" t="s">
        <v>164</v>
      </c>
      <c r="F16" s="3" t="s">
        <v>165</v>
      </c>
      <c r="G16" s="3" t="s">
        <v>271</v>
      </c>
      <c r="H16" s="3" t="s">
        <v>179</v>
      </c>
      <c r="I16" s="3" t="s">
        <v>180</v>
      </c>
    </row>
    <row r="17" spans="1:12" ht="23.25" customHeight="1" x14ac:dyDescent="0.3">
      <c r="A17" s="6" t="s">
        <v>711</v>
      </c>
      <c r="B17" s="7" t="s">
        <v>273</v>
      </c>
      <c r="C17" s="7" t="s">
        <v>274</v>
      </c>
      <c r="D17" s="7" t="s">
        <v>184</v>
      </c>
      <c r="E17" s="7" t="s">
        <v>712</v>
      </c>
      <c r="F17" s="8">
        <f>SUMPRODUCT((Results_Long!$A$2:$A$178=$B17)*(Results_Long!$B$2:$B$178=$C17)*(Results_Long!$C$2:$C$178=$D17)*(Results_Long!$D$2:$D$178=$E17)*ROW(Results_Long!$A$2:$A$178))</f>
        <v>177</v>
      </c>
      <c r="G17" s="10" t="str">
        <f>IF(INDEX(Results_Long!$N:$N,$F17)="","NA",INDEX(Results_Long!$N:$N,$F17))</f>
        <v>NA</v>
      </c>
      <c r="H17" s="6">
        <f>IF(INDEX(Results_Long!$AG:$AG,$F17)="","NA",INDEX(Results_Long!$AG:$AG,$F17))</f>
        <v>73</v>
      </c>
      <c r="I17" s="5" t="str">
        <f>IF(INDEX(Results_Long!$AJ:$AJ,$F17)="","NA",INDEX(Results_Long!$AJ:$AJ,$F17))</f>
        <v>studies with any pp_window_class == 'mixed' on the estimation set (straddle the break) [DEC-045/H-Q11]</v>
      </c>
    </row>
    <row r="18" spans="1:12" ht="23.25" customHeight="1" x14ac:dyDescent="0.3">
      <c r="A18" s="6" t="s">
        <v>713</v>
      </c>
      <c r="B18" s="7" t="s">
        <v>273</v>
      </c>
      <c r="C18" s="7" t="s">
        <v>274</v>
      </c>
      <c r="D18" s="7" t="s">
        <v>184</v>
      </c>
      <c r="E18" s="7" t="s">
        <v>714</v>
      </c>
      <c r="F18" s="8">
        <f>SUMPRODUCT((Results_Long!$A$2:$A$178=$B18)*(Results_Long!$B$2:$B$178=$C18)*(Results_Long!$C$2:$C$178=$D18)*(Results_Long!$D$2:$D$178=$E18)*ROW(Results_Long!$A$2:$A$178))</f>
        <v>178</v>
      </c>
      <c r="G18" s="10" t="str">
        <f>IF(INDEX(Results_Long!$N:$N,$F18)="","NA",INDEX(Results_Long!$N:$N,$F18))</f>
        <v>NA</v>
      </c>
      <c r="H18" s="6">
        <f>IF(INDEX(Results_Long!$AG:$AG,$F18)="","NA",INDEX(Results_Long!$AG:$AG,$F18))</f>
        <v>72</v>
      </c>
      <c r="I18" s="5" t="str">
        <f>IF(INDEX(Results_Long!$AJ:$AJ,$F18)="","NA",INDEX(Results_Long!$AJ:$AJ,$F18))</f>
        <v>straddling studies minus the single within-split study (Li et al 2022) = studies that pool across the break ('Paris blindness' introduction module)</v>
      </c>
    </row>
    <row r="19" spans="1:12" ht="23.25" customHeight="1" x14ac:dyDescent="0.3">
      <c r="A19" s="6" t="s">
        <v>715</v>
      </c>
      <c r="B19" s="7" t="s">
        <v>273</v>
      </c>
      <c r="C19" s="7" t="s">
        <v>274</v>
      </c>
      <c r="D19" s="7" t="s">
        <v>184</v>
      </c>
      <c r="E19" s="7" t="s">
        <v>716</v>
      </c>
      <c r="F19" s="8">
        <f>SUMPRODUCT((Results_Long!$A$2:$A$178=$B19)*(Results_Long!$B$2:$B$178=$C19)*(Results_Long!$C$2:$C$178=$D19)*(Results_Long!$D$2:$D$178=$E19)*ROW(Results_Long!$A$2:$A$178))</f>
        <v>176</v>
      </c>
      <c r="G19" s="10" t="str">
        <f>IF(INDEX(Results_Long!$N:$N,$F19)="","NA",INDEX(Results_Long!$N:$N,$F19))</f>
        <v>NA</v>
      </c>
      <c r="H19" s="6" t="str">
        <f>IF(INDEX(Results_Long!$AG:$AG,$F19)="","NA",INDEX(Results_Long!$AG:$AG,$F19))</f>
        <v>NA</v>
      </c>
      <c r="I19" s="5" t="str">
        <f>IF(INDEX(Results_Long!$AJ:$AJ,$F19)="","NA",INDEX(Results_Long!$AJ:$AJ,$F19))</f>
        <v>first-reported ES per post study = first occurrence in dat_prep row order (pinned) [DEC-045/N13]</v>
      </c>
    </row>
    <row r="21" spans="1:12" ht="15" customHeight="1" x14ac:dyDescent="0.3">
      <c r="A21" s="13" t="s">
        <v>207</v>
      </c>
    </row>
    <row r="22" spans="1:12" ht="15" customHeight="1" x14ac:dyDescent="0.3">
      <c r="A22" s="27" t="s">
        <v>717</v>
      </c>
      <c r="B22" s="28"/>
      <c r="C22" s="28"/>
      <c r="D22" s="28"/>
      <c r="E22" s="28"/>
      <c r="F22" s="28"/>
      <c r="G22" s="28"/>
      <c r="H22" s="28"/>
      <c r="I22" s="28"/>
      <c r="J22" s="28"/>
    </row>
    <row r="23" spans="1:12" ht="15" customHeight="1" x14ac:dyDescent="0.3">
      <c r="A23" s="27" t="s">
        <v>718</v>
      </c>
      <c r="B23" s="28"/>
      <c r="C23" s="28"/>
      <c r="D23" s="28"/>
      <c r="E23" s="28"/>
      <c r="F23" s="28"/>
      <c r="G23" s="28"/>
      <c r="H23" s="28"/>
      <c r="I23" s="28"/>
      <c r="J23" s="28"/>
    </row>
    <row r="24" spans="1:12" ht="15" customHeight="1" x14ac:dyDescent="0.3">
      <c r="A24" s="27" t="s">
        <v>719</v>
      </c>
      <c r="B24" s="28"/>
      <c r="C24" s="28"/>
      <c r="D24" s="28"/>
      <c r="E24" s="28"/>
      <c r="F24" s="28"/>
      <c r="G24" s="28"/>
      <c r="H24" s="28"/>
      <c r="I24" s="28"/>
      <c r="J24" s="28"/>
    </row>
    <row r="26" spans="1:12" ht="15" customHeight="1" x14ac:dyDescent="0.3">
      <c r="A26" s="3" t="s">
        <v>211</v>
      </c>
      <c r="B26" s="3" t="s">
        <v>212</v>
      </c>
    </row>
    <row r="27" spans="1:12" ht="15" customHeight="1" x14ac:dyDescent="0.3">
      <c r="A27" s="14" t="s">
        <v>720</v>
      </c>
      <c r="B27" s="27" t="s">
        <v>721</v>
      </c>
      <c r="C27" s="28"/>
      <c r="D27" s="28"/>
      <c r="E27" s="28"/>
      <c r="F27" s="28"/>
      <c r="G27" s="28"/>
      <c r="H27" s="28"/>
      <c r="I27" s="28"/>
      <c r="J27" s="28"/>
    </row>
    <row r="28" spans="1:12" ht="15" customHeight="1" x14ac:dyDescent="0.3">
      <c r="A28" s="14" t="s">
        <v>722</v>
      </c>
      <c r="B28" s="27" t="s">
        <v>723</v>
      </c>
      <c r="C28" s="28"/>
      <c r="D28" s="28"/>
      <c r="E28" s="28"/>
      <c r="F28" s="28"/>
      <c r="G28" s="28"/>
      <c r="H28" s="28"/>
      <c r="I28" s="28"/>
      <c r="J28" s="28"/>
    </row>
    <row r="30" spans="1:12" ht="15" customHeight="1" x14ac:dyDescent="0.3">
      <c r="A30" s="29" t="s">
        <v>724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</row>
  </sheetData>
  <mergeCells count="6">
    <mergeCell ref="A30:L30"/>
    <mergeCell ref="A23:J23"/>
    <mergeCell ref="A22:J22"/>
    <mergeCell ref="B28:J28"/>
    <mergeCell ref="B27:J27"/>
    <mergeCell ref="A24:J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J17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35" width="13" customWidth="1"/>
    <col min="36" max="36" width="60" customWidth="1"/>
  </cols>
  <sheetData>
    <row r="1" spans="1:36" ht="15" customHeight="1" x14ac:dyDescent="0.3">
      <c r="A1" s="15" t="s">
        <v>161</v>
      </c>
      <c r="B1" s="15" t="s">
        <v>162</v>
      </c>
      <c r="C1" s="15" t="s">
        <v>163</v>
      </c>
      <c r="D1" s="15" t="s">
        <v>164</v>
      </c>
      <c r="E1" s="15" t="s">
        <v>725</v>
      </c>
      <c r="F1" s="15" t="s">
        <v>726</v>
      </c>
      <c r="G1" s="15" t="s">
        <v>727</v>
      </c>
      <c r="H1" s="15" t="s">
        <v>166</v>
      </c>
      <c r="I1" s="15" t="s">
        <v>728</v>
      </c>
      <c r="J1" s="15" t="s">
        <v>729</v>
      </c>
      <c r="K1" s="15" t="s">
        <v>169</v>
      </c>
      <c r="L1" s="15" t="s">
        <v>175</v>
      </c>
      <c r="M1" s="15" t="s">
        <v>730</v>
      </c>
      <c r="N1" s="15" t="s">
        <v>177</v>
      </c>
      <c r="O1" s="15" t="s">
        <v>178</v>
      </c>
      <c r="P1" s="15" t="s">
        <v>170</v>
      </c>
      <c r="Q1" s="15" t="s">
        <v>171</v>
      </c>
      <c r="R1" s="15" t="s">
        <v>731</v>
      </c>
      <c r="S1" s="15" t="s">
        <v>732</v>
      </c>
      <c r="T1" s="15" t="s">
        <v>172</v>
      </c>
      <c r="U1" s="15" t="s">
        <v>173</v>
      </c>
      <c r="V1" s="15" t="s">
        <v>174</v>
      </c>
      <c r="W1" s="15" t="s">
        <v>733</v>
      </c>
      <c r="X1" s="15" t="s">
        <v>734</v>
      </c>
      <c r="Y1" s="15" t="s">
        <v>735</v>
      </c>
      <c r="Z1" s="15" t="s">
        <v>736</v>
      </c>
      <c r="AA1" s="15" t="s">
        <v>737</v>
      </c>
      <c r="AB1" s="15" t="s">
        <v>738</v>
      </c>
      <c r="AC1" s="15" t="s">
        <v>739</v>
      </c>
      <c r="AD1" s="15" t="s">
        <v>740</v>
      </c>
      <c r="AE1" s="15" t="s">
        <v>741</v>
      </c>
      <c r="AF1" s="15" t="s">
        <v>742</v>
      </c>
      <c r="AG1" s="15" t="s">
        <v>179</v>
      </c>
      <c r="AH1" s="15" t="s">
        <v>743</v>
      </c>
      <c r="AI1" s="15" t="s">
        <v>744</v>
      </c>
      <c r="AJ1" s="15" t="s">
        <v>745</v>
      </c>
    </row>
    <row r="2" spans="1:36" ht="15" customHeight="1" x14ac:dyDescent="0.3">
      <c r="A2" s="22" t="s">
        <v>182</v>
      </c>
      <c r="B2" s="22" t="s">
        <v>183</v>
      </c>
      <c r="C2" s="22" t="s">
        <v>184</v>
      </c>
      <c r="D2" s="22" t="s">
        <v>185</v>
      </c>
      <c r="E2" s="22" t="s">
        <v>746</v>
      </c>
      <c r="F2" s="22" t="s">
        <v>747</v>
      </c>
      <c r="G2" s="22">
        <v>0.6</v>
      </c>
      <c r="H2" s="22">
        <v>2713</v>
      </c>
      <c r="I2" s="22">
        <v>115</v>
      </c>
      <c r="J2" s="22">
        <v>114</v>
      </c>
      <c r="K2" s="22">
        <v>-5.8646736610097998E-2</v>
      </c>
      <c r="L2" s="22">
        <v>1.3856549617298999E-2</v>
      </c>
      <c r="M2" s="22">
        <v>-4.2324199190887599</v>
      </c>
      <c r="N2" s="22">
        <v>111.671795029272</v>
      </c>
      <c r="O2" s="22">
        <v>4.7619835484618398E-5</v>
      </c>
      <c r="P2" s="22">
        <v>-8.6102594638797797E-2</v>
      </c>
      <c r="Q2" s="22">
        <v>-3.1190878581398102E-2</v>
      </c>
      <c r="R2" s="22"/>
      <c r="S2" s="22"/>
      <c r="T2" s="22">
        <v>-5.85795916799434E-2</v>
      </c>
      <c r="U2" s="22">
        <v>-8.5890445375145993E-2</v>
      </c>
      <c r="V2" s="22">
        <v>-3.1180767616603398E-2</v>
      </c>
      <c r="W2" s="22"/>
      <c r="X2" s="22"/>
      <c r="Y2" s="22">
        <v>1.9745548666112299E-2</v>
      </c>
      <c r="Z2" s="22">
        <v>1.0209212874954301E-9</v>
      </c>
      <c r="AA2" s="22">
        <v>1.18831792865472E-2</v>
      </c>
      <c r="AB2" s="22"/>
      <c r="AC2" s="22"/>
      <c r="AD2" s="22"/>
      <c r="AE2" s="22"/>
      <c r="AF2" s="22"/>
      <c r="AG2" s="22"/>
      <c r="AH2" s="22" t="s">
        <v>748</v>
      </c>
      <c r="AI2" s="22"/>
      <c r="AJ2" s="22" t="s">
        <v>749</v>
      </c>
    </row>
    <row r="3" spans="1:36" ht="15" customHeight="1" x14ac:dyDescent="0.3">
      <c r="A3" s="22" t="s">
        <v>182</v>
      </c>
      <c r="B3" s="22" t="s">
        <v>183</v>
      </c>
      <c r="C3" s="22" t="s">
        <v>184</v>
      </c>
      <c r="D3" s="22" t="s">
        <v>187</v>
      </c>
      <c r="E3" s="22" t="s">
        <v>746</v>
      </c>
      <c r="F3" s="22" t="s">
        <v>747</v>
      </c>
      <c r="G3" s="22">
        <v>0.6</v>
      </c>
      <c r="H3" s="22">
        <v>2713</v>
      </c>
      <c r="I3" s="22">
        <v>115</v>
      </c>
      <c r="J3" s="22">
        <v>114</v>
      </c>
      <c r="K3" s="22">
        <v>-5.8646736610097998E-2</v>
      </c>
      <c r="L3" s="22">
        <v>1.3856549617298999E-2</v>
      </c>
      <c r="M3" s="22"/>
      <c r="N3" s="22">
        <v>111.671795029272</v>
      </c>
      <c r="O3" s="22">
        <v>0.20482591070186801</v>
      </c>
      <c r="P3" s="22">
        <v>-8.1629393917443602E-2</v>
      </c>
      <c r="Q3" s="22">
        <v>-3.5664079302752401E-2</v>
      </c>
      <c r="R3" s="22"/>
      <c r="S3" s="22"/>
      <c r="T3" s="22"/>
      <c r="U3" s="22"/>
      <c r="V3" s="22"/>
      <c r="W3" s="22"/>
      <c r="X3" s="22"/>
      <c r="Y3" s="22">
        <v>1.9745548666112299E-2</v>
      </c>
      <c r="Z3" s="22">
        <v>1.0209212874954301E-9</v>
      </c>
      <c r="AA3" s="22">
        <v>1.18831792865472E-2</v>
      </c>
      <c r="AB3" s="22"/>
      <c r="AC3" s="22"/>
      <c r="AD3" s="22"/>
      <c r="AE3" s="22"/>
      <c r="AF3" s="22"/>
      <c r="AG3" s="22">
        <v>0</v>
      </c>
      <c r="AH3" s="22" t="s">
        <v>750</v>
      </c>
      <c r="AI3" s="22" t="s">
        <v>751</v>
      </c>
      <c r="AJ3" s="22" t="s">
        <v>752</v>
      </c>
    </row>
    <row r="4" spans="1:36" ht="15" customHeight="1" x14ac:dyDescent="0.3">
      <c r="A4" s="22" t="s">
        <v>182</v>
      </c>
      <c r="B4" s="22" t="s">
        <v>183</v>
      </c>
      <c r="C4" s="22" t="s">
        <v>184</v>
      </c>
      <c r="D4" s="22" t="s">
        <v>189</v>
      </c>
      <c r="E4" s="22" t="s">
        <v>746</v>
      </c>
      <c r="F4" s="22" t="s">
        <v>747</v>
      </c>
      <c r="G4" s="22">
        <v>0.6</v>
      </c>
      <c r="H4" s="22">
        <v>2713</v>
      </c>
      <c r="I4" s="22">
        <v>115</v>
      </c>
      <c r="J4" s="22">
        <v>114</v>
      </c>
      <c r="K4" s="22">
        <v>-5.8646736610097998E-2</v>
      </c>
      <c r="L4" s="22">
        <v>1.3856549617298999E-2</v>
      </c>
      <c r="M4" s="22"/>
      <c r="N4" s="22">
        <v>111.671795029272</v>
      </c>
      <c r="O4" s="22">
        <v>0.73206957727879796</v>
      </c>
      <c r="P4" s="22">
        <v>-8.1629393917443602E-2</v>
      </c>
      <c r="Q4" s="22">
        <v>-3.5664079302752401E-2</v>
      </c>
      <c r="R4" s="22"/>
      <c r="S4" s="22"/>
      <c r="T4" s="22"/>
      <c r="U4" s="22"/>
      <c r="V4" s="22"/>
      <c r="W4" s="22"/>
      <c r="X4" s="22"/>
      <c r="Y4" s="22">
        <v>1.9745548666112299E-2</v>
      </c>
      <c r="Z4" s="22">
        <v>1.0209212874954301E-9</v>
      </c>
      <c r="AA4" s="22">
        <v>1.18831792865472E-2</v>
      </c>
      <c r="AB4" s="22"/>
      <c r="AC4" s="22"/>
      <c r="AD4" s="22"/>
      <c r="AE4" s="22"/>
      <c r="AF4" s="22"/>
      <c r="AG4" s="22">
        <v>0</v>
      </c>
      <c r="AH4" s="22" t="s">
        <v>748</v>
      </c>
      <c r="AI4" s="22"/>
      <c r="AJ4" s="22" t="s">
        <v>753</v>
      </c>
    </row>
    <row r="5" spans="1:36" ht="15" customHeight="1" x14ac:dyDescent="0.3">
      <c r="A5" s="22" t="s">
        <v>191</v>
      </c>
      <c r="B5" s="22" t="s">
        <v>192</v>
      </c>
      <c r="C5" s="22" t="s">
        <v>184</v>
      </c>
      <c r="D5" s="22" t="s">
        <v>193</v>
      </c>
      <c r="E5" s="22" t="s">
        <v>746</v>
      </c>
      <c r="F5" s="22" t="s">
        <v>747</v>
      </c>
      <c r="G5" s="22">
        <v>0.6</v>
      </c>
      <c r="H5" s="22">
        <v>1994</v>
      </c>
      <c r="I5" s="22">
        <v>83</v>
      </c>
      <c r="J5" s="22">
        <v>82</v>
      </c>
      <c r="K5" s="22">
        <v>-6.1599156518995501E-2</v>
      </c>
      <c r="L5" s="22">
        <v>1.80461144532684E-2</v>
      </c>
      <c r="M5" s="22">
        <v>-3.4134304466765202</v>
      </c>
      <c r="N5" s="22">
        <v>68.597112907126203</v>
      </c>
      <c r="O5" s="22">
        <v>1.0804696442775501E-3</v>
      </c>
      <c r="P5" s="22">
        <v>-9.7603942348440803E-2</v>
      </c>
      <c r="Q5" s="22">
        <v>-2.55943706895502E-2</v>
      </c>
      <c r="R5" s="22"/>
      <c r="S5" s="22"/>
      <c r="T5" s="22">
        <v>-6.1521362826025203E-2</v>
      </c>
      <c r="U5" s="22">
        <v>-9.7295176600782005E-2</v>
      </c>
      <c r="V5" s="22">
        <v>-2.5588783436646799E-2</v>
      </c>
      <c r="W5" s="22"/>
      <c r="X5" s="22"/>
      <c r="Y5" s="22">
        <v>2.04666038894258E-2</v>
      </c>
      <c r="Z5" s="22">
        <v>1.8647279485494298E-9</v>
      </c>
      <c r="AA5" s="22">
        <v>1.1878550872388999E-2</v>
      </c>
      <c r="AB5" s="22"/>
      <c r="AC5" s="22"/>
      <c r="AD5" s="22"/>
      <c r="AE5" s="22"/>
      <c r="AF5" s="22"/>
      <c r="AG5" s="22"/>
      <c r="AH5" s="22" t="s">
        <v>748</v>
      </c>
      <c r="AI5" s="22"/>
      <c r="AJ5" s="22" t="s">
        <v>754</v>
      </c>
    </row>
    <row r="6" spans="1:36" ht="15" customHeight="1" x14ac:dyDescent="0.3">
      <c r="A6" s="22" t="s">
        <v>191</v>
      </c>
      <c r="B6" s="22" t="s">
        <v>192</v>
      </c>
      <c r="C6" s="22" t="s">
        <v>184</v>
      </c>
      <c r="D6" s="22" t="s">
        <v>195</v>
      </c>
      <c r="E6" s="22" t="s">
        <v>746</v>
      </c>
      <c r="F6" s="22" t="s">
        <v>747</v>
      </c>
      <c r="G6" s="22">
        <v>0.6</v>
      </c>
      <c r="H6" s="22">
        <v>711</v>
      </c>
      <c r="I6" s="22">
        <v>31</v>
      </c>
      <c r="J6" s="22">
        <v>31</v>
      </c>
      <c r="K6" s="22">
        <v>-5.1423249808593002E-2</v>
      </c>
      <c r="L6" s="22">
        <v>1.0329352365435701E-2</v>
      </c>
      <c r="M6" s="22">
        <v>-4.9783614683014203</v>
      </c>
      <c r="N6" s="22">
        <v>19.756715102314299</v>
      </c>
      <c r="O6" s="22">
        <v>7.4752951968862306E-5</v>
      </c>
      <c r="P6" s="22">
        <v>-7.2986923277550297E-2</v>
      </c>
      <c r="Q6" s="22">
        <v>-2.98595763396356E-2</v>
      </c>
      <c r="R6" s="22"/>
      <c r="S6" s="22"/>
      <c r="T6" s="22">
        <v>-5.13779706673737E-2</v>
      </c>
      <c r="U6" s="22">
        <v>-7.2857596185473397E-2</v>
      </c>
      <c r="V6" s="22">
        <v>-2.98507052940249E-2</v>
      </c>
      <c r="W6" s="22"/>
      <c r="X6" s="22"/>
      <c r="Y6" s="22">
        <v>2.04666038894258E-2</v>
      </c>
      <c r="Z6" s="22">
        <v>1.8647279485494298E-9</v>
      </c>
      <c r="AA6" s="22">
        <v>1.1878550872388999E-2</v>
      </c>
      <c r="AB6" s="22"/>
      <c r="AC6" s="22"/>
      <c r="AD6" s="22"/>
      <c r="AE6" s="22"/>
      <c r="AF6" s="22"/>
      <c r="AG6" s="22"/>
      <c r="AH6" s="22" t="s">
        <v>748</v>
      </c>
      <c r="AI6" s="22"/>
      <c r="AJ6" s="22" t="s">
        <v>755</v>
      </c>
    </row>
    <row r="7" spans="1:36" ht="15" customHeight="1" x14ac:dyDescent="0.3">
      <c r="A7" s="22" t="s">
        <v>191</v>
      </c>
      <c r="B7" s="22" t="s">
        <v>192</v>
      </c>
      <c r="C7" s="22" t="s">
        <v>184</v>
      </c>
      <c r="D7" s="22" t="s">
        <v>197</v>
      </c>
      <c r="E7" s="22" t="s">
        <v>746</v>
      </c>
      <c r="F7" s="22" t="s">
        <v>747</v>
      </c>
      <c r="G7" s="22">
        <v>0.6</v>
      </c>
      <c r="H7" s="22">
        <v>2705</v>
      </c>
      <c r="I7" s="22">
        <v>113</v>
      </c>
      <c r="J7" s="22">
        <v>112</v>
      </c>
      <c r="K7" s="22">
        <v>1.01759067104026E-2</v>
      </c>
      <c r="L7" s="22">
        <v>1.81072824212575E-2</v>
      </c>
      <c r="M7" s="22">
        <v>0.56197868203879797</v>
      </c>
      <c r="N7" s="22">
        <v>14.9920663728925</v>
      </c>
      <c r="O7" s="22">
        <v>0.58243572563051604</v>
      </c>
      <c r="P7" s="22">
        <v>-2.84206311144901E-2</v>
      </c>
      <c r="Q7" s="22">
        <v>4.8772444535295299E-2</v>
      </c>
      <c r="R7" s="22"/>
      <c r="S7" s="22"/>
      <c r="T7" s="22"/>
      <c r="U7" s="22"/>
      <c r="V7" s="22"/>
      <c r="W7" s="22"/>
      <c r="X7" s="22"/>
      <c r="Y7" s="22">
        <v>2.04666038894258E-2</v>
      </c>
      <c r="Z7" s="22">
        <v>1.8647279485494298E-9</v>
      </c>
      <c r="AA7" s="22">
        <v>1.1878550872388999E-2</v>
      </c>
      <c r="AB7" s="22"/>
      <c r="AC7" s="22"/>
      <c r="AD7" s="22"/>
      <c r="AE7" s="22"/>
      <c r="AF7" s="22"/>
      <c r="AG7" s="22"/>
      <c r="AH7" s="22" t="s">
        <v>748</v>
      </c>
      <c r="AI7" s="22"/>
      <c r="AJ7" s="22" t="s">
        <v>756</v>
      </c>
    </row>
    <row r="8" spans="1:36" ht="15" customHeight="1" x14ac:dyDescent="0.3">
      <c r="A8" s="22" t="s">
        <v>191</v>
      </c>
      <c r="B8" s="22" t="s">
        <v>192</v>
      </c>
      <c r="C8" s="22" t="s">
        <v>184</v>
      </c>
      <c r="D8" s="22" t="s">
        <v>189</v>
      </c>
      <c r="E8" s="22" t="s">
        <v>746</v>
      </c>
      <c r="F8" s="22" t="s">
        <v>747</v>
      </c>
      <c r="G8" s="22">
        <v>0.6</v>
      </c>
      <c r="H8" s="22">
        <v>2705</v>
      </c>
      <c r="I8" s="22">
        <v>113</v>
      </c>
      <c r="J8" s="22">
        <v>112</v>
      </c>
      <c r="K8" s="22">
        <v>1.01759067104026E-2</v>
      </c>
      <c r="L8" s="22">
        <v>1.81072824212575E-2</v>
      </c>
      <c r="M8" s="22"/>
      <c r="N8" s="22">
        <v>14.9920663728925</v>
      </c>
      <c r="O8" s="22">
        <v>2.19798496977043E-2</v>
      </c>
      <c r="P8" s="22">
        <v>-2.1568174295886498E-2</v>
      </c>
      <c r="Q8" s="22">
        <v>4.1919987716691601E-2</v>
      </c>
      <c r="R8" s="22"/>
      <c r="S8" s="22"/>
      <c r="T8" s="22"/>
      <c r="U8" s="22"/>
      <c r="V8" s="22"/>
      <c r="W8" s="22"/>
      <c r="X8" s="22"/>
      <c r="Y8" s="22">
        <v>2.04666038894258E-2</v>
      </c>
      <c r="Z8" s="22">
        <v>1.8647279485494298E-9</v>
      </c>
      <c r="AA8" s="22">
        <v>1.1878550872388999E-2</v>
      </c>
      <c r="AB8" s="22"/>
      <c r="AC8" s="22"/>
      <c r="AD8" s="22"/>
      <c r="AE8" s="22"/>
      <c r="AF8" s="22"/>
      <c r="AG8" s="22">
        <v>1</v>
      </c>
      <c r="AH8" s="22" t="s">
        <v>750</v>
      </c>
      <c r="AI8" s="22" t="s">
        <v>757</v>
      </c>
      <c r="AJ8" s="22" t="s">
        <v>758</v>
      </c>
    </row>
    <row r="9" spans="1:36" ht="15" customHeight="1" x14ac:dyDescent="0.3">
      <c r="A9" s="22" t="s">
        <v>200</v>
      </c>
      <c r="B9" s="22" t="s">
        <v>201</v>
      </c>
      <c r="C9" s="22" t="s">
        <v>184</v>
      </c>
      <c r="D9" s="22" t="s">
        <v>202</v>
      </c>
      <c r="E9" s="22" t="s">
        <v>759</v>
      </c>
      <c r="F9" s="22" t="s">
        <v>760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 t="s">
        <v>748</v>
      </c>
      <c r="AI9" s="22"/>
      <c r="AJ9" s="22" t="s">
        <v>761</v>
      </c>
    </row>
    <row r="10" spans="1:36" ht="15" customHeight="1" x14ac:dyDescent="0.3">
      <c r="A10" s="22" t="s">
        <v>200</v>
      </c>
      <c r="B10" s="22" t="s">
        <v>201</v>
      </c>
      <c r="C10" s="22" t="s">
        <v>184</v>
      </c>
      <c r="D10" s="22" t="s">
        <v>204</v>
      </c>
      <c r="E10" s="22" t="s">
        <v>759</v>
      </c>
      <c r="F10" s="22" t="s">
        <v>760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 t="s">
        <v>748</v>
      </c>
      <c r="AI10" s="22"/>
      <c r="AJ10" s="22" t="s">
        <v>762</v>
      </c>
    </row>
    <row r="11" spans="1:36" ht="15" customHeight="1" x14ac:dyDescent="0.3">
      <c r="A11" s="22" t="s">
        <v>200</v>
      </c>
      <c r="B11" s="22" t="s">
        <v>201</v>
      </c>
      <c r="C11" s="22" t="s">
        <v>184</v>
      </c>
      <c r="D11" s="22" t="s">
        <v>206</v>
      </c>
      <c r="E11" s="22" t="s">
        <v>759</v>
      </c>
      <c r="F11" s="22" t="s">
        <v>760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 t="s">
        <v>748</v>
      </c>
      <c r="AI11" s="22"/>
      <c r="AJ11" s="22" t="s">
        <v>763</v>
      </c>
    </row>
    <row r="12" spans="1:36" ht="15" customHeight="1" x14ac:dyDescent="0.3">
      <c r="A12" s="22" t="s">
        <v>225</v>
      </c>
      <c r="B12" s="22" t="s">
        <v>226</v>
      </c>
      <c r="C12" s="22" t="s">
        <v>184</v>
      </c>
      <c r="D12" s="22" t="s">
        <v>227</v>
      </c>
      <c r="E12" s="22" t="s">
        <v>746</v>
      </c>
      <c r="F12" s="22" t="s">
        <v>747</v>
      </c>
      <c r="G12" s="22">
        <v>0.6</v>
      </c>
      <c r="H12" s="22">
        <v>2705</v>
      </c>
      <c r="I12" s="22">
        <v>113</v>
      </c>
      <c r="J12" s="22">
        <v>112</v>
      </c>
      <c r="K12" s="22">
        <v>-2.4026675945219299E-2</v>
      </c>
      <c r="L12" s="22">
        <v>1.7624300323625299E-2</v>
      </c>
      <c r="M12" s="22">
        <v>-1.3632697754821901</v>
      </c>
      <c r="N12" s="22">
        <v>14.9421005915616</v>
      </c>
      <c r="O12" s="22">
        <v>0.192987644808958</v>
      </c>
      <c r="P12" s="22">
        <v>-6.1604664892706502E-2</v>
      </c>
      <c r="Q12" s="22">
        <v>1.3551313002268001E-2</v>
      </c>
      <c r="R12" s="22"/>
      <c r="S12" s="22"/>
      <c r="T12" s="22"/>
      <c r="U12" s="22"/>
      <c r="V12" s="22"/>
      <c r="W12" s="22"/>
      <c r="X12" s="22"/>
      <c r="Y12" s="22">
        <v>2.0430519174425898E-2</v>
      </c>
      <c r="Z12" s="22">
        <v>2.8698896597426902E-9</v>
      </c>
      <c r="AA12" s="22">
        <v>1.1877720214562E-2</v>
      </c>
      <c r="AB12" s="22"/>
      <c r="AC12" s="22"/>
      <c r="AD12" s="22"/>
      <c r="AE12" s="22"/>
      <c r="AF12" s="22"/>
      <c r="AG12" s="22"/>
      <c r="AH12" s="22" t="s">
        <v>748</v>
      </c>
      <c r="AI12" s="22"/>
      <c r="AJ12" s="22" t="s">
        <v>764</v>
      </c>
    </row>
    <row r="13" spans="1:36" ht="15" customHeight="1" x14ac:dyDescent="0.3">
      <c r="A13" s="22" t="s">
        <v>225</v>
      </c>
      <c r="B13" s="22" t="s">
        <v>229</v>
      </c>
      <c r="C13" s="22" t="s">
        <v>184</v>
      </c>
      <c r="D13" s="22" t="s">
        <v>227</v>
      </c>
      <c r="E13" s="22" t="s">
        <v>746</v>
      </c>
      <c r="F13" s="22" t="s">
        <v>747</v>
      </c>
      <c r="G13" s="22">
        <v>0.6</v>
      </c>
      <c r="H13" s="22">
        <v>2705</v>
      </c>
      <c r="I13" s="22">
        <v>113</v>
      </c>
      <c r="J13" s="22">
        <v>112</v>
      </c>
      <c r="K13" s="22">
        <v>-3.9526755272941597E-2</v>
      </c>
      <c r="L13" s="22">
        <v>1.8622443917549601E-2</v>
      </c>
      <c r="M13" s="22">
        <v>-2.1225331888738901</v>
      </c>
      <c r="N13" s="22">
        <v>6.2816542616900302</v>
      </c>
      <c r="O13" s="22">
        <v>7.5948861671798706E-2</v>
      </c>
      <c r="P13" s="22">
        <v>-8.4603524887996606E-2</v>
      </c>
      <c r="Q13" s="22">
        <v>5.5500143421133904E-3</v>
      </c>
      <c r="R13" s="22"/>
      <c r="S13" s="22"/>
      <c r="T13" s="22"/>
      <c r="U13" s="22"/>
      <c r="V13" s="22"/>
      <c r="W13" s="22"/>
      <c r="X13" s="22"/>
      <c r="Y13" s="22">
        <v>2.0411455812636401E-2</v>
      </c>
      <c r="Z13" s="22">
        <v>2.3469328967483699E-9</v>
      </c>
      <c r="AA13" s="22">
        <v>1.18726550907431E-2</v>
      </c>
      <c r="AB13" s="22"/>
      <c r="AC13" s="22"/>
      <c r="AD13" s="22"/>
      <c r="AE13" s="22"/>
      <c r="AF13" s="22"/>
      <c r="AG13" s="22"/>
      <c r="AH13" s="22" t="s">
        <v>748</v>
      </c>
      <c r="AI13" s="22"/>
      <c r="AJ13" s="22" t="s">
        <v>765</v>
      </c>
    </row>
    <row r="14" spans="1:36" ht="15" customHeight="1" x14ac:dyDescent="0.3">
      <c r="A14" s="22" t="s">
        <v>225</v>
      </c>
      <c r="B14" s="22" t="s">
        <v>231</v>
      </c>
      <c r="C14" s="22" t="s">
        <v>184</v>
      </c>
      <c r="D14" s="22" t="s">
        <v>227</v>
      </c>
      <c r="E14" s="22" t="s">
        <v>746</v>
      </c>
      <c r="F14" s="22" t="s">
        <v>747</v>
      </c>
      <c r="G14" s="22">
        <v>0.6</v>
      </c>
      <c r="H14" s="22">
        <v>2705</v>
      </c>
      <c r="I14" s="22">
        <v>113</v>
      </c>
      <c r="J14" s="22">
        <v>112</v>
      </c>
      <c r="K14" s="22">
        <v>-3.6534390634744798E-2</v>
      </c>
      <c r="L14" s="22">
        <v>1.9295161716018399E-2</v>
      </c>
      <c r="M14" s="22">
        <v>-1.8934482733261999</v>
      </c>
      <c r="N14" s="22">
        <v>6.7804764534302304</v>
      </c>
      <c r="O14" s="22">
        <v>0.101522928897328</v>
      </c>
      <c r="P14" s="22">
        <v>-8.2461362416992104E-2</v>
      </c>
      <c r="Q14" s="22">
        <v>9.3925811475024899E-3</v>
      </c>
      <c r="R14" s="22"/>
      <c r="S14" s="22"/>
      <c r="T14" s="22"/>
      <c r="U14" s="22"/>
      <c r="V14" s="22"/>
      <c r="W14" s="22"/>
      <c r="X14" s="22"/>
      <c r="Y14" s="22">
        <v>2.04386175911189E-2</v>
      </c>
      <c r="Z14" s="22">
        <v>3.0723396075773599E-9</v>
      </c>
      <c r="AA14" s="22">
        <v>1.18732758088483E-2</v>
      </c>
      <c r="AB14" s="22"/>
      <c r="AC14" s="22"/>
      <c r="AD14" s="22"/>
      <c r="AE14" s="22"/>
      <c r="AF14" s="22"/>
      <c r="AG14" s="22"/>
      <c r="AH14" s="22" t="s">
        <v>748</v>
      </c>
      <c r="AI14" s="22"/>
      <c r="AJ14" s="22" t="s">
        <v>766</v>
      </c>
    </row>
    <row r="15" spans="1:36" ht="15" customHeight="1" x14ac:dyDescent="0.3">
      <c r="A15" s="22" t="s">
        <v>225</v>
      </c>
      <c r="B15" s="22" t="s">
        <v>233</v>
      </c>
      <c r="C15" s="22" t="s">
        <v>184</v>
      </c>
      <c r="D15" s="22" t="s">
        <v>227</v>
      </c>
      <c r="E15" s="22" t="s">
        <v>746</v>
      </c>
      <c r="F15" s="22" t="s">
        <v>747</v>
      </c>
      <c r="G15" s="22">
        <v>0.6</v>
      </c>
      <c r="H15" s="22">
        <v>2705</v>
      </c>
      <c r="I15" s="22">
        <v>113</v>
      </c>
      <c r="J15" s="22">
        <v>112</v>
      </c>
      <c r="K15" s="22">
        <v>-3.3330835492260499E-2</v>
      </c>
      <c r="L15" s="22">
        <v>1.8895156015201399E-2</v>
      </c>
      <c r="M15" s="22">
        <v>-1.7639883716993701</v>
      </c>
      <c r="N15" s="22">
        <v>9.5644089445307507</v>
      </c>
      <c r="O15" s="22">
        <v>0.10957911179779301</v>
      </c>
      <c r="P15" s="22">
        <v>-7.5693221050634807E-2</v>
      </c>
      <c r="Q15" s="22">
        <v>9.0315500661136902E-3</v>
      </c>
      <c r="R15" s="22"/>
      <c r="S15" s="22"/>
      <c r="T15" s="22"/>
      <c r="U15" s="22"/>
      <c r="V15" s="22"/>
      <c r="W15" s="22"/>
      <c r="X15" s="22"/>
      <c r="Y15" s="22">
        <v>2.0445599952816799E-2</v>
      </c>
      <c r="Z15" s="22">
        <v>2.6142793390159799E-9</v>
      </c>
      <c r="AA15" s="22">
        <v>1.18730267343403E-2</v>
      </c>
      <c r="AB15" s="22"/>
      <c r="AC15" s="22"/>
      <c r="AD15" s="22"/>
      <c r="AE15" s="22"/>
      <c r="AF15" s="22"/>
      <c r="AG15" s="22"/>
      <c r="AH15" s="22" t="s">
        <v>748</v>
      </c>
      <c r="AI15" s="22"/>
      <c r="AJ15" s="22" t="s">
        <v>767</v>
      </c>
    </row>
    <row r="16" spans="1:36" ht="15" customHeight="1" x14ac:dyDescent="0.3">
      <c r="A16" s="22" t="s">
        <v>225</v>
      </c>
      <c r="B16" s="22" t="s">
        <v>235</v>
      </c>
      <c r="C16" s="22" t="s">
        <v>184</v>
      </c>
      <c r="D16" s="22" t="s">
        <v>227</v>
      </c>
      <c r="E16" s="22" t="s">
        <v>746</v>
      </c>
      <c r="F16" s="22" t="s">
        <v>747</v>
      </c>
      <c r="G16" s="22">
        <v>0.6</v>
      </c>
      <c r="H16" s="22">
        <v>2705</v>
      </c>
      <c r="I16" s="22">
        <v>113</v>
      </c>
      <c r="J16" s="22">
        <v>112</v>
      </c>
      <c r="K16" s="22">
        <v>-9.4643433339156697E-4</v>
      </c>
      <c r="L16" s="22">
        <v>1.7128674782848099E-2</v>
      </c>
      <c r="M16" s="22">
        <v>-5.5254381637234597E-2</v>
      </c>
      <c r="N16" s="22">
        <v>11.6604045607698</v>
      </c>
      <c r="O16" s="22">
        <v>0.95687124469195695</v>
      </c>
      <c r="P16" s="22">
        <v>-3.8387515772002598E-2</v>
      </c>
      <c r="Q16" s="22">
        <v>3.6494647105219498E-2</v>
      </c>
      <c r="R16" s="22"/>
      <c r="S16" s="22"/>
      <c r="T16" s="22"/>
      <c r="U16" s="22"/>
      <c r="V16" s="22"/>
      <c r="W16" s="22"/>
      <c r="X16" s="22"/>
      <c r="Y16" s="22">
        <v>2.0420649695825601E-2</v>
      </c>
      <c r="Z16" s="22">
        <v>2.1839895753133901E-9</v>
      </c>
      <c r="AA16" s="22">
        <v>1.18803041001802E-2</v>
      </c>
      <c r="AB16" s="22"/>
      <c r="AC16" s="22"/>
      <c r="AD16" s="22"/>
      <c r="AE16" s="22"/>
      <c r="AF16" s="22"/>
      <c r="AG16" s="22"/>
      <c r="AH16" s="22" t="s">
        <v>748</v>
      </c>
      <c r="AI16" s="22"/>
      <c r="AJ16" s="22" t="s">
        <v>768</v>
      </c>
    </row>
    <row r="17" spans="1:36" ht="15" customHeight="1" x14ac:dyDescent="0.3">
      <c r="A17" s="22" t="s">
        <v>225</v>
      </c>
      <c r="B17" s="22" t="s">
        <v>237</v>
      </c>
      <c r="C17" s="22" t="s">
        <v>184</v>
      </c>
      <c r="D17" s="22" t="s">
        <v>227</v>
      </c>
      <c r="E17" s="22" t="s">
        <v>746</v>
      </c>
      <c r="F17" s="22" t="s">
        <v>747</v>
      </c>
      <c r="G17" s="22">
        <v>0.6</v>
      </c>
      <c r="H17" s="22">
        <v>2705</v>
      </c>
      <c r="I17" s="22">
        <v>113</v>
      </c>
      <c r="J17" s="22">
        <v>112</v>
      </c>
      <c r="K17" s="22">
        <v>2.5954304620495E-2</v>
      </c>
      <c r="L17" s="22">
        <v>2.1560616702951899E-2</v>
      </c>
      <c r="M17" s="22">
        <v>1.2037830354333801</v>
      </c>
      <c r="N17" s="22">
        <v>14.282389719189799</v>
      </c>
      <c r="O17" s="22">
        <v>0.24824615664965999</v>
      </c>
      <c r="P17" s="22">
        <v>-2.0202988833366901E-2</v>
      </c>
      <c r="Q17" s="22">
        <v>7.2111598074356797E-2</v>
      </c>
      <c r="R17" s="22"/>
      <c r="S17" s="22"/>
      <c r="T17" s="22"/>
      <c r="U17" s="22"/>
      <c r="V17" s="22"/>
      <c r="W17" s="22"/>
      <c r="X17" s="22"/>
      <c r="Y17" s="22">
        <v>2.0221383066896199E-2</v>
      </c>
      <c r="Z17" s="22">
        <v>2.9251783137237799E-9</v>
      </c>
      <c r="AA17" s="22">
        <v>1.18793077081256E-2</v>
      </c>
      <c r="AB17" s="22"/>
      <c r="AC17" s="22"/>
      <c r="AD17" s="22"/>
      <c r="AE17" s="22"/>
      <c r="AF17" s="22"/>
      <c r="AG17" s="22"/>
      <c r="AH17" s="22" t="s">
        <v>748</v>
      </c>
      <c r="AI17" s="22"/>
      <c r="AJ17" s="22" t="s">
        <v>769</v>
      </c>
    </row>
    <row r="18" spans="1:36" ht="15" customHeight="1" x14ac:dyDescent="0.3">
      <c r="A18" s="22" t="s">
        <v>225</v>
      </c>
      <c r="B18" s="22" t="s">
        <v>239</v>
      </c>
      <c r="C18" s="22" t="s">
        <v>184</v>
      </c>
      <c r="D18" s="22" t="s">
        <v>227</v>
      </c>
      <c r="E18" s="22" t="s">
        <v>746</v>
      </c>
      <c r="F18" s="22" t="s">
        <v>747</v>
      </c>
      <c r="G18" s="22">
        <v>0.6</v>
      </c>
      <c r="H18" s="22">
        <v>2705</v>
      </c>
      <c r="I18" s="22">
        <v>113</v>
      </c>
      <c r="J18" s="22">
        <v>112</v>
      </c>
      <c r="K18" s="22">
        <v>2.3149445503747802E-2</v>
      </c>
      <c r="L18" s="22">
        <v>2.2786092630107498E-2</v>
      </c>
      <c r="M18" s="22">
        <v>1.01594625632129</v>
      </c>
      <c r="N18" s="22">
        <v>22.565948754774201</v>
      </c>
      <c r="O18" s="22">
        <v>0.32042465519350899</v>
      </c>
      <c r="P18" s="22">
        <v>-2.40373982166141E-2</v>
      </c>
      <c r="Q18" s="22">
        <v>7.0336289224109602E-2</v>
      </c>
      <c r="R18" s="22"/>
      <c r="S18" s="22"/>
      <c r="T18" s="22"/>
      <c r="U18" s="22"/>
      <c r="V18" s="22"/>
      <c r="W18" s="22"/>
      <c r="X18" s="22"/>
      <c r="Y18" s="22">
        <v>2.0387973797054398E-2</v>
      </c>
      <c r="Z18" s="22">
        <v>2.3881268642365798E-9</v>
      </c>
      <c r="AA18" s="22">
        <v>1.1877072971681E-2</v>
      </c>
      <c r="AB18" s="22"/>
      <c r="AC18" s="22"/>
      <c r="AD18" s="22"/>
      <c r="AE18" s="22"/>
      <c r="AF18" s="22"/>
      <c r="AG18" s="22"/>
      <c r="AH18" s="22" t="s">
        <v>748</v>
      </c>
      <c r="AI18" s="22"/>
      <c r="AJ18" s="22" t="s">
        <v>770</v>
      </c>
    </row>
    <row r="19" spans="1:36" ht="15" customHeight="1" x14ac:dyDescent="0.3">
      <c r="A19" s="22" t="s">
        <v>225</v>
      </c>
      <c r="B19" s="22" t="s">
        <v>241</v>
      </c>
      <c r="C19" s="22" t="s">
        <v>184</v>
      </c>
      <c r="D19" s="22" t="s">
        <v>227</v>
      </c>
      <c r="E19" s="22" t="s">
        <v>746</v>
      </c>
      <c r="F19" s="22" t="s">
        <v>747</v>
      </c>
      <c r="G19" s="22">
        <v>0.6</v>
      </c>
      <c r="H19" s="22">
        <v>2705</v>
      </c>
      <c r="I19" s="22">
        <v>113</v>
      </c>
      <c r="J19" s="22">
        <v>112</v>
      </c>
      <c r="K19" s="22">
        <v>2.3798646378053899E-3</v>
      </c>
      <c r="L19" s="22">
        <v>2.03234412625793E-2</v>
      </c>
      <c r="M19" s="22">
        <v>0.117099491521022</v>
      </c>
      <c r="N19" s="22">
        <v>18.1660874811074</v>
      </c>
      <c r="O19" s="22">
        <v>0.90806615186335604</v>
      </c>
      <c r="P19" s="22">
        <v>-4.02901363033214E-2</v>
      </c>
      <c r="Q19" s="22">
        <v>4.5049865578932202E-2</v>
      </c>
      <c r="R19" s="22"/>
      <c r="S19" s="22"/>
      <c r="T19" s="22"/>
      <c r="U19" s="22"/>
      <c r="V19" s="22"/>
      <c r="W19" s="22"/>
      <c r="X19" s="22"/>
      <c r="Y19" s="22">
        <v>2.0456037225122799E-2</v>
      </c>
      <c r="Z19" s="22">
        <v>1.8919627086867702E-9</v>
      </c>
      <c r="AA19" s="22">
        <v>1.1879430637835999E-2</v>
      </c>
      <c r="AB19" s="22"/>
      <c r="AC19" s="22"/>
      <c r="AD19" s="22"/>
      <c r="AE19" s="22"/>
      <c r="AF19" s="22"/>
      <c r="AG19" s="22"/>
      <c r="AH19" s="22" t="s">
        <v>748</v>
      </c>
      <c r="AI19" s="22"/>
      <c r="AJ19" s="22" t="s">
        <v>771</v>
      </c>
    </row>
    <row r="20" spans="1:36" ht="15" customHeight="1" x14ac:dyDescent="0.3">
      <c r="A20" s="22" t="s">
        <v>225</v>
      </c>
      <c r="B20" s="22" t="s">
        <v>243</v>
      </c>
      <c r="C20" s="22" t="s">
        <v>184</v>
      </c>
      <c r="D20" s="22" t="s">
        <v>227</v>
      </c>
      <c r="E20" s="22" t="s">
        <v>746</v>
      </c>
      <c r="F20" s="22" t="s">
        <v>747</v>
      </c>
      <c r="G20" s="22">
        <v>0.6</v>
      </c>
      <c r="H20" s="22">
        <v>2705</v>
      </c>
      <c r="I20" s="22">
        <v>113</v>
      </c>
      <c r="J20" s="22">
        <v>112</v>
      </c>
      <c r="K20" s="22">
        <v>1.01759067104026E-2</v>
      </c>
      <c r="L20" s="22">
        <v>1.81072824212575E-2</v>
      </c>
      <c r="M20" s="22">
        <v>0.56197868203879797</v>
      </c>
      <c r="N20" s="22">
        <v>14.9920663728925</v>
      </c>
      <c r="O20" s="22">
        <v>0.58243572563051604</v>
      </c>
      <c r="P20" s="22">
        <v>-2.84206311144901E-2</v>
      </c>
      <c r="Q20" s="22">
        <v>4.8772444535295299E-2</v>
      </c>
      <c r="R20" s="22"/>
      <c r="S20" s="22"/>
      <c r="T20" s="22"/>
      <c r="U20" s="22"/>
      <c r="V20" s="22"/>
      <c r="W20" s="22"/>
      <c r="X20" s="22"/>
      <c r="Y20" s="22">
        <v>2.04666038894258E-2</v>
      </c>
      <c r="Z20" s="22">
        <v>1.8647279485494298E-9</v>
      </c>
      <c r="AA20" s="22">
        <v>1.1878550872388999E-2</v>
      </c>
      <c r="AB20" s="22"/>
      <c r="AC20" s="22"/>
      <c r="AD20" s="22"/>
      <c r="AE20" s="22"/>
      <c r="AF20" s="22"/>
      <c r="AG20" s="22"/>
      <c r="AH20" s="22" t="s">
        <v>748</v>
      </c>
      <c r="AI20" s="22"/>
      <c r="AJ20" s="22" t="s">
        <v>772</v>
      </c>
    </row>
    <row r="21" spans="1:36" ht="15" customHeight="1" x14ac:dyDescent="0.3">
      <c r="A21" s="22" t="s">
        <v>225</v>
      </c>
      <c r="B21" s="22" t="s">
        <v>245</v>
      </c>
      <c r="C21" s="22" t="s">
        <v>184</v>
      </c>
      <c r="D21" s="22" t="s">
        <v>227</v>
      </c>
      <c r="E21" s="22" t="s">
        <v>746</v>
      </c>
      <c r="F21" s="22" t="s">
        <v>747</v>
      </c>
      <c r="G21" s="22">
        <v>0.6</v>
      </c>
      <c r="H21" s="22">
        <v>2705</v>
      </c>
      <c r="I21" s="22">
        <v>113</v>
      </c>
      <c r="J21" s="22">
        <v>112</v>
      </c>
      <c r="K21" s="22">
        <v>8.0340693802523292E-3</v>
      </c>
      <c r="L21" s="22">
        <v>1.800013275341E-2</v>
      </c>
      <c r="M21" s="22">
        <v>0.44633389599475698</v>
      </c>
      <c r="N21" s="22">
        <v>10.8521828308988</v>
      </c>
      <c r="O21" s="22">
        <v>0.66413079969344402</v>
      </c>
      <c r="P21" s="22">
        <v>-3.1649894158588397E-2</v>
      </c>
      <c r="Q21" s="22">
        <v>4.7718032919093101E-2</v>
      </c>
      <c r="R21" s="22"/>
      <c r="S21" s="22"/>
      <c r="T21" s="22"/>
      <c r="U21" s="22"/>
      <c r="V21" s="22"/>
      <c r="W21" s="22"/>
      <c r="X21" s="22"/>
      <c r="Y21" s="22">
        <v>2.04557732304027E-2</v>
      </c>
      <c r="Z21" s="22">
        <v>2.7537702936680199E-9</v>
      </c>
      <c r="AA21" s="22">
        <v>1.1879083058615699E-2</v>
      </c>
      <c r="AB21" s="22"/>
      <c r="AC21" s="22"/>
      <c r="AD21" s="22"/>
      <c r="AE21" s="22"/>
      <c r="AF21" s="22"/>
      <c r="AG21" s="22"/>
      <c r="AH21" s="22" t="s">
        <v>748</v>
      </c>
      <c r="AI21" s="22"/>
      <c r="AJ21" s="22" t="s">
        <v>773</v>
      </c>
    </row>
    <row r="22" spans="1:36" ht="15" customHeight="1" x14ac:dyDescent="0.3">
      <c r="A22" s="22" t="s">
        <v>225</v>
      </c>
      <c r="B22" s="22" t="s">
        <v>247</v>
      </c>
      <c r="C22" s="22" t="s">
        <v>184</v>
      </c>
      <c r="D22" s="22" t="s">
        <v>227</v>
      </c>
      <c r="E22" s="22" t="s">
        <v>746</v>
      </c>
      <c r="F22" s="22" t="s">
        <v>747</v>
      </c>
      <c r="G22" s="22">
        <v>0.6</v>
      </c>
      <c r="H22" s="22">
        <v>2705</v>
      </c>
      <c r="I22" s="22">
        <v>113</v>
      </c>
      <c r="J22" s="22">
        <v>112</v>
      </c>
      <c r="K22" s="22">
        <v>3.1230425951205699E-3</v>
      </c>
      <c r="L22" s="22">
        <v>2.22382657452244E-2</v>
      </c>
      <c r="M22" s="22">
        <v>0.140435528152245</v>
      </c>
      <c r="N22" s="22">
        <v>18.7761441211637</v>
      </c>
      <c r="O22" s="22">
        <v>0.88981150913840201</v>
      </c>
      <c r="P22" s="22">
        <v>-4.3459770173612598E-2</v>
      </c>
      <c r="Q22" s="22">
        <v>4.9705855363853697E-2</v>
      </c>
      <c r="R22" s="22"/>
      <c r="S22" s="22"/>
      <c r="T22" s="22"/>
      <c r="U22" s="22"/>
      <c r="V22" s="22"/>
      <c r="W22" s="22"/>
      <c r="X22" s="22"/>
      <c r="Y22" s="22">
        <v>2.0509643478344799E-2</v>
      </c>
      <c r="Z22" s="22">
        <v>2.0381967945784201E-9</v>
      </c>
      <c r="AA22" s="22">
        <v>1.1878094579735999E-2</v>
      </c>
      <c r="AB22" s="22"/>
      <c r="AC22" s="22"/>
      <c r="AD22" s="22"/>
      <c r="AE22" s="22"/>
      <c r="AF22" s="22"/>
      <c r="AG22" s="22"/>
      <c r="AH22" s="22" t="s">
        <v>748</v>
      </c>
      <c r="AI22" s="22"/>
      <c r="AJ22" s="22" t="s">
        <v>774</v>
      </c>
    </row>
    <row r="23" spans="1:36" ht="15" customHeight="1" x14ac:dyDescent="0.3">
      <c r="A23" s="22" t="s">
        <v>225</v>
      </c>
      <c r="B23" s="22" t="s">
        <v>249</v>
      </c>
      <c r="C23" s="22" t="s">
        <v>184</v>
      </c>
      <c r="D23" s="22" t="s">
        <v>227</v>
      </c>
      <c r="E23" s="22" t="s">
        <v>746</v>
      </c>
      <c r="F23" s="22" t="s">
        <v>747</v>
      </c>
      <c r="G23" s="22">
        <v>0.6</v>
      </c>
      <c r="H23" s="22">
        <v>2705</v>
      </c>
      <c r="I23" s="22">
        <v>113</v>
      </c>
      <c r="J23" s="22">
        <v>112</v>
      </c>
      <c r="K23" s="22">
        <v>4.2056665621964997E-3</v>
      </c>
      <c r="L23" s="22">
        <v>2.2784454357159801E-2</v>
      </c>
      <c r="M23" s="22">
        <v>0.184584914620741</v>
      </c>
      <c r="N23" s="22">
        <v>15.443904167078101</v>
      </c>
      <c r="O23" s="22">
        <v>0.85595666796786096</v>
      </c>
      <c r="P23" s="22">
        <v>-4.4236954124878498E-2</v>
      </c>
      <c r="Q23" s="22">
        <v>5.2648287249271501E-2</v>
      </c>
      <c r="R23" s="22"/>
      <c r="S23" s="22"/>
      <c r="T23" s="22"/>
      <c r="U23" s="22"/>
      <c r="V23" s="22"/>
      <c r="W23" s="22"/>
      <c r="X23" s="22"/>
      <c r="Y23" s="22">
        <v>2.05092329530316E-2</v>
      </c>
      <c r="Z23" s="22">
        <v>1.2185734250331E-9</v>
      </c>
      <c r="AA23" s="22">
        <v>1.1878084737447401E-2</v>
      </c>
      <c r="AB23" s="22"/>
      <c r="AC23" s="22"/>
      <c r="AD23" s="22"/>
      <c r="AE23" s="22"/>
      <c r="AF23" s="22"/>
      <c r="AG23" s="22"/>
      <c r="AH23" s="22" t="s">
        <v>748</v>
      </c>
      <c r="AI23" s="22"/>
      <c r="AJ23" s="22" t="s">
        <v>775</v>
      </c>
    </row>
    <row r="24" spans="1:36" ht="15" customHeight="1" x14ac:dyDescent="0.3">
      <c r="A24" s="22" t="s">
        <v>225</v>
      </c>
      <c r="B24" s="22" t="s">
        <v>251</v>
      </c>
      <c r="C24" s="22" t="s">
        <v>184</v>
      </c>
      <c r="D24" s="22" t="s">
        <v>252</v>
      </c>
      <c r="E24" s="22" t="s">
        <v>776</v>
      </c>
      <c r="F24" s="22" t="s">
        <v>747</v>
      </c>
      <c r="G24" s="22">
        <v>0.6</v>
      </c>
      <c r="H24" s="22">
        <v>2705</v>
      </c>
      <c r="I24" s="22">
        <v>113</v>
      </c>
      <c r="J24" s="22">
        <v>112</v>
      </c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>
        <v>2.1225331888738901</v>
      </c>
      <c r="AH24" s="22" t="s">
        <v>750</v>
      </c>
      <c r="AI24" s="22" t="s">
        <v>777</v>
      </c>
      <c r="AJ24" s="22" t="s">
        <v>778</v>
      </c>
    </row>
    <row r="25" spans="1:36" ht="15" customHeight="1" x14ac:dyDescent="0.3">
      <c r="A25" s="22" t="s">
        <v>267</v>
      </c>
      <c r="B25" s="22" t="s">
        <v>268</v>
      </c>
      <c r="C25" s="22" t="s">
        <v>184</v>
      </c>
      <c r="D25" s="22" t="s">
        <v>193</v>
      </c>
      <c r="E25" s="22" t="s">
        <v>746</v>
      </c>
      <c r="F25" s="22" t="s">
        <v>747</v>
      </c>
      <c r="G25" s="22">
        <v>0.6</v>
      </c>
      <c r="H25" s="22">
        <v>1994</v>
      </c>
      <c r="I25" s="22">
        <v>83</v>
      </c>
      <c r="J25" s="22">
        <v>82</v>
      </c>
      <c r="K25" s="22">
        <v>-6.1822115059584397E-2</v>
      </c>
      <c r="L25" s="22">
        <v>1.81521359522013E-2</v>
      </c>
      <c r="M25" s="22">
        <v>-3.40577633521344</v>
      </c>
      <c r="N25" s="22">
        <v>69.836894096397501</v>
      </c>
      <c r="O25" s="22">
        <v>1.09750216911765E-3</v>
      </c>
      <c r="P25" s="22">
        <v>-9.8026895261441399E-2</v>
      </c>
      <c r="Q25" s="22">
        <v>-2.5617334857727301E-2</v>
      </c>
      <c r="R25" s="22"/>
      <c r="S25" s="22"/>
      <c r="T25" s="22">
        <v>-6.1743474445398301E-2</v>
      </c>
      <c r="U25" s="22">
        <v>-9.7714108428325799E-2</v>
      </c>
      <c r="V25" s="22">
        <v>-2.56117325547222E-2</v>
      </c>
      <c r="W25" s="22"/>
      <c r="X25" s="22"/>
      <c r="Y25" s="22">
        <v>2.1659326511097601E-2</v>
      </c>
      <c r="Z25" s="22">
        <v>2.0461748144849699E-9</v>
      </c>
      <c r="AA25" s="22">
        <v>1.2025015669658501E-2</v>
      </c>
      <c r="AB25" s="22"/>
      <c r="AC25" s="22"/>
      <c r="AD25" s="22"/>
      <c r="AE25" s="22"/>
      <c r="AF25" s="22"/>
      <c r="AG25" s="22"/>
      <c r="AH25" s="22" t="s">
        <v>748</v>
      </c>
      <c r="AI25" s="22"/>
      <c r="AJ25" s="22" t="s">
        <v>779</v>
      </c>
    </row>
    <row r="26" spans="1:36" ht="15" customHeight="1" x14ac:dyDescent="0.3">
      <c r="A26" s="22" t="s">
        <v>267</v>
      </c>
      <c r="B26" s="22" t="s">
        <v>268</v>
      </c>
      <c r="C26" s="22" t="s">
        <v>184</v>
      </c>
      <c r="D26" s="22" t="s">
        <v>195</v>
      </c>
      <c r="E26" s="22" t="s">
        <v>746</v>
      </c>
      <c r="F26" s="22" t="s">
        <v>747</v>
      </c>
      <c r="G26" s="22">
        <v>0.6</v>
      </c>
      <c r="H26" s="22">
        <v>632</v>
      </c>
      <c r="I26" s="22">
        <v>26</v>
      </c>
      <c r="J26" s="22">
        <v>26</v>
      </c>
      <c r="K26" s="22">
        <v>-5.1231439923498601E-2</v>
      </c>
      <c r="L26" s="22">
        <v>1.14795537140967E-2</v>
      </c>
      <c r="M26" s="22">
        <v>-4.4628424762355801</v>
      </c>
      <c r="N26" s="22">
        <v>15.3701010197199</v>
      </c>
      <c r="O26" s="22">
        <v>4.3074666853445498E-4</v>
      </c>
      <c r="P26" s="22">
        <v>-7.5648313961809405E-2</v>
      </c>
      <c r="Q26" s="22">
        <v>-2.6814565885187699E-2</v>
      </c>
      <c r="R26" s="22"/>
      <c r="S26" s="22"/>
      <c r="T26" s="22">
        <v>-5.1186665219109501E-2</v>
      </c>
      <c r="U26" s="22">
        <v>-7.5504340138362602E-2</v>
      </c>
      <c r="V26" s="22">
        <v>-2.68081409882138E-2</v>
      </c>
      <c r="W26" s="22"/>
      <c r="X26" s="22"/>
      <c r="Y26" s="22">
        <v>2.1659326511097601E-2</v>
      </c>
      <c r="Z26" s="22">
        <v>2.0461748144849699E-9</v>
      </c>
      <c r="AA26" s="22">
        <v>1.2025015669658501E-2</v>
      </c>
      <c r="AB26" s="22"/>
      <c r="AC26" s="22"/>
      <c r="AD26" s="22"/>
      <c r="AE26" s="22"/>
      <c r="AF26" s="22"/>
      <c r="AG26" s="22"/>
      <c r="AH26" s="22" t="s">
        <v>748</v>
      </c>
      <c r="AI26" s="22"/>
      <c r="AJ26" s="22" t="s">
        <v>780</v>
      </c>
    </row>
    <row r="27" spans="1:36" ht="15" customHeight="1" x14ac:dyDescent="0.3">
      <c r="A27" s="22" t="s">
        <v>267</v>
      </c>
      <c r="B27" s="22" t="s">
        <v>268</v>
      </c>
      <c r="C27" s="22" t="s">
        <v>184</v>
      </c>
      <c r="D27" s="22" t="s">
        <v>197</v>
      </c>
      <c r="E27" s="22" t="s">
        <v>746</v>
      </c>
      <c r="F27" s="22" t="s">
        <v>747</v>
      </c>
      <c r="G27" s="22">
        <v>0.6</v>
      </c>
      <c r="H27" s="22">
        <v>2626</v>
      </c>
      <c r="I27" s="22">
        <v>108</v>
      </c>
      <c r="J27" s="22">
        <v>107</v>
      </c>
      <c r="K27" s="22">
        <v>1.05906751360858E-2</v>
      </c>
      <c r="L27" s="22">
        <v>1.8297041614265999E-2</v>
      </c>
      <c r="M27" s="22">
        <v>0.57881898939489496</v>
      </c>
      <c r="N27" s="22">
        <v>11.5671715294422</v>
      </c>
      <c r="O27" s="22">
        <v>0.57380955546528001</v>
      </c>
      <c r="P27" s="22">
        <v>-2.9441230416872799E-2</v>
      </c>
      <c r="Q27" s="22">
        <v>5.0622580689044398E-2</v>
      </c>
      <c r="R27" s="22"/>
      <c r="S27" s="22"/>
      <c r="T27" s="22"/>
      <c r="U27" s="22"/>
      <c r="V27" s="22"/>
      <c r="W27" s="22"/>
      <c r="X27" s="22"/>
      <c r="Y27" s="22">
        <v>2.1659326511097601E-2</v>
      </c>
      <c r="Z27" s="22">
        <v>2.0461748144849699E-9</v>
      </c>
      <c r="AA27" s="22">
        <v>1.2025015669658501E-2</v>
      </c>
      <c r="AB27" s="22"/>
      <c r="AC27" s="22"/>
      <c r="AD27" s="22"/>
      <c r="AE27" s="22"/>
      <c r="AF27" s="22"/>
      <c r="AG27" s="22"/>
      <c r="AH27" s="22" t="s">
        <v>750</v>
      </c>
      <c r="AI27" s="22" t="s">
        <v>781</v>
      </c>
      <c r="AJ27" s="22" t="s">
        <v>782</v>
      </c>
    </row>
    <row r="28" spans="1:36" ht="15" customHeight="1" x14ac:dyDescent="0.3">
      <c r="A28" s="22" t="s">
        <v>277</v>
      </c>
      <c r="B28" s="22" t="s">
        <v>278</v>
      </c>
      <c r="C28" s="22" t="s">
        <v>279</v>
      </c>
      <c r="D28" s="22" t="s">
        <v>280</v>
      </c>
      <c r="E28" s="22" t="s">
        <v>746</v>
      </c>
      <c r="F28" s="22" t="s">
        <v>747</v>
      </c>
      <c r="G28" s="22">
        <v>0.6</v>
      </c>
      <c r="H28" s="22">
        <v>6</v>
      </c>
      <c r="I28" s="22">
        <v>1</v>
      </c>
      <c r="J28" s="22">
        <v>1</v>
      </c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 t="s">
        <v>748</v>
      </c>
      <c r="AI28" s="22"/>
      <c r="AJ28" s="22" t="s">
        <v>783</v>
      </c>
    </row>
    <row r="29" spans="1:36" ht="15" customHeight="1" x14ac:dyDescent="0.3">
      <c r="A29" s="22" t="s">
        <v>277</v>
      </c>
      <c r="B29" s="22" t="s">
        <v>278</v>
      </c>
      <c r="C29" s="22" t="s">
        <v>282</v>
      </c>
      <c r="D29" s="22" t="s">
        <v>283</v>
      </c>
      <c r="E29" s="22" t="s">
        <v>746</v>
      </c>
      <c r="F29" s="22" t="s">
        <v>747</v>
      </c>
      <c r="G29" s="22">
        <v>0.6</v>
      </c>
      <c r="H29" s="22">
        <v>56</v>
      </c>
      <c r="I29" s="22">
        <v>2</v>
      </c>
      <c r="J29" s="22">
        <v>2</v>
      </c>
      <c r="K29" s="22">
        <v>-7.2015185160468603E-3</v>
      </c>
      <c r="L29" s="22">
        <v>1.466231919871E-2</v>
      </c>
      <c r="M29" s="22">
        <v>-0.49115821436218998</v>
      </c>
      <c r="N29" s="22">
        <v>1.00548076595946</v>
      </c>
      <c r="O29" s="22">
        <v>0.70899589891932402</v>
      </c>
      <c r="P29" s="22">
        <v>-0.19112123344454901</v>
      </c>
      <c r="Q29" s="22">
        <v>0.17671819641245601</v>
      </c>
      <c r="R29" s="22"/>
      <c r="S29" s="22"/>
      <c r="T29" s="22">
        <v>-7.2013940238929404E-3</v>
      </c>
      <c r="U29" s="22">
        <v>-0.188827689247864</v>
      </c>
      <c r="V29" s="22">
        <v>0.174901292883229</v>
      </c>
      <c r="W29" s="22"/>
      <c r="X29" s="22"/>
      <c r="Y29" s="22">
        <v>1.7930257787696901E-4</v>
      </c>
      <c r="Z29" s="22">
        <v>1.7930257792020101E-4</v>
      </c>
      <c r="AA29" s="22">
        <v>4.05936209482263E-4</v>
      </c>
      <c r="AB29" s="22"/>
      <c r="AC29" s="22"/>
      <c r="AD29" s="22"/>
      <c r="AE29" s="22"/>
      <c r="AF29" s="22"/>
      <c r="AG29" s="22"/>
      <c r="AH29" s="22" t="s">
        <v>748</v>
      </c>
      <c r="AI29" s="22"/>
      <c r="AJ29" s="22" t="s">
        <v>784</v>
      </c>
    </row>
    <row r="30" spans="1:36" ht="15" customHeight="1" x14ac:dyDescent="0.3">
      <c r="A30" s="22" t="s">
        <v>277</v>
      </c>
      <c r="B30" s="22" t="s">
        <v>278</v>
      </c>
      <c r="C30" s="22" t="s">
        <v>285</v>
      </c>
      <c r="D30" s="22" t="s">
        <v>286</v>
      </c>
      <c r="E30" s="22" t="s">
        <v>746</v>
      </c>
      <c r="F30" s="22" t="s">
        <v>747</v>
      </c>
      <c r="G30" s="22">
        <v>0.6</v>
      </c>
      <c r="H30" s="22">
        <v>66</v>
      </c>
      <c r="I30" s="22">
        <v>3</v>
      </c>
      <c r="J30" s="22">
        <v>3</v>
      </c>
      <c r="K30" s="22">
        <v>-1.8552883244814598E-2</v>
      </c>
      <c r="L30" s="22">
        <v>4.9557971674778298E-3</v>
      </c>
      <c r="M30" s="22">
        <v>-3.7436728376550601</v>
      </c>
      <c r="N30" s="22">
        <v>1.1791657767216801</v>
      </c>
      <c r="O30" s="22">
        <v>0.13586355168120001</v>
      </c>
      <c r="P30" s="22">
        <v>-6.2860906300942002E-2</v>
      </c>
      <c r="Q30" s="22">
        <v>2.5755139811312801E-2</v>
      </c>
      <c r="R30" s="22"/>
      <c r="S30" s="22"/>
      <c r="T30" s="22">
        <v>-1.8550754845116001E-2</v>
      </c>
      <c r="U30" s="22">
        <v>-6.2778238807434397E-2</v>
      </c>
      <c r="V30" s="22">
        <v>2.5749446626730999E-2</v>
      </c>
      <c r="W30" s="22"/>
      <c r="X30" s="22"/>
      <c r="Y30" s="22">
        <v>4.41981215093434E-12</v>
      </c>
      <c r="Z30" s="22">
        <v>4.4198138836815297E-12</v>
      </c>
      <c r="AA30" s="22">
        <v>1.27514415107488E-2</v>
      </c>
      <c r="AB30" s="22"/>
      <c r="AC30" s="22"/>
      <c r="AD30" s="22"/>
      <c r="AE30" s="22"/>
      <c r="AF30" s="22"/>
      <c r="AG30" s="22"/>
      <c r="AH30" s="22" t="s">
        <v>748</v>
      </c>
      <c r="AI30" s="22"/>
      <c r="AJ30" s="22" t="s">
        <v>785</v>
      </c>
    </row>
    <row r="31" spans="1:36" ht="15" customHeight="1" x14ac:dyDescent="0.3">
      <c r="A31" s="22" t="s">
        <v>277</v>
      </c>
      <c r="B31" s="22" t="s">
        <v>278</v>
      </c>
      <c r="C31" s="22" t="s">
        <v>288</v>
      </c>
      <c r="D31" s="22" t="s">
        <v>289</v>
      </c>
      <c r="E31" s="22" t="s">
        <v>746</v>
      </c>
      <c r="F31" s="22" t="s">
        <v>747</v>
      </c>
      <c r="G31" s="22">
        <v>0.6</v>
      </c>
      <c r="H31" s="22">
        <v>88</v>
      </c>
      <c r="I31" s="22">
        <v>4</v>
      </c>
      <c r="J31" s="22">
        <v>4</v>
      </c>
      <c r="K31" s="22">
        <v>-1.8932756585056498E-2</v>
      </c>
      <c r="L31" s="22">
        <v>3.1050350200708598E-3</v>
      </c>
      <c r="M31" s="22">
        <v>-6.0974373759637803</v>
      </c>
      <c r="N31" s="22">
        <v>1.49457543817703</v>
      </c>
      <c r="O31" s="22">
        <v>4.9404297233564202E-2</v>
      </c>
      <c r="P31" s="22">
        <v>-3.7709965162310899E-2</v>
      </c>
      <c r="Q31" s="22">
        <v>-1.5554800780216E-4</v>
      </c>
      <c r="R31" s="22"/>
      <c r="S31" s="22"/>
      <c r="T31" s="22">
        <v>-1.8930494765083999E-2</v>
      </c>
      <c r="U31" s="22">
        <v>-3.7692100279287599E-2</v>
      </c>
      <c r="V31" s="22">
        <v>-1.5554800654765601E-4</v>
      </c>
      <c r="W31" s="22"/>
      <c r="X31" s="22"/>
      <c r="Y31" s="22">
        <v>2.2799360282193702E-12</v>
      </c>
      <c r="Z31" s="22">
        <v>2.2799359662085501E-12</v>
      </c>
      <c r="AA31" s="22">
        <v>8.1442558861235699E-3</v>
      </c>
      <c r="AB31" s="22"/>
      <c r="AC31" s="22"/>
      <c r="AD31" s="22"/>
      <c r="AE31" s="22"/>
      <c r="AF31" s="22"/>
      <c r="AG31" s="22"/>
      <c r="AH31" s="22" t="s">
        <v>748</v>
      </c>
      <c r="AI31" s="22"/>
      <c r="AJ31" s="22" t="s">
        <v>786</v>
      </c>
    </row>
    <row r="32" spans="1:36" ht="15" customHeight="1" x14ac:dyDescent="0.3">
      <c r="A32" s="22" t="s">
        <v>277</v>
      </c>
      <c r="B32" s="22" t="s">
        <v>278</v>
      </c>
      <c r="C32" s="22" t="s">
        <v>291</v>
      </c>
      <c r="D32" s="22" t="s">
        <v>292</v>
      </c>
      <c r="E32" s="22" t="s">
        <v>746</v>
      </c>
      <c r="F32" s="22" t="s">
        <v>747</v>
      </c>
      <c r="G32" s="22">
        <v>0.6</v>
      </c>
      <c r="H32" s="22">
        <v>93</v>
      </c>
      <c r="I32" s="22">
        <v>5</v>
      </c>
      <c r="J32" s="22">
        <v>5</v>
      </c>
      <c r="K32" s="22">
        <v>-1.90434966952471E-2</v>
      </c>
      <c r="L32" s="22">
        <v>2.8442397568491898E-3</v>
      </c>
      <c r="M32" s="22">
        <v>-6.6954611155366104</v>
      </c>
      <c r="N32" s="22">
        <v>1.89852223570832</v>
      </c>
      <c r="O32" s="22">
        <v>2.4628535906734701E-2</v>
      </c>
      <c r="P32" s="22">
        <v>-3.1929987841630501E-2</v>
      </c>
      <c r="Q32" s="22">
        <v>-6.1570055488636604E-3</v>
      </c>
      <c r="R32" s="22"/>
      <c r="S32" s="22"/>
      <c r="T32" s="22">
        <v>-1.90411949575259E-2</v>
      </c>
      <c r="U32" s="22">
        <v>-3.1919141134044399E-2</v>
      </c>
      <c r="V32" s="22">
        <v>-6.1569277486490702E-3</v>
      </c>
      <c r="W32" s="22"/>
      <c r="X32" s="22"/>
      <c r="Y32" s="22">
        <v>1.8547569576188499E-12</v>
      </c>
      <c r="Z32" s="22">
        <v>1.8547563368268401E-12</v>
      </c>
      <c r="AA32" s="22">
        <v>7.5314357223184398E-3</v>
      </c>
      <c r="AB32" s="22"/>
      <c r="AC32" s="22"/>
      <c r="AD32" s="22"/>
      <c r="AE32" s="22"/>
      <c r="AF32" s="22"/>
      <c r="AG32" s="22"/>
      <c r="AH32" s="22" t="s">
        <v>748</v>
      </c>
      <c r="AI32" s="22"/>
      <c r="AJ32" s="22" t="s">
        <v>787</v>
      </c>
    </row>
    <row r="33" spans="1:36" ht="15" customHeight="1" x14ac:dyDescent="0.3">
      <c r="A33" s="22" t="s">
        <v>277</v>
      </c>
      <c r="B33" s="22" t="s">
        <v>278</v>
      </c>
      <c r="C33" s="22" t="s">
        <v>294</v>
      </c>
      <c r="D33" s="22" t="s">
        <v>295</v>
      </c>
      <c r="E33" s="22" t="s">
        <v>746</v>
      </c>
      <c r="F33" s="22" t="s">
        <v>747</v>
      </c>
      <c r="G33" s="22">
        <v>0.6</v>
      </c>
      <c r="H33" s="22">
        <v>259</v>
      </c>
      <c r="I33" s="22">
        <v>6</v>
      </c>
      <c r="J33" s="22">
        <v>6</v>
      </c>
      <c r="K33" s="22">
        <v>-1.4547588607204599E-2</v>
      </c>
      <c r="L33" s="22">
        <v>4.13809104281528E-3</v>
      </c>
      <c r="M33" s="22">
        <v>-3.5155313057847599</v>
      </c>
      <c r="N33" s="22">
        <v>2.96543568051999</v>
      </c>
      <c r="O33" s="22">
        <v>3.9763827976477997E-2</v>
      </c>
      <c r="P33" s="22">
        <v>-2.78041051028796E-2</v>
      </c>
      <c r="Q33" s="22">
        <v>-1.29107211152957E-3</v>
      </c>
      <c r="R33" s="22"/>
      <c r="S33" s="22"/>
      <c r="T33" s="22">
        <v>-1.45465624473602E-2</v>
      </c>
      <c r="U33" s="22">
        <v>-2.77969424940228E-2</v>
      </c>
      <c r="V33" s="22">
        <v>-1.29107139418147E-3</v>
      </c>
      <c r="W33" s="22"/>
      <c r="X33" s="22"/>
      <c r="Y33" s="22">
        <v>3.5616040500407601E-12</v>
      </c>
      <c r="Z33" s="22">
        <v>3.5616029969103901E-12</v>
      </c>
      <c r="AA33" s="22">
        <v>1.9388750045097E-3</v>
      </c>
      <c r="AB33" s="22"/>
      <c r="AC33" s="22"/>
      <c r="AD33" s="22"/>
      <c r="AE33" s="22"/>
      <c r="AF33" s="22"/>
      <c r="AG33" s="22"/>
      <c r="AH33" s="22" t="s">
        <v>748</v>
      </c>
      <c r="AI33" s="22"/>
      <c r="AJ33" s="22" t="s">
        <v>788</v>
      </c>
    </row>
    <row r="34" spans="1:36" ht="15" customHeight="1" x14ac:dyDescent="0.3">
      <c r="A34" s="22" t="s">
        <v>277</v>
      </c>
      <c r="B34" s="22" t="s">
        <v>278</v>
      </c>
      <c r="C34" s="22" t="s">
        <v>297</v>
      </c>
      <c r="D34" s="22" t="s">
        <v>298</v>
      </c>
      <c r="E34" s="22" t="s">
        <v>746</v>
      </c>
      <c r="F34" s="22" t="s">
        <v>747</v>
      </c>
      <c r="G34" s="22">
        <v>0.6</v>
      </c>
      <c r="H34" s="22">
        <v>263</v>
      </c>
      <c r="I34" s="22">
        <v>7</v>
      </c>
      <c r="J34" s="22">
        <v>7</v>
      </c>
      <c r="K34" s="22">
        <v>-1.6967173083914801E-2</v>
      </c>
      <c r="L34" s="22">
        <v>4.4253637326086498E-3</v>
      </c>
      <c r="M34" s="22">
        <v>-3.83407423866446</v>
      </c>
      <c r="N34" s="22">
        <v>3.51089700308549</v>
      </c>
      <c r="O34" s="22">
        <v>2.35843927346562E-2</v>
      </c>
      <c r="P34" s="22">
        <v>-2.9959355848759799E-2</v>
      </c>
      <c r="Q34" s="22">
        <v>-3.9749903190698099E-3</v>
      </c>
      <c r="R34" s="22"/>
      <c r="S34" s="22"/>
      <c r="T34" s="22">
        <v>-1.6965545073391E-2</v>
      </c>
      <c r="U34" s="22">
        <v>-2.99503955959027E-2</v>
      </c>
      <c r="V34" s="22">
        <v>-3.9749693835269698E-3</v>
      </c>
      <c r="W34" s="22"/>
      <c r="X34" s="22"/>
      <c r="Y34" s="22">
        <v>4.1470595103832804E-12</v>
      </c>
      <c r="Z34" s="22">
        <v>4.1470586770186098E-12</v>
      </c>
      <c r="AA34" s="22">
        <v>1.9161161704303201E-3</v>
      </c>
      <c r="AB34" s="22"/>
      <c r="AC34" s="22"/>
      <c r="AD34" s="22"/>
      <c r="AE34" s="22"/>
      <c r="AF34" s="22"/>
      <c r="AG34" s="22"/>
      <c r="AH34" s="22" t="s">
        <v>748</v>
      </c>
      <c r="AI34" s="22"/>
      <c r="AJ34" s="22" t="s">
        <v>789</v>
      </c>
    </row>
    <row r="35" spans="1:36" ht="15" customHeight="1" x14ac:dyDescent="0.3">
      <c r="A35" s="22" t="s">
        <v>277</v>
      </c>
      <c r="B35" s="22" t="s">
        <v>278</v>
      </c>
      <c r="C35" s="22" t="s">
        <v>300</v>
      </c>
      <c r="D35" s="22" t="s">
        <v>301</v>
      </c>
      <c r="E35" s="22" t="s">
        <v>746</v>
      </c>
      <c r="F35" s="22" t="s">
        <v>747</v>
      </c>
      <c r="G35" s="22">
        <v>0.6</v>
      </c>
      <c r="H35" s="22">
        <v>264</v>
      </c>
      <c r="I35" s="22">
        <v>8</v>
      </c>
      <c r="J35" s="22">
        <v>8</v>
      </c>
      <c r="K35" s="22">
        <v>-1.73436214426382E-2</v>
      </c>
      <c r="L35" s="22">
        <v>4.3890540632167503E-3</v>
      </c>
      <c r="M35" s="22">
        <v>-3.9515624990791398</v>
      </c>
      <c r="N35" s="22">
        <v>3.65749777868978</v>
      </c>
      <c r="O35" s="22">
        <v>1.9951465989061501E-2</v>
      </c>
      <c r="P35" s="22">
        <v>-2.9993099104762201E-2</v>
      </c>
      <c r="Q35" s="22">
        <v>-4.6941437805142101E-3</v>
      </c>
      <c r="R35" s="22"/>
      <c r="S35" s="22"/>
      <c r="T35" s="22">
        <v>-1.7341882657774501E-2</v>
      </c>
      <c r="U35" s="22">
        <v>-2.99841085492367E-2</v>
      </c>
      <c r="V35" s="22">
        <v>-4.6941093023542E-3</v>
      </c>
      <c r="W35" s="22"/>
      <c r="X35" s="22"/>
      <c r="Y35" s="22">
        <v>3.8958677881571097E-12</v>
      </c>
      <c r="Z35" s="22">
        <v>3.8958672366388703E-12</v>
      </c>
      <c r="AA35" s="22">
        <v>1.90637752017722E-3</v>
      </c>
      <c r="AB35" s="22"/>
      <c r="AC35" s="22"/>
      <c r="AD35" s="22"/>
      <c r="AE35" s="22"/>
      <c r="AF35" s="22"/>
      <c r="AG35" s="22"/>
      <c r="AH35" s="22" t="s">
        <v>748</v>
      </c>
      <c r="AI35" s="22"/>
      <c r="AJ35" s="22" t="s">
        <v>790</v>
      </c>
    </row>
    <row r="36" spans="1:36" ht="15" customHeight="1" x14ac:dyDescent="0.3">
      <c r="A36" s="22" t="s">
        <v>277</v>
      </c>
      <c r="B36" s="22" t="s">
        <v>278</v>
      </c>
      <c r="C36" s="22" t="s">
        <v>303</v>
      </c>
      <c r="D36" s="22" t="s">
        <v>304</v>
      </c>
      <c r="E36" s="22" t="s">
        <v>746</v>
      </c>
      <c r="F36" s="22" t="s">
        <v>747</v>
      </c>
      <c r="G36" s="22">
        <v>0.6</v>
      </c>
      <c r="H36" s="22">
        <v>312</v>
      </c>
      <c r="I36" s="22">
        <v>9</v>
      </c>
      <c r="J36" s="22">
        <v>9</v>
      </c>
      <c r="K36" s="22">
        <v>-1.48714200641961E-2</v>
      </c>
      <c r="L36" s="22">
        <v>3.6812778094097499E-3</v>
      </c>
      <c r="M36" s="22">
        <v>-4.0397440329504901</v>
      </c>
      <c r="N36" s="22">
        <v>4.2777149647935202</v>
      </c>
      <c r="O36" s="22">
        <v>1.3640021569734401E-2</v>
      </c>
      <c r="P36" s="22">
        <v>-2.48358379969843E-2</v>
      </c>
      <c r="Q36" s="22">
        <v>-4.9070021314079103E-3</v>
      </c>
      <c r="R36" s="22"/>
      <c r="S36" s="22"/>
      <c r="T36" s="22">
        <v>-1.48703238443738E-2</v>
      </c>
      <c r="U36" s="22">
        <v>-2.48307328522245E-2</v>
      </c>
      <c r="V36" s="22">
        <v>-4.9069627470923697E-3</v>
      </c>
      <c r="W36" s="22"/>
      <c r="X36" s="22"/>
      <c r="Y36" s="22">
        <v>3.2384721785524201E-12</v>
      </c>
      <c r="Z36" s="22">
        <v>3.2384683866035502E-12</v>
      </c>
      <c r="AA36" s="22">
        <v>1.8789520455422201E-3</v>
      </c>
      <c r="AB36" s="22"/>
      <c r="AC36" s="22"/>
      <c r="AD36" s="22"/>
      <c r="AE36" s="22"/>
      <c r="AF36" s="22"/>
      <c r="AG36" s="22"/>
      <c r="AH36" s="22" t="s">
        <v>748</v>
      </c>
      <c r="AI36" s="22"/>
      <c r="AJ36" s="22" t="s">
        <v>791</v>
      </c>
    </row>
    <row r="37" spans="1:36" ht="15" customHeight="1" x14ac:dyDescent="0.3">
      <c r="A37" s="22" t="s">
        <v>277</v>
      </c>
      <c r="B37" s="22" t="s">
        <v>278</v>
      </c>
      <c r="C37" s="22" t="s">
        <v>306</v>
      </c>
      <c r="D37" s="22" t="s">
        <v>307</v>
      </c>
      <c r="E37" s="22" t="s">
        <v>746</v>
      </c>
      <c r="F37" s="22" t="s">
        <v>747</v>
      </c>
      <c r="G37" s="22">
        <v>0.6</v>
      </c>
      <c r="H37" s="22">
        <v>316</v>
      </c>
      <c r="I37" s="22">
        <v>10</v>
      </c>
      <c r="J37" s="22">
        <v>10</v>
      </c>
      <c r="K37" s="22">
        <v>-1.53549266042124E-2</v>
      </c>
      <c r="L37" s="22">
        <v>3.6193689034886099E-3</v>
      </c>
      <c r="M37" s="22">
        <v>-4.2424320409594802</v>
      </c>
      <c r="N37" s="22">
        <v>4.3108576783488797</v>
      </c>
      <c r="O37" s="22">
        <v>1.12728969074789E-2</v>
      </c>
      <c r="P37" s="22">
        <v>-2.51244746616037E-2</v>
      </c>
      <c r="Q37" s="22">
        <v>-5.5853785468211702E-3</v>
      </c>
      <c r="R37" s="22"/>
      <c r="S37" s="22"/>
      <c r="T37" s="22">
        <v>-1.5353719955027699E-2</v>
      </c>
      <c r="U37" s="22">
        <v>-2.5119189478097499E-2</v>
      </c>
      <c r="V37" s="22">
        <v>-5.5853204662118698E-3</v>
      </c>
      <c r="W37" s="22"/>
      <c r="X37" s="22"/>
      <c r="Y37" s="22">
        <v>2.82679276193977E-12</v>
      </c>
      <c r="Z37" s="22">
        <v>2.8267920382498201E-12</v>
      </c>
      <c r="AA37" s="22">
        <v>1.96979655273393E-3</v>
      </c>
      <c r="AB37" s="22"/>
      <c r="AC37" s="22"/>
      <c r="AD37" s="22"/>
      <c r="AE37" s="22"/>
      <c r="AF37" s="22"/>
      <c r="AG37" s="22"/>
      <c r="AH37" s="22" t="s">
        <v>748</v>
      </c>
      <c r="AI37" s="22"/>
      <c r="AJ37" s="22" t="s">
        <v>792</v>
      </c>
    </row>
    <row r="38" spans="1:36" ht="15" customHeight="1" x14ac:dyDescent="0.3">
      <c r="A38" s="22" t="s">
        <v>277</v>
      </c>
      <c r="B38" s="22" t="s">
        <v>278</v>
      </c>
      <c r="C38" s="22" t="s">
        <v>309</v>
      </c>
      <c r="D38" s="22" t="s">
        <v>310</v>
      </c>
      <c r="E38" s="22" t="s">
        <v>746</v>
      </c>
      <c r="F38" s="22" t="s">
        <v>747</v>
      </c>
      <c r="G38" s="22">
        <v>0.6</v>
      </c>
      <c r="H38" s="22">
        <v>326</v>
      </c>
      <c r="I38" s="22">
        <v>11</v>
      </c>
      <c r="J38" s="22">
        <v>11</v>
      </c>
      <c r="K38" s="22">
        <v>-1.6859844177184901E-2</v>
      </c>
      <c r="L38" s="22">
        <v>3.0612449799534E-3</v>
      </c>
      <c r="M38" s="22">
        <v>-5.5075122336146896</v>
      </c>
      <c r="N38" s="22">
        <v>4.5017770386872904</v>
      </c>
      <c r="O38" s="22">
        <v>3.7293999578630901E-3</v>
      </c>
      <c r="P38" s="22">
        <v>-2.4998329137926899E-2</v>
      </c>
      <c r="Q38" s="22">
        <v>-8.7213592164429501E-3</v>
      </c>
      <c r="R38" s="22"/>
      <c r="S38" s="22"/>
      <c r="T38" s="22">
        <v>-1.6858246864143701E-2</v>
      </c>
      <c r="U38" s="22">
        <v>-2.4993123150131701E-2</v>
      </c>
      <c r="V38" s="22">
        <v>-8.7211381015189094E-3</v>
      </c>
      <c r="W38" s="22"/>
      <c r="X38" s="22"/>
      <c r="Y38" s="22">
        <v>3.32384660893416E-12</v>
      </c>
      <c r="Z38" s="22">
        <v>3.3238472152027002E-12</v>
      </c>
      <c r="AA38" s="22">
        <v>2.6523194001682299E-3</v>
      </c>
      <c r="AB38" s="22"/>
      <c r="AC38" s="22"/>
      <c r="AD38" s="22"/>
      <c r="AE38" s="22"/>
      <c r="AF38" s="22"/>
      <c r="AG38" s="22"/>
      <c r="AH38" s="22" t="s">
        <v>748</v>
      </c>
      <c r="AI38" s="22"/>
      <c r="AJ38" s="22" t="s">
        <v>793</v>
      </c>
    </row>
    <row r="39" spans="1:36" ht="15" customHeight="1" x14ac:dyDescent="0.3">
      <c r="A39" s="22" t="s">
        <v>277</v>
      </c>
      <c r="B39" s="22" t="s">
        <v>278</v>
      </c>
      <c r="C39" s="22" t="s">
        <v>312</v>
      </c>
      <c r="D39" s="22" t="s">
        <v>313</v>
      </c>
      <c r="E39" s="22" t="s">
        <v>746</v>
      </c>
      <c r="F39" s="22" t="s">
        <v>747</v>
      </c>
      <c r="G39" s="22">
        <v>0.6</v>
      </c>
      <c r="H39" s="22">
        <v>330</v>
      </c>
      <c r="I39" s="22">
        <v>12</v>
      </c>
      <c r="J39" s="22">
        <v>12</v>
      </c>
      <c r="K39" s="22">
        <v>-1.8018410577610399E-2</v>
      </c>
      <c r="L39" s="22">
        <v>3.3811336950386301E-3</v>
      </c>
      <c r="M39" s="22">
        <v>-5.3291032543463199</v>
      </c>
      <c r="N39" s="22">
        <v>4.7944537119720598</v>
      </c>
      <c r="O39" s="22">
        <v>3.5333549329773198E-3</v>
      </c>
      <c r="P39" s="22">
        <v>-2.6823171385458498E-2</v>
      </c>
      <c r="Q39" s="22">
        <v>-9.2136497697622201E-3</v>
      </c>
      <c r="R39" s="22"/>
      <c r="S39" s="22"/>
      <c r="T39" s="22">
        <v>-1.8016460859680301E-2</v>
      </c>
      <c r="U39" s="22">
        <v>-2.6816740301930399E-2</v>
      </c>
      <c r="V39" s="22">
        <v>-9.2133890589169102E-3</v>
      </c>
      <c r="W39" s="22"/>
      <c r="X39" s="22"/>
      <c r="Y39" s="22">
        <v>3.1448736462884699E-12</v>
      </c>
      <c r="Z39" s="22">
        <v>3.1448746939348799E-12</v>
      </c>
      <c r="AA39" s="22">
        <v>2.6176320270620301E-3</v>
      </c>
      <c r="AB39" s="22"/>
      <c r="AC39" s="22"/>
      <c r="AD39" s="22"/>
      <c r="AE39" s="22"/>
      <c r="AF39" s="22"/>
      <c r="AG39" s="22"/>
      <c r="AH39" s="22" t="s">
        <v>748</v>
      </c>
      <c r="AI39" s="22"/>
      <c r="AJ39" s="22" t="s">
        <v>794</v>
      </c>
    </row>
    <row r="40" spans="1:36" ht="15" customHeight="1" x14ac:dyDescent="0.3">
      <c r="A40" s="22" t="s">
        <v>277</v>
      </c>
      <c r="B40" s="22" t="s">
        <v>278</v>
      </c>
      <c r="C40" s="22" t="s">
        <v>315</v>
      </c>
      <c r="D40" s="22" t="s">
        <v>316</v>
      </c>
      <c r="E40" s="22" t="s">
        <v>746</v>
      </c>
      <c r="F40" s="22" t="s">
        <v>747</v>
      </c>
      <c r="G40" s="22">
        <v>0.6</v>
      </c>
      <c r="H40" s="22">
        <v>338</v>
      </c>
      <c r="I40" s="22">
        <v>13</v>
      </c>
      <c r="J40" s="22">
        <v>13</v>
      </c>
      <c r="K40" s="22">
        <v>-2.1172503632347999E-2</v>
      </c>
      <c r="L40" s="22">
        <v>4.92124296868484E-3</v>
      </c>
      <c r="M40" s="22">
        <v>-4.3022674895497399</v>
      </c>
      <c r="N40" s="22">
        <v>5.5368830554037496</v>
      </c>
      <c r="O40" s="22">
        <v>6.1075545518945104E-3</v>
      </c>
      <c r="P40" s="22">
        <v>-3.3462766927259302E-2</v>
      </c>
      <c r="Q40" s="22">
        <v>-8.8822403374367396E-3</v>
      </c>
      <c r="R40" s="22"/>
      <c r="S40" s="22"/>
      <c r="T40" s="22">
        <v>-2.1169340498807601E-2</v>
      </c>
      <c r="U40" s="22">
        <v>-3.3450282465778899E-2</v>
      </c>
      <c r="V40" s="22">
        <v>-8.8820067590788896E-3</v>
      </c>
      <c r="W40" s="22"/>
      <c r="X40" s="22"/>
      <c r="Y40" s="22">
        <v>2.8092038323356101E-11</v>
      </c>
      <c r="Z40" s="22">
        <v>2.8092031507402601E-11</v>
      </c>
      <c r="AA40" s="22">
        <v>2.57633896849499E-3</v>
      </c>
      <c r="AB40" s="22"/>
      <c r="AC40" s="22"/>
      <c r="AD40" s="22"/>
      <c r="AE40" s="22"/>
      <c r="AF40" s="22"/>
      <c r="AG40" s="22"/>
      <c r="AH40" s="22" t="s">
        <v>748</v>
      </c>
      <c r="AI40" s="22"/>
      <c r="AJ40" s="22" t="s">
        <v>795</v>
      </c>
    </row>
    <row r="41" spans="1:36" ht="15" customHeight="1" x14ac:dyDescent="0.3">
      <c r="A41" s="22" t="s">
        <v>277</v>
      </c>
      <c r="B41" s="22" t="s">
        <v>278</v>
      </c>
      <c r="C41" s="22" t="s">
        <v>318</v>
      </c>
      <c r="D41" s="22" t="s">
        <v>319</v>
      </c>
      <c r="E41" s="22" t="s">
        <v>746</v>
      </c>
      <c r="F41" s="22" t="s">
        <v>747</v>
      </c>
      <c r="G41" s="22">
        <v>0.6</v>
      </c>
      <c r="H41" s="22">
        <v>356</v>
      </c>
      <c r="I41" s="22">
        <v>14</v>
      </c>
      <c r="J41" s="22">
        <v>14</v>
      </c>
      <c r="K41" s="22">
        <v>-2.64954411441496E-2</v>
      </c>
      <c r="L41" s="22">
        <v>6.6567376259756101E-3</v>
      </c>
      <c r="M41" s="22">
        <v>-3.98024417257492</v>
      </c>
      <c r="N41" s="22">
        <v>8.6057420843106396</v>
      </c>
      <c r="O41" s="22">
        <v>3.5053683683752201E-3</v>
      </c>
      <c r="P41" s="22">
        <v>-4.1659849778564101E-2</v>
      </c>
      <c r="Q41" s="22">
        <v>-1.1331032509735099E-2</v>
      </c>
      <c r="R41" s="22"/>
      <c r="S41" s="22"/>
      <c r="T41" s="22">
        <v>-2.6489242877210401E-2</v>
      </c>
      <c r="U41" s="22">
        <v>-4.1635765676642601E-2</v>
      </c>
      <c r="V41" s="22">
        <v>-1.1330547595538899E-2</v>
      </c>
      <c r="W41" s="22"/>
      <c r="X41" s="22"/>
      <c r="Y41" s="22">
        <v>9.3462413509955099E-5</v>
      </c>
      <c r="Z41" s="22">
        <v>9.34624156618814E-5</v>
      </c>
      <c r="AA41" s="22">
        <v>2.3103756406221698E-3</v>
      </c>
      <c r="AB41" s="22"/>
      <c r="AC41" s="22"/>
      <c r="AD41" s="22"/>
      <c r="AE41" s="22"/>
      <c r="AF41" s="22"/>
      <c r="AG41" s="22"/>
      <c r="AH41" s="22" t="s">
        <v>748</v>
      </c>
      <c r="AI41" s="22"/>
      <c r="AJ41" s="22" t="s">
        <v>796</v>
      </c>
    </row>
    <row r="42" spans="1:36" ht="15" customHeight="1" x14ac:dyDescent="0.3">
      <c r="A42" s="22" t="s">
        <v>277</v>
      </c>
      <c r="B42" s="22" t="s">
        <v>278</v>
      </c>
      <c r="C42" s="22" t="s">
        <v>321</v>
      </c>
      <c r="D42" s="22" t="s">
        <v>322</v>
      </c>
      <c r="E42" s="22" t="s">
        <v>746</v>
      </c>
      <c r="F42" s="22" t="s">
        <v>747</v>
      </c>
      <c r="G42" s="22">
        <v>0.6</v>
      </c>
      <c r="H42" s="22">
        <v>375</v>
      </c>
      <c r="I42" s="22">
        <v>15</v>
      </c>
      <c r="J42" s="22">
        <v>15</v>
      </c>
      <c r="K42" s="22">
        <v>-3.17888848342706E-2</v>
      </c>
      <c r="L42" s="22">
        <v>7.8351159521972205E-3</v>
      </c>
      <c r="M42" s="22">
        <v>-4.0572322130543599</v>
      </c>
      <c r="N42" s="22">
        <v>10.154843225589</v>
      </c>
      <c r="O42" s="22">
        <v>2.2256770202155299E-3</v>
      </c>
      <c r="P42" s="22">
        <v>-4.9210595388620403E-2</v>
      </c>
      <c r="Q42" s="22">
        <v>-1.4367174279920901E-2</v>
      </c>
      <c r="R42" s="22"/>
      <c r="S42" s="22"/>
      <c r="T42" s="22">
        <v>-3.1778181252951399E-2</v>
      </c>
      <c r="U42" s="22">
        <v>-4.9170909681508002E-2</v>
      </c>
      <c r="V42" s="22">
        <v>-1.4366185824770601E-2</v>
      </c>
      <c r="W42" s="22"/>
      <c r="X42" s="22"/>
      <c r="Y42" s="22">
        <v>1.8302986817558101E-4</v>
      </c>
      <c r="Z42" s="22">
        <v>1.83029879802951E-4</v>
      </c>
      <c r="AA42" s="22">
        <v>2.6558181615420999E-3</v>
      </c>
      <c r="AB42" s="22"/>
      <c r="AC42" s="22"/>
      <c r="AD42" s="22"/>
      <c r="AE42" s="22"/>
      <c r="AF42" s="22"/>
      <c r="AG42" s="22"/>
      <c r="AH42" s="22" t="s">
        <v>748</v>
      </c>
      <c r="AI42" s="22"/>
      <c r="AJ42" s="22" t="s">
        <v>797</v>
      </c>
    </row>
    <row r="43" spans="1:36" ht="15" customHeight="1" x14ac:dyDescent="0.3">
      <c r="A43" s="22" t="s">
        <v>277</v>
      </c>
      <c r="B43" s="22" t="s">
        <v>278</v>
      </c>
      <c r="C43" s="22" t="s">
        <v>324</v>
      </c>
      <c r="D43" s="22" t="s">
        <v>325</v>
      </c>
      <c r="E43" s="22" t="s">
        <v>746</v>
      </c>
      <c r="F43" s="22" t="s">
        <v>747</v>
      </c>
      <c r="G43" s="22">
        <v>0.6</v>
      </c>
      <c r="H43" s="22">
        <v>393</v>
      </c>
      <c r="I43" s="22">
        <v>16</v>
      </c>
      <c r="J43" s="22">
        <v>16</v>
      </c>
      <c r="K43" s="22">
        <v>-3.2824175519102501E-2</v>
      </c>
      <c r="L43" s="22">
        <v>7.33826165532518E-3</v>
      </c>
      <c r="M43" s="22">
        <v>-4.4730178700132397</v>
      </c>
      <c r="N43" s="22">
        <v>9.6487170577704902</v>
      </c>
      <c r="O43" s="22">
        <v>1.3022353116959201E-3</v>
      </c>
      <c r="P43" s="22">
        <v>-4.9255891388849601E-2</v>
      </c>
      <c r="Q43" s="22">
        <v>-1.63924596493553E-2</v>
      </c>
      <c r="R43" s="22"/>
      <c r="S43" s="22"/>
      <c r="T43" s="22">
        <v>-3.2812392051905698E-2</v>
      </c>
      <c r="U43" s="22">
        <v>-4.9216096065376101E-2</v>
      </c>
      <c r="V43" s="22">
        <v>-1.63909915196109E-2</v>
      </c>
      <c r="W43" s="22"/>
      <c r="X43" s="22"/>
      <c r="Y43" s="22">
        <v>1.23682841392664E-4</v>
      </c>
      <c r="Z43" s="22">
        <v>1.23682833229359E-4</v>
      </c>
      <c r="AA43" s="22">
        <v>3.3072688763807999E-3</v>
      </c>
      <c r="AB43" s="22"/>
      <c r="AC43" s="22"/>
      <c r="AD43" s="22"/>
      <c r="AE43" s="22"/>
      <c r="AF43" s="22"/>
      <c r="AG43" s="22"/>
      <c r="AH43" s="22" t="s">
        <v>748</v>
      </c>
      <c r="AI43" s="22"/>
      <c r="AJ43" s="22" t="s">
        <v>798</v>
      </c>
    </row>
    <row r="44" spans="1:36" ht="15" customHeight="1" x14ac:dyDescent="0.3">
      <c r="A44" s="22" t="s">
        <v>277</v>
      </c>
      <c r="B44" s="22" t="s">
        <v>278</v>
      </c>
      <c r="C44" s="22" t="s">
        <v>327</v>
      </c>
      <c r="D44" s="22" t="s">
        <v>328</v>
      </c>
      <c r="E44" s="22" t="s">
        <v>746</v>
      </c>
      <c r="F44" s="22" t="s">
        <v>747</v>
      </c>
      <c r="G44" s="22">
        <v>0.6</v>
      </c>
      <c r="H44" s="22">
        <v>452</v>
      </c>
      <c r="I44" s="22">
        <v>17</v>
      </c>
      <c r="J44" s="22">
        <v>17</v>
      </c>
      <c r="K44" s="22">
        <v>-2.932850519164E-2</v>
      </c>
      <c r="L44" s="22">
        <v>8.9546058141776793E-3</v>
      </c>
      <c r="M44" s="22">
        <v>-3.2752424618406599</v>
      </c>
      <c r="N44" s="22">
        <v>12.947620740944</v>
      </c>
      <c r="O44" s="22">
        <v>6.05711672111832E-3</v>
      </c>
      <c r="P44" s="22">
        <v>-4.8681713372957403E-2</v>
      </c>
      <c r="Q44" s="22">
        <v>-9.9752970103225702E-3</v>
      </c>
      <c r="R44" s="22"/>
      <c r="S44" s="22"/>
      <c r="T44" s="22">
        <v>-2.93200990029952E-2</v>
      </c>
      <c r="U44" s="22">
        <v>-4.8643292713530302E-2</v>
      </c>
      <c r="V44" s="22">
        <v>-9.9749661543597802E-3</v>
      </c>
      <c r="W44" s="22"/>
      <c r="X44" s="22"/>
      <c r="Y44" s="22">
        <v>3.65650958788149E-4</v>
      </c>
      <c r="Z44" s="22">
        <v>3.6565093421460902E-4</v>
      </c>
      <c r="AA44" s="22">
        <v>2.5360526395567301E-3</v>
      </c>
      <c r="AB44" s="22"/>
      <c r="AC44" s="22"/>
      <c r="AD44" s="22"/>
      <c r="AE44" s="22"/>
      <c r="AF44" s="22"/>
      <c r="AG44" s="22"/>
      <c r="AH44" s="22" t="s">
        <v>748</v>
      </c>
      <c r="AI44" s="22"/>
      <c r="AJ44" s="22" t="s">
        <v>799</v>
      </c>
    </row>
    <row r="45" spans="1:36" ht="15" customHeight="1" x14ac:dyDescent="0.3">
      <c r="A45" s="22" t="s">
        <v>277</v>
      </c>
      <c r="B45" s="22" t="s">
        <v>278</v>
      </c>
      <c r="C45" s="22" t="s">
        <v>330</v>
      </c>
      <c r="D45" s="22" t="s">
        <v>331</v>
      </c>
      <c r="E45" s="22" t="s">
        <v>746</v>
      </c>
      <c r="F45" s="22" t="s">
        <v>747</v>
      </c>
      <c r="G45" s="22">
        <v>0.6</v>
      </c>
      <c r="H45" s="22">
        <v>484</v>
      </c>
      <c r="I45" s="22">
        <v>18</v>
      </c>
      <c r="J45" s="22">
        <v>18</v>
      </c>
      <c r="K45" s="22">
        <v>-2.8596374764761699E-2</v>
      </c>
      <c r="L45" s="22">
        <v>8.2236232008491908E-3</v>
      </c>
      <c r="M45" s="22">
        <v>-3.4773449690409901</v>
      </c>
      <c r="N45" s="22">
        <v>13.4790727029146</v>
      </c>
      <c r="O45" s="22">
        <v>3.8913119773702799E-3</v>
      </c>
      <c r="P45" s="22">
        <v>-4.6298457649170302E-2</v>
      </c>
      <c r="Q45" s="22">
        <v>-1.0894291880352999E-2</v>
      </c>
      <c r="R45" s="22"/>
      <c r="S45" s="22"/>
      <c r="T45" s="22">
        <v>-2.8588582393232899E-2</v>
      </c>
      <c r="U45" s="22">
        <v>-4.6265405012713902E-2</v>
      </c>
      <c r="V45" s="22">
        <v>-1.0893860902306599E-2</v>
      </c>
      <c r="W45" s="22"/>
      <c r="X45" s="22"/>
      <c r="Y45" s="22">
        <v>3.0103655160518999E-4</v>
      </c>
      <c r="Z45" s="22">
        <v>3.0103653403936099E-4</v>
      </c>
      <c r="AA45" s="22">
        <v>2.7047922138723601E-3</v>
      </c>
      <c r="AB45" s="22"/>
      <c r="AC45" s="22"/>
      <c r="AD45" s="22"/>
      <c r="AE45" s="22"/>
      <c r="AF45" s="22"/>
      <c r="AG45" s="22"/>
      <c r="AH45" s="22" t="s">
        <v>748</v>
      </c>
      <c r="AI45" s="22"/>
      <c r="AJ45" s="22" t="s">
        <v>800</v>
      </c>
    </row>
    <row r="46" spans="1:36" ht="15" customHeight="1" x14ac:dyDescent="0.3">
      <c r="A46" s="22" t="s">
        <v>277</v>
      </c>
      <c r="B46" s="22" t="s">
        <v>278</v>
      </c>
      <c r="C46" s="22" t="s">
        <v>333</v>
      </c>
      <c r="D46" s="22" t="s">
        <v>334</v>
      </c>
      <c r="E46" s="22" t="s">
        <v>746</v>
      </c>
      <c r="F46" s="22" t="s">
        <v>747</v>
      </c>
      <c r="G46" s="22">
        <v>0.6</v>
      </c>
      <c r="H46" s="22">
        <v>520</v>
      </c>
      <c r="I46" s="22">
        <v>19</v>
      </c>
      <c r="J46" s="22">
        <v>19</v>
      </c>
      <c r="K46" s="22">
        <v>-3.0972424510408599E-2</v>
      </c>
      <c r="L46" s="22">
        <v>8.3181542748408197E-3</v>
      </c>
      <c r="M46" s="22">
        <v>-3.72347319934762</v>
      </c>
      <c r="N46" s="22">
        <v>14.903406336752001</v>
      </c>
      <c r="O46" s="22">
        <v>2.0590476136145902E-3</v>
      </c>
      <c r="P46" s="22">
        <v>-4.8712164395063699E-2</v>
      </c>
      <c r="Q46" s="22">
        <v>-1.3232684625753501E-2</v>
      </c>
      <c r="R46" s="22"/>
      <c r="S46" s="22"/>
      <c r="T46" s="22">
        <v>-3.0962524452352699E-2</v>
      </c>
      <c r="U46" s="22">
        <v>-4.8673671638335997E-2</v>
      </c>
      <c r="V46" s="22">
        <v>-1.32319123147651E-2</v>
      </c>
      <c r="W46" s="22"/>
      <c r="X46" s="22"/>
      <c r="Y46" s="22">
        <v>3.5464228893479602E-4</v>
      </c>
      <c r="Z46" s="22">
        <v>3.5464228879393599E-4</v>
      </c>
      <c r="AA46" s="22">
        <v>2.4366043213206899E-3</v>
      </c>
      <c r="AB46" s="22"/>
      <c r="AC46" s="22"/>
      <c r="AD46" s="22"/>
      <c r="AE46" s="22"/>
      <c r="AF46" s="22"/>
      <c r="AG46" s="22"/>
      <c r="AH46" s="22" t="s">
        <v>748</v>
      </c>
      <c r="AI46" s="22"/>
      <c r="AJ46" s="22" t="s">
        <v>801</v>
      </c>
    </row>
    <row r="47" spans="1:36" ht="15" customHeight="1" x14ac:dyDescent="0.3">
      <c r="A47" s="22" t="s">
        <v>277</v>
      </c>
      <c r="B47" s="22" t="s">
        <v>278</v>
      </c>
      <c r="C47" s="22" t="s">
        <v>336</v>
      </c>
      <c r="D47" s="22" t="s">
        <v>337</v>
      </c>
      <c r="E47" s="22" t="s">
        <v>746</v>
      </c>
      <c r="F47" s="22" t="s">
        <v>747</v>
      </c>
      <c r="G47" s="22">
        <v>0.6</v>
      </c>
      <c r="H47" s="22">
        <v>624</v>
      </c>
      <c r="I47" s="22">
        <v>20</v>
      </c>
      <c r="J47" s="22">
        <v>20</v>
      </c>
      <c r="K47" s="22">
        <v>-3.0782851453394398E-2</v>
      </c>
      <c r="L47" s="22">
        <v>7.6825325184208303E-3</v>
      </c>
      <c r="M47" s="22">
        <v>-4.0068625000395004</v>
      </c>
      <c r="N47" s="22">
        <v>15.693061941688599</v>
      </c>
      <c r="O47" s="22">
        <v>1.0532728712968099E-3</v>
      </c>
      <c r="P47" s="22">
        <v>-4.7095019848329402E-2</v>
      </c>
      <c r="Q47" s="22">
        <v>-1.4470683058459499E-2</v>
      </c>
      <c r="R47" s="22"/>
      <c r="S47" s="22"/>
      <c r="T47" s="22">
        <v>-3.0773132025442199E-2</v>
      </c>
      <c r="U47" s="22">
        <v>-4.7060232720171298E-2</v>
      </c>
      <c r="V47" s="22">
        <v>-1.44696730861544E-2</v>
      </c>
      <c r="W47" s="22"/>
      <c r="X47" s="22"/>
      <c r="Y47" s="22">
        <v>3.2646212099135498E-4</v>
      </c>
      <c r="Z47" s="22">
        <v>3.2646211999293997E-4</v>
      </c>
      <c r="AA47" s="22">
        <v>2.1945108528648202E-3</v>
      </c>
      <c r="AB47" s="22"/>
      <c r="AC47" s="22"/>
      <c r="AD47" s="22"/>
      <c r="AE47" s="22"/>
      <c r="AF47" s="22"/>
      <c r="AG47" s="22"/>
      <c r="AH47" s="22" t="s">
        <v>748</v>
      </c>
      <c r="AI47" s="22"/>
      <c r="AJ47" s="22" t="s">
        <v>802</v>
      </c>
    </row>
    <row r="48" spans="1:36" ht="15" customHeight="1" x14ac:dyDescent="0.3">
      <c r="A48" s="22" t="s">
        <v>277</v>
      </c>
      <c r="B48" s="22" t="s">
        <v>278</v>
      </c>
      <c r="C48" s="22" t="s">
        <v>339</v>
      </c>
      <c r="D48" s="22" t="s">
        <v>340</v>
      </c>
      <c r="E48" s="22" t="s">
        <v>746</v>
      </c>
      <c r="F48" s="22" t="s">
        <v>747</v>
      </c>
      <c r="G48" s="22">
        <v>0.6</v>
      </c>
      <c r="H48" s="22">
        <v>680</v>
      </c>
      <c r="I48" s="22">
        <v>21</v>
      </c>
      <c r="J48" s="22">
        <v>21</v>
      </c>
      <c r="K48" s="22">
        <v>-3.5387566805336501E-2</v>
      </c>
      <c r="L48" s="22">
        <v>8.0137746688770505E-3</v>
      </c>
      <c r="M48" s="22">
        <v>-4.4158425046277596</v>
      </c>
      <c r="N48" s="22">
        <v>16.8997893185356</v>
      </c>
      <c r="O48" s="22">
        <v>3.8308908497324998E-4</v>
      </c>
      <c r="P48" s="22">
        <v>-5.2302793857552397E-2</v>
      </c>
      <c r="Q48" s="22">
        <v>-1.8472339753120699E-2</v>
      </c>
      <c r="R48" s="22"/>
      <c r="S48" s="22"/>
      <c r="T48" s="22">
        <v>-3.5372802488225899E-2</v>
      </c>
      <c r="U48" s="22">
        <v>-5.2255153122181097E-2</v>
      </c>
      <c r="V48" s="22">
        <v>-1.84702389507664E-2</v>
      </c>
      <c r="W48" s="22"/>
      <c r="X48" s="22"/>
      <c r="Y48" s="22">
        <v>3.96604701248172E-4</v>
      </c>
      <c r="Z48" s="22">
        <v>3.9660472508819901E-4</v>
      </c>
      <c r="AA48" s="22">
        <v>2.5664823249415699E-3</v>
      </c>
      <c r="AB48" s="22"/>
      <c r="AC48" s="22"/>
      <c r="AD48" s="22"/>
      <c r="AE48" s="22"/>
      <c r="AF48" s="22"/>
      <c r="AG48" s="22"/>
      <c r="AH48" s="22" t="s">
        <v>748</v>
      </c>
      <c r="AI48" s="22"/>
      <c r="AJ48" s="22" t="s">
        <v>803</v>
      </c>
    </row>
    <row r="49" spans="1:36" ht="15" customHeight="1" x14ac:dyDescent="0.3">
      <c r="A49" s="22" t="s">
        <v>277</v>
      </c>
      <c r="B49" s="22" t="s">
        <v>278</v>
      </c>
      <c r="C49" s="22" t="s">
        <v>342</v>
      </c>
      <c r="D49" s="22" t="s">
        <v>343</v>
      </c>
      <c r="E49" s="22" t="s">
        <v>746</v>
      </c>
      <c r="F49" s="22" t="s">
        <v>747</v>
      </c>
      <c r="G49" s="22">
        <v>0.6</v>
      </c>
      <c r="H49" s="22">
        <v>696</v>
      </c>
      <c r="I49" s="22">
        <v>22</v>
      </c>
      <c r="J49" s="22">
        <v>22</v>
      </c>
      <c r="K49" s="22">
        <v>-3.2301845147585002E-2</v>
      </c>
      <c r="L49" s="22">
        <v>8.2409445965841398E-3</v>
      </c>
      <c r="M49" s="22">
        <v>-3.9196775040781202</v>
      </c>
      <c r="N49" s="22">
        <v>18.1635703133508</v>
      </c>
      <c r="O49" s="22">
        <v>9.8971806070966895E-4</v>
      </c>
      <c r="P49" s="22">
        <v>-4.9604258076351097E-2</v>
      </c>
      <c r="Q49" s="22">
        <v>-1.4999432218818901E-2</v>
      </c>
      <c r="R49" s="22"/>
      <c r="S49" s="22"/>
      <c r="T49" s="22">
        <v>-3.2290615153752603E-2</v>
      </c>
      <c r="U49" s="22">
        <v>-4.9563612958365699E-2</v>
      </c>
      <c r="V49" s="22">
        <v>-1.4998307447786401E-2</v>
      </c>
      <c r="W49" s="22"/>
      <c r="X49" s="22"/>
      <c r="Y49" s="22">
        <v>4.6080836972334102E-4</v>
      </c>
      <c r="Z49" s="22">
        <v>4.6080834959952202E-4</v>
      </c>
      <c r="AA49" s="22">
        <v>2.6808464137709001E-3</v>
      </c>
      <c r="AB49" s="22"/>
      <c r="AC49" s="22"/>
      <c r="AD49" s="22"/>
      <c r="AE49" s="22"/>
      <c r="AF49" s="22"/>
      <c r="AG49" s="22"/>
      <c r="AH49" s="22" t="s">
        <v>748</v>
      </c>
      <c r="AI49" s="22"/>
      <c r="AJ49" s="22" t="s">
        <v>804</v>
      </c>
    </row>
    <row r="50" spans="1:36" ht="15" customHeight="1" x14ac:dyDescent="0.3">
      <c r="A50" s="22" t="s">
        <v>277</v>
      </c>
      <c r="B50" s="22" t="s">
        <v>278</v>
      </c>
      <c r="C50" s="22" t="s">
        <v>345</v>
      </c>
      <c r="D50" s="22" t="s">
        <v>346</v>
      </c>
      <c r="E50" s="22" t="s">
        <v>746</v>
      </c>
      <c r="F50" s="22" t="s">
        <v>747</v>
      </c>
      <c r="G50" s="22">
        <v>0.6</v>
      </c>
      <c r="H50" s="22">
        <v>709</v>
      </c>
      <c r="I50" s="22">
        <v>23</v>
      </c>
      <c r="J50" s="22">
        <v>23</v>
      </c>
      <c r="K50" s="22">
        <v>-3.0804276437346501E-2</v>
      </c>
      <c r="L50" s="22">
        <v>7.8963694749935795E-3</v>
      </c>
      <c r="M50" s="22">
        <v>-3.9010682738311999</v>
      </c>
      <c r="N50" s="22">
        <v>19.097627659876899</v>
      </c>
      <c r="O50" s="22">
        <v>9.5273817382004902E-4</v>
      </c>
      <c r="P50" s="22">
        <v>-4.7325851164811E-2</v>
      </c>
      <c r="Q50" s="22">
        <v>-1.4282701709882099E-2</v>
      </c>
      <c r="R50" s="22"/>
      <c r="S50" s="22"/>
      <c r="T50" s="22">
        <v>-3.07945367061262E-2</v>
      </c>
      <c r="U50" s="22">
        <v>-4.7290550316474E-2</v>
      </c>
      <c r="V50" s="22">
        <v>-1.4281730586507399E-2</v>
      </c>
      <c r="W50" s="22"/>
      <c r="X50" s="22"/>
      <c r="Y50" s="22">
        <v>4.4330124721606999E-4</v>
      </c>
      <c r="Z50" s="22">
        <v>4.4330125034977097E-4</v>
      </c>
      <c r="AA50" s="22">
        <v>2.6207493778773101E-3</v>
      </c>
      <c r="AB50" s="22"/>
      <c r="AC50" s="22"/>
      <c r="AD50" s="22"/>
      <c r="AE50" s="22"/>
      <c r="AF50" s="22"/>
      <c r="AG50" s="22"/>
      <c r="AH50" s="22" t="s">
        <v>748</v>
      </c>
      <c r="AI50" s="22"/>
      <c r="AJ50" s="22" t="s">
        <v>805</v>
      </c>
    </row>
    <row r="51" spans="1:36" ht="15" customHeight="1" x14ac:dyDescent="0.3">
      <c r="A51" s="22" t="s">
        <v>277</v>
      </c>
      <c r="B51" s="22" t="s">
        <v>278</v>
      </c>
      <c r="C51" s="22" t="s">
        <v>348</v>
      </c>
      <c r="D51" s="22" t="s">
        <v>349</v>
      </c>
      <c r="E51" s="22" t="s">
        <v>746</v>
      </c>
      <c r="F51" s="22" t="s">
        <v>747</v>
      </c>
      <c r="G51" s="22">
        <v>0.6</v>
      </c>
      <c r="H51" s="22">
        <v>710</v>
      </c>
      <c r="I51" s="22">
        <v>24</v>
      </c>
      <c r="J51" s="22">
        <v>24</v>
      </c>
      <c r="K51" s="22">
        <v>-3.2750932362007899E-2</v>
      </c>
      <c r="L51" s="22">
        <v>8.0395320535845503E-3</v>
      </c>
      <c r="M51" s="22">
        <v>-4.0737361507757601</v>
      </c>
      <c r="N51" s="22">
        <v>19.750396699526299</v>
      </c>
      <c r="O51" s="22">
        <v>6.0509631459134197E-4</v>
      </c>
      <c r="P51" s="22">
        <v>-4.9534699602205703E-2</v>
      </c>
      <c r="Q51" s="22">
        <v>-1.5967165121810099E-2</v>
      </c>
      <c r="R51" s="22"/>
      <c r="S51" s="22"/>
      <c r="T51" s="22">
        <v>-3.2739227576577101E-2</v>
      </c>
      <c r="U51" s="22">
        <v>-4.94942251191028E-2</v>
      </c>
      <c r="V51" s="22">
        <v>-1.5965808315334399E-2</v>
      </c>
      <c r="W51" s="22"/>
      <c r="X51" s="22"/>
      <c r="Y51" s="22">
        <v>4.76247560269024E-4</v>
      </c>
      <c r="Z51" s="22">
        <v>4.7624757886785503E-4</v>
      </c>
      <c r="AA51" s="22">
        <v>2.6289573364282298E-3</v>
      </c>
      <c r="AB51" s="22"/>
      <c r="AC51" s="22"/>
      <c r="AD51" s="22"/>
      <c r="AE51" s="22"/>
      <c r="AF51" s="22"/>
      <c r="AG51" s="22"/>
      <c r="AH51" s="22" t="s">
        <v>748</v>
      </c>
      <c r="AI51" s="22"/>
      <c r="AJ51" s="22" t="s">
        <v>806</v>
      </c>
    </row>
    <row r="52" spans="1:36" ht="15" customHeight="1" x14ac:dyDescent="0.3">
      <c r="A52" s="22" t="s">
        <v>277</v>
      </c>
      <c r="B52" s="22" t="s">
        <v>278</v>
      </c>
      <c r="C52" s="22" t="s">
        <v>351</v>
      </c>
      <c r="D52" s="22" t="s">
        <v>352</v>
      </c>
      <c r="E52" s="22" t="s">
        <v>746</v>
      </c>
      <c r="F52" s="22" t="s">
        <v>747</v>
      </c>
      <c r="G52" s="22">
        <v>0.6</v>
      </c>
      <c r="H52" s="22">
        <v>746</v>
      </c>
      <c r="I52" s="22">
        <v>25</v>
      </c>
      <c r="J52" s="22">
        <v>25</v>
      </c>
      <c r="K52" s="22">
        <v>-3.22553776481369E-2</v>
      </c>
      <c r="L52" s="22">
        <v>7.5734096506982302E-3</v>
      </c>
      <c r="M52" s="22">
        <v>-4.2590298340936998</v>
      </c>
      <c r="N52" s="22">
        <v>20.504603123139798</v>
      </c>
      <c r="O52" s="22">
        <v>3.6598568612403399E-4</v>
      </c>
      <c r="P52" s="22">
        <v>-4.8028347140043698E-2</v>
      </c>
      <c r="Q52" s="22">
        <v>-1.6482408156230199E-2</v>
      </c>
      <c r="R52" s="22"/>
      <c r="S52" s="22"/>
      <c r="T52" s="22">
        <v>-3.2244196035597902E-2</v>
      </c>
      <c r="U52" s="22">
        <v>-4.79914518321699E-2</v>
      </c>
      <c r="V52" s="22">
        <v>-1.6480915727684099E-2</v>
      </c>
      <c r="W52" s="22"/>
      <c r="X52" s="22"/>
      <c r="Y52" s="22">
        <v>4.3153460146588899E-4</v>
      </c>
      <c r="Z52" s="22">
        <v>4.3153463960959702E-4</v>
      </c>
      <c r="AA52" s="22">
        <v>2.6498444441417101E-3</v>
      </c>
      <c r="AB52" s="22"/>
      <c r="AC52" s="22"/>
      <c r="AD52" s="22"/>
      <c r="AE52" s="22"/>
      <c r="AF52" s="22"/>
      <c r="AG52" s="22"/>
      <c r="AH52" s="22" t="s">
        <v>748</v>
      </c>
      <c r="AI52" s="22"/>
      <c r="AJ52" s="22" t="s">
        <v>807</v>
      </c>
    </row>
    <row r="53" spans="1:36" ht="15" customHeight="1" x14ac:dyDescent="0.3">
      <c r="A53" s="22" t="s">
        <v>277</v>
      </c>
      <c r="B53" s="22" t="s">
        <v>278</v>
      </c>
      <c r="C53" s="22" t="s">
        <v>354</v>
      </c>
      <c r="D53" s="22" t="s">
        <v>355</v>
      </c>
      <c r="E53" s="22" t="s">
        <v>746</v>
      </c>
      <c r="F53" s="22" t="s">
        <v>747</v>
      </c>
      <c r="G53" s="22">
        <v>0.6</v>
      </c>
      <c r="H53" s="22">
        <v>748</v>
      </c>
      <c r="I53" s="22">
        <v>26</v>
      </c>
      <c r="J53" s="22">
        <v>26</v>
      </c>
      <c r="K53" s="22">
        <v>-3.2428965560345198E-2</v>
      </c>
      <c r="L53" s="22">
        <v>7.3918391343762001E-3</v>
      </c>
      <c r="M53" s="22">
        <v>-4.3871308575334496</v>
      </c>
      <c r="N53" s="22">
        <v>21.194907166824599</v>
      </c>
      <c r="O53" s="22">
        <v>2.5266797445765903E-4</v>
      </c>
      <c r="P53" s="22">
        <v>-4.7792533626922699E-2</v>
      </c>
      <c r="Q53" s="22">
        <v>-1.7065397493767599E-2</v>
      </c>
      <c r="R53" s="22"/>
      <c r="S53" s="22"/>
      <c r="T53" s="22">
        <v>-3.2417602498173097E-2</v>
      </c>
      <c r="U53" s="22">
        <v>-4.77561787816543E-2</v>
      </c>
      <c r="V53" s="22">
        <v>-1.70637410473869E-2</v>
      </c>
      <c r="W53" s="22"/>
      <c r="X53" s="22"/>
      <c r="Y53" s="22">
        <v>4.1605554208561801E-4</v>
      </c>
      <c r="Z53" s="22">
        <v>4.1605550501419802E-4</v>
      </c>
      <c r="AA53" s="22">
        <v>2.64185864888309E-3</v>
      </c>
      <c r="AB53" s="22"/>
      <c r="AC53" s="22"/>
      <c r="AD53" s="22"/>
      <c r="AE53" s="22"/>
      <c r="AF53" s="22"/>
      <c r="AG53" s="22"/>
      <c r="AH53" s="22" t="s">
        <v>748</v>
      </c>
      <c r="AI53" s="22"/>
      <c r="AJ53" s="22" t="s">
        <v>808</v>
      </c>
    </row>
    <row r="54" spans="1:36" ht="15" customHeight="1" x14ac:dyDescent="0.3">
      <c r="A54" s="22" t="s">
        <v>277</v>
      </c>
      <c r="B54" s="22" t="s">
        <v>278</v>
      </c>
      <c r="C54" s="22" t="s">
        <v>357</v>
      </c>
      <c r="D54" s="22" t="s">
        <v>358</v>
      </c>
      <c r="E54" s="22" t="s">
        <v>746</v>
      </c>
      <c r="F54" s="22" t="s">
        <v>747</v>
      </c>
      <c r="G54" s="22">
        <v>0.6</v>
      </c>
      <c r="H54" s="22">
        <v>753</v>
      </c>
      <c r="I54" s="22">
        <v>27</v>
      </c>
      <c r="J54" s="22">
        <v>27</v>
      </c>
      <c r="K54" s="22">
        <v>-3.1224025687986202E-2</v>
      </c>
      <c r="L54" s="22">
        <v>7.1965978238398903E-3</v>
      </c>
      <c r="M54" s="22">
        <v>-4.3387203859789896</v>
      </c>
      <c r="N54" s="22">
        <v>22.039771226940601</v>
      </c>
      <c r="O54" s="22">
        <v>2.6284456299696202E-4</v>
      </c>
      <c r="P54" s="22">
        <v>-4.6147294741682603E-2</v>
      </c>
      <c r="Q54" s="22">
        <v>-1.63007566342897E-2</v>
      </c>
      <c r="R54" s="22"/>
      <c r="S54" s="22"/>
      <c r="T54" s="22">
        <v>-3.1213882462001599E-2</v>
      </c>
      <c r="U54" s="22">
        <v>-4.6114564613800001E-2</v>
      </c>
      <c r="V54" s="22">
        <v>-1.62993130043542E-2</v>
      </c>
      <c r="W54" s="22"/>
      <c r="X54" s="22"/>
      <c r="Y54" s="22">
        <v>4.0241714651612602E-4</v>
      </c>
      <c r="Z54" s="22">
        <v>4.0241713727156002E-4</v>
      </c>
      <c r="AA54" s="22">
        <v>2.6644973964893301E-3</v>
      </c>
      <c r="AB54" s="22"/>
      <c r="AC54" s="22"/>
      <c r="AD54" s="22"/>
      <c r="AE54" s="22"/>
      <c r="AF54" s="22"/>
      <c r="AG54" s="22"/>
      <c r="AH54" s="22" t="s">
        <v>748</v>
      </c>
      <c r="AI54" s="22"/>
      <c r="AJ54" s="22" t="s">
        <v>809</v>
      </c>
    </row>
    <row r="55" spans="1:36" ht="15" customHeight="1" x14ac:dyDescent="0.3">
      <c r="A55" s="22" t="s">
        <v>277</v>
      </c>
      <c r="B55" s="22" t="s">
        <v>278</v>
      </c>
      <c r="C55" s="22" t="s">
        <v>360</v>
      </c>
      <c r="D55" s="22" t="s">
        <v>361</v>
      </c>
      <c r="E55" s="22" t="s">
        <v>746</v>
      </c>
      <c r="F55" s="22" t="s">
        <v>747</v>
      </c>
      <c r="G55" s="22">
        <v>0.6</v>
      </c>
      <c r="H55" s="22">
        <v>824</v>
      </c>
      <c r="I55" s="22">
        <v>28</v>
      </c>
      <c r="J55" s="22">
        <v>28</v>
      </c>
      <c r="K55" s="22">
        <v>-3.64095863268162E-2</v>
      </c>
      <c r="L55" s="22">
        <v>7.7474499376853703E-3</v>
      </c>
      <c r="M55" s="22">
        <v>-4.6995574827417297</v>
      </c>
      <c r="N55" s="22">
        <v>20.956701060304201</v>
      </c>
      <c r="O55" s="22">
        <v>1.2280418174711E-4</v>
      </c>
      <c r="P55" s="22">
        <v>-5.2523317657622401E-2</v>
      </c>
      <c r="Q55" s="22">
        <v>-2.0295854996009999E-2</v>
      </c>
      <c r="R55" s="22"/>
      <c r="S55" s="22"/>
      <c r="T55" s="22">
        <v>-3.63935059674068E-2</v>
      </c>
      <c r="U55" s="22">
        <v>-5.2475072221932199E-2</v>
      </c>
      <c r="V55" s="22">
        <v>-2.0293068687204902E-2</v>
      </c>
      <c r="W55" s="22"/>
      <c r="X55" s="22"/>
      <c r="Y55" s="22">
        <v>3.7021525530386102E-4</v>
      </c>
      <c r="Z55" s="22">
        <v>3.7021527297696001E-4</v>
      </c>
      <c r="AA55" s="22">
        <v>6.7187396492693402E-3</v>
      </c>
      <c r="AB55" s="22"/>
      <c r="AC55" s="22"/>
      <c r="AD55" s="22"/>
      <c r="AE55" s="22"/>
      <c r="AF55" s="22"/>
      <c r="AG55" s="22"/>
      <c r="AH55" s="22" t="s">
        <v>748</v>
      </c>
      <c r="AI55" s="22"/>
      <c r="AJ55" s="22" t="s">
        <v>810</v>
      </c>
    </row>
    <row r="56" spans="1:36" ht="15" customHeight="1" x14ac:dyDescent="0.3">
      <c r="A56" s="22" t="s">
        <v>277</v>
      </c>
      <c r="B56" s="22" t="s">
        <v>278</v>
      </c>
      <c r="C56" s="22" t="s">
        <v>363</v>
      </c>
      <c r="D56" s="22" t="s">
        <v>364</v>
      </c>
      <c r="E56" s="22" t="s">
        <v>746</v>
      </c>
      <c r="F56" s="22" t="s">
        <v>747</v>
      </c>
      <c r="G56" s="22">
        <v>0.6</v>
      </c>
      <c r="H56" s="22">
        <v>829</v>
      </c>
      <c r="I56" s="22">
        <v>29</v>
      </c>
      <c r="J56" s="22">
        <v>29</v>
      </c>
      <c r="K56" s="22">
        <v>-4.3651787844497497E-2</v>
      </c>
      <c r="L56" s="22">
        <v>9.3717063202964201E-3</v>
      </c>
      <c r="M56" s="22">
        <v>-4.65782711841495</v>
      </c>
      <c r="N56" s="22">
        <v>23.783764100309401</v>
      </c>
      <c r="O56" s="22">
        <v>1.0117852521011901E-4</v>
      </c>
      <c r="P56" s="22">
        <v>-6.3003349334590994E-2</v>
      </c>
      <c r="Q56" s="22">
        <v>-2.4300226354404E-2</v>
      </c>
      <c r="R56" s="22"/>
      <c r="S56" s="22"/>
      <c r="T56" s="22">
        <v>-4.3624083111680999E-2</v>
      </c>
      <c r="U56" s="22">
        <v>-6.2920119188108498E-2</v>
      </c>
      <c r="V56" s="22">
        <v>-2.4295444381243501E-2</v>
      </c>
      <c r="W56" s="22"/>
      <c r="X56" s="22"/>
      <c r="Y56" s="22">
        <v>7.1169197619754302E-4</v>
      </c>
      <c r="Z56" s="22">
        <v>7.1169195363810596E-4</v>
      </c>
      <c r="AA56" s="22">
        <v>7.00791349551564E-3</v>
      </c>
      <c r="AB56" s="22"/>
      <c r="AC56" s="22"/>
      <c r="AD56" s="22"/>
      <c r="AE56" s="22"/>
      <c r="AF56" s="22"/>
      <c r="AG56" s="22"/>
      <c r="AH56" s="22" t="s">
        <v>748</v>
      </c>
      <c r="AI56" s="22"/>
      <c r="AJ56" s="22" t="s">
        <v>811</v>
      </c>
    </row>
    <row r="57" spans="1:36" ht="15" customHeight="1" x14ac:dyDescent="0.3">
      <c r="A57" s="22" t="s">
        <v>277</v>
      </c>
      <c r="B57" s="22" t="s">
        <v>278</v>
      </c>
      <c r="C57" s="22" t="s">
        <v>366</v>
      </c>
      <c r="D57" s="22" t="s">
        <v>367</v>
      </c>
      <c r="E57" s="22" t="s">
        <v>746</v>
      </c>
      <c r="F57" s="22" t="s">
        <v>747</v>
      </c>
      <c r="G57" s="22">
        <v>0.6</v>
      </c>
      <c r="H57" s="22">
        <v>846</v>
      </c>
      <c r="I57" s="22">
        <v>30</v>
      </c>
      <c r="J57" s="22">
        <v>30</v>
      </c>
      <c r="K57" s="22">
        <v>-4.4835046334766898E-2</v>
      </c>
      <c r="L57" s="22">
        <v>9.2541884901211902E-3</v>
      </c>
      <c r="M57" s="22">
        <v>-4.8448382462306796</v>
      </c>
      <c r="N57" s="22">
        <v>24.6686949757751</v>
      </c>
      <c r="O57" s="22">
        <v>5.7562115603475003E-5</v>
      </c>
      <c r="P57" s="22">
        <v>-6.3907391863622695E-2</v>
      </c>
      <c r="Q57" s="22">
        <v>-2.5762700805911101E-2</v>
      </c>
      <c r="R57" s="22"/>
      <c r="S57" s="22"/>
      <c r="T57" s="22">
        <v>-4.4805028279461402E-2</v>
      </c>
      <c r="U57" s="22">
        <v>-6.3820531202792102E-2</v>
      </c>
      <c r="V57" s="22">
        <v>-2.57570026066616E-2</v>
      </c>
      <c r="W57" s="22"/>
      <c r="X57" s="22"/>
      <c r="Y57" s="22">
        <v>7.1294691497357499E-4</v>
      </c>
      <c r="Z57" s="22">
        <v>7.1294698742405604E-4</v>
      </c>
      <c r="AA57" s="22">
        <v>6.94171825022428E-3</v>
      </c>
      <c r="AB57" s="22"/>
      <c r="AC57" s="22"/>
      <c r="AD57" s="22"/>
      <c r="AE57" s="22"/>
      <c r="AF57" s="22"/>
      <c r="AG57" s="22"/>
      <c r="AH57" s="22" t="s">
        <v>748</v>
      </c>
      <c r="AI57" s="22"/>
      <c r="AJ57" s="22" t="s">
        <v>812</v>
      </c>
    </row>
    <row r="58" spans="1:36" ht="15" customHeight="1" x14ac:dyDescent="0.3">
      <c r="A58" s="22" t="s">
        <v>277</v>
      </c>
      <c r="B58" s="22" t="s">
        <v>278</v>
      </c>
      <c r="C58" s="22" t="s">
        <v>369</v>
      </c>
      <c r="D58" s="22" t="s">
        <v>370</v>
      </c>
      <c r="E58" s="22" t="s">
        <v>746</v>
      </c>
      <c r="F58" s="22" t="s">
        <v>747</v>
      </c>
      <c r="G58" s="22">
        <v>0.6</v>
      </c>
      <c r="H58" s="22">
        <v>908</v>
      </c>
      <c r="I58" s="22">
        <v>31</v>
      </c>
      <c r="J58" s="22">
        <v>31</v>
      </c>
      <c r="K58" s="22">
        <v>-4.3203175034757998E-2</v>
      </c>
      <c r="L58" s="22">
        <v>8.8853173222511704E-3</v>
      </c>
      <c r="M58" s="22">
        <v>-4.8623108739814898</v>
      </c>
      <c r="N58" s="22">
        <v>25.6808230757477</v>
      </c>
      <c r="O58" s="22">
        <v>4.98188693136468E-5</v>
      </c>
      <c r="P58" s="22">
        <v>-6.1478260606450397E-2</v>
      </c>
      <c r="Q58" s="22">
        <v>-2.49280894630656E-2</v>
      </c>
      <c r="R58" s="22"/>
      <c r="S58" s="22"/>
      <c r="T58" s="22">
        <v>-4.3176315306394597E-2</v>
      </c>
      <c r="U58" s="22">
        <v>-6.1400923594568099E-2</v>
      </c>
      <c r="V58" s="22">
        <v>-2.4922927227804901E-2</v>
      </c>
      <c r="W58" s="22"/>
      <c r="X58" s="22"/>
      <c r="Y58" s="22">
        <v>7.0062367617792197E-4</v>
      </c>
      <c r="Z58" s="22">
        <v>7.0062347248840305E-4</v>
      </c>
      <c r="AA58" s="22">
        <v>6.3752507732954301E-3</v>
      </c>
      <c r="AB58" s="22"/>
      <c r="AC58" s="22"/>
      <c r="AD58" s="22"/>
      <c r="AE58" s="22"/>
      <c r="AF58" s="22"/>
      <c r="AG58" s="22"/>
      <c r="AH58" s="22" t="s">
        <v>748</v>
      </c>
      <c r="AI58" s="22"/>
      <c r="AJ58" s="22" t="s">
        <v>813</v>
      </c>
    </row>
    <row r="59" spans="1:36" ht="15" customHeight="1" x14ac:dyDescent="0.3">
      <c r="A59" s="22" t="s">
        <v>277</v>
      </c>
      <c r="B59" s="22" t="s">
        <v>278</v>
      </c>
      <c r="C59" s="22" t="s">
        <v>372</v>
      </c>
      <c r="D59" s="22" t="s">
        <v>373</v>
      </c>
      <c r="E59" s="22" t="s">
        <v>746</v>
      </c>
      <c r="F59" s="22" t="s">
        <v>747</v>
      </c>
      <c r="G59" s="22">
        <v>0.6</v>
      </c>
      <c r="H59" s="22">
        <v>941</v>
      </c>
      <c r="I59" s="22">
        <v>32</v>
      </c>
      <c r="J59" s="22">
        <v>32</v>
      </c>
      <c r="K59" s="22">
        <v>-4.4879327509576801E-2</v>
      </c>
      <c r="L59" s="22">
        <v>8.7342022099596607E-3</v>
      </c>
      <c r="M59" s="22">
        <v>-5.1383430828290999</v>
      </c>
      <c r="N59" s="22">
        <v>26.772786437359802</v>
      </c>
      <c r="O59" s="22">
        <v>2.15021613031928E-5</v>
      </c>
      <c r="P59" s="22">
        <v>-6.2807549351911907E-2</v>
      </c>
      <c r="Q59" s="22">
        <v>-2.6951105667241699E-2</v>
      </c>
      <c r="R59" s="22"/>
      <c r="S59" s="22"/>
      <c r="T59" s="22">
        <v>-4.4849220472523897E-2</v>
      </c>
      <c r="U59" s="22">
        <v>-6.2725091965890795E-2</v>
      </c>
      <c r="V59" s="22">
        <v>-2.6944582142071599E-2</v>
      </c>
      <c r="W59" s="22"/>
      <c r="X59" s="22"/>
      <c r="Y59" s="22">
        <v>7.1389051039386E-4</v>
      </c>
      <c r="Z59" s="22">
        <v>7.1389051506763797E-4</v>
      </c>
      <c r="AA59" s="22">
        <v>6.2139389175590899E-3</v>
      </c>
      <c r="AB59" s="22"/>
      <c r="AC59" s="22"/>
      <c r="AD59" s="22"/>
      <c r="AE59" s="22"/>
      <c r="AF59" s="22"/>
      <c r="AG59" s="22"/>
      <c r="AH59" s="22" t="s">
        <v>748</v>
      </c>
      <c r="AI59" s="22"/>
      <c r="AJ59" s="22" t="s">
        <v>814</v>
      </c>
    </row>
    <row r="60" spans="1:36" ht="15" customHeight="1" x14ac:dyDescent="0.3">
      <c r="A60" s="22" t="s">
        <v>277</v>
      </c>
      <c r="B60" s="22" t="s">
        <v>278</v>
      </c>
      <c r="C60" s="22" t="s">
        <v>375</v>
      </c>
      <c r="D60" s="22" t="s">
        <v>376</v>
      </c>
      <c r="E60" s="22" t="s">
        <v>746</v>
      </c>
      <c r="F60" s="22" t="s">
        <v>747</v>
      </c>
      <c r="G60" s="22">
        <v>0.6</v>
      </c>
      <c r="H60" s="22">
        <v>943</v>
      </c>
      <c r="I60" s="22">
        <v>33</v>
      </c>
      <c r="J60" s="22">
        <v>33</v>
      </c>
      <c r="K60" s="22">
        <v>-4.48026991968647E-2</v>
      </c>
      <c r="L60" s="22">
        <v>8.5790025739045095E-3</v>
      </c>
      <c r="M60" s="22">
        <v>-5.2223669139749296</v>
      </c>
      <c r="N60" s="22">
        <v>27.366061461511201</v>
      </c>
      <c r="O60" s="22">
        <v>1.6126386835082099E-5</v>
      </c>
      <c r="P60" s="22">
        <v>-6.2394347569323598E-2</v>
      </c>
      <c r="Q60" s="22">
        <v>-2.72110508244057E-2</v>
      </c>
      <c r="R60" s="22"/>
      <c r="S60" s="22"/>
      <c r="T60" s="22">
        <v>-4.4772746031357301E-2</v>
      </c>
      <c r="U60" s="22">
        <v>-6.2313505255621897E-2</v>
      </c>
      <c r="V60" s="22">
        <v>-2.7204336751118802E-2</v>
      </c>
      <c r="W60" s="22"/>
      <c r="X60" s="22"/>
      <c r="Y60" s="22">
        <v>6.9270353309119795E-4</v>
      </c>
      <c r="Z60" s="22">
        <v>6.9270381950916303E-4</v>
      </c>
      <c r="AA60" s="22">
        <v>6.2009049530030403E-3</v>
      </c>
      <c r="AB60" s="22"/>
      <c r="AC60" s="22"/>
      <c r="AD60" s="22"/>
      <c r="AE60" s="22"/>
      <c r="AF60" s="22"/>
      <c r="AG60" s="22"/>
      <c r="AH60" s="22" t="s">
        <v>748</v>
      </c>
      <c r="AI60" s="22"/>
      <c r="AJ60" s="22" t="s">
        <v>815</v>
      </c>
    </row>
    <row r="61" spans="1:36" ht="15" customHeight="1" x14ac:dyDescent="0.3">
      <c r="A61" s="22" t="s">
        <v>277</v>
      </c>
      <c r="B61" s="22" t="s">
        <v>278</v>
      </c>
      <c r="C61" s="22" t="s">
        <v>378</v>
      </c>
      <c r="D61" s="22" t="s">
        <v>379</v>
      </c>
      <c r="E61" s="22" t="s">
        <v>746</v>
      </c>
      <c r="F61" s="22" t="s">
        <v>747</v>
      </c>
      <c r="G61" s="22">
        <v>0.6</v>
      </c>
      <c r="H61" s="22">
        <v>975</v>
      </c>
      <c r="I61" s="22">
        <v>34</v>
      </c>
      <c r="J61" s="22">
        <v>34</v>
      </c>
      <c r="K61" s="22">
        <v>-4.3575550169884403E-2</v>
      </c>
      <c r="L61" s="22">
        <v>8.1821297030882697E-3</v>
      </c>
      <c r="M61" s="22">
        <v>-5.3256978013239298</v>
      </c>
      <c r="N61" s="22">
        <v>28.044631951278799</v>
      </c>
      <c r="O61" s="22">
        <v>1.13367960797676E-5</v>
      </c>
      <c r="P61" s="22">
        <v>-6.0334681489781702E-2</v>
      </c>
      <c r="Q61" s="22">
        <v>-2.68164188499871E-2</v>
      </c>
      <c r="R61" s="22"/>
      <c r="S61" s="22"/>
      <c r="T61" s="22">
        <v>-4.3547990269062802E-2</v>
      </c>
      <c r="U61" s="22">
        <v>-6.0261576350464502E-2</v>
      </c>
      <c r="V61" s="22">
        <v>-2.68099926212391E-2</v>
      </c>
      <c r="W61" s="22"/>
      <c r="X61" s="22"/>
      <c r="Y61" s="22">
        <v>6.4454955800716295E-4</v>
      </c>
      <c r="Z61" s="22">
        <v>6.4454952207090204E-4</v>
      </c>
      <c r="AA61" s="22">
        <v>6.14921139286517E-3</v>
      </c>
      <c r="AB61" s="22"/>
      <c r="AC61" s="22"/>
      <c r="AD61" s="22"/>
      <c r="AE61" s="22"/>
      <c r="AF61" s="22"/>
      <c r="AG61" s="22"/>
      <c r="AH61" s="22" t="s">
        <v>748</v>
      </c>
      <c r="AI61" s="22"/>
      <c r="AJ61" s="22" t="s">
        <v>816</v>
      </c>
    </row>
    <row r="62" spans="1:36" ht="15" customHeight="1" x14ac:dyDescent="0.3">
      <c r="A62" s="22" t="s">
        <v>277</v>
      </c>
      <c r="B62" s="22" t="s">
        <v>278</v>
      </c>
      <c r="C62" s="22" t="s">
        <v>381</v>
      </c>
      <c r="D62" s="22" t="s">
        <v>382</v>
      </c>
      <c r="E62" s="22" t="s">
        <v>746</v>
      </c>
      <c r="F62" s="22" t="s">
        <v>747</v>
      </c>
      <c r="G62" s="22">
        <v>0.6</v>
      </c>
      <c r="H62" s="22">
        <v>985</v>
      </c>
      <c r="I62" s="22">
        <v>35</v>
      </c>
      <c r="J62" s="22">
        <v>35</v>
      </c>
      <c r="K62" s="22">
        <v>-4.3557788263798101E-2</v>
      </c>
      <c r="L62" s="22">
        <v>7.9750423411139894E-3</v>
      </c>
      <c r="M62" s="22">
        <v>-5.4617626340669299</v>
      </c>
      <c r="N62" s="22">
        <v>28.807365096081899</v>
      </c>
      <c r="O62" s="22">
        <v>7.1837493670045303E-6</v>
      </c>
      <c r="P62" s="22">
        <v>-5.9873320237777999E-2</v>
      </c>
      <c r="Q62" s="22">
        <v>-2.7242256289818099E-2</v>
      </c>
      <c r="R62" s="22"/>
      <c r="S62" s="22"/>
      <c r="T62" s="22">
        <v>-4.3530262033432E-2</v>
      </c>
      <c r="U62" s="22">
        <v>-5.9801877764190901E-2</v>
      </c>
      <c r="V62" s="22">
        <v>-2.72355190956356E-2</v>
      </c>
      <c r="W62" s="22"/>
      <c r="X62" s="22"/>
      <c r="Y62" s="22">
        <v>6.1853921939233197E-4</v>
      </c>
      <c r="Z62" s="22">
        <v>6.1853928273246004E-4</v>
      </c>
      <c r="AA62" s="22">
        <v>6.1056748024647597E-3</v>
      </c>
      <c r="AB62" s="22"/>
      <c r="AC62" s="22"/>
      <c r="AD62" s="22"/>
      <c r="AE62" s="22"/>
      <c r="AF62" s="22"/>
      <c r="AG62" s="22"/>
      <c r="AH62" s="22" t="s">
        <v>748</v>
      </c>
      <c r="AI62" s="22"/>
      <c r="AJ62" s="22" t="s">
        <v>817</v>
      </c>
    </row>
    <row r="63" spans="1:36" ht="15" customHeight="1" x14ac:dyDescent="0.3">
      <c r="A63" s="22" t="s">
        <v>277</v>
      </c>
      <c r="B63" s="22" t="s">
        <v>278</v>
      </c>
      <c r="C63" s="22" t="s">
        <v>384</v>
      </c>
      <c r="D63" s="22" t="s">
        <v>385</v>
      </c>
      <c r="E63" s="22" t="s">
        <v>746</v>
      </c>
      <c r="F63" s="22" t="s">
        <v>747</v>
      </c>
      <c r="G63" s="22">
        <v>0.6</v>
      </c>
      <c r="H63" s="22">
        <v>1009</v>
      </c>
      <c r="I63" s="22">
        <v>36</v>
      </c>
      <c r="J63" s="22">
        <v>36</v>
      </c>
      <c r="K63" s="22">
        <v>-4.3478997569362597E-2</v>
      </c>
      <c r="L63" s="22">
        <v>7.6741146834317696E-3</v>
      </c>
      <c r="M63" s="22">
        <v>-5.6656695088532798</v>
      </c>
      <c r="N63" s="22">
        <v>29.669390423058601</v>
      </c>
      <c r="O63" s="22">
        <v>3.6986722910547999E-6</v>
      </c>
      <c r="P63" s="22">
        <v>-5.9158957261238598E-2</v>
      </c>
      <c r="Q63" s="22">
        <v>-2.7799037877486599E-2</v>
      </c>
      <c r="R63" s="22"/>
      <c r="S63" s="22"/>
      <c r="T63" s="22">
        <v>-4.3451620368639303E-2</v>
      </c>
      <c r="U63" s="22">
        <v>-5.9090039249834303E-2</v>
      </c>
      <c r="V63" s="22">
        <v>-2.77918791832098E-2</v>
      </c>
      <c r="W63" s="22"/>
      <c r="X63" s="22"/>
      <c r="Y63" s="22">
        <v>5.8654706356048498E-4</v>
      </c>
      <c r="Z63" s="22">
        <v>5.8654716972366598E-4</v>
      </c>
      <c r="AA63" s="22">
        <v>5.9274004584892103E-3</v>
      </c>
      <c r="AB63" s="22"/>
      <c r="AC63" s="22"/>
      <c r="AD63" s="22"/>
      <c r="AE63" s="22"/>
      <c r="AF63" s="22"/>
      <c r="AG63" s="22"/>
      <c r="AH63" s="22" t="s">
        <v>748</v>
      </c>
      <c r="AI63" s="22"/>
      <c r="AJ63" s="22" t="s">
        <v>818</v>
      </c>
    </row>
    <row r="64" spans="1:36" ht="15" customHeight="1" x14ac:dyDescent="0.3">
      <c r="A64" s="22" t="s">
        <v>277</v>
      </c>
      <c r="B64" s="22" t="s">
        <v>278</v>
      </c>
      <c r="C64" s="22" t="s">
        <v>387</v>
      </c>
      <c r="D64" s="22" t="s">
        <v>388</v>
      </c>
      <c r="E64" s="22" t="s">
        <v>746</v>
      </c>
      <c r="F64" s="22" t="s">
        <v>747</v>
      </c>
      <c r="G64" s="22">
        <v>0.6</v>
      </c>
      <c r="H64" s="22">
        <v>1044</v>
      </c>
      <c r="I64" s="22">
        <v>37</v>
      </c>
      <c r="J64" s="22">
        <v>37</v>
      </c>
      <c r="K64" s="22">
        <v>-4.2601142521281901E-2</v>
      </c>
      <c r="L64" s="22">
        <v>7.4003330800283002E-3</v>
      </c>
      <c r="M64" s="22">
        <v>-5.7566520399267</v>
      </c>
      <c r="N64" s="22">
        <v>30.540680508410901</v>
      </c>
      <c r="O64" s="22">
        <v>2.5887698931523902E-6</v>
      </c>
      <c r="P64" s="22">
        <v>-5.7703426981130901E-2</v>
      </c>
      <c r="Q64" s="22">
        <v>-2.7498858061432901E-2</v>
      </c>
      <c r="R64" s="22"/>
      <c r="S64" s="22"/>
      <c r="T64" s="22">
        <v>-4.2575389550849899E-2</v>
      </c>
      <c r="U64" s="22">
        <v>-5.76394674114558E-2</v>
      </c>
      <c r="V64" s="22">
        <v>-2.7491928729262802E-2</v>
      </c>
      <c r="W64" s="22"/>
      <c r="X64" s="22"/>
      <c r="Y64" s="22">
        <v>5.5854129109407904E-4</v>
      </c>
      <c r="Z64" s="22">
        <v>5.5854123763742099E-4</v>
      </c>
      <c r="AA64" s="22">
        <v>5.7698200833479702E-3</v>
      </c>
      <c r="AB64" s="22"/>
      <c r="AC64" s="22"/>
      <c r="AD64" s="22"/>
      <c r="AE64" s="22"/>
      <c r="AF64" s="22"/>
      <c r="AG64" s="22"/>
      <c r="AH64" s="22" t="s">
        <v>748</v>
      </c>
      <c r="AI64" s="22"/>
      <c r="AJ64" s="22" t="s">
        <v>819</v>
      </c>
    </row>
    <row r="65" spans="1:36" ht="15" customHeight="1" x14ac:dyDescent="0.3">
      <c r="A65" s="22" t="s">
        <v>277</v>
      </c>
      <c r="B65" s="22" t="s">
        <v>278</v>
      </c>
      <c r="C65" s="22" t="s">
        <v>390</v>
      </c>
      <c r="D65" s="22" t="s">
        <v>391</v>
      </c>
      <c r="E65" s="22" t="s">
        <v>746</v>
      </c>
      <c r="F65" s="22" t="s">
        <v>747</v>
      </c>
      <c r="G65" s="22">
        <v>0.6</v>
      </c>
      <c r="H65" s="22">
        <v>1046</v>
      </c>
      <c r="I65" s="22">
        <v>38</v>
      </c>
      <c r="J65" s="22">
        <v>38</v>
      </c>
      <c r="K65" s="22">
        <v>-9.4822762299619098E-2</v>
      </c>
      <c r="L65" s="22">
        <v>4.3435399901839401E-2</v>
      </c>
      <c r="M65" s="22">
        <v>-2.1830756137599998</v>
      </c>
      <c r="N65" s="22">
        <v>36.939710162055697</v>
      </c>
      <c r="O65" s="22">
        <v>3.5460475530038497E-2</v>
      </c>
      <c r="P65" s="22">
        <v>-0.182836091001669</v>
      </c>
      <c r="Q65" s="22">
        <v>-6.8094335975694698E-3</v>
      </c>
      <c r="R65" s="22"/>
      <c r="S65" s="22"/>
      <c r="T65" s="22">
        <v>-9.4539585634123693E-2</v>
      </c>
      <c r="U65" s="22">
        <v>-0.18082562513645301</v>
      </c>
      <c r="V65" s="22">
        <v>-6.8093283520398503E-3</v>
      </c>
      <c r="W65" s="22"/>
      <c r="X65" s="22"/>
      <c r="Y65" s="22">
        <v>3.4631214858129901E-2</v>
      </c>
      <c r="Z65" s="22">
        <v>3.4631221164171201E-2</v>
      </c>
      <c r="AA65" s="22">
        <v>1.19165454490413E-2</v>
      </c>
      <c r="AB65" s="22"/>
      <c r="AC65" s="22"/>
      <c r="AD65" s="22"/>
      <c r="AE65" s="22"/>
      <c r="AF65" s="22"/>
      <c r="AG65" s="22"/>
      <c r="AH65" s="22" t="s">
        <v>748</v>
      </c>
      <c r="AI65" s="22"/>
      <c r="AJ65" s="22" t="s">
        <v>820</v>
      </c>
    </row>
    <row r="66" spans="1:36" ht="15" customHeight="1" x14ac:dyDescent="0.3">
      <c r="A66" s="22" t="s">
        <v>277</v>
      </c>
      <c r="B66" s="22" t="s">
        <v>278</v>
      </c>
      <c r="C66" s="22" t="s">
        <v>393</v>
      </c>
      <c r="D66" s="22" t="s">
        <v>394</v>
      </c>
      <c r="E66" s="22" t="s">
        <v>746</v>
      </c>
      <c r="F66" s="22" t="s">
        <v>747</v>
      </c>
      <c r="G66" s="22">
        <v>0.6</v>
      </c>
      <c r="H66" s="22">
        <v>1068</v>
      </c>
      <c r="I66" s="22">
        <v>39</v>
      </c>
      <c r="J66" s="22">
        <v>39</v>
      </c>
      <c r="K66" s="22">
        <v>-9.1481523313858004E-2</v>
      </c>
      <c r="L66" s="22">
        <v>4.2420846123509701E-2</v>
      </c>
      <c r="M66" s="22">
        <v>-2.1565228342571601</v>
      </c>
      <c r="N66" s="22">
        <v>37.938987987692599</v>
      </c>
      <c r="O66" s="22">
        <v>3.7445714100558802E-2</v>
      </c>
      <c r="P66" s="22">
        <v>-0.177362572121818</v>
      </c>
      <c r="Q66" s="22">
        <v>-5.60047450589851E-3</v>
      </c>
      <c r="R66" s="22"/>
      <c r="S66" s="22"/>
      <c r="T66" s="22">
        <v>-9.1227175755708698E-2</v>
      </c>
      <c r="U66" s="22">
        <v>-0.17552588636230501</v>
      </c>
      <c r="V66" s="22">
        <v>-5.6004159530846902E-3</v>
      </c>
      <c r="W66" s="22"/>
      <c r="X66" s="22"/>
      <c r="Y66" s="22">
        <v>3.39127329293833E-2</v>
      </c>
      <c r="Z66" s="22">
        <v>3.3912727914299799E-2</v>
      </c>
      <c r="AA66" s="22">
        <v>1.16671270667742E-2</v>
      </c>
      <c r="AB66" s="22"/>
      <c r="AC66" s="22"/>
      <c r="AD66" s="22"/>
      <c r="AE66" s="22"/>
      <c r="AF66" s="22"/>
      <c r="AG66" s="22"/>
      <c r="AH66" s="22" t="s">
        <v>748</v>
      </c>
      <c r="AI66" s="22"/>
      <c r="AJ66" s="22" t="s">
        <v>821</v>
      </c>
    </row>
    <row r="67" spans="1:36" ht="15" customHeight="1" x14ac:dyDescent="0.3">
      <c r="A67" s="22" t="s">
        <v>277</v>
      </c>
      <c r="B67" s="22" t="s">
        <v>278</v>
      </c>
      <c r="C67" s="22" t="s">
        <v>396</v>
      </c>
      <c r="D67" s="22" t="s">
        <v>397</v>
      </c>
      <c r="E67" s="22" t="s">
        <v>746</v>
      </c>
      <c r="F67" s="22" t="s">
        <v>747</v>
      </c>
      <c r="G67" s="22">
        <v>0.6</v>
      </c>
      <c r="H67" s="22">
        <v>1085</v>
      </c>
      <c r="I67" s="22">
        <v>40</v>
      </c>
      <c r="J67" s="22">
        <v>40</v>
      </c>
      <c r="K67" s="22">
        <v>-9.0149837317972298E-2</v>
      </c>
      <c r="L67" s="22">
        <v>4.1324258108550303E-2</v>
      </c>
      <c r="M67" s="22">
        <v>-2.18152343064859</v>
      </c>
      <c r="N67" s="22">
        <v>38.936882300193702</v>
      </c>
      <c r="O67" s="22">
        <v>3.5246385119992403E-2</v>
      </c>
      <c r="P67" s="22">
        <v>-0.17374037134141301</v>
      </c>
      <c r="Q67" s="22">
        <v>-6.5593032945312803E-3</v>
      </c>
      <c r="R67" s="22"/>
      <c r="S67" s="22"/>
      <c r="T67" s="22">
        <v>-8.9906412906763003E-2</v>
      </c>
      <c r="U67" s="22">
        <v>-0.17201306513214301</v>
      </c>
      <c r="V67" s="22">
        <v>-6.5592092259900703E-3</v>
      </c>
      <c r="W67" s="22"/>
      <c r="X67" s="22"/>
      <c r="Y67" s="22">
        <v>3.3010045595959797E-2</v>
      </c>
      <c r="Z67" s="22">
        <v>3.3010056130987502E-2</v>
      </c>
      <c r="AA67" s="22">
        <v>1.14907057010857E-2</v>
      </c>
      <c r="AB67" s="22"/>
      <c r="AC67" s="22"/>
      <c r="AD67" s="22"/>
      <c r="AE67" s="22"/>
      <c r="AF67" s="22"/>
      <c r="AG67" s="22"/>
      <c r="AH67" s="22" t="s">
        <v>748</v>
      </c>
      <c r="AI67" s="22"/>
      <c r="AJ67" s="22" t="s">
        <v>822</v>
      </c>
    </row>
    <row r="68" spans="1:36" ht="15" customHeight="1" x14ac:dyDescent="0.3">
      <c r="A68" s="22" t="s">
        <v>277</v>
      </c>
      <c r="B68" s="22" t="s">
        <v>278</v>
      </c>
      <c r="C68" s="22" t="s">
        <v>399</v>
      </c>
      <c r="D68" s="22" t="s">
        <v>400</v>
      </c>
      <c r="E68" s="22" t="s">
        <v>746</v>
      </c>
      <c r="F68" s="22" t="s">
        <v>747</v>
      </c>
      <c r="G68" s="22">
        <v>0.6</v>
      </c>
      <c r="H68" s="22">
        <v>1087</v>
      </c>
      <c r="I68" s="22">
        <v>41</v>
      </c>
      <c r="J68" s="22">
        <v>41</v>
      </c>
      <c r="K68" s="22">
        <v>-8.7771545498822795E-2</v>
      </c>
      <c r="L68" s="22">
        <v>4.0377466029036801E-2</v>
      </c>
      <c r="M68" s="22">
        <v>-2.1737754775325202</v>
      </c>
      <c r="N68" s="22">
        <v>39.930900442654398</v>
      </c>
      <c r="O68" s="22">
        <v>3.5709298778651401E-2</v>
      </c>
      <c r="P68" s="22">
        <v>-0.16938184760958999</v>
      </c>
      <c r="Q68" s="22">
        <v>-6.1612433880556096E-3</v>
      </c>
      <c r="R68" s="22"/>
      <c r="S68" s="22"/>
      <c r="T68" s="22">
        <v>-8.7546845125546696E-2</v>
      </c>
      <c r="U68" s="22">
        <v>-0.16778035699987001</v>
      </c>
      <c r="V68" s="22">
        <v>-6.1611654270834404E-3</v>
      </c>
      <c r="W68" s="22"/>
      <c r="X68" s="22"/>
      <c r="Y68" s="22">
        <v>3.22312341337955E-2</v>
      </c>
      <c r="Z68" s="22">
        <v>3.2231171665991501E-2</v>
      </c>
      <c r="AA68" s="22">
        <v>1.14799281314745E-2</v>
      </c>
      <c r="AB68" s="22"/>
      <c r="AC68" s="22"/>
      <c r="AD68" s="22"/>
      <c r="AE68" s="22"/>
      <c r="AF68" s="22"/>
      <c r="AG68" s="22"/>
      <c r="AH68" s="22" t="s">
        <v>748</v>
      </c>
      <c r="AI68" s="22"/>
      <c r="AJ68" s="22" t="s">
        <v>823</v>
      </c>
    </row>
    <row r="69" spans="1:36" ht="15" customHeight="1" x14ac:dyDescent="0.3">
      <c r="A69" s="22" t="s">
        <v>277</v>
      </c>
      <c r="B69" s="22" t="s">
        <v>278</v>
      </c>
      <c r="C69" s="22" t="s">
        <v>402</v>
      </c>
      <c r="D69" s="22" t="s">
        <v>403</v>
      </c>
      <c r="E69" s="22" t="s">
        <v>746</v>
      </c>
      <c r="F69" s="22" t="s">
        <v>747</v>
      </c>
      <c r="G69" s="22">
        <v>0.6</v>
      </c>
      <c r="H69" s="22">
        <v>1119</v>
      </c>
      <c r="I69" s="22">
        <v>42</v>
      </c>
      <c r="J69" s="22">
        <v>42</v>
      </c>
      <c r="K69" s="22">
        <v>-8.3211139045078306E-2</v>
      </c>
      <c r="L69" s="22">
        <v>3.9687917743201899E-2</v>
      </c>
      <c r="M69" s="22">
        <v>-2.0966365528040698</v>
      </c>
      <c r="N69" s="22">
        <v>40.932020713697099</v>
      </c>
      <c r="O69" s="22">
        <v>4.2248348274447498E-2</v>
      </c>
      <c r="P69" s="22">
        <v>-0.16336655773265299</v>
      </c>
      <c r="Q69" s="22">
        <v>-3.0557203575031799E-3</v>
      </c>
      <c r="R69" s="22"/>
      <c r="S69" s="22"/>
      <c r="T69" s="22">
        <v>-8.3019615571381197E-2</v>
      </c>
      <c r="U69" s="22">
        <v>-0.16192856369797101</v>
      </c>
      <c r="V69" s="22">
        <v>-3.0557108466835398E-3</v>
      </c>
      <c r="W69" s="22"/>
      <c r="X69" s="22"/>
      <c r="Y69" s="22">
        <v>3.1934137295679801E-2</v>
      </c>
      <c r="Z69" s="22">
        <v>3.1934136328671703E-2</v>
      </c>
      <c r="AA69" s="22">
        <v>1.11466769447738E-2</v>
      </c>
      <c r="AB69" s="22"/>
      <c r="AC69" s="22"/>
      <c r="AD69" s="22"/>
      <c r="AE69" s="22"/>
      <c r="AF69" s="22"/>
      <c r="AG69" s="22"/>
      <c r="AH69" s="22" t="s">
        <v>748</v>
      </c>
      <c r="AI69" s="22"/>
      <c r="AJ69" s="22" t="s">
        <v>824</v>
      </c>
    </row>
    <row r="70" spans="1:36" ht="15" customHeight="1" x14ac:dyDescent="0.3">
      <c r="A70" s="22" t="s">
        <v>277</v>
      </c>
      <c r="B70" s="22" t="s">
        <v>278</v>
      </c>
      <c r="C70" s="22" t="s">
        <v>405</v>
      </c>
      <c r="D70" s="22" t="s">
        <v>406</v>
      </c>
      <c r="E70" s="22" t="s">
        <v>746</v>
      </c>
      <c r="F70" s="22" t="s">
        <v>747</v>
      </c>
      <c r="G70" s="22">
        <v>0.6</v>
      </c>
      <c r="H70" s="22">
        <v>1175</v>
      </c>
      <c r="I70" s="22">
        <v>43</v>
      </c>
      <c r="J70" s="22">
        <v>43</v>
      </c>
      <c r="K70" s="22">
        <v>-8.1506532834496506E-2</v>
      </c>
      <c r="L70" s="22">
        <v>3.8826720551832401E-2</v>
      </c>
      <c r="M70" s="22">
        <v>-2.0992381451760198</v>
      </c>
      <c r="N70" s="22">
        <v>41.933095871690703</v>
      </c>
      <c r="O70" s="22">
        <v>4.1855463000740299E-2</v>
      </c>
      <c r="P70" s="22">
        <v>-0.15986573109138599</v>
      </c>
      <c r="Q70" s="22">
        <v>-3.14733457760714E-3</v>
      </c>
      <c r="R70" s="22"/>
      <c r="S70" s="22"/>
      <c r="T70" s="22">
        <v>-8.1326519984322901E-2</v>
      </c>
      <c r="U70" s="22">
        <v>-0.158517612062338</v>
      </c>
      <c r="V70" s="22">
        <v>-3.1473241854486E-3</v>
      </c>
      <c r="W70" s="22"/>
      <c r="X70" s="22"/>
      <c r="Y70" s="22">
        <v>3.13228348212191E-2</v>
      </c>
      <c r="Z70" s="22">
        <v>3.1322941185609098E-2</v>
      </c>
      <c r="AA70" s="22">
        <v>1.06973171807786E-2</v>
      </c>
      <c r="AB70" s="22"/>
      <c r="AC70" s="22"/>
      <c r="AD70" s="22"/>
      <c r="AE70" s="22"/>
      <c r="AF70" s="22"/>
      <c r="AG70" s="22"/>
      <c r="AH70" s="22" t="s">
        <v>748</v>
      </c>
      <c r="AI70" s="22"/>
      <c r="AJ70" s="22" t="s">
        <v>825</v>
      </c>
    </row>
    <row r="71" spans="1:36" ht="15" customHeight="1" x14ac:dyDescent="0.3">
      <c r="A71" s="22" t="s">
        <v>277</v>
      </c>
      <c r="B71" s="22" t="s">
        <v>278</v>
      </c>
      <c r="C71" s="22" t="s">
        <v>408</v>
      </c>
      <c r="D71" s="22" t="s">
        <v>409</v>
      </c>
      <c r="E71" s="22" t="s">
        <v>746</v>
      </c>
      <c r="F71" s="22" t="s">
        <v>747</v>
      </c>
      <c r="G71" s="22">
        <v>0.6</v>
      </c>
      <c r="H71" s="22">
        <v>1185</v>
      </c>
      <c r="I71" s="22">
        <v>44</v>
      </c>
      <c r="J71" s="22">
        <v>44</v>
      </c>
      <c r="K71" s="22">
        <v>-8.05343733590419E-2</v>
      </c>
      <c r="L71" s="22">
        <v>3.79053670093525E-2</v>
      </c>
      <c r="M71" s="22">
        <v>-2.1246166364560302</v>
      </c>
      <c r="N71" s="22">
        <v>42.930706432073599</v>
      </c>
      <c r="O71" s="22">
        <v>3.9416456601819097E-2</v>
      </c>
      <c r="P71" s="22">
        <v>-0.15698139965213001</v>
      </c>
      <c r="Q71" s="22">
        <v>-4.0873470659540398E-3</v>
      </c>
      <c r="R71" s="22"/>
      <c r="S71" s="22"/>
      <c r="T71" s="22">
        <v>-8.0360714319808804E-2</v>
      </c>
      <c r="U71" s="22">
        <v>-0.155704479210828</v>
      </c>
      <c r="V71" s="22">
        <v>-4.0873243044795803E-3</v>
      </c>
      <c r="W71" s="22"/>
      <c r="X71" s="22"/>
      <c r="Y71" s="22">
        <v>3.0538949563302501E-2</v>
      </c>
      <c r="Z71" s="22">
        <v>3.0538939017939099E-2</v>
      </c>
      <c r="AA71" s="22">
        <v>1.06042123801178E-2</v>
      </c>
      <c r="AB71" s="22"/>
      <c r="AC71" s="22"/>
      <c r="AD71" s="22"/>
      <c r="AE71" s="22"/>
      <c r="AF71" s="22"/>
      <c r="AG71" s="22"/>
      <c r="AH71" s="22" t="s">
        <v>748</v>
      </c>
      <c r="AI71" s="22"/>
      <c r="AJ71" s="22" t="s">
        <v>826</v>
      </c>
    </row>
    <row r="72" spans="1:36" ht="15" customHeight="1" x14ac:dyDescent="0.3">
      <c r="A72" s="22" t="s">
        <v>277</v>
      </c>
      <c r="B72" s="22" t="s">
        <v>278</v>
      </c>
      <c r="C72" s="22" t="s">
        <v>411</v>
      </c>
      <c r="D72" s="22" t="s">
        <v>412</v>
      </c>
      <c r="E72" s="22" t="s">
        <v>746</v>
      </c>
      <c r="F72" s="22" t="s">
        <v>747</v>
      </c>
      <c r="G72" s="22">
        <v>0.6</v>
      </c>
      <c r="H72" s="22">
        <v>1197</v>
      </c>
      <c r="I72" s="22">
        <v>45</v>
      </c>
      <c r="J72" s="22">
        <v>45</v>
      </c>
      <c r="K72" s="22">
        <v>-8.0737562175195995E-2</v>
      </c>
      <c r="L72" s="22">
        <v>3.70399740382042E-2</v>
      </c>
      <c r="M72" s="22">
        <v>-2.17974132735409</v>
      </c>
      <c r="N72" s="22">
        <v>43.928149615170199</v>
      </c>
      <c r="O72" s="22">
        <v>3.4680203334865697E-2</v>
      </c>
      <c r="P72" s="22">
        <v>-0.15539017356542101</v>
      </c>
      <c r="Q72" s="22">
        <v>-6.0849507849714702E-3</v>
      </c>
      <c r="R72" s="22"/>
      <c r="S72" s="22"/>
      <c r="T72" s="22">
        <v>-8.0562587675156394E-2</v>
      </c>
      <c r="U72" s="22">
        <v>-0.15415144715606799</v>
      </c>
      <c r="V72" s="22">
        <v>-6.08487568435133E-3</v>
      </c>
      <c r="W72" s="22"/>
      <c r="X72" s="22"/>
      <c r="Y72" s="22">
        <v>2.97938913847078E-2</v>
      </c>
      <c r="Z72" s="22">
        <v>2.97938937430865E-2</v>
      </c>
      <c r="AA72" s="22">
        <v>1.0523105882105701E-2</v>
      </c>
      <c r="AB72" s="22"/>
      <c r="AC72" s="22"/>
      <c r="AD72" s="22"/>
      <c r="AE72" s="22"/>
      <c r="AF72" s="22"/>
      <c r="AG72" s="22"/>
      <c r="AH72" s="22" t="s">
        <v>748</v>
      </c>
      <c r="AI72" s="22"/>
      <c r="AJ72" s="22" t="s">
        <v>827</v>
      </c>
    </row>
    <row r="73" spans="1:36" ht="15" customHeight="1" x14ac:dyDescent="0.3">
      <c r="A73" s="22" t="s">
        <v>277</v>
      </c>
      <c r="B73" s="22" t="s">
        <v>278</v>
      </c>
      <c r="C73" s="22" t="s">
        <v>414</v>
      </c>
      <c r="D73" s="22" t="s">
        <v>415</v>
      </c>
      <c r="E73" s="22" t="s">
        <v>746</v>
      </c>
      <c r="F73" s="22" t="s">
        <v>747</v>
      </c>
      <c r="G73" s="22">
        <v>0.6</v>
      </c>
      <c r="H73" s="22">
        <v>1229</v>
      </c>
      <c r="I73" s="22">
        <v>46</v>
      </c>
      <c r="J73" s="22">
        <v>46</v>
      </c>
      <c r="K73" s="22">
        <v>-7.9361224906455904E-2</v>
      </c>
      <c r="L73" s="22">
        <v>3.6249880380447297E-2</v>
      </c>
      <c r="M73" s="22">
        <v>-2.1892823941361801</v>
      </c>
      <c r="N73" s="22">
        <v>44.927403490651201</v>
      </c>
      <c r="O73" s="22">
        <v>3.3812349071732001E-2</v>
      </c>
      <c r="P73" s="22">
        <v>-0.15237548817146401</v>
      </c>
      <c r="Q73" s="22">
        <v>-6.3469616414481202E-3</v>
      </c>
      <c r="R73" s="22"/>
      <c r="S73" s="22"/>
      <c r="T73" s="22">
        <v>-7.91950325174543E-2</v>
      </c>
      <c r="U73" s="22">
        <v>-0.15120703933249499</v>
      </c>
      <c r="V73" s="22">
        <v>-6.3468764159853404E-3</v>
      </c>
      <c r="W73" s="22"/>
      <c r="X73" s="22"/>
      <c r="Y73" s="22">
        <v>2.9188466411665101E-2</v>
      </c>
      <c r="Z73" s="22">
        <v>2.9188540516530002E-2</v>
      </c>
      <c r="AA73" s="22">
        <v>1.0248218387894199E-2</v>
      </c>
      <c r="AB73" s="22"/>
      <c r="AC73" s="22"/>
      <c r="AD73" s="22"/>
      <c r="AE73" s="22"/>
      <c r="AF73" s="22"/>
      <c r="AG73" s="22"/>
      <c r="AH73" s="22" t="s">
        <v>748</v>
      </c>
      <c r="AI73" s="22"/>
      <c r="AJ73" s="22" t="s">
        <v>828</v>
      </c>
    </row>
    <row r="74" spans="1:36" ht="15" customHeight="1" x14ac:dyDescent="0.3">
      <c r="A74" s="22" t="s">
        <v>277</v>
      </c>
      <c r="B74" s="22" t="s">
        <v>278</v>
      </c>
      <c r="C74" s="22" t="s">
        <v>417</v>
      </c>
      <c r="D74" s="22" t="s">
        <v>418</v>
      </c>
      <c r="E74" s="22" t="s">
        <v>746</v>
      </c>
      <c r="F74" s="22" t="s">
        <v>747</v>
      </c>
      <c r="G74" s="22">
        <v>0.6</v>
      </c>
      <c r="H74" s="22">
        <v>1239</v>
      </c>
      <c r="I74" s="22">
        <v>47</v>
      </c>
      <c r="J74" s="22">
        <v>47</v>
      </c>
      <c r="K74" s="22">
        <v>-8.0386848071349895E-2</v>
      </c>
      <c r="L74" s="22">
        <v>3.5445407370513597E-2</v>
      </c>
      <c r="M74" s="22">
        <v>-2.2679058878082601</v>
      </c>
      <c r="N74" s="22">
        <v>45.924560955221601</v>
      </c>
      <c r="O74" s="22">
        <v>2.8083976122330798E-2</v>
      </c>
      <c r="P74" s="22">
        <v>-0.15173791544589799</v>
      </c>
      <c r="Q74" s="22">
        <v>-9.0357806968013894E-3</v>
      </c>
      <c r="R74" s="22"/>
      <c r="S74" s="22"/>
      <c r="T74" s="22">
        <v>-8.0214139990860495E-2</v>
      </c>
      <c r="U74" s="22">
        <v>-0.15058398381322499</v>
      </c>
      <c r="V74" s="22">
        <v>-9.0355347950580398E-3</v>
      </c>
      <c r="W74" s="22"/>
      <c r="X74" s="22"/>
      <c r="Y74" s="22">
        <v>2.85026419674934E-2</v>
      </c>
      <c r="Z74" s="22">
        <v>2.8502662547366098E-2</v>
      </c>
      <c r="AA74" s="22">
        <v>1.02031597311622E-2</v>
      </c>
      <c r="AB74" s="22"/>
      <c r="AC74" s="22"/>
      <c r="AD74" s="22"/>
      <c r="AE74" s="22"/>
      <c r="AF74" s="22"/>
      <c r="AG74" s="22"/>
      <c r="AH74" s="22" t="s">
        <v>748</v>
      </c>
      <c r="AI74" s="22"/>
      <c r="AJ74" s="22" t="s">
        <v>829</v>
      </c>
    </row>
    <row r="75" spans="1:36" ht="15" customHeight="1" x14ac:dyDescent="0.3">
      <c r="A75" s="22" t="s">
        <v>277</v>
      </c>
      <c r="B75" s="22" t="s">
        <v>278</v>
      </c>
      <c r="C75" s="22" t="s">
        <v>420</v>
      </c>
      <c r="D75" s="22" t="s">
        <v>421</v>
      </c>
      <c r="E75" s="22" t="s">
        <v>746</v>
      </c>
      <c r="F75" s="22" t="s">
        <v>747</v>
      </c>
      <c r="G75" s="22">
        <v>0.6</v>
      </c>
      <c r="H75" s="22">
        <v>1241</v>
      </c>
      <c r="I75" s="22">
        <v>48</v>
      </c>
      <c r="J75" s="22">
        <v>48</v>
      </c>
      <c r="K75" s="22">
        <v>-7.9958020008123104E-2</v>
      </c>
      <c r="L75" s="22">
        <v>3.4706342007246101E-2</v>
      </c>
      <c r="M75" s="22">
        <v>-2.3038446400208201</v>
      </c>
      <c r="N75" s="22">
        <v>46.917516674056898</v>
      </c>
      <c r="O75" s="22">
        <v>2.5708255681683199E-2</v>
      </c>
      <c r="P75" s="22">
        <v>-0.149781414647748</v>
      </c>
      <c r="Q75" s="22">
        <v>-1.0134625368498001E-2</v>
      </c>
      <c r="R75" s="22"/>
      <c r="S75" s="22"/>
      <c r="T75" s="22">
        <v>-7.9788056509247404E-2</v>
      </c>
      <c r="U75" s="22">
        <v>-0.14867128664583501</v>
      </c>
      <c r="V75" s="22">
        <v>-1.01342784048293E-2</v>
      </c>
      <c r="W75" s="22"/>
      <c r="X75" s="22"/>
      <c r="Y75" s="22">
        <v>2.78489824696522E-2</v>
      </c>
      <c r="Z75" s="22">
        <v>2.78490833120855E-2</v>
      </c>
      <c r="AA75" s="22">
        <v>1.0195441065820401E-2</v>
      </c>
      <c r="AB75" s="22"/>
      <c r="AC75" s="22"/>
      <c r="AD75" s="22"/>
      <c r="AE75" s="22"/>
      <c r="AF75" s="22"/>
      <c r="AG75" s="22"/>
      <c r="AH75" s="22" t="s">
        <v>748</v>
      </c>
      <c r="AI75" s="22"/>
      <c r="AJ75" s="22" t="s">
        <v>830</v>
      </c>
    </row>
    <row r="76" spans="1:36" ht="15" customHeight="1" x14ac:dyDescent="0.3">
      <c r="A76" s="22" t="s">
        <v>277</v>
      </c>
      <c r="B76" s="22" t="s">
        <v>278</v>
      </c>
      <c r="C76" s="22" t="s">
        <v>423</v>
      </c>
      <c r="D76" s="22" t="s">
        <v>424</v>
      </c>
      <c r="E76" s="22" t="s">
        <v>746</v>
      </c>
      <c r="F76" s="22" t="s">
        <v>747</v>
      </c>
      <c r="G76" s="22">
        <v>0.6</v>
      </c>
      <c r="H76" s="22">
        <v>1290</v>
      </c>
      <c r="I76" s="22">
        <v>49</v>
      </c>
      <c r="J76" s="22">
        <v>49</v>
      </c>
      <c r="K76" s="22">
        <v>-7.7883417228715501E-2</v>
      </c>
      <c r="L76" s="22">
        <v>3.39884197854394E-2</v>
      </c>
      <c r="M76" s="22">
        <v>-2.2914692039340001</v>
      </c>
      <c r="N76" s="22">
        <v>47.913322993546302</v>
      </c>
      <c r="O76" s="22">
        <v>2.63748919631887E-2</v>
      </c>
      <c r="P76" s="22">
        <v>-0.14622490933151799</v>
      </c>
      <c r="Q76" s="22">
        <v>-9.5419251259126498E-3</v>
      </c>
      <c r="R76" s="22"/>
      <c r="S76" s="22"/>
      <c r="T76" s="22">
        <v>-7.7726322611165896E-2</v>
      </c>
      <c r="U76" s="22">
        <v>-0.14519156607363701</v>
      </c>
      <c r="V76" s="22">
        <v>-9.5416355443268697E-3</v>
      </c>
      <c r="W76" s="22"/>
      <c r="X76" s="22"/>
      <c r="Y76" s="22">
        <v>2.7265008652116601E-2</v>
      </c>
      <c r="Z76" s="22">
        <v>2.7265016163489201E-2</v>
      </c>
      <c r="AA76" s="22">
        <v>1.01838187426592E-2</v>
      </c>
      <c r="AB76" s="22"/>
      <c r="AC76" s="22"/>
      <c r="AD76" s="22"/>
      <c r="AE76" s="22"/>
      <c r="AF76" s="22"/>
      <c r="AG76" s="22"/>
      <c r="AH76" s="22" t="s">
        <v>748</v>
      </c>
      <c r="AI76" s="22"/>
      <c r="AJ76" s="22" t="s">
        <v>831</v>
      </c>
    </row>
    <row r="77" spans="1:36" ht="15" customHeight="1" x14ac:dyDescent="0.3">
      <c r="A77" s="22" t="s">
        <v>277</v>
      </c>
      <c r="B77" s="22" t="s">
        <v>278</v>
      </c>
      <c r="C77" s="22" t="s">
        <v>426</v>
      </c>
      <c r="D77" s="22" t="s">
        <v>427</v>
      </c>
      <c r="E77" s="22" t="s">
        <v>746</v>
      </c>
      <c r="F77" s="22" t="s">
        <v>747</v>
      </c>
      <c r="G77" s="22">
        <v>0.6</v>
      </c>
      <c r="H77" s="22">
        <v>1291</v>
      </c>
      <c r="I77" s="22">
        <v>50</v>
      </c>
      <c r="J77" s="22">
        <v>50</v>
      </c>
      <c r="K77" s="22">
        <v>-7.3454002883689695E-2</v>
      </c>
      <c r="L77" s="22">
        <v>3.3671272300802198E-2</v>
      </c>
      <c r="M77" s="22">
        <v>-2.1815036339431599</v>
      </c>
      <c r="N77" s="22">
        <v>48.897091213141998</v>
      </c>
      <c r="O77" s="22">
        <v>3.3983334457502803E-2</v>
      </c>
      <c r="P77" s="22">
        <v>-0.141122560209062</v>
      </c>
      <c r="Q77" s="22">
        <v>-5.7854455583175902E-3</v>
      </c>
      <c r="R77" s="22"/>
      <c r="S77" s="22"/>
      <c r="T77" s="22">
        <v>-7.3322180582221605E-2</v>
      </c>
      <c r="U77" s="22">
        <v>-0.14019311792119099</v>
      </c>
      <c r="V77" s="22">
        <v>-5.7853810102322803E-3</v>
      </c>
      <c r="W77" s="22"/>
      <c r="X77" s="22"/>
      <c r="Y77" s="22">
        <v>2.7233401745540699E-2</v>
      </c>
      <c r="Z77" s="22">
        <v>2.72333466377832E-2</v>
      </c>
      <c r="AA77" s="22">
        <v>1.01838757702701E-2</v>
      </c>
      <c r="AB77" s="22"/>
      <c r="AC77" s="22"/>
      <c r="AD77" s="22"/>
      <c r="AE77" s="22"/>
      <c r="AF77" s="22"/>
      <c r="AG77" s="22"/>
      <c r="AH77" s="22" t="s">
        <v>748</v>
      </c>
      <c r="AI77" s="22"/>
      <c r="AJ77" s="22" t="s">
        <v>832</v>
      </c>
    </row>
    <row r="78" spans="1:36" ht="15" customHeight="1" x14ac:dyDescent="0.3">
      <c r="A78" s="22" t="s">
        <v>277</v>
      </c>
      <c r="B78" s="22" t="s">
        <v>278</v>
      </c>
      <c r="C78" s="22" t="s">
        <v>429</v>
      </c>
      <c r="D78" s="22" t="s">
        <v>430</v>
      </c>
      <c r="E78" s="22" t="s">
        <v>746</v>
      </c>
      <c r="F78" s="22" t="s">
        <v>747</v>
      </c>
      <c r="G78" s="22">
        <v>0.6</v>
      </c>
      <c r="H78" s="22">
        <v>1320</v>
      </c>
      <c r="I78" s="22">
        <v>51</v>
      </c>
      <c r="J78" s="22">
        <v>51</v>
      </c>
      <c r="K78" s="22">
        <v>-7.2388150001590004E-2</v>
      </c>
      <c r="L78" s="22">
        <v>3.3014118878794699E-2</v>
      </c>
      <c r="M78" s="22">
        <v>-2.1926421924919399</v>
      </c>
      <c r="N78" s="22">
        <v>49.896041425345302</v>
      </c>
      <c r="O78" s="22">
        <v>3.3024080179688303E-2</v>
      </c>
      <c r="P78" s="22">
        <v>-0.13870238261600301</v>
      </c>
      <c r="Q78" s="22">
        <v>-6.0739173871772302E-3</v>
      </c>
      <c r="R78" s="22"/>
      <c r="S78" s="22"/>
      <c r="T78" s="22">
        <v>-7.2261975422492394E-2</v>
      </c>
      <c r="U78" s="22">
        <v>-0.13781970611920299</v>
      </c>
      <c r="V78" s="22">
        <v>-6.0738426943362303E-3</v>
      </c>
      <c r="W78" s="22"/>
      <c r="X78" s="22"/>
      <c r="Y78" s="22">
        <v>2.6718502511131701E-2</v>
      </c>
      <c r="Z78" s="22">
        <v>2.67184925820136E-2</v>
      </c>
      <c r="AA78" s="22">
        <v>9.9631385839004105E-3</v>
      </c>
      <c r="AB78" s="22"/>
      <c r="AC78" s="22"/>
      <c r="AD78" s="22"/>
      <c r="AE78" s="22"/>
      <c r="AF78" s="22"/>
      <c r="AG78" s="22"/>
      <c r="AH78" s="22" t="s">
        <v>748</v>
      </c>
      <c r="AI78" s="22"/>
      <c r="AJ78" s="22" t="s">
        <v>833</v>
      </c>
    </row>
    <row r="79" spans="1:36" ht="15" customHeight="1" x14ac:dyDescent="0.3">
      <c r="A79" s="22" t="s">
        <v>277</v>
      </c>
      <c r="B79" s="22" t="s">
        <v>278</v>
      </c>
      <c r="C79" s="22" t="s">
        <v>432</v>
      </c>
      <c r="D79" s="22" t="s">
        <v>433</v>
      </c>
      <c r="E79" s="22" t="s">
        <v>746</v>
      </c>
      <c r="F79" s="22" t="s">
        <v>747</v>
      </c>
      <c r="G79" s="22">
        <v>0.6</v>
      </c>
      <c r="H79" s="22">
        <v>1328</v>
      </c>
      <c r="I79" s="22">
        <v>52</v>
      </c>
      <c r="J79" s="22">
        <v>52</v>
      </c>
      <c r="K79" s="22">
        <v>-7.1640574706251306E-2</v>
      </c>
      <c r="L79" s="22">
        <v>3.2355724833235101E-2</v>
      </c>
      <c r="M79" s="22">
        <v>-2.21415452985506</v>
      </c>
      <c r="N79" s="22">
        <v>50.892060187538803</v>
      </c>
      <c r="O79" s="22">
        <v>3.1324449424987098E-2</v>
      </c>
      <c r="P79" s="22">
        <v>-0.13660074799820099</v>
      </c>
      <c r="Q79" s="22">
        <v>-6.6804014143018696E-3</v>
      </c>
      <c r="R79" s="22"/>
      <c r="S79" s="22"/>
      <c r="T79" s="22">
        <v>-7.1518263772966301E-2</v>
      </c>
      <c r="U79" s="22">
        <v>-0.13575739621483299</v>
      </c>
      <c r="V79" s="22">
        <v>-6.6803020389520204E-3</v>
      </c>
      <c r="W79" s="22"/>
      <c r="X79" s="22"/>
      <c r="Y79" s="22">
        <v>2.6139439249397899E-2</v>
      </c>
      <c r="Z79" s="22">
        <v>2.6139444564859001E-2</v>
      </c>
      <c r="AA79" s="22">
        <v>9.9413051346856907E-3</v>
      </c>
      <c r="AB79" s="22"/>
      <c r="AC79" s="22"/>
      <c r="AD79" s="22"/>
      <c r="AE79" s="22"/>
      <c r="AF79" s="22"/>
      <c r="AG79" s="22"/>
      <c r="AH79" s="22" t="s">
        <v>748</v>
      </c>
      <c r="AI79" s="22"/>
      <c r="AJ79" s="22" t="s">
        <v>834</v>
      </c>
    </row>
    <row r="80" spans="1:36" ht="15" customHeight="1" x14ac:dyDescent="0.3">
      <c r="A80" s="22" t="s">
        <v>277</v>
      </c>
      <c r="B80" s="22" t="s">
        <v>278</v>
      </c>
      <c r="C80" s="22" t="s">
        <v>435</v>
      </c>
      <c r="D80" s="22" t="s">
        <v>436</v>
      </c>
      <c r="E80" s="22" t="s">
        <v>746</v>
      </c>
      <c r="F80" s="22" t="s">
        <v>747</v>
      </c>
      <c r="G80" s="22">
        <v>0.6</v>
      </c>
      <c r="H80" s="22">
        <v>1336</v>
      </c>
      <c r="I80" s="22">
        <v>53</v>
      </c>
      <c r="J80" s="22">
        <v>53</v>
      </c>
      <c r="K80" s="22">
        <v>-7.2641210110105894E-2</v>
      </c>
      <c r="L80" s="22">
        <v>3.1727904043640003E-2</v>
      </c>
      <c r="M80" s="22">
        <v>-2.2895054778970501</v>
      </c>
      <c r="N80" s="22">
        <v>51.888715830340502</v>
      </c>
      <c r="O80" s="22">
        <v>2.61488322743955E-2</v>
      </c>
      <c r="P80" s="22">
        <v>-0.136311157671345</v>
      </c>
      <c r="Q80" s="22">
        <v>-8.9712625488665605E-3</v>
      </c>
      <c r="R80" s="22"/>
      <c r="S80" s="22"/>
      <c r="T80" s="22">
        <v>-7.2513709494742007E-2</v>
      </c>
      <c r="U80" s="22">
        <v>-0.13547313189052501</v>
      </c>
      <c r="V80" s="22">
        <v>-8.9710218769234896E-3</v>
      </c>
      <c r="W80" s="22"/>
      <c r="X80" s="22"/>
      <c r="Y80" s="22">
        <v>2.5603849430365699E-2</v>
      </c>
      <c r="Z80" s="22">
        <v>2.56038777268769E-2</v>
      </c>
      <c r="AA80" s="22">
        <v>9.89883926816096E-3</v>
      </c>
      <c r="AB80" s="22"/>
      <c r="AC80" s="22"/>
      <c r="AD80" s="22"/>
      <c r="AE80" s="22"/>
      <c r="AF80" s="22"/>
      <c r="AG80" s="22"/>
      <c r="AH80" s="22" t="s">
        <v>748</v>
      </c>
      <c r="AI80" s="22"/>
      <c r="AJ80" s="22" t="s">
        <v>835</v>
      </c>
    </row>
    <row r="81" spans="1:36" ht="15" customHeight="1" x14ac:dyDescent="0.3">
      <c r="A81" s="22" t="s">
        <v>277</v>
      </c>
      <c r="B81" s="22" t="s">
        <v>278</v>
      </c>
      <c r="C81" s="22" t="s">
        <v>438</v>
      </c>
      <c r="D81" s="22" t="s">
        <v>439</v>
      </c>
      <c r="E81" s="22" t="s">
        <v>746</v>
      </c>
      <c r="F81" s="22" t="s">
        <v>747</v>
      </c>
      <c r="G81" s="22">
        <v>0.6</v>
      </c>
      <c r="H81" s="22">
        <v>1346</v>
      </c>
      <c r="I81" s="22">
        <v>54</v>
      </c>
      <c r="J81" s="22">
        <v>54</v>
      </c>
      <c r="K81" s="22">
        <v>-7.1670370526304497E-2</v>
      </c>
      <c r="L81" s="22">
        <v>3.1114880253378399E-2</v>
      </c>
      <c r="M81" s="22">
        <v>-2.30341142060229</v>
      </c>
      <c r="N81" s="22">
        <v>52.885177933892997</v>
      </c>
      <c r="O81" s="22">
        <v>2.52169831810749E-2</v>
      </c>
      <c r="P81" s="22">
        <v>-0.13408208020335199</v>
      </c>
      <c r="Q81" s="22">
        <v>-9.2586608492568594E-3</v>
      </c>
      <c r="R81" s="22"/>
      <c r="S81" s="22"/>
      <c r="T81" s="22">
        <v>-7.1547907128333102E-2</v>
      </c>
      <c r="U81" s="22">
        <v>-0.13328430725700699</v>
      </c>
      <c r="V81" s="22">
        <v>-9.2583962988817495E-3</v>
      </c>
      <c r="W81" s="22"/>
      <c r="X81" s="22"/>
      <c r="Y81" s="22">
        <v>2.5076862522025699E-2</v>
      </c>
      <c r="Z81" s="22">
        <v>2.5076869582443401E-2</v>
      </c>
      <c r="AA81" s="22">
        <v>9.8562072382370903E-3</v>
      </c>
      <c r="AB81" s="22"/>
      <c r="AC81" s="22"/>
      <c r="AD81" s="22"/>
      <c r="AE81" s="22"/>
      <c r="AF81" s="22"/>
      <c r="AG81" s="22"/>
      <c r="AH81" s="22" t="s">
        <v>748</v>
      </c>
      <c r="AI81" s="22"/>
      <c r="AJ81" s="22" t="s">
        <v>836</v>
      </c>
    </row>
    <row r="82" spans="1:36" ht="15" customHeight="1" x14ac:dyDescent="0.3">
      <c r="A82" s="22" t="s">
        <v>277</v>
      </c>
      <c r="B82" s="22" t="s">
        <v>278</v>
      </c>
      <c r="C82" s="22" t="s">
        <v>441</v>
      </c>
      <c r="D82" s="22" t="s">
        <v>442</v>
      </c>
      <c r="E82" s="22" t="s">
        <v>746</v>
      </c>
      <c r="F82" s="22" t="s">
        <v>747</v>
      </c>
      <c r="G82" s="22">
        <v>0.6</v>
      </c>
      <c r="H82" s="22">
        <v>1349</v>
      </c>
      <c r="I82" s="22">
        <v>55</v>
      </c>
      <c r="J82" s="22">
        <v>54</v>
      </c>
      <c r="K82" s="22">
        <v>-7.1863982004676502E-2</v>
      </c>
      <c r="L82" s="22">
        <v>3.1073669799397199E-2</v>
      </c>
      <c r="M82" s="22">
        <v>-2.3126969704129001</v>
      </c>
      <c r="N82" s="22">
        <v>52.889164513986003</v>
      </c>
      <c r="O82" s="22">
        <v>2.46611418701373E-2</v>
      </c>
      <c r="P82" s="22">
        <v>-0.134192919873908</v>
      </c>
      <c r="Q82" s="22">
        <v>-9.5350441354450401E-3</v>
      </c>
      <c r="R82" s="22"/>
      <c r="S82" s="22"/>
      <c r="T82" s="22">
        <v>-7.17405248189599E-2</v>
      </c>
      <c r="U82" s="22">
        <v>-0.133393176284552</v>
      </c>
      <c r="V82" s="22">
        <v>-9.5347551798723295E-3</v>
      </c>
      <c r="W82" s="22"/>
      <c r="X82" s="22"/>
      <c r="Y82" s="22">
        <v>5.0075420159646097E-2</v>
      </c>
      <c r="Z82" s="22">
        <v>7.93187878639337E-10</v>
      </c>
      <c r="AA82" s="22">
        <v>9.8394153390897795E-3</v>
      </c>
      <c r="AB82" s="22"/>
      <c r="AC82" s="22"/>
      <c r="AD82" s="22"/>
      <c r="AE82" s="22"/>
      <c r="AF82" s="22"/>
      <c r="AG82" s="22"/>
      <c r="AH82" s="22" t="s">
        <v>748</v>
      </c>
      <c r="AI82" s="22"/>
      <c r="AJ82" s="22" t="s">
        <v>837</v>
      </c>
    </row>
    <row r="83" spans="1:36" ht="15" customHeight="1" x14ac:dyDescent="0.3">
      <c r="A83" s="22" t="s">
        <v>277</v>
      </c>
      <c r="B83" s="22" t="s">
        <v>278</v>
      </c>
      <c r="C83" s="22" t="s">
        <v>444</v>
      </c>
      <c r="D83" s="22" t="s">
        <v>445</v>
      </c>
      <c r="E83" s="22" t="s">
        <v>746</v>
      </c>
      <c r="F83" s="22" t="s">
        <v>747</v>
      </c>
      <c r="G83" s="22">
        <v>0.6</v>
      </c>
      <c r="H83" s="22">
        <v>1351</v>
      </c>
      <c r="I83" s="22">
        <v>56</v>
      </c>
      <c r="J83" s="22">
        <v>55</v>
      </c>
      <c r="K83" s="22">
        <v>-7.4657799550723006E-2</v>
      </c>
      <c r="L83" s="22">
        <v>3.0663011101943399E-2</v>
      </c>
      <c r="M83" s="22">
        <v>-2.4347836976125001</v>
      </c>
      <c r="N83" s="22">
        <v>53.879582801492298</v>
      </c>
      <c r="O83" s="22">
        <v>1.8243052685586899E-2</v>
      </c>
      <c r="P83" s="22">
        <v>-0.13613658220841099</v>
      </c>
      <c r="Q83" s="22">
        <v>-1.31790168930355E-2</v>
      </c>
      <c r="R83" s="22"/>
      <c r="S83" s="22"/>
      <c r="T83" s="22">
        <v>-7.4519399216429097E-2</v>
      </c>
      <c r="U83" s="22">
        <v>-0.13530175635439201</v>
      </c>
      <c r="V83" s="22">
        <v>-1.31782539403291E-2</v>
      </c>
      <c r="W83" s="22"/>
      <c r="X83" s="22"/>
      <c r="Y83" s="22">
        <v>4.9563446660619598E-2</v>
      </c>
      <c r="Z83" s="22">
        <v>1.0175156624036699E-9</v>
      </c>
      <c r="AA83" s="22">
        <v>9.8547486064597904E-3</v>
      </c>
      <c r="AB83" s="22"/>
      <c r="AC83" s="22"/>
      <c r="AD83" s="22"/>
      <c r="AE83" s="22"/>
      <c r="AF83" s="22"/>
      <c r="AG83" s="22"/>
      <c r="AH83" s="22" t="s">
        <v>748</v>
      </c>
      <c r="AI83" s="22"/>
      <c r="AJ83" s="22" t="s">
        <v>838</v>
      </c>
    </row>
    <row r="84" spans="1:36" ht="15" customHeight="1" x14ac:dyDescent="0.3">
      <c r="A84" s="22" t="s">
        <v>277</v>
      </c>
      <c r="B84" s="22" t="s">
        <v>278</v>
      </c>
      <c r="C84" s="22" t="s">
        <v>447</v>
      </c>
      <c r="D84" s="22" t="s">
        <v>448</v>
      </c>
      <c r="E84" s="22" t="s">
        <v>746</v>
      </c>
      <c r="F84" s="22" t="s">
        <v>747</v>
      </c>
      <c r="G84" s="22">
        <v>0.6</v>
      </c>
      <c r="H84" s="22">
        <v>1407</v>
      </c>
      <c r="I84" s="22">
        <v>57</v>
      </c>
      <c r="J84" s="22">
        <v>56</v>
      </c>
      <c r="K84" s="22">
        <v>-7.3800945533746304E-2</v>
      </c>
      <c r="L84" s="22">
        <v>3.01064497122162E-2</v>
      </c>
      <c r="M84" s="22">
        <v>-2.4513333933160601</v>
      </c>
      <c r="N84" s="22">
        <v>54.877457790065797</v>
      </c>
      <c r="O84" s="22">
        <v>1.7445622786738099E-2</v>
      </c>
      <c r="P84" s="22">
        <v>-0.13413864746999901</v>
      </c>
      <c r="Q84" s="22">
        <v>-1.34632435974937E-2</v>
      </c>
      <c r="R84" s="22"/>
      <c r="S84" s="22"/>
      <c r="T84" s="22">
        <v>-7.3667249227362702E-2</v>
      </c>
      <c r="U84" s="22">
        <v>-0.13333986920379101</v>
      </c>
      <c r="V84" s="22">
        <v>-1.3462430212099001E-2</v>
      </c>
      <c r="W84" s="22"/>
      <c r="X84" s="22"/>
      <c r="Y84" s="22">
        <v>4.8641625005404802E-2</v>
      </c>
      <c r="Z84" s="22">
        <v>1.3831564078259E-9</v>
      </c>
      <c r="AA84" s="22">
        <v>9.7407629236367296E-3</v>
      </c>
      <c r="AB84" s="22"/>
      <c r="AC84" s="22"/>
      <c r="AD84" s="22"/>
      <c r="AE84" s="22"/>
      <c r="AF84" s="22"/>
      <c r="AG84" s="22"/>
      <c r="AH84" s="22" t="s">
        <v>748</v>
      </c>
      <c r="AI84" s="22"/>
      <c r="AJ84" s="22" t="s">
        <v>839</v>
      </c>
    </row>
    <row r="85" spans="1:36" ht="15" customHeight="1" x14ac:dyDescent="0.3">
      <c r="A85" s="22" t="s">
        <v>277</v>
      </c>
      <c r="B85" s="22" t="s">
        <v>278</v>
      </c>
      <c r="C85" s="22" t="s">
        <v>450</v>
      </c>
      <c r="D85" s="22" t="s">
        <v>451</v>
      </c>
      <c r="E85" s="22" t="s">
        <v>746</v>
      </c>
      <c r="F85" s="22" t="s">
        <v>747</v>
      </c>
      <c r="G85" s="22">
        <v>0.6</v>
      </c>
      <c r="H85" s="22">
        <v>1419</v>
      </c>
      <c r="I85" s="22">
        <v>58</v>
      </c>
      <c r="J85" s="22">
        <v>57</v>
      </c>
      <c r="K85" s="22">
        <v>-7.3500210705343197E-2</v>
      </c>
      <c r="L85" s="22">
        <v>2.9550156568023098E-2</v>
      </c>
      <c r="M85" s="22">
        <v>-2.4873035963836299</v>
      </c>
      <c r="N85" s="22">
        <v>55.874381281584803</v>
      </c>
      <c r="O85" s="22">
        <v>1.5883609851333299E-2</v>
      </c>
      <c r="P85" s="22">
        <v>-0.132699224611872</v>
      </c>
      <c r="Q85" s="22">
        <v>-1.4301196798814199E-2</v>
      </c>
      <c r="R85" s="22"/>
      <c r="S85" s="22"/>
      <c r="T85" s="22">
        <v>-7.3368139828311404E-2</v>
      </c>
      <c r="U85" s="22">
        <v>-0.13192576815895099</v>
      </c>
      <c r="V85" s="22">
        <v>-1.43002218981499E-2</v>
      </c>
      <c r="W85" s="22"/>
      <c r="X85" s="22"/>
      <c r="Y85" s="22">
        <v>4.76864712948048E-2</v>
      </c>
      <c r="Z85" s="22">
        <v>9.1822934972718502E-10</v>
      </c>
      <c r="AA85" s="22">
        <v>9.6580617774207501E-3</v>
      </c>
      <c r="AB85" s="22"/>
      <c r="AC85" s="22"/>
      <c r="AD85" s="22"/>
      <c r="AE85" s="22"/>
      <c r="AF85" s="22"/>
      <c r="AG85" s="22"/>
      <c r="AH85" s="22" t="s">
        <v>748</v>
      </c>
      <c r="AI85" s="22"/>
      <c r="AJ85" s="22" t="s">
        <v>840</v>
      </c>
    </row>
    <row r="86" spans="1:36" ht="15" customHeight="1" x14ac:dyDescent="0.3">
      <c r="A86" s="22" t="s">
        <v>277</v>
      </c>
      <c r="B86" s="22" t="s">
        <v>278</v>
      </c>
      <c r="C86" s="22" t="s">
        <v>453</v>
      </c>
      <c r="D86" s="22" t="s">
        <v>454</v>
      </c>
      <c r="E86" s="22" t="s">
        <v>746</v>
      </c>
      <c r="F86" s="22" t="s">
        <v>747</v>
      </c>
      <c r="G86" s="22">
        <v>0.6</v>
      </c>
      <c r="H86" s="22">
        <v>1441</v>
      </c>
      <c r="I86" s="22">
        <v>59</v>
      </c>
      <c r="J86" s="22">
        <v>58</v>
      </c>
      <c r="K86" s="22">
        <v>-7.1489744354765003E-2</v>
      </c>
      <c r="L86" s="22">
        <v>2.9097632386218E-2</v>
      </c>
      <c r="M86" s="22">
        <v>-2.45689214180278</v>
      </c>
      <c r="N86" s="22">
        <v>56.873438095351801</v>
      </c>
      <c r="O86" s="22">
        <v>1.7089127245136299E-2</v>
      </c>
      <c r="P86" s="22">
        <v>-0.12975955839780901</v>
      </c>
      <c r="Q86" s="22">
        <v>-1.32199303117212E-2</v>
      </c>
      <c r="R86" s="22"/>
      <c r="S86" s="22"/>
      <c r="T86" s="22">
        <v>-7.1368203280337897E-2</v>
      </c>
      <c r="U86" s="22">
        <v>-0.12903615277556099</v>
      </c>
      <c r="V86" s="22">
        <v>-1.3219160231651501E-2</v>
      </c>
      <c r="W86" s="22"/>
      <c r="X86" s="22"/>
      <c r="Y86" s="22">
        <v>4.7050287758992199E-2</v>
      </c>
      <c r="Z86" s="22">
        <v>1.0009378564034601E-9</v>
      </c>
      <c r="AA86" s="22">
        <v>9.5401922473501294E-3</v>
      </c>
      <c r="AB86" s="22"/>
      <c r="AC86" s="22"/>
      <c r="AD86" s="22"/>
      <c r="AE86" s="22"/>
      <c r="AF86" s="22"/>
      <c r="AG86" s="22"/>
      <c r="AH86" s="22" t="s">
        <v>748</v>
      </c>
      <c r="AI86" s="22"/>
      <c r="AJ86" s="22" t="s">
        <v>841</v>
      </c>
    </row>
    <row r="87" spans="1:36" ht="15" customHeight="1" x14ac:dyDescent="0.3">
      <c r="A87" s="22" t="s">
        <v>277</v>
      </c>
      <c r="B87" s="22" t="s">
        <v>278</v>
      </c>
      <c r="C87" s="22" t="s">
        <v>456</v>
      </c>
      <c r="D87" s="22" t="s">
        <v>457</v>
      </c>
      <c r="E87" s="22" t="s">
        <v>746</v>
      </c>
      <c r="F87" s="22" t="s">
        <v>747</v>
      </c>
      <c r="G87" s="22">
        <v>0.6</v>
      </c>
      <c r="H87" s="22">
        <v>1446</v>
      </c>
      <c r="I87" s="22">
        <v>60</v>
      </c>
      <c r="J87" s="22">
        <v>59</v>
      </c>
      <c r="K87" s="22">
        <v>-7.0546703422800394E-2</v>
      </c>
      <c r="L87" s="22">
        <v>2.8583595770338199E-2</v>
      </c>
      <c r="M87" s="22">
        <v>-2.4680835815628299</v>
      </c>
      <c r="N87" s="22">
        <v>57.869283906167396</v>
      </c>
      <c r="O87" s="22">
        <v>1.6561172474822899E-2</v>
      </c>
      <c r="P87" s="22">
        <v>-0.12776573867416</v>
      </c>
      <c r="Q87" s="22">
        <v>-1.33276681714405E-2</v>
      </c>
      <c r="R87" s="22"/>
      <c r="S87" s="22"/>
      <c r="T87" s="22">
        <v>-7.0429902779916106E-2</v>
      </c>
      <c r="U87" s="22">
        <v>-0.12707502885660599</v>
      </c>
      <c r="V87" s="22">
        <v>-1.3326879110759001E-2</v>
      </c>
      <c r="W87" s="22"/>
      <c r="X87" s="22"/>
      <c r="Y87" s="22">
        <v>4.6150918254814502E-2</v>
      </c>
      <c r="Z87" s="22">
        <v>1.2581847238520999E-9</v>
      </c>
      <c r="AA87" s="22">
        <v>9.5299723019652595E-3</v>
      </c>
      <c r="AB87" s="22"/>
      <c r="AC87" s="22"/>
      <c r="AD87" s="22"/>
      <c r="AE87" s="22"/>
      <c r="AF87" s="22"/>
      <c r="AG87" s="22"/>
      <c r="AH87" s="22" t="s">
        <v>748</v>
      </c>
      <c r="AI87" s="22"/>
      <c r="AJ87" s="22" t="s">
        <v>842</v>
      </c>
    </row>
    <row r="88" spans="1:36" ht="15" customHeight="1" x14ac:dyDescent="0.3">
      <c r="A88" s="22" t="s">
        <v>277</v>
      </c>
      <c r="B88" s="22" t="s">
        <v>278</v>
      </c>
      <c r="C88" s="22" t="s">
        <v>459</v>
      </c>
      <c r="D88" s="22" t="s">
        <v>460</v>
      </c>
      <c r="E88" s="22" t="s">
        <v>746</v>
      </c>
      <c r="F88" s="22" t="s">
        <v>747</v>
      </c>
      <c r="G88" s="22">
        <v>0.6</v>
      </c>
      <c r="H88" s="22">
        <v>1477</v>
      </c>
      <c r="I88" s="22">
        <v>61</v>
      </c>
      <c r="J88" s="22">
        <v>60</v>
      </c>
      <c r="K88" s="22">
        <v>-7.0467605355947496E-2</v>
      </c>
      <c r="L88" s="22">
        <v>2.8074169754215301E-2</v>
      </c>
      <c r="M88" s="22">
        <v>-2.5100512668007502</v>
      </c>
      <c r="N88" s="22">
        <v>58.8654009896063</v>
      </c>
      <c r="O88" s="22">
        <v>1.4840706351716901E-2</v>
      </c>
      <c r="P88" s="22">
        <v>-0.12664657700974</v>
      </c>
      <c r="Q88" s="22">
        <v>-1.4288633702154699E-2</v>
      </c>
      <c r="R88" s="22"/>
      <c r="S88" s="22"/>
      <c r="T88" s="22">
        <v>-7.0351196630538904E-2</v>
      </c>
      <c r="U88" s="22">
        <v>-0.12597378332859599</v>
      </c>
      <c r="V88" s="22">
        <v>-1.42876613683418E-2</v>
      </c>
      <c r="W88" s="22"/>
      <c r="X88" s="22"/>
      <c r="Y88" s="22">
        <v>4.5281555785086497E-2</v>
      </c>
      <c r="Z88" s="22">
        <v>8.4038922334738401E-10</v>
      </c>
      <c r="AA88" s="22">
        <v>9.4384971643078196E-3</v>
      </c>
      <c r="AB88" s="22"/>
      <c r="AC88" s="22"/>
      <c r="AD88" s="22"/>
      <c r="AE88" s="22"/>
      <c r="AF88" s="22"/>
      <c r="AG88" s="22"/>
      <c r="AH88" s="22" t="s">
        <v>748</v>
      </c>
      <c r="AI88" s="22"/>
      <c r="AJ88" s="22" t="s">
        <v>843</v>
      </c>
    </row>
    <row r="89" spans="1:36" ht="15" customHeight="1" x14ac:dyDescent="0.3">
      <c r="A89" s="22" t="s">
        <v>277</v>
      </c>
      <c r="B89" s="22" t="s">
        <v>278</v>
      </c>
      <c r="C89" s="22" t="s">
        <v>462</v>
      </c>
      <c r="D89" s="22" t="s">
        <v>463</v>
      </c>
      <c r="E89" s="22" t="s">
        <v>746</v>
      </c>
      <c r="F89" s="22" t="s">
        <v>747</v>
      </c>
      <c r="G89" s="22">
        <v>0.6</v>
      </c>
      <c r="H89" s="22">
        <v>1512</v>
      </c>
      <c r="I89" s="22">
        <v>62</v>
      </c>
      <c r="J89" s="22">
        <v>61</v>
      </c>
      <c r="K89" s="22">
        <v>-6.9811589311669697E-2</v>
      </c>
      <c r="L89" s="22">
        <v>2.7623992685241398E-2</v>
      </c>
      <c r="M89" s="22">
        <v>-2.5272085070080399</v>
      </c>
      <c r="N89" s="22">
        <v>59.865216642516302</v>
      </c>
      <c r="O89" s="22">
        <v>1.41567268715441E-2</v>
      </c>
      <c r="P89" s="22">
        <v>-0.12507036060768201</v>
      </c>
      <c r="Q89" s="22">
        <v>-1.4552818015657699E-2</v>
      </c>
      <c r="R89" s="22"/>
      <c r="S89" s="22"/>
      <c r="T89" s="22">
        <v>-6.9698397366449297E-2</v>
      </c>
      <c r="U89" s="22">
        <v>-0.124422273739914</v>
      </c>
      <c r="V89" s="22">
        <v>-1.4551790748859801E-2</v>
      </c>
      <c r="W89" s="22"/>
      <c r="X89" s="22"/>
      <c r="Y89" s="22">
        <v>4.4599361576607599E-2</v>
      </c>
      <c r="Z89" s="22">
        <v>1.1359587373287499E-9</v>
      </c>
      <c r="AA89" s="22">
        <v>9.2215473415174099E-3</v>
      </c>
      <c r="AB89" s="22"/>
      <c r="AC89" s="22"/>
      <c r="AD89" s="22"/>
      <c r="AE89" s="22"/>
      <c r="AF89" s="22"/>
      <c r="AG89" s="22"/>
      <c r="AH89" s="22" t="s">
        <v>748</v>
      </c>
      <c r="AI89" s="22"/>
      <c r="AJ89" s="22" t="s">
        <v>844</v>
      </c>
    </row>
    <row r="90" spans="1:36" ht="15" customHeight="1" x14ac:dyDescent="0.3">
      <c r="A90" s="22" t="s">
        <v>277</v>
      </c>
      <c r="B90" s="22" t="s">
        <v>278</v>
      </c>
      <c r="C90" s="22" t="s">
        <v>465</v>
      </c>
      <c r="D90" s="22" t="s">
        <v>466</v>
      </c>
      <c r="E90" s="22" t="s">
        <v>746</v>
      </c>
      <c r="F90" s="22" t="s">
        <v>747</v>
      </c>
      <c r="G90" s="22">
        <v>0.6</v>
      </c>
      <c r="H90" s="22">
        <v>1545</v>
      </c>
      <c r="I90" s="22">
        <v>63</v>
      </c>
      <c r="J90" s="22">
        <v>62</v>
      </c>
      <c r="K90" s="22">
        <v>-6.8732084866865301E-2</v>
      </c>
      <c r="L90" s="22">
        <v>2.7200419401892301E-2</v>
      </c>
      <c r="M90" s="22">
        <v>-2.5268759224383102</v>
      </c>
      <c r="N90" s="22">
        <v>60.864935686458203</v>
      </c>
      <c r="O90" s="22">
        <v>1.4123444610779801E-2</v>
      </c>
      <c r="P90" s="22">
        <v>-0.123125126148664</v>
      </c>
      <c r="Q90" s="22">
        <v>-1.43390435850669E-2</v>
      </c>
      <c r="R90" s="22"/>
      <c r="S90" s="22"/>
      <c r="T90" s="22">
        <v>-6.8624056594438002E-2</v>
      </c>
      <c r="U90" s="22">
        <v>-0.12250669205228</v>
      </c>
      <c r="V90" s="22">
        <v>-1.43380609243759E-2</v>
      </c>
      <c r="W90" s="22"/>
      <c r="X90" s="22"/>
      <c r="Y90" s="22">
        <v>4.3979262269441002E-2</v>
      </c>
      <c r="Z90" s="22">
        <v>9.9908694634492604E-10</v>
      </c>
      <c r="AA90" s="22">
        <v>9.0205992686782505E-3</v>
      </c>
      <c r="AB90" s="22"/>
      <c r="AC90" s="22"/>
      <c r="AD90" s="22"/>
      <c r="AE90" s="22"/>
      <c r="AF90" s="22"/>
      <c r="AG90" s="22"/>
      <c r="AH90" s="22" t="s">
        <v>748</v>
      </c>
      <c r="AI90" s="22"/>
      <c r="AJ90" s="22" t="s">
        <v>845</v>
      </c>
    </row>
    <row r="91" spans="1:36" ht="15" customHeight="1" x14ac:dyDescent="0.3">
      <c r="A91" s="22" t="s">
        <v>277</v>
      </c>
      <c r="B91" s="22" t="s">
        <v>278</v>
      </c>
      <c r="C91" s="22" t="s">
        <v>468</v>
      </c>
      <c r="D91" s="22" t="s">
        <v>469</v>
      </c>
      <c r="E91" s="22" t="s">
        <v>746</v>
      </c>
      <c r="F91" s="22" t="s">
        <v>747</v>
      </c>
      <c r="G91" s="22">
        <v>0.6</v>
      </c>
      <c r="H91" s="22">
        <v>1565</v>
      </c>
      <c r="I91" s="22">
        <v>64</v>
      </c>
      <c r="J91" s="22">
        <v>63</v>
      </c>
      <c r="K91" s="22">
        <v>-6.8857113447950993E-2</v>
      </c>
      <c r="L91" s="22">
        <v>2.67539905264952E-2</v>
      </c>
      <c r="M91" s="22">
        <v>-2.5737137560753802</v>
      </c>
      <c r="N91" s="22">
        <v>61.862713698185502</v>
      </c>
      <c r="O91" s="22">
        <v>1.24714213647954E-2</v>
      </c>
      <c r="P91" s="22">
        <v>-0.122339939448882</v>
      </c>
      <c r="Q91" s="22">
        <v>-1.5374287447020201E-2</v>
      </c>
      <c r="R91" s="22"/>
      <c r="S91" s="22"/>
      <c r="T91" s="22">
        <v>-6.8748495314956304E-2</v>
      </c>
      <c r="U91" s="22">
        <v>-0.121733215105525</v>
      </c>
      <c r="V91" s="22">
        <v>-1.53730762280177E-2</v>
      </c>
      <c r="W91" s="22"/>
      <c r="X91" s="22"/>
      <c r="Y91" s="22">
        <v>4.3244890497326202E-2</v>
      </c>
      <c r="Z91" s="22">
        <v>1.11583240763488E-9</v>
      </c>
      <c r="AA91" s="22">
        <v>8.8916969407427399E-3</v>
      </c>
      <c r="AB91" s="22"/>
      <c r="AC91" s="22"/>
      <c r="AD91" s="22"/>
      <c r="AE91" s="22"/>
      <c r="AF91" s="22"/>
      <c r="AG91" s="22"/>
      <c r="AH91" s="22" t="s">
        <v>748</v>
      </c>
      <c r="AI91" s="22"/>
      <c r="AJ91" s="22" t="s">
        <v>846</v>
      </c>
    </row>
    <row r="92" spans="1:36" ht="15" customHeight="1" x14ac:dyDescent="0.3">
      <c r="A92" s="22" t="s">
        <v>277</v>
      </c>
      <c r="B92" s="22" t="s">
        <v>278</v>
      </c>
      <c r="C92" s="22" t="s">
        <v>471</v>
      </c>
      <c r="D92" s="22" t="s">
        <v>472</v>
      </c>
      <c r="E92" s="22" t="s">
        <v>746</v>
      </c>
      <c r="F92" s="22" t="s">
        <v>747</v>
      </c>
      <c r="G92" s="22">
        <v>0.6</v>
      </c>
      <c r="H92" s="22">
        <v>1573</v>
      </c>
      <c r="I92" s="22">
        <v>65</v>
      </c>
      <c r="J92" s="22">
        <v>64</v>
      </c>
      <c r="K92" s="22">
        <v>-6.7195587757049202E-2</v>
      </c>
      <c r="L92" s="22">
        <v>2.6360486794885701E-2</v>
      </c>
      <c r="M92" s="22">
        <v>-2.5491026884255401</v>
      </c>
      <c r="N92" s="22">
        <v>62.8595810954711</v>
      </c>
      <c r="O92" s="22">
        <v>1.3253344395762701E-2</v>
      </c>
      <c r="P92" s="22">
        <v>-0.119875120253241</v>
      </c>
      <c r="Q92" s="22">
        <v>-1.4516055260857801E-2</v>
      </c>
      <c r="R92" s="22"/>
      <c r="S92" s="22"/>
      <c r="T92" s="22">
        <v>-6.7094635191113403E-2</v>
      </c>
      <c r="U92" s="22">
        <v>-0.11930419809713699</v>
      </c>
      <c r="V92" s="22">
        <v>-1.45150357590968E-2</v>
      </c>
      <c r="W92" s="22"/>
      <c r="X92" s="22"/>
      <c r="Y92" s="22">
        <v>4.2629038946516901E-2</v>
      </c>
      <c r="Z92" s="22">
        <v>1.50770853051525E-9</v>
      </c>
      <c r="AA92" s="22">
        <v>8.8752826466302493E-3</v>
      </c>
      <c r="AB92" s="22"/>
      <c r="AC92" s="22"/>
      <c r="AD92" s="22"/>
      <c r="AE92" s="22"/>
      <c r="AF92" s="22"/>
      <c r="AG92" s="22"/>
      <c r="AH92" s="22" t="s">
        <v>748</v>
      </c>
      <c r="AI92" s="22"/>
      <c r="AJ92" s="22" t="s">
        <v>847</v>
      </c>
    </row>
    <row r="93" spans="1:36" ht="15" customHeight="1" x14ac:dyDescent="0.3">
      <c r="A93" s="22" t="s">
        <v>277</v>
      </c>
      <c r="B93" s="22" t="s">
        <v>278</v>
      </c>
      <c r="C93" s="22" t="s">
        <v>474</v>
      </c>
      <c r="D93" s="22" t="s">
        <v>475</v>
      </c>
      <c r="E93" s="22" t="s">
        <v>746</v>
      </c>
      <c r="F93" s="22" t="s">
        <v>747</v>
      </c>
      <c r="G93" s="22">
        <v>0.6</v>
      </c>
      <c r="H93" s="22">
        <v>1591</v>
      </c>
      <c r="I93" s="22">
        <v>66</v>
      </c>
      <c r="J93" s="22">
        <v>65</v>
      </c>
      <c r="K93" s="22">
        <v>-6.6370903135293896E-2</v>
      </c>
      <c r="L93" s="22">
        <v>2.5944255702149598E-2</v>
      </c>
      <c r="M93" s="22">
        <v>-2.5582118792405599</v>
      </c>
      <c r="N93" s="22">
        <v>63.856637435898598</v>
      </c>
      <c r="O93" s="22">
        <v>1.29043268128472E-2</v>
      </c>
      <c r="P93" s="22">
        <v>-0.118202753217815</v>
      </c>
      <c r="Q93" s="22">
        <v>-1.4539053052772701E-2</v>
      </c>
      <c r="R93" s="22"/>
      <c r="S93" s="22"/>
      <c r="T93" s="22">
        <v>-6.6273617801594395E-2</v>
      </c>
      <c r="U93" s="22">
        <v>-0.11765530723383601</v>
      </c>
      <c r="V93" s="22">
        <v>-1.45380286980134E-2</v>
      </c>
      <c r="W93" s="22"/>
      <c r="X93" s="22"/>
      <c r="Y93" s="22">
        <v>4.1942463937612001E-2</v>
      </c>
      <c r="Z93" s="22">
        <v>1.2207035366170099E-9</v>
      </c>
      <c r="AA93" s="22">
        <v>8.7905022690428804E-3</v>
      </c>
      <c r="AB93" s="22"/>
      <c r="AC93" s="22"/>
      <c r="AD93" s="22"/>
      <c r="AE93" s="22"/>
      <c r="AF93" s="22"/>
      <c r="AG93" s="22"/>
      <c r="AH93" s="22" t="s">
        <v>748</v>
      </c>
      <c r="AI93" s="22"/>
      <c r="AJ93" s="22" t="s">
        <v>848</v>
      </c>
    </row>
    <row r="94" spans="1:36" ht="15" customHeight="1" x14ac:dyDescent="0.3">
      <c r="A94" s="22" t="s">
        <v>277</v>
      </c>
      <c r="B94" s="22" t="s">
        <v>278</v>
      </c>
      <c r="C94" s="22" t="s">
        <v>477</v>
      </c>
      <c r="D94" s="22" t="s">
        <v>478</v>
      </c>
      <c r="E94" s="22" t="s">
        <v>746</v>
      </c>
      <c r="F94" s="22" t="s">
        <v>747</v>
      </c>
      <c r="G94" s="22">
        <v>0.6</v>
      </c>
      <c r="H94" s="22">
        <v>1711</v>
      </c>
      <c r="I94" s="22">
        <v>67</v>
      </c>
      <c r="J94" s="22">
        <v>66</v>
      </c>
      <c r="K94" s="22">
        <v>-6.5637411068808604E-2</v>
      </c>
      <c r="L94" s="22">
        <v>2.5696307782964899E-2</v>
      </c>
      <c r="M94" s="22">
        <v>-2.5543518400850602</v>
      </c>
      <c r="N94" s="22">
        <v>64.870040794089107</v>
      </c>
      <c r="O94" s="22">
        <v>1.29956882040386E-2</v>
      </c>
      <c r="P94" s="22">
        <v>-0.11695843057432601</v>
      </c>
      <c r="Q94" s="22">
        <v>-1.43163915632916E-2</v>
      </c>
      <c r="R94" s="22"/>
      <c r="S94" s="22"/>
      <c r="T94" s="22">
        <v>-6.5543312003350396E-2</v>
      </c>
      <c r="U94" s="22">
        <v>-0.11642803042281</v>
      </c>
      <c r="V94" s="22">
        <v>-1.43154135520513E-2</v>
      </c>
      <c r="W94" s="22"/>
      <c r="X94" s="22"/>
      <c r="Y94" s="22">
        <v>4.1892896833979003E-2</v>
      </c>
      <c r="Z94" s="22">
        <v>1.5142323434868901E-9</v>
      </c>
      <c r="AA94" s="22">
        <v>8.10678753902545E-3</v>
      </c>
      <c r="AB94" s="22"/>
      <c r="AC94" s="22"/>
      <c r="AD94" s="22"/>
      <c r="AE94" s="22"/>
      <c r="AF94" s="22"/>
      <c r="AG94" s="22"/>
      <c r="AH94" s="22" t="s">
        <v>748</v>
      </c>
      <c r="AI94" s="22"/>
      <c r="AJ94" s="22" t="s">
        <v>849</v>
      </c>
    </row>
    <row r="95" spans="1:36" ht="15" customHeight="1" x14ac:dyDescent="0.3">
      <c r="A95" s="22" t="s">
        <v>277</v>
      </c>
      <c r="B95" s="22" t="s">
        <v>278</v>
      </c>
      <c r="C95" s="22" t="s">
        <v>480</v>
      </c>
      <c r="D95" s="22" t="s">
        <v>481</v>
      </c>
      <c r="E95" s="22" t="s">
        <v>746</v>
      </c>
      <c r="F95" s="22" t="s">
        <v>747</v>
      </c>
      <c r="G95" s="22">
        <v>0.6</v>
      </c>
      <c r="H95" s="22">
        <v>1714</v>
      </c>
      <c r="I95" s="22">
        <v>68</v>
      </c>
      <c r="J95" s="22">
        <v>67</v>
      </c>
      <c r="K95" s="22">
        <v>-6.4009499935086797E-2</v>
      </c>
      <c r="L95" s="22">
        <v>2.5374728374943398E-2</v>
      </c>
      <c r="M95" s="22">
        <v>-2.52256887203938</v>
      </c>
      <c r="N95" s="22">
        <v>65.860280375008202</v>
      </c>
      <c r="O95" s="22">
        <v>1.40740826330006E-2</v>
      </c>
      <c r="P95" s="22">
        <v>-0.11467378592798</v>
      </c>
      <c r="Q95" s="22">
        <v>-1.33452139421941E-2</v>
      </c>
      <c r="R95" s="22"/>
      <c r="S95" s="22"/>
      <c r="T95" s="22">
        <v>-6.39222227188984E-2</v>
      </c>
      <c r="U95" s="22">
        <v>-0.11417375953916301</v>
      </c>
      <c r="V95" s="22">
        <v>-1.33444217611798E-2</v>
      </c>
      <c r="W95" s="22"/>
      <c r="X95" s="22"/>
      <c r="Y95" s="22">
        <v>4.1399440932889199E-2</v>
      </c>
      <c r="Z95" s="22">
        <v>1.03678800718577E-9</v>
      </c>
      <c r="AA95" s="22">
        <v>8.1016612393291099E-3</v>
      </c>
      <c r="AB95" s="22"/>
      <c r="AC95" s="22"/>
      <c r="AD95" s="22"/>
      <c r="AE95" s="22"/>
      <c r="AF95" s="22"/>
      <c r="AG95" s="22"/>
      <c r="AH95" s="22" t="s">
        <v>748</v>
      </c>
      <c r="AI95" s="22"/>
      <c r="AJ95" s="22" t="s">
        <v>850</v>
      </c>
    </row>
    <row r="96" spans="1:36" ht="15" customHeight="1" x14ac:dyDescent="0.3">
      <c r="A96" s="22" t="s">
        <v>277</v>
      </c>
      <c r="B96" s="22" t="s">
        <v>278</v>
      </c>
      <c r="C96" s="22" t="s">
        <v>483</v>
      </c>
      <c r="D96" s="22" t="s">
        <v>484</v>
      </c>
      <c r="E96" s="22" t="s">
        <v>746</v>
      </c>
      <c r="F96" s="22" t="s">
        <v>747</v>
      </c>
      <c r="G96" s="22">
        <v>0.6</v>
      </c>
      <c r="H96" s="22">
        <v>1719</v>
      </c>
      <c r="I96" s="22">
        <v>69</v>
      </c>
      <c r="J96" s="22">
        <v>68</v>
      </c>
      <c r="K96" s="22">
        <v>-6.3001101344041702E-2</v>
      </c>
      <c r="L96" s="22">
        <v>2.4999480233507201E-2</v>
      </c>
      <c r="M96" s="22">
        <v>-2.5200964482293702</v>
      </c>
      <c r="N96" s="22">
        <v>66.856930191050694</v>
      </c>
      <c r="O96" s="22">
        <v>1.4126853430024299E-2</v>
      </c>
      <c r="P96" s="22">
        <v>-0.11290223564980301</v>
      </c>
      <c r="Q96" s="22">
        <v>-1.3099967038280501E-2</v>
      </c>
      <c r="R96" s="22"/>
      <c r="S96" s="22"/>
      <c r="T96" s="22">
        <v>-6.2917880096905396E-2</v>
      </c>
      <c r="U96" s="22">
        <v>-0.11242495067314</v>
      </c>
      <c r="V96" s="22">
        <v>-1.3099217731705399E-2</v>
      </c>
      <c r="W96" s="22"/>
      <c r="X96" s="22"/>
      <c r="Y96" s="22">
        <v>4.0762491367803501E-2</v>
      </c>
      <c r="Z96" s="22">
        <v>8.76929758679844E-10</v>
      </c>
      <c r="AA96" s="22">
        <v>8.0796333698035898E-3</v>
      </c>
      <c r="AB96" s="22"/>
      <c r="AC96" s="22"/>
      <c r="AD96" s="22"/>
      <c r="AE96" s="22"/>
      <c r="AF96" s="22"/>
      <c r="AG96" s="22"/>
      <c r="AH96" s="22" t="s">
        <v>748</v>
      </c>
      <c r="AI96" s="22"/>
      <c r="AJ96" s="22" t="s">
        <v>851</v>
      </c>
    </row>
    <row r="97" spans="1:36" ht="15" customHeight="1" x14ac:dyDescent="0.3">
      <c r="A97" s="22" t="s">
        <v>277</v>
      </c>
      <c r="B97" s="22" t="s">
        <v>278</v>
      </c>
      <c r="C97" s="22" t="s">
        <v>486</v>
      </c>
      <c r="D97" s="22" t="s">
        <v>487</v>
      </c>
      <c r="E97" s="22" t="s">
        <v>746</v>
      </c>
      <c r="F97" s="22" t="s">
        <v>747</v>
      </c>
      <c r="G97" s="22">
        <v>0.6</v>
      </c>
      <c r="H97" s="22">
        <v>1754</v>
      </c>
      <c r="I97" s="22">
        <v>70</v>
      </c>
      <c r="J97" s="22">
        <v>69</v>
      </c>
      <c r="K97" s="22">
        <v>-6.2729049836605794E-2</v>
      </c>
      <c r="L97" s="22">
        <v>2.4642086518705201E-2</v>
      </c>
      <c r="M97" s="22">
        <v>-2.5456062654836402</v>
      </c>
      <c r="N97" s="22">
        <v>67.856529609534505</v>
      </c>
      <c r="O97" s="22">
        <v>1.3185912642566199E-2</v>
      </c>
      <c r="P97" s="22">
        <v>-0.111903450473692</v>
      </c>
      <c r="Q97" s="22">
        <v>-1.3554649199519601E-2</v>
      </c>
      <c r="R97" s="22"/>
      <c r="S97" s="22"/>
      <c r="T97" s="22">
        <v>-6.2646900917151499E-2</v>
      </c>
      <c r="U97" s="22">
        <v>-0.111438679093081</v>
      </c>
      <c r="V97" s="22">
        <v>-1.3553819135332899E-2</v>
      </c>
      <c r="W97" s="22"/>
      <c r="X97" s="22"/>
      <c r="Y97" s="22">
        <v>4.0199335893859302E-2</v>
      </c>
      <c r="Z97" s="22">
        <v>1.0300290859094801E-9</v>
      </c>
      <c r="AA97" s="22">
        <v>7.9293465719589892E-3</v>
      </c>
      <c r="AB97" s="22"/>
      <c r="AC97" s="22"/>
      <c r="AD97" s="22"/>
      <c r="AE97" s="22"/>
      <c r="AF97" s="22"/>
      <c r="AG97" s="22"/>
      <c r="AH97" s="22" t="s">
        <v>748</v>
      </c>
      <c r="AI97" s="22"/>
      <c r="AJ97" s="22" t="s">
        <v>852</v>
      </c>
    </row>
    <row r="98" spans="1:36" ht="15" customHeight="1" x14ac:dyDescent="0.3">
      <c r="A98" s="22" t="s">
        <v>277</v>
      </c>
      <c r="B98" s="22" t="s">
        <v>278</v>
      </c>
      <c r="C98" s="22" t="s">
        <v>489</v>
      </c>
      <c r="D98" s="22" t="s">
        <v>490</v>
      </c>
      <c r="E98" s="22" t="s">
        <v>746</v>
      </c>
      <c r="F98" s="22" t="s">
        <v>747</v>
      </c>
      <c r="G98" s="22">
        <v>0.6</v>
      </c>
      <c r="H98" s="22">
        <v>1790</v>
      </c>
      <c r="I98" s="22">
        <v>71</v>
      </c>
      <c r="J98" s="22">
        <v>70</v>
      </c>
      <c r="K98" s="22">
        <v>-6.2107621986361501E-2</v>
      </c>
      <c r="L98" s="22">
        <v>2.4305730801092499E-2</v>
      </c>
      <c r="M98" s="22">
        <v>-2.5552665951344302</v>
      </c>
      <c r="N98" s="22">
        <v>68.856534510335194</v>
      </c>
      <c r="O98" s="22">
        <v>1.28235121339403E-2</v>
      </c>
      <c r="P98" s="22">
        <v>-0.110598030625216</v>
      </c>
      <c r="Q98" s="22">
        <v>-1.36172133475067E-2</v>
      </c>
      <c r="R98" s="22"/>
      <c r="S98" s="22"/>
      <c r="T98" s="22">
        <v>-6.2027887925076401E-2</v>
      </c>
      <c r="U98" s="22">
        <v>-0.110149283862987</v>
      </c>
      <c r="V98" s="22">
        <v>-1.3616371736784601E-2</v>
      </c>
      <c r="W98" s="22"/>
      <c r="X98" s="22"/>
      <c r="Y98" s="22">
        <v>3.9700634095337702E-2</v>
      </c>
      <c r="Z98" s="22">
        <v>1.0185898218950899E-9</v>
      </c>
      <c r="AA98" s="22">
        <v>7.7517801122765897E-3</v>
      </c>
      <c r="AB98" s="22"/>
      <c r="AC98" s="22"/>
      <c r="AD98" s="22"/>
      <c r="AE98" s="22"/>
      <c r="AF98" s="22"/>
      <c r="AG98" s="22"/>
      <c r="AH98" s="22" t="s">
        <v>748</v>
      </c>
      <c r="AI98" s="22"/>
      <c r="AJ98" s="22" t="s">
        <v>853</v>
      </c>
    </row>
    <row r="99" spans="1:36" ht="15" customHeight="1" x14ac:dyDescent="0.3">
      <c r="A99" s="22" t="s">
        <v>277</v>
      </c>
      <c r="B99" s="22" t="s">
        <v>278</v>
      </c>
      <c r="C99" s="22" t="s">
        <v>492</v>
      </c>
      <c r="D99" s="22" t="s">
        <v>493</v>
      </c>
      <c r="E99" s="22" t="s">
        <v>746</v>
      </c>
      <c r="F99" s="22" t="s">
        <v>747</v>
      </c>
      <c r="G99" s="22">
        <v>0.6</v>
      </c>
      <c r="H99" s="22">
        <v>1844</v>
      </c>
      <c r="I99" s="22">
        <v>72</v>
      </c>
      <c r="J99" s="22">
        <v>71</v>
      </c>
      <c r="K99" s="22">
        <v>-6.1151028182419902E-2</v>
      </c>
      <c r="L99" s="22">
        <v>2.4017510580892899E-2</v>
      </c>
      <c r="M99" s="22">
        <v>-2.5461018524987602</v>
      </c>
      <c r="N99" s="22">
        <v>69.859649998599707</v>
      </c>
      <c r="O99" s="22">
        <v>1.3101324615926601E-2</v>
      </c>
      <c r="P99" s="22">
        <v>-0.10905413459046499</v>
      </c>
      <c r="Q99" s="22">
        <v>-1.32479217743749E-2</v>
      </c>
      <c r="R99" s="22"/>
      <c r="S99" s="22"/>
      <c r="T99" s="22">
        <v>-6.10749183222178E-2</v>
      </c>
      <c r="U99" s="22">
        <v>-0.10862386151013299</v>
      </c>
      <c r="V99" s="22">
        <v>-1.32471467925405E-2</v>
      </c>
      <c r="W99" s="22"/>
      <c r="X99" s="22"/>
      <c r="Y99" s="22">
        <v>3.9362758564208698E-2</v>
      </c>
      <c r="Z99" s="22">
        <v>1.2376987720149599E-9</v>
      </c>
      <c r="AA99" s="22">
        <v>7.4803804246956597E-3</v>
      </c>
      <c r="AB99" s="22"/>
      <c r="AC99" s="22"/>
      <c r="AD99" s="22"/>
      <c r="AE99" s="22"/>
      <c r="AF99" s="22"/>
      <c r="AG99" s="22"/>
      <c r="AH99" s="22" t="s">
        <v>748</v>
      </c>
      <c r="AI99" s="22"/>
      <c r="AJ99" s="22" t="s">
        <v>854</v>
      </c>
    </row>
    <row r="100" spans="1:36" ht="15" customHeight="1" x14ac:dyDescent="0.3">
      <c r="A100" s="22" t="s">
        <v>277</v>
      </c>
      <c r="B100" s="22" t="s">
        <v>278</v>
      </c>
      <c r="C100" s="22" t="s">
        <v>495</v>
      </c>
      <c r="D100" s="22" t="s">
        <v>496</v>
      </c>
      <c r="E100" s="22" t="s">
        <v>746</v>
      </c>
      <c r="F100" s="22" t="s">
        <v>747</v>
      </c>
      <c r="G100" s="22">
        <v>0.6</v>
      </c>
      <c r="H100" s="22">
        <v>1858</v>
      </c>
      <c r="I100" s="22">
        <v>73</v>
      </c>
      <c r="J100" s="22">
        <v>72</v>
      </c>
      <c r="K100" s="22">
        <v>-6.0786376629729001E-2</v>
      </c>
      <c r="L100" s="22">
        <v>2.3669251493213601E-2</v>
      </c>
      <c r="M100" s="22">
        <v>-2.5681579600080502</v>
      </c>
      <c r="N100" s="22">
        <v>70.856791154230606</v>
      </c>
      <c r="O100" s="22">
        <v>1.23335540246349E-2</v>
      </c>
      <c r="P100" s="22">
        <v>-0.107983176705175</v>
      </c>
      <c r="Q100" s="22">
        <v>-1.3589576554283E-2</v>
      </c>
      <c r="R100" s="22"/>
      <c r="S100" s="22"/>
      <c r="T100" s="22">
        <v>-6.0711618897967203E-2</v>
      </c>
      <c r="U100" s="22">
        <v>-0.107565417284559</v>
      </c>
      <c r="V100" s="22">
        <v>-1.3588740057185401E-2</v>
      </c>
      <c r="W100" s="22"/>
      <c r="X100" s="22"/>
      <c r="Y100" s="22">
        <v>3.87663532634486E-2</v>
      </c>
      <c r="Z100" s="22">
        <v>1.01233483818838E-9</v>
      </c>
      <c r="AA100" s="22">
        <v>7.4211562019267296E-3</v>
      </c>
      <c r="AB100" s="22"/>
      <c r="AC100" s="22"/>
      <c r="AD100" s="22"/>
      <c r="AE100" s="22"/>
      <c r="AF100" s="22"/>
      <c r="AG100" s="22"/>
      <c r="AH100" s="22" t="s">
        <v>748</v>
      </c>
      <c r="AI100" s="22"/>
      <c r="AJ100" s="22" t="s">
        <v>855</v>
      </c>
    </row>
    <row r="101" spans="1:36" ht="15" customHeight="1" x14ac:dyDescent="0.3">
      <c r="A101" s="22" t="s">
        <v>277</v>
      </c>
      <c r="B101" s="22" t="s">
        <v>278</v>
      </c>
      <c r="C101" s="22" t="s">
        <v>498</v>
      </c>
      <c r="D101" s="22" t="s">
        <v>499</v>
      </c>
      <c r="E101" s="22" t="s">
        <v>746</v>
      </c>
      <c r="F101" s="22" t="s">
        <v>747</v>
      </c>
      <c r="G101" s="22">
        <v>0.6</v>
      </c>
      <c r="H101" s="22">
        <v>1894</v>
      </c>
      <c r="I101" s="22">
        <v>74</v>
      </c>
      <c r="J101" s="22">
        <v>73</v>
      </c>
      <c r="K101" s="22">
        <v>-6.0108255557374098E-2</v>
      </c>
      <c r="L101" s="22">
        <v>2.3279148540945701E-2</v>
      </c>
      <c r="M101" s="22">
        <v>-2.582064178664</v>
      </c>
      <c r="N101" s="22">
        <v>71.847113870424295</v>
      </c>
      <c r="O101" s="22">
        <v>1.18596493882659E-2</v>
      </c>
      <c r="P101" s="22">
        <v>-0.10651607720846699</v>
      </c>
      <c r="Q101" s="22">
        <v>-1.37004339062814E-2</v>
      </c>
      <c r="R101" s="22"/>
      <c r="S101" s="22"/>
      <c r="T101" s="22">
        <v>-6.0035969599726603E-2</v>
      </c>
      <c r="U101" s="22">
        <v>-0.106115064758669</v>
      </c>
      <c r="V101" s="22">
        <v>-1.36995767715265E-2</v>
      </c>
      <c r="W101" s="22"/>
      <c r="X101" s="22"/>
      <c r="Y101" s="22">
        <v>3.7982338381313901E-2</v>
      </c>
      <c r="Z101" s="22">
        <v>1.2776364748534199E-9</v>
      </c>
      <c r="AA101" s="22">
        <v>7.5769252998633399E-3</v>
      </c>
      <c r="AB101" s="22"/>
      <c r="AC101" s="22"/>
      <c r="AD101" s="22"/>
      <c r="AE101" s="22"/>
      <c r="AF101" s="22"/>
      <c r="AG101" s="22"/>
      <c r="AH101" s="22" t="s">
        <v>748</v>
      </c>
      <c r="AI101" s="22"/>
      <c r="AJ101" s="22" t="s">
        <v>856</v>
      </c>
    </row>
    <row r="102" spans="1:36" ht="15" customHeight="1" x14ac:dyDescent="0.3">
      <c r="A102" s="22" t="s">
        <v>277</v>
      </c>
      <c r="B102" s="22" t="s">
        <v>278</v>
      </c>
      <c r="C102" s="22" t="s">
        <v>501</v>
      </c>
      <c r="D102" s="22" t="s">
        <v>502</v>
      </c>
      <c r="E102" s="22" t="s">
        <v>746</v>
      </c>
      <c r="F102" s="22" t="s">
        <v>747</v>
      </c>
      <c r="G102" s="22">
        <v>0.6</v>
      </c>
      <c r="H102" s="22">
        <v>1898</v>
      </c>
      <c r="I102" s="22">
        <v>75</v>
      </c>
      <c r="J102" s="22">
        <v>74</v>
      </c>
      <c r="K102" s="22">
        <v>-5.8889370512563897E-2</v>
      </c>
      <c r="L102" s="22">
        <v>2.2945048606305599E-2</v>
      </c>
      <c r="M102" s="22">
        <v>-2.5665393664226301</v>
      </c>
      <c r="N102" s="22">
        <v>72.839424544320295</v>
      </c>
      <c r="O102" s="22">
        <v>1.2326639815594599E-2</v>
      </c>
      <c r="P102" s="22">
        <v>-0.10462048486796401</v>
      </c>
      <c r="Q102" s="22">
        <v>-1.3158256157163499E-2</v>
      </c>
      <c r="R102" s="22"/>
      <c r="S102" s="22"/>
      <c r="T102" s="22">
        <v>-5.8821389526024503E-2</v>
      </c>
      <c r="U102" s="22">
        <v>-0.104240442722791</v>
      </c>
      <c r="V102" s="22">
        <v>-1.31574968042229E-2</v>
      </c>
      <c r="W102" s="22"/>
      <c r="X102" s="22"/>
      <c r="Y102" s="22">
        <v>3.7361530619795399E-2</v>
      </c>
      <c r="Z102" s="22">
        <v>1.0465768778087399E-9</v>
      </c>
      <c r="AA102" s="22">
        <v>7.6931930332348403E-3</v>
      </c>
      <c r="AB102" s="22"/>
      <c r="AC102" s="22"/>
      <c r="AD102" s="22"/>
      <c r="AE102" s="22"/>
      <c r="AF102" s="22"/>
      <c r="AG102" s="22"/>
      <c r="AH102" s="22" t="s">
        <v>748</v>
      </c>
      <c r="AI102" s="22"/>
      <c r="AJ102" s="22" t="s">
        <v>857</v>
      </c>
    </row>
    <row r="103" spans="1:36" ht="15" customHeight="1" x14ac:dyDescent="0.3">
      <c r="A103" s="22" t="s">
        <v>277</v>
      </c>
      <c r="B103" s="22" t="s">
        <v>278</v>
      </c>
      <c r="C103" s="22" t="s">
        <v>504</v>
      </c>
      <c r="D103" s="22" t="s">
        <v>505</v>
      </c>
      <c r="E103" s="22" t="s">
        <v>746</v>
      </c>
      <c r="F103" s="22" t="s">
        <v>747</v>
      </c>
      <c r="G103" s="22">
        <v>0.6</v>
      </c>
      <c r="H103" s="22">
        <v>1926</v>
      </c>
      <c r="I103" s="22">
        <v>76</v>
      </c>
      <c r="J103" s="22">
        <v>75</v>
      </c>
      <c r="K103" s="22">
        <v>-5.8339034599167901E-2</v>
      </c>
      <c r="L103" s="22">
        <v>2.26444592342342E-2</v>
      </c>
      <c r="M103" s="22">
        <v>-2.5763050464446602</v>
      </c>
      <c r="N103" s="22">
        <v>73.8383260052575</v>
      </c>
      <c r="O103" s="22">
        <v>1.1984230685169499E-2</v>
      </c>
      <c r="P103" s="22">
        <v>-0.10346074613885201</v>
      </c>
      <c r="Q103" s="22">
        <v>-1.32173230594842E-2</v>
      </c>
      <c r="R103" s="22"/>
      <c r="S103" s="22"/>
      <c r="T103" s="22">
        <v>-5.8272940051824901E-2</v>
      </c>
      <c r="U103" s="22">
        <v>-0.10309316761411901</v>
      </c>
      <c r="V103" s="22">
        <v>-1.3216553434932001E-2</v>
      </c>
      <c r="W103" s="22"/>
      <c r="X103" s="22"/>
      <c r="Y103" s="22">
        <v>3.68957125136294E-2</v>
      </c>
      <c r="Z103" s="22">
        <v>1.06757111394502E-9</v>
      </c>
      <c r="AA103" s="22">
        <v>7.5661411264044296E-3</v>
      </c>
      <c r="AB103" s="22"/>
      <c r="AC103" s="22"/>
      <c r="AD103" s="22"/>
      <c r="AE103" s="22"/>
      <c r="AF103" s="22"/>
      <c r="AG103" s="22"/>
      <c r="AH103" s="22" t="s">
        <v>748</v>
      </c>
      <c r="AI103" s="22"/>
      <c r="AJ103" s="22" t="s">
        <v>858</v>
      </c>
    </row>
    <row r="104" spans="1:36" ht="15" customHeight="1" x14ac:dyDescent="0.3">
      <c r="A104" s="22" t="s">
        <v>277</v>
      </c>
      <c r="B104" s="22" t="s">
        <v>278</v>
      </c>
      <c r="C104" s="22" t="s">
        <v>507</v>
      </c>
      <c r="D104" s="22" t="s">
        <v>508</v>
      </c>
      <c r="E104" s="22" t="s">
        <v>746</v>
      </c>
      <c r="F104" s="22" t="s">
        <v>747</v>
      </c>
      <c r="G104" s="22">
        <v>0.6</v>
      </c>
      <c r="H104" s="22">
        <v>1928</v>
      </c>
      <c r="I104" s="22">
        <v>77</v>
      </c>
      <c r="J104" s="22">
        <v>76</v>
      </c>
      <c r="K104" s="22">
        <v>-5.8658158471273897E-2</v>
      </c>
      <c r="L104" s="22">
        <v>2.2348522804318899E-2</v>
      </c>
      <c r="M104" s="22">
        <v>-2.6246995823785801</v>
      </c>
      <c r="N104" s="22">
        <v>74.829565716043405</v>
      </c>
      <c r="O104" s="22">
        <v>1.05085846756176E-2</v>
      </c>
      <c r="P104" s="22">
        <v>-0.103180361003162</v>
      </c>
      <c r="Q104" s="22">
        <v>-1.41359559393854E-2</v>
      </c>
      <c r="R104" s="22"/>
      <c r="S104" s="22"/>
      <c r="T104" s="22">
        <v>-5.8590974338603101E-2</v>
      </c>
      <c r="U104" s="22">
        <v>-0.10281575445648999</v>
      </c>
      <c r="V104" s="22">
        <v>-1.41350144409947E-2</v>
      </c>
      <c r="W104" s="22"/>
      <c r="X104" s="22"/>
      <c r="Y104" s="22">
        <v>3.6363658993237798E-2</v>
      </c>
      <c r="Z104" s="22">
        <v>1.3024735827225401E-9</v>
      </c>
      <c r="AA104" s="22">
        <v>7.5619299249026703E-3</v>
      </c>
      <c r="AB104" s="22"/>
      <c r="AC104" s="22"/>
      <c r="AD104" s="22"/>
      <c r="AE104" s="22"/>
      <c r="AF104" s="22"/>
      <c r="AG104" s="22"/>
      <c r="AH104" s="22" t="s">
        <v>748</v>
      </c>
      <c r="AI104" s="22"/>
      <c r="AJ104" s="22" t="s">
        <v>859</v>
      </c>
    </row>
    <row r="105" spans="1:36" ht="15" customHeight="1" x14ac:dyDescent="0.3">
      <c r="A105" s="22" t="s">
        <v>277</v>
      </c>
      <c r="B105" s="22" t="s">
        <v>278</v>
      </c>
      <c r="C105" s="22" t="s">
        <v>510</v>
      </c>
      <c r="D105" s="22" t="s">
        <v>511</v>
      </c>
      <c r="E105" s="22" t="s">
        <v>746</v>
      </c>
      <c r="F105" s="22" t="s">
        <v>747</v>
      </c>
      <c r="G105" s="22">
        <v>0.6</v>
      </c>
      <c r="H105" s="22">
        <v>1936</v>
      </c>
      <c r="I105" s="22">
        <v>78</v>
      </c>
      <c r="J105" s="22">
        <v>77</v>
      </c>
      <c r="K105" s="22">
        <v>-6.1712020063674801E-2</v>
      </c>
      <c r="L105" s="22">
        <v>2.0675113476849898E-2</v>
      </c>
      <c r="M105" s="22">
        <v>-2.9848455309700799</v>
      </c>
      <c r="N105" s="22">
        <v>75.455356212206993</v>
      </c>
      <c r="O105" s="22">
        <v>3.8224768389847901E-3</v>
      </c>
      <c r="P105" s="22">
        <v>-0.10289488454005399</v>
      </c>
      <c r="Q105" s="22">
        <v>-2.0529155587295098E-2</v>
      </c>
      <c r="R105" s="22"/>
      <c r="S105" s="22"/>
      <c r="T105" s="22">
        <v>-6.1633798414771603E-2</v>
      </c>
      <c r="U105" s="22">
        <v>-0.102533287504581</v>
      </c>
      <c r="V105" s="22">
        <v>-2.0526272094985799E-2</v>
      </c>
      <c r="W105" s="22"/>
      <c r="X105" s="22"/>
      <c r="Y105" s="22">
        <v>3.0455131962024901E-2</v>
      </c>
      <c r="Z105" s="22">
        <v>2.2362214696081799E-9</v>
      </c>
      <c r="AA105" s="22">
        <v>1.4426192504545901E-2</v>
      </c>
      <c r="AB105" s="22"/>
      <c r="AC105" s="22"/>
      <c r="AD105" s="22"/>
      <c r="AE105" s="22"/>
      <c r="AF105" s="22"/>
      <c r="AG105" s="22"/>
      <c r="AH105" s="22" t="s">
        <v>748</v>
      </c>
      <c r="AI105" s="22"/>
      <c r="AJ105" s="22" t="s">
        <v>860</v>
      </c>
    </row>
    <row r="106" spans="1:36" ht="15" customHeight="1" x14ac:dyDescent="0.3">
      <c r="A106" s="22" t="s">
        <v>277</v>
      </c>
      <c r="B106" s="22" t="s">
        <v>278</v>
      </c>
      <c r="C106" s="22" t="s">
        <v>513</v>
      </c>
      <c r="D106" s="22" t="s">
        <v>514</v>
      </c>
      <c r="E106" s="22" t="s">
        <v>746</v>
      </c>
      <c r="F106" s="22" t="s">
        <v>747</v>
      </c>
      <c r="G106" s="22">
        <v>0.6</v>
      </c>
      <c r="H106" s="22">
        <v>1939</v>
      </c>
      <c r="I106" s="22">
        <v>79</v>
      </c>
      <c r="J106" s="22">
        <v>78</v>
      </c>
      <c r="K106" s="22">
        <v>-6.1333333731654803E-2</v>
      </c>
      <c r="L106" s="22">
        <v>2.0462482055707599E-2</v>
      </c>
      <c r="M106" s="22">
        <v>-2.9973555292402598</v>
      </c>
      <c r="N106" s="22">
        <v>76.330801499942595</v>
      </c>
      <c r="O106" s="22">
        <v>3.6733400696538601E-3</v>
      </c>
      <c r="P106" s="22">
        <v>-0.10208504265952099</v>
      </c>
      <c r="Q106" s="22">
        <v>-2.05816248037883E-2</v>
      </c>
      <c r="R106" s="22"/>
      <c r="S106" s="22"/>
      <c r="T106" s="22">
        <v>-6.1256541820939599E-2</v>
      </c>
      <c r="U106" s="22">
        <v>-0.10173189318333201</v>
      </c>
      <c r="V106" s="22">
        <v>-2.05787191482035E-2</v>
      </c>
      <c r="W106" s="22"/>
      <c r="X106" s="22"/>
      <c r="Y106" s="22">
        <v>3.0060103122766298E-2</v>
      </c>
      <c r="Z106" s="22">
        <v>1.48113398960335E-9</v>
      </c>
      <c r="AA106" s="22">
        <v>1.4447378129491E-2</v>
      </c>
      <c r="AB106" s="22"/>
      <c r="AC106" s="22"/>
      <c r="AD106" s="22"/>
      <c r="AE106" s="22"/>
      <c r="AF106" s="22"/>
      <c r="AG106" s="22"/>
      <c r="AH106" s="22" t="s">
        <v>748</v>
      </c>
      <c r="AI106" s="22"/>
      <c r="AJ106" s="22" t="s">
        <v>861</v>
      </c>
    </row>
    <row r="107" spans="1:36" ht="15" customHeight="1" x14ac:dyDescent="0.3">
      <c r="A107" s="22" t="s">
        <v>277</v>
      </c>
      <c r="B107" s="22" t="s">
        <v>278</v>
      </c>
      <c r="C107" s="22" t="s">
        <v>516</v>
      </c>
      <c r="D107" s="22" t="s">
        <v>517</v>
      </c>
      <c r="E107" s="22" t="s">
        <v>746</v>
      </c>
      <c r="F107" s="22" t="s">
        <v>747</v>
      </c>
      <c r="G107" s="22">
        <v>0.6</v>
      </c>
      <c r="H107" s="22">
        <v>1947</v>
      </c>
      <c r="I107" s="22">
        <v>80</v>
      </c>
      <c r="J107" s="22">
        <v>79</v>
      </c>
      <c r="K107" s="22">
        <v>-6.0944487469519602E-2</v>
      </c>
      <c r="L107" s="22">
        <v>2.0142463364558098E-2</v>
      </c>
      <c r="M107" s="22">
        <v>-3.0256720027976001</v>
      </c>
      <c r="N107" s="22">
        <v>77.306956398954497</v>
      </c>
      <c r="O107" s="22">
        <v>3.3677135239143E-3</v>
      </c>
      <c r="P107" s="22">
        <v>-0.10105071480939</v>
      </c>
      <c r="Q107" s="22">
        <v>-2.0838260129649001E-2</v>
      </c>
      <c r="R107" s="22"/>
      <c r="S107" s="22"/>
      <c r="T107" s="22">
        <v>-6.0869145443471703E-2</v>
      </c>
      <c r="U107" s="22">
        <v>-0.10070816262710799</v>
      </c>
      <c r="V107" s="22">
        <v>-2.0835244432791701E-2</v>
      </c>
      <c r="W107" s="22"/>
      <c r="X107" s="22"/>
      <c r="Y107" s="22">
        <v>2.9454658755043699E-2</v>
      </c>
      <c r="Z107" s="22">
        <v>2.0676517390025301E-9</v>
      </c>
      <c r="AA107" s="22">
        <v>1.4502811402361799E-2</v>
      </c>
      <c r="AB107" s="22"/>
      <c r="AC107" s="22"/>
      <c r="AD107" s="22"/>
      <c r="AE107" s="22"/>
      <c r="AF107" s="22"/>
      <c r="AG107" s="22"/>
      <c r="AH107" s="22" t="s">
        <v>748</v>
      </c>
      <c r="AI107" s="22"/>
      <c r="AJ107" s="22" t="s">
        <v>862</v>
      </c>
    </row>
    <row r="108" spans="1:36" ht="15" customHeight="1" x14ac:dyDescent="0.3">
      <c r="A108" s="22" t="s">
        <v>277</v>
      </c>
      <c r="B108" s="22" t="s">
        <v>278</v>
      </c>
      <c r="C108" s="22" t="s">
        <v>519</v>
      </c>
      <c r="D108" s="22" t="s">
        <v>520</v>
      </c>
      <c r="E108" s="22" t="s">
        <v>746</v>
      </c>
      <c r="F108" s="22" t="s">
        <v>747</v>
      </c>
      <c r="G108" s="22">
        <v>0.6</v>
      </c>
      <c r="H108" s="22">
        <v>1980</v>
      </c>
      <c r="I108" s="22">
        <v>81</v>
      </c>
      <c r="J108" s="22">
        <v>80</v>
      </c>
      <c r="K108" s="22">
        <v>-6.1349286690142099E-2</v>
      </c>
      <c r="L108" s="22">
        <v>1.98937588189649E-2</v>
      </c>
      <c r="M108" s="22">
        <v>-3.0838459060666401</v>
      </c>
      <c r="N108" s="22">
        <v>78.304551271082701</v>
      </c>
      <c r="O108" s="22">
        <v>2.8223465856459201E-3</v>
      </c>
      <c r="P108" s="22">
        <v>-0.100952292007104</v>
      </c>
      <c r="Q108" s="22">
        <v>-2.174628137318E-2</v>
      </c>
      <c r="R108" s="22"/>
      <c r="S108" s="22"/>
      <c r="T108" s="22">
        <v>-6.1272434902588602E-2</v>
      </c>
      <c r="U108" s="22">
        <v>-0.10061073707670801</v>
      </c>
      <c r="V108" s="22">
        <v>-2.1742854077203999E-2</v>
      </c>
      <c r="W108" s="22"/>
      <c r="X108" s="22"/>
      <c r="Y108" s="22">
        <v>2.91001339048905E-2</v>
      </c>
      <c r="Z108" s="22">
        <v>1.9288339509756801E-9</v>
      </c>
      <c r="AA108" s="22">
        <v>1.43125147896704E-2</v>
      </c>
      <c r="AB108" s="22"/>
      <c r="AC108" s="22"/>
      <c r="AD108" s="22"/>
      <c r="AE108" s="22"/>
      <c r="AF108" s="22"/>
      <c r="AG108" s="22"/>
      <c r="AH108" s="22" t="s">
        <v>748</v>
      </c>
      <c r="AI108" s="22"/>
      <c r="AJ108" s="22" t="s">
        <v>863</v>
      </c>
    </row>
    <row r="109" spans="1:36" ht="15" customHeight="1" x14ac:dyDescent="0.3">
      <c r="A109" s="22" t="s">
        <v>277</v>
      </c>
      <c r="B109" s="22" t="s">
        <v>278</v>
      </c>
      <c r="C109" s="22" t="s">
        <v>522</v>
      </c>
      <c r="D109" s="22" t="s">
        <v>523</v>
      </c>
      <c r="E109" s="22" t="s">
        <v>746</v>
      </c>
      <c r="F109" s="22" t="s">
        <v>747</v>
      </c>
      <c r="G109" s="22">
        <v>0.6</v>
      </c>
      <c r="H109" s="22">
        <v>1989</v>
      </c>
      <c r="I109" s="22">
        <v>82</v>
      </c>
      <c r="J109" s="22">
        <v>81</v>
      </c>
      <c r="K109" s="22">
        <v>-6.0900111177678497E-2</v>
      </c>
      <c r="L109" s="22">
        <v>1.9615608886017901E-2</v>
      </c>
      <c r="M109" s="22">
        <v>-3.10467605321639</v>
      </c>
      <c r="N109" s="22">
        <v>79.290219343112994</v>
      </c>
      <c r="O109" s="22">
        <v>2.6413168313196801E-3</v>
      </c>
      <c r="P109" s="22">
        <v>-9.9941782077180102E-2</v>
      </c>
      <c r="Q109" s="22">
        <v>-2.1858440278176901E-2</v>
      </c>
      <c r="R109" s="22"/>
      <c r="S109" s="22"/>
      <c r="T109" s="22">
        <v>-6.0824933448743797E-2</v>
      </c>
      <c r="U109" s="22">
        <v>-9.9610354687660205E-2</v>
      </c>
      <c r="V109" s="22">
        <v>-2.1854959685030598E-2</v>
      </c>
      <c r="W109" s="22"/>
      <c r="X109" s="22"/>
      <c r="Y109" s="22">
        <v>2.8626164474709899E-2</v>
      </c>
      <c r="Z109" s="22">
        <v>1.65333651512163E-9</v>
      </c>
      <c r="AA109" s="22">
        <v>1.42554818989477E-2</v>
      </c>
      <c r="AB109" s="22"/>
      <c r="AC109" s="22"/>
      <c r="AD109" s="22"/>
      <c r="AE109" s="22"/>
      <c r="AF109" s="22"/>
      <c r="AG109" s="22"/>
      <c r="AH109" s="22" t="s">
        <v>748</v>
      </c>
      <c r="AI109" s="22"/>
      <c r="AJ109" s="22" t="s">
        <v>864</v>
      </c>
    </row>
    <row r="110" spans="1:36" ht="15" customHeight="1" x14ac:dyDescent="0.3">
      <c r="A110" s="22" t="s">
        <v>277</v>
      </c>
      <c r="B110" s="22" t="s">
        <v>278</v>
      </c>
      <c r="C110" s="22" t="s">
        <v>525</v>
      </c>
      <c r="D110" s="22" t="s">
        <v>526</v>
      </c>
      <c r="E110" s="22" t="s">
        <v>746</v>
      </c>
      <c r="F110" s="22" t="s">
        <v>747</v>
      </c>
      <c r="G110" s="22">
        <v>0.6</v>
      </c>
      <c r="H110" s="22">
        <v>1999</v>
      </c>
      <c r="I110" s="22">
        <v>83</v>
      </c>
      <c r="J110" s="22">
        <v>82</v>
      </c>
      <c r="K110" s="22">
        <v>-6.0152706609857699E-2</v>
      </c>
      <c r="L110" s="22">
        <v>1.9352112621629301E-2</v>
      </c>
      <c r="M110" s="22">
        <v>-3.1083276428759001</v>
      </c>
      <c r="N110" s="22">
        <v>80.275190378173093</v>
      </c>
      <c r="O110" s="22">
        <v>2.6026723594474699E-3</v>
      </c>
      <c r="P110" s="22">
        <v>-9.86626114197314E-2</v>
      </c>
      <c r="Q110" s="22">
        <v>-2.1642801799983999E-2</v>
      </c>
      <c r="R110" s="22"/>
      <c r="S110" s="22"/>
      <c r="T110" s="22">
        <v>-6.0080260318271302E-2</v>
      </c>
      <c r="U110" s="22">
        <v>-9.8343715543840998E-2</v>
      </c>
      <c r="V110" s="22">
        <v>-2.16394231918083E-2</v>
      </c>
      <c r="W110" s="22"/>
      <c r="X110" s="22"/>
      <c r="Y110" s="22">
        <v>2.8180775406615202E-2</v>
      </c>
      <c r="Z110" s="22">
        <v>1.4741847736402799E-9</v>
      </c>
      <c r="AA110" s="22">
        <v>1.4224871806613099E-2</v>
      </c>
      <c r="AB110" s="22"/>
      <c r="AC110" s="22"/>
      <c r="AD110" s="22"/>
      <c r="AE110" s="22"/>
      <c r="AF110" s="22"/>
      <c r="AG110" s="22"/>
      <c r="AH110" s="22" t="s">
        <v>748</v>
      </c>
      <c r="AI110" s="22"/>
      <c r="AJ110" s="22" t="s">
        <v>865</v>
      </c>
    </row>
    <row r="111" spans="1:36" ht="15" customHeight="1" x14ac:dyDescent="0.3">
      <c r="A111" s="22" t="s">
        <v>277</v>
      </c>
      <c r="B111" s="22" t="s">
        <v>278</v>
      </c>
      <c r="C111" s="22" t="s">
        <v>528</v>
      </c>
      <c r="D111" s="22" t="s">
        <v>529</v>
      </c>
      <c r="E111" s="22" t="s">
        <v>746</v>
      </c>
      <c r="F111" s="22" t="s">
        <v>747</v>
      </c>
      <c r="G111" s="22">
        <v>0.6</v>
      </c>
      <c r="H111" s="22">
        <v>2037</v>
      </c>
      <c r="I111" s="22">
        <v>84</v>
      </c>
      <c r="J111" s="22">
        <v>83</v>
      </c>
      <c r="K111" s="22">
        <v>-5.9572207803339897E-2</v>
      </c>
      <c r="L111" s="22">
        <v>1.9138020449149699E-2</v>
      </c>
      <c r="M111" s="22">
        <v>-3.1127674861475398</v>
      </c>
      <c r="N111" s="22">
        <v>81.278001416122507</v>
      </c>
      <c r="O111" s="22">
        <v>2.5584415356960798E-3</v>
      </c>
      <c r="P111" s="22">
        <v>-9.7648891049651396E-2</v>
      </c>
      <c r="Q111" s="22">
        <v>-2.14955245570283E-2</v>
      </c>
      <c r="R111" s="22"/>
      <c r="S111" s="22"/>
      <c r="T111" s="22">
        <v>-5.9501836793691497E-2</v>
      </c>
      <c r="U111" s="22">
        <v>-9.7339699607050301E-2</v>
      </c>
      <c r="V111" s="22">
        <v>-2.1492214445488E-2</v>
      </c>
      <c r="W111" s="22"/>
      <c r="X111" s="22"/>
      <c r="Y111" s="22">
        <v>2.7929493933446001E-2</v>
      </c>
      <c r="Z111" s="22">
        <v>2.39405715478009E-9</v>
      </c>
      <c r="AA111" s="22">
        <v>1.3956309019708299E-2</v>
      </c>
      <c r="AB111" s="22"/>
      <c r="AC111" s="22"/>
      <c r="AD111" s="22"/>
      <c r="AE111" s="22"/>
      <c r="AF111" s="22"/>
      <c r="AG111" s="22"/>
      <c r="AH111" s="22" t="s">
        <v>748</v>
      </c>
      <c r="AI111" s="22"/>
      <c r="AJ111" s="22" t="s">
        <v>866</v>
      </c>
    </row>
    <row r="112" spans="1:36" ht="15" customHeight="1" x14ac:dyDescent="0.3">
      <c r="A112" s="22" t="s">
        <v>277</v>
      </c>
      <c r="B112" s="22" t="s">
        <v>278</v>
      </c>
      <c r="C112" s="22" t="s">
        <v>531</v>
      </c>
      <c r="D112" s="22" t="s">
        <v>532</v>
      </c>
      <c r="E112" s="22" t="s">
        <v>746</v>
      </c>
      <c r="F112" s="22" t="s">
        <v>747</v>
      </c>
      <c r="G112" s="22">
        <v>0.6</v>
      </c>
      <c r="H112" s="22">
        <v>2042</v>
      </c>
      <c r="I112" s="22">
        <v>85</v>
      </c>
      <c r="J112" s="22">
        <v>84</v>
      </c>
      <c r="K112" s="22">
        <v>-6.0372986653910901E-2</v>
      </c>
      <c r="L112" s="22">
        <v>1.8856068010665299E-2</v>
      </c>
      <c r="M112" s="22">
        <v>-3.2017802767662298</v>
      </c>
      <c r="N112" s="22">
        <v>82.245074016744596</v>
      </c>
      <c r="O112" s="22">
        <v>1.9424888974833999E-3</v>
      </c>
      <c r="P112" s="22">
        <v>-9.7882039266956905E-2</v>
      </c>
      <c r="Q112" s="22">
        <v>-2.28639340408648E-2</v>
      </c>
      <c r="R112" s="22"/>
      <c r="S112" s="22"/>
      <c r="T112" s="22">
        <v>-6.0299742322896602E-2</v>
      </c>
      <c r="U112" s="22">
        <v>-9.7570633495874096E-2</v>
      </c>
      <c r="V112" s="22">
        <v>-2.2859950761026399E-2</v>
      </c>
      <c r="W112" s="22"/>
      <c r="X112" s="22"/>
      <c r="Y112" s="22">
        <v>2.73741342999387E-2</v>
      </c>
      <c r="Z112" s="22">
        <v>1.5000689638143499E-9</v>
      </c>
      <c r="AA112" s="22">
        <v>1.41308557495526E-2</v>
      </c>
      <c r="AB112" s="22"/>
      <c r="AC112" s="22"/>
      <c r="AD112" s="22"/>
      <c r="AE112" s="22"/>
      <c r="AF112" s="22"/>
      <c r="AG112" s="22"/>
      <c r="AH112" s="22" t="s">
        <v>748</v>
      </c>
      <c r="AI112" s="22"/>
      <c r="AJ112" s="22" t="s">
        <v>867</v>
      </c>
    </row>
    <row r="113" spans="1:36" ht="15" customHeight="1" x14ac:dyDescent="0.3">
      <c r="A113" s="22" t="s">
        <v>277</v>
      </c>
      <c r="B113" s="22" t="s">
        <v>278</v>
      </c>
      <c r="C113" s="22" t="s">
        <v>534</v>
      </c>
      <c r="D113" s="22" t="s">
        <v>535</v>
      </c>
      <c r="E113" s="22" t="s">
        <v>746</v>
      </c>
      <c r="F113" s="22" t="s">
        <v>747</v>
      </c>
      <c r="G113" s="22">
        <v>0.6</v>
      </c>
      <c r="H113" s="22">
        <v>2048</v>
      </c>
      <c r="I113" s="22">
        <v>86</v>
      </c>
      <c r="J113" s="22">
        <v>85</v>
      </c>
      <c r="K113" s="22">
        <v>-5.9687270015869098E-2</v>
      </c>
      <c r="L113" s="22">
        <v>1.8612037517521E-2</v>
      </c>
      <c r="M113" s="22">
        <v>-3.2069175639518601</v>
      </c>
      <c r="N113" s="22">
        <v>83.2295465189857</v>
      </c>
      <c r="O113" s="22">
        <v>1.9045372434126199E-3</v>
      </c>
      <c r="P113" s="22">
        <v>-9.6704354221465005E-2</v>
      </c>
      <c r="Q113" s="22">
        <v>-2.2670185810273202E-2</v>
      </c>
      <c r="R113" s="22"/>
      <c r="S113" s="22"/>
      <c r="T113" s="22">
        <v>-5.96164908465973E-2</v>
      </c>
      <c r="U113" s="22">
        <v>-9.6404026533080903E-2</v>
      </c>
      <c r="V113" s="22">
        <v>-2.2666302923613699E-2</v>
      </c>
      <c r="W113" s="22"/>
      <c r="X113" s="22"/>
      <c r="Y113" s="22">
        <v>2.69597899658384E-2</v>
      </c>
      <c r="Z113" s="22">
        <v>2.0074396341651299E-9</v>
      </c>
      <c r="AA113" s="22">
        <v>1.4102653570655901E-2</v>
      </c>
      <c r="AB113" s="22"/>
      <c r="AC113" s="22"/>
      <c r="AD113" s="22"/>
      <c r="AE113" s="22"/>
      <c r="AF113" s="22"/>
      <c r="AG113" s="22"/>
      <c r="AH113" s="22" t="s">
        <v>748</v>
      </c>
      <c r="AI113" s="22"/>
      <c r="AJ113" s="22" t="s">
        <v>868</v>
      </c>
    </row>
    <row r="114" spans="1:36" ht="15" customHeight="1" x14ac:dyDescent="0.3">
      <c r="A114" s="22" t="s">
        <v>277</v>
      </c>
      <c r="B114" s="22" t="s">
        <v>278</v>
      </c>
      <c r="C114" s="22" t="s">
        <v>537</v>
      </c>
      <c r="D114" s="22" t="s">
        <v>538</v>
      </c>
      <c r="E114" s="22" t="s">
        <v>746</v>
      </c>
      <c r="F114" s="22" t="s">
        <v>747</v>
      </c>
      <c r="G114" s="22">
        <v>0.6</v>
      </c>
      <c r="H114" s="22">
        <v>2066</v>
      </c>
      <c r="I114" s="22">
        <v>87</v>
      </c>
      <c r="J114" s="22">
        <v>86</v>
      </c>
      <c r="K114" s="22">
        <v>-5.90108848859296E-2</v>
      </c>
      <c r="L114" s="22">
        <v>1.8385833519357599E-2</v>
      </c>
      <c r="M114" s="22">
        <v>-3.2095844239968701</v>
      </c>
      <c r="N114" s="22">
        <v>84.220715631100703</v>
      </c>
      <c r="O114" s="22">
        <v>1.88166546707938E-3</v>
      </c>
      <c r="P114" s="22">
        <v>-9.5571731269343901E-2</v>
      </c>
      <c r="Q114" s="22">
        <v>-2.2450038502515299E-2</v>
      </c>
      <c r="R114" s="22"/>
      <c r="S114" s="22"/>
      <c r="T114" s="22">
        <v>-5.8942482598895E-2</v>
      </c>
      <c r="U114" s="22">
        <v>-9.5281807825511697E-2</v>
      </c>
      <c r="V114" s="22">
        <v>-2.2446267624615102E-2</v>
      </c>
      <c r="W114" s="22"/>
      <c r="X114" s="22"/>
      <c r="Y114" s="22">
        <v>2.6621924883333901E-2</v>
      </c>
      <c r="Z114" s="22">
        <v>2.4230658584818599E-9</v>
      </c>
      <c r="AA114" s="22">
        <v>1.3981099666620599E-2</v>
      </c>
      <c r="AB114" s="22"/>
      <c r="AC114" s="22"/>
      <c r="AD114" s="22"/>
      <c r="AE114" s="22"/>
      <c r="AF114" s="22"/>
      <c r="AG114" s="22"/>
      <c r="AH114" s="22" t="s">
        <v>748</v>
      </c>
      <c r="AI114" s="22"/>
      <c r="AJ114" s="22" t="s">
        <v>869</v>
      </c>
    </row>
    <row r="115" spans="1:36" ht="15" customHeight="1" x14ac:dyDescent="0.3">
      <c r="A115" s="22" t="s">
        <v>277</v>
      </c>
      <c r="B115" s="22" t="s">
        <v>278</v>
      </c>
      <c r="C115" s="22" t="s">
        <v>540</v>
      </c>
      <c r="D115" s="22" t="s">
        <v>541</v>
      </c>
      <c r="E115" s="22" t="s">
        <v>746</v>
      </c>
      <c r="F115" s="22" t="s">
        <v>747</v>
      </c>
      <c r="G115" s="22">
        <v>0.6</v>
      </c>
      <c r="H115" s="22">
        <v>2078</v>
      </c>
      <c r="I115" s="22">
        <v>88</v>
      </c>
      <c r="J115" s="22">
        <v>87</v>
      </c>
      <c r="K115" s="22">
        <v>-5.9490679685313901E-2</v>
      </c>
      <c r="L115" s="22">
        <v>1.81427226957654E-2</v>
      </c>
      <c r="M115" s="22">
        <v>-3.2790381401353401</v>
      </c>
      <c r="N115" s="22">
        <v>85.203381315515998</v>
      </c>
      <c r="O115" s="22">
        <v>1.5093394407795901E-3</v>
      </c>
      <c r="P115" s="22">
        <v>-9.55620299806694E-2</v>
      </c>
      <c r="Q115" s="22">
        <v>-2.3419329389958402E-2</v>
      </c>
      <c r="R115" s="22"/>
      <c r="S115" s="22"/>
      <c r="T115" s="22">
        <v>-5.9420596929485398E-2</v>
      </c>
      <c r="U115" s="22">
        <v>-9.5272194602293095E-2</v>
      </c>
      <c r="V115" s="22">
        <v>-2.3415048768318399E-2</v>
      </c>
      <c r="W115" s="22"/>
      <c r="X115" s="22"/>
      <c r="Y115" s="22">
        <v>2.6207757283808E-2</v>
      </c>
      <c r="Z115" s="22">
        <v>1.5172210812841399E-9</v>
      </c>
      <c r="AA115" s="22">
        <v>1.39516926858672E-2</v>
      </c>
      <c r="AB115" s="22"/>
      <c r="AC115" s="22"/>
      <c r="AD115" s="22"/>
      <c r="AE115" s="22"/>
      <c r="AF115" s="22"/>
      <c r="AG115" s="22"/>
      <c r="AH115" s="22" t="s">
        <v>748</v>
      </c>
      <c r="AI115" s="22"/>
      <c r="AJ115" s="22" t="s">
        <v>870</v>
      </c>
    </row>
    <row r="116" spans="1:36" ht="15" customHeight="1" x14ac:dyDescent="0.3">
      <c r="A116" s="22" t="s">
        <v>277</v>
      </c>
      <c r="B116" s="22" t="s">
        <v>278</v>
      </c>
      <c r="C116" s="22" t="s">
        <v>543</v>
      </c>
      <c r="D116" s="22" t="s">
        <v>544</v>
      </c>
      <c r="E116" s="22" t="s">
        <v>746</v>
      </c>
      <c r="F116" s="22" t="s">
        <v>747</v>
      </c>
      <c r="G116" s="22">
        <v>0.6</v>
      </c>
      <c r="H116" s="22">
        <v>2080</v>
      </c>
      <c r="I116" s="22">
        <v>89</v>
      </c>
      <c r="J116" s="22">
        <v>88</v>
      </c>
      <c r="K116" s="22">
        <v>-5.8635769466352801E-2</v>
      </c>
      <c r="L116" s="22">
        <v>1.79556295187293E-2</v>
      </c>
      <c r="M116" s="22">
        <v>-3.2655925210079899</v>
      </c>
      <c r="N116" s="22">
        <v>86.167716108906205</v>
      </c>
      <c r="O116" s="22">
        <v>1.5684274478064101E-3</v>
      </c>
      <c r="P116" s="22">
        <v>-9.4329388464302097E-2</v>
      </c>
      <c r="Q116" s="22">
        <v>-2.2942150468403401E-2</v>
      </c>
      <c r="R116" s="22"/>
      <c r="S116" s="22"/>
      <c r="T116" s="22">
        <v>-5.85686621636827E-2</v>
      </c>
      <c r="U116" s="22">
        <v>-9.4050598674222496E-2</v>
      </c>
      <c r="V116" s="22">
        <v>-2.2938126174492701E-2</v>
      </c>
      <c r="W116" s="22"/>
      <c r="X116" s="22"/>
      <c r="Y116" s="22">
        <v>2.58996246938599E-2</v>
      </c>
      <c r="Z116" s="22">
        <v>2.0862138387634499E-9</v>
      </c>
      <c r="AA116" s="22">
        <v>1.3945436845398E-2</v>
      </c>
      <c r="AB116" s="22"/>
      <c r="AC116" s="22"/>
      <c r="AD116" s="22"/>
      <c r="AE116" s="22"/>
      <c r="AF116" s="22"/>
      <c r="AG116" s="22"/>
      <c r="AH116" s="22" t="s">
        <v>748</v>
      </c>
      <c r="AI116" s="22"/>
      <c r="AJ116" s="22" t="s">
        <v>871</v>
      </c>
    </row>
    <row r="117" spans="1:36" ht="15" customHeight="1" x14ac:dyDescent="0.3">
      <c r="A117" s="22" t="s">
        <v>277</v>
      </c>
      <c r="B117" s="22" t="s">
        <v>278</v>
      </c>
      <c r="C117" s="22" t="s">
        <v>546</v>
      </c>
      <c r="D117" s="22" t="s">
        <v>547</v>
      </c>
      <c r="E117" s="22" t="s">
        <v>746</v>
      </c>
      <c r="F117" s="22" t="s">
        <v>747</v>
      </c>
      <c r="G117" s="22">
        <v>0.6</v>
      </c>
      <c r="H117" s="22">
        <v>2086</v>
      </c>
      <c r="I117" s="22">
        <v>90</v>
      </c>
      <c r="J117" s="22">
        <v>89</v>
      </c>
      <c r="K117" s="22">
        <v>-5.8903458384835801E-2</v>
      </c>
      <c r="L117" s="22">
        <v>1.7728291226448301E-2</v>
      </c>
      <c r="M117" s="22">
        <v>-3.3225682967662098</v>
      </c>
      <c r="N117" s="22">
        <v>87.150928258731</v>
      </c>
      <c r="O117" s="22">
        <v>1.30506165990772E-3</v>
      </c>
      <c r="P117" s="22">
        <v>-9.4139496442909698E-2</v>
      </c>
      <c r="Q117" s="22">
        <v>-2.36674203267619E-2</v>
      </c>
      <c r="R117" s="22"/>
      <c r="S117" s="22"/>
      <c r="T117" s="22">
        <v>-5.8835428643245397E-2</v>
      </c>
      <c r="U117" s="22">
        <v>-9.3862382986406798E-2</v>
      </c>
      <c r="V117" s="22">
        <v>-2.3663002240202201E-2</v>
      </c>
      <c r="W117" s="22"/>
      <c r="X117" s="22"/>
      <c r="Y117" s="22">
        <v>2.5506053134042798E-2</v>
      </c>
      <c r="Z117" s="22">
        <v>1.4489767779781301E-9</v>
      </c>
      <c r="AA117" s="22">
        <v>1.3911692904548301E-2</v>
      </c>
      <c r="AB117" s="22"/>
      <c r="AC117" s="22"/>
      <c r="AD117" s="22"/>
      <c r="AE117" s="22"/>
      <c r="AF117" s="22"/>
      <c r="AG117" s="22"/>
      <c r="AH117" s="22" t="s">
        <v>748</v>
      </c>
      <c r="AI117" s="22"/>
      <c r="AJ117" s="22" t="s">
        <v>872</v>
      </c>
    </row>
    <row r="118" spans="1:36" ht="15" customHeight="1" x14ac:dyDescent="0.3">
      <c r="A118" s="22" t="s">
        <v>277</v>
      </c>
      <c r="B118" s="22" t="s">
        <v>278</v>
      </c>
      <c r="C118" s="22" t="s">
        <v>549</v>
      </c>
      <c r="D118" s="22" t="s">
        <v>550</v>
      </c>
      <c r="E118" s="22" t="s">
        <v>746</v>
      </c>
      <c r="F118" s="22" t="s">
        <v>747</v>
      </c>
      <c r="G118" s="22">
        <v>0.6</v>
      </c>
      <c r="H118" s="22">
        <v>2087</v>
      </c>
      <c r="I118" s="22">
        <v>91</v>
      </c>
      <c r="J118" s="22">
        <v>90</v>
      </c>
      <c r="K118" s="22">
        <v>-5.8707853235751999E-2</v>
      </c>
      <c r="L118" s="22">
        <v>1.7562064049002801E-2</v>
      </c>
      <c r="M118" s="22">
        <v>-3.3428788935025802</v>
      </c>
      <c r="N118" s="22">
        <v>88.044193963095495</v>
      </c>
      <c r="O118" s="22">
        <v>1.21887861436874E-3</v>
      </c>
      <c r="P118" s="22">
        <v>-9.3608520961505196E-2</v>
      </c>
      <c r="Q118" s="22">
        <v>-2.3807185509998802E-2</v>
      </c>
      <c r="R118" s="22"/>
      <c r="S118" s="22"/>
      <c r="T118" s="22">
        <v>-5.8640498361573097E-2</v>
      </c>
      <c r="U118" s="22">
        <v>-9.3336059295229395E-2</v>
      </c>
      <c r="V118" s="22">
        <v>-2.3802688700757801E-2</v>
      </c>
      <c r="W118" s="22"/>
      <c r="X118" s="22"/>
      <c r="Y118" s="22">
        <v>2.5202615535599E-2</v>
      </c>
      <c r="Z118" s="22">
        <v>1.8746037381788302E-9</v>
      </c>
      <c r="AA118" s="22">
        <v>1.3911576719272199E-2</v>
      </c>
      <c r="AB118" s="22"/>
      <c r="AC118" s="22"/>
      <c r="AD118" s="22"/>
      <c r="AE118" s="22"/>
      <c r="AF118" s="22"/>
      <c r="AG118" s="22"/>
      <c r="AH118" s="22" t="s">
        <v>748</v>
      </c>
      <c r="AI118" s="22"/>
      <c r="AJ118" s="22" t="s">
        <v>873</v>
      </c>
    </row>
    <row r="119" spans="1:36" ht="15" customHeight="1" x14ac:dyDescent="0.3">
      <c r="A119" s="22" t="s">
        <v>277</v>
      </c>
      <c r="B119" s="22" t="s">
        <v>278</v>
      </c>
      <c r="C119" s="22" t="s">
        <v>552</v>
      </c>
      <c r="D119" s="22" t="s">
        <v>553</v>
      </c>
      <c r="E119" s="22" t="s">
        <v>746</v>
      </c>
      <c r="F119" s="22" t="s">
        <v>747</v>
      </c>
      <c r="G119" s="22">
        <v>0.6</v>
      </c>
      <c r="H119" s="22">
        <v>2116</v>
      </c>
      <c r="I119" s="22">
        <v>92</v>
      </c>
      <c r="J119" s="22">
        <v>91</v>
      </c>
      <c r="K119" s="22">
        <v>-5.8574237025663799E-2</v>
      </c>
      <c r="L119" s="22">
        <v>1.7359820949016801E-2</v>
      </c>
      <c r="M119" s="22">
        <v>-3.37412679529861</v>
      </c>
      <c r="N119" s="22">
        <v>89.038566354742997</v>
      </c>
      <c r="O119" s="22">
        <v>1.0982462756722799E-3</v>
      </c>
      <c r="P119" s="22">
        <v>-9.30676256144191E-2</v>
      </c>
      <c r="Q119" s="22">
        <v>-2.4080848436908501E-2</v>
      </c>
      <c r="R119" s="22"/>
      <c r="S119" s="22"/>
      <c r="T119" s="22">
        <v>-5.8507340576080397E-2</v>
      </c>
      <c r="U119" s="22">
        <v>-9.2799849004542301E-2</v>
      </c>
      <c r="V119" s="22">
        <v>-2.4076194790590501E-2</v>
      </c>
      <c r="W119" s="22"/>
      <c r="X119" s="22"/>
      <c r="Y119" s="22">
        <v>2.4915486773131702E-2</v>
      </c>
      <c r="Z119" s="22">
        <v>1.5320499631065199E-9</v>
      </c>
      <c r="AA119" s="22">
        <v>1.37348038409676E-2</v>
      </c>
      <c r="AB119" s="22"/>
      <c r="AC119" s="22"/>
      <c r="AD119" s="22"/>
      <c r="AE119" s="22"/>
      <c r="AF119" s="22"/>
      <c r="AG119" s="22"/>
      <c r="AH119" s="22" t="s">
        <v>748</v>
      </c>
      <c r="AI119" s="22"/>
      <c r="AJ119" s="22" t="s">
        <v>874</v>
      </c>
    </row>
    <row r="120" spans="1:36" ht="15" customHeight="1" x14ac:dyDescent="0.3">
      <c r="A120" s="22" t="s">
        <v>277</v>
      </c>
      <c r="B120" s="22" t="s">
        <v>278</v>
      </c>
      <c r="C120" s="22" t="s">
        <v>555</v>
      </c>
      <c r="D120" s="22" t="s">
        <v>556</v>
      </c>
      <c r="E120" s="22" t="s">
        <v>746</v>
      </c>
      <c r="F120" s="22" t="s">
        <v>747</v>
      </c>
      <c r="G120" s="22">
        <v>0.6</v>
      </c>
      <c r="H120" s="22">
        <v>2126</v>
      </c>
      <c r="I120" s="22">
        <v>93</v>
      </c>
      <c r="J120" s="22">
        <v>92</v>
      </c>
      <c r="K120" s="22">
        <v>-5.8257529601576097E-2</v>
      </c>
      <c r="L120" s="22">
        <v>1.7142839076073901E-2</v>
      </c>
      <c r="M120" s="22">
        <v>-3.3983594749416799</v>
      </c>
      <c r="N120" s="22">
        <v>90.022050837626097</v>
      </c>
      <c r="O120" s="22">
        <v>1.0115513440580801E-3</v>
      </c>
      <c r="P120" s="22">
        <v>-9.2314657895799707E-2</v>
      </c>
      <c r="Q120" s="22">
        <v>-2.4200401307352501E-2</v>
      </c>
      <c r="R120" s="22"/>
      <c r="S120" s="22"/>
      <c r="T120" s="22">
        <v>-5.8191711438032E-2</v>
      </c>
      <c r="U120" s="22">
        <v>-9.2053313679051701E-2</v>
      </c>
      <c r="V120" s="22">
        <v>-2.4195678016153199E-2</v>
      </c>
      <c r="W120" s="22"/>
      <c r="X120" s="22"/>
      <c r="Y120" s="22">
        <v>2.4551685483583899E-2</v>
      </c>
      <c r="Z120" s="22">
        <v>1.8855952136799298E-9</v>
      </c>
      <c r="AA120" s="22">
        <v>1.36720251272133E-2</v>
      </c>
      <c r="AB120" s="22"/>
      <c r="AC120" s="22"/>
      <c r="AD120" s="22"/>
      <c r="AE120" s="22"/>
      <c r="AF120" s="22"/>
      <c r="AG120" s="22"/>
      <c r="AH120" s="22" t="s">
        <v>748</v>
      </c>
      <c r="AI120" s="22"/>
      <c r="AJ120" s="22" t="s">
        <v>875</v>
      </c>
    </row>
    <row r="121" spans="1:36" ht="15" customHeight="1" x14ac:dyDescent="0.3">
      <c r="A121" s="22" t="s">
        <v>277</v>
      </c>
      <c r="B121" s="22" t="s">
        <v>278</v>
      </c>
      <c r="C121" s="22" t="s">
        <v>558</v>
      </c>
      <c r="D121" s="22" t="s">
        <v>559</v>
      </c>
      <c r="E121" s="22" t="s">
        <v>746</v>
      </c>
      <c r="F121" s="22" t="s">
        <v>747</v>
      </c>
      <c r="G121" s="22">
        <v>0.6</v>
      </c>
      <c r="H121" s="22">
        <v>2131</v>
      </c>
      <c r="I121" s="22">
        <v>94</v>
      </c>
      <c r="J121" s="22">
        <v>93</v>
      </c>
      <c r="K121" s="22">
        <v>-5.9317267509402999E-2</v>
      </c>
      <c r="L121" s="22">
        <v>1.6997619815544599E-2</v>
      </c>
      <c r="M121" s="22">
        <v>-3.48973963137807</v>
      </c>
      <c r="N121" s="22">
        <v>91.001823658508997</v>
      </c>
      <c r="O121" s="22">
        <v>7.4738611800669497E-4</v>
      </c>
      <c r="P121" s="22">
        <v>-9.3080942074972001E-2</v>
      </c>
      <c r="Q121" s="22">
        <v>-2.5553592943834001E-2</v>
      </c>
      <c r="R121" s="22"/>
      <c r="S121" s="22"/>
      <c r="T121" s="22">
        <v>-5.92477952596977E-2</v>
      </c>
      <c r="U121" s="22">
        <v>-9.2813050769925701E-2</v>
      </c>
      <c r="V121" s="22">
        <v>-2.5548032349121699E-2</v>
      </c>
      <c r="W121" s="22"/>
      <c r="X121" s="22"/>
      <c r="Y121" s="22">
        <v>2.4360787650135201E-2</v>
      </c>
      <c r="Z121" s="22">
        <v>1.6744051394608799E-9</v>
      </c>
      <c r="AA121" s="22">
        <v>1.3653224835791299E-2</v>
      </c>
      <c r="AB121" s="22"/>
      <c r="AC121" s="22"/>
      <c r="AD121" s="22"/>
      <c r="AE121" s="22"/>
      <c r="AF121" s="22"/>
      <c r="AG121" s="22"/>
      <c r="AH121" s="22" t="s">
        <v>748</v>
      </c>
      <c r="AI121" s="22"/>
      <c r="AJ121" s="22" t="s">
        <v>876</v>
      </c>
    </row>
    <row r="122" spans="1:36" ht="15" customHeight="1" x14ac:dyDescent="0.3">
      <c r="A122" s="22" t="s">
        <v>277</v>
      </c>
      <c r="B122" s="22" t="s">
        <v>278</v>
      </c>
      <c r="C122" s="22" t="s">
        <v>561</v>
      </c>
      <c r="D122" s="22" t="s">
        <v>562</v>
      </c>
      <c r="E122" s="22" t="s">
        <v>746</v>
      </c>
      <c r="F122" s="22" t="s">
        <v>747</v>
      </c>
      <c r="G122" s="22">
        <v>0.6</v>
      </c>
      <c r="H122" s="22">
        <v>2137</v>
      </c>
      <c r="I122" s="22">
        <v>95</v>
      </c>
      <c r="J122" s="22">
        <v>94</v>
      </c>
      <c r="K122" s="22">
        <v>-6.0077312300514898E-2</v>
      </c>
      <c r="L122" s="22">
        <v>1.6830138537009699E-2</v>
      </c>
      <c r="M122" s="22">
        <v>-3.5696267246050302</v>
      </c>
      <c r="N122" s="22">
        <v>91.982415796851399</v>
      </c>
      <c r="O122" s="22">
        <v>5.7059435424262298E-4</v>
      </c>
      <c r="P122" s="22">
        <v>-9.3503505301812104E-2</v>
      </c>
      <c r="Q122" s="22">
        <v>-2.6651119299217801E-2</v>
      </c>
      <c r="R122" s="22"/>
      <c r="S122" s="22"/>
      <c r="T122" s="22">
        <v>-6.0005137814927598E-2</v>
      </c>
      <c r="U122" s="22">
        <v>-9.3231957472056801E-2</v>
      </c>
      <c r="V122" s="22">
        <v>-2.6644811153243901E-2</v>
      </c>
      <c r="W122" s="22"/>
      <c r="X122" s="22"/>
      <c r="Y122" s="22">
        <v>2.4103027361593098E-2</v>
      </c>
      <c r="Z122" s="22">
        <v>1.1939961140196199E-9</v>
      </c>
      <c r="AA122" s="22">
        <v>1.36262493090157E-2</v>
      </c>
      <c r="AB122" s="22"/>
      <c r="AC122" s="22"/>
      <c r="AD122" s="22"/>
      <c r="AE122" s="22"/>
      <c r="AF122" s="22"/>
      <c r="AG122" s="22"/>
      <c r="AH122" s="22" t="s">
        <v>748</v>
      </c>
      <c r="AI122" s="22"/>
      <c r="AJ122" s="22" t="s">
        <v>877</v>
      </c>
    </row>
    <row r="123" spans="1:36" ht="15" customHeight="1" x14ac:dyDescent="0.3">
      <c r="A123" s="22" t="s">
        <v>277</v>
      </c>
      <c r="B123" s="22" t="s">
        <v>278</v>
      </c>
      <c r="C123" s="22" t="s">
        <v>564</v>
      </c>
      <c r="D123" s="22" t="s">
        <v>565</v>
      </c>
      <c r="E123" s="22" t="s">
        <v>746</v>
      </c>
      <c r="F123" s="22" t="s">
        <v>747</v>
      </c>
      <c r="G123" s="22">
        <v>0.6</v>
      </c>
      <c r="H123" s="22">
        <v>2162</v>
      </c>
      <c r="I123" s="22">
        <v>96</v>
      </c>
      <c r="J123" s="22">
        <v>95</v>
      </c>
      <c r="K123" s="22">
        <v>-5.9629800582716101E-2</v>
      </c>
      <c r="L123" s="22">
        <v>1.6650501304691201E-2</v>
      </c>
      <c r="M123" s="22">
        <v>-3.5812615783475401</v>
      </c>
      <c r="N123" s="22">
        <v>92.977264118160704</v>
      </c>
      <c r="O123" s="22">
        <v>5.4621636298866503E-4</v>
      </c>
      <c r="P123" s="22">
        <v>-9.2694502839161405E-2</v>
      </c>
      <c r="Q123" s="22">
        <v>-2.6565098326270801E-2</v>
      </c>
      <c r="R123" s="22"/>
      <c r="S123" s="22"/>
      <c r="T123" s="22">
        <v>-5.9559225470914502E-2</v>
      </c>
      <c r="U123" s="22">
        <v>-9.24299267008033E-2</v>
      </c>
      <c r="V123" s="22">
        <v>-2.6558851053729699E-2</v>
      </c>
      <c r="W123" s="22"/>
      <c r="X123" s="22"/>
      <c r="Y123" s="22">
        <v>2.3860722458780698E-2</v>
      </c>
      <c r="Z123" s="22">
        <v>4.8996017857231998E-10</v>
      </c>
      <c r="AA123" s="22">
        <v>1.34569119447335E-2</v>
      </c>
      <c r="AB123" s="22"/>
      <c r="AC123" s="22"/>
      <c r="AD123" s="22"/>
      <c r="AE123" s="22"/>
      <c r="AF123" s="22"/>
      <c r="AG123" s="22"/>
      <c r="AH123" s="22" t="s">
        <v>748</v>
      </c>
      <c r="AI123" s="22"/>
      <c r="AJ123" s="22" t="s">
        <v>878</v>
      </c>
    </row>
    <row r="124" spans="1:36" ht="15" customHeight="1" x14ac:dyDescent="0.3">
      <c r="A124" s="22" t="s">
        <v>277</v>
      </c>
      <c r="B124" s="22" t="s">
        <v>278</v>
      </c>
      <c r="C124" s="22" t="s">
        <v>567</v>
      </c>
      <c r="D124" s="22" t="s">
        <v>568</v>
      </c>
      <c r="E124" s="22" t="s">
        <v>746</v>
      </c>
      <c r="F124" s="22" t="s">
        <v>747</v>
      </c>
      <c r="G124" s="22">
        <v>0.6</v>
      </c>
      <c r="H124" s="22">
        <v>2175</v>
      </c>
      <c r="I124" s="22">
        <v>97</v>
      </c>
      <c r="J124" s="22">
        <v>96</v>
      </c>
      <c r="K124" s="22">
        <v>-5.9514625651181402E-2</v>
      </c>
      <c r="L124" s="22">
        <v>1.6451258962021799E-2</v>
      </c>
      <c r="M124" s="22">
        <v>-3.6176335068685299</v>
      </c>
      <c r="N124" s="22">
        <v>93.961594239493905</v>
      </c>
      <c r="O124" s="22">
        <v>4.8092533540659702E-4</v>
      </c>
      <c r="P124" s="22">
        <v>-9.2179160027826695E-2</v>
      </c>
      <c r="Q124" s="22">
        <v>-2.6850091274536102E-2</v>
      </c>
      <c r="R124" s="22"/>
      <c r="S124" s="22"/>
      <c r="T124" s="22">
        <v>-5.9444458312804399E-2</v>
      </c>
      <c r="U124" s="22">
        <v>-9.1918962319667993E-2</v>
      </c>
      <c r="V124" s="22">
        <v>-2.68436408124786E-2</v>
      </c>
      <c r="W124" s="22"/>
      <c r="X124" s="22"/>
      <c r="Y124" s="22">
        <v>2.3532568764577599E-2</v>
      </c>
      <c r="Z124" s="22">
        <v>2.26847675194854E-9</v>
      </c>
      <c r="AA124" s="22">
        <v>1.3378011663899301E-2</v>
      </c>
      <c r="AB124" s="22"/>
      <c r="AC124" s="22"/>
      <c r="AD124" s="22"/>
      <c r="AE124" s="22"/>
      <c r="AF124" s="22"/>
      <c r="AG124" s="22"/>
      <c r="AH124" s="22" t="s">
        <v>748</v>
      </c>
      <c r="AI124" s="22"/>
      <c r="AJ124" s="22" t="s">
        <v>879</v>
      </c>
    </row>
    <row r="125" spans="1:36" ht="15" customHeight="1" x14ac:dyDescent="0.3">
      <c r="A125" s="22" t="s">
        <v>277</v>
      </c>
      <c r="B125" s="22" t="s">
        <v>278</v>
      </c>
      <c r="C125" s="22" t="s">
        <v>570</v>
      </c>
      <c r="D125" s="22" t="s">
        <v>571</v>
      </c>
      <c r="E125" s="22" t="s">
        <v>746</v>
      </c>
      <c r="F125" s="22" t="s">
        <v>747</v>
      </c>
      <c r="G125" s="22">
        <v>0.6</v>
      </c>
      <c r="H125" s="22">
        <v>2199</v>
      </c>
      <c r="I125" s="22">
        <v>98</v>
      </c>
      <c r="J125" s="22">
        <v>97</v>
      </c>
      <c r="K125" s="22">
        <v>-5.9498142435411898E-2</v>
      </c>
      <c r="L125" s="22">
        <v>1.6263660761280101E-2</v>
      </c>
      <c r="M125" s="22">
        <v>-3.6583487142736502</v>
      </c>
      <c r="N125" s="22">
        <v>94.950056806747199</v>
      </c>
      <c r="O125" s="22">
        <v>4.16770162980609E-4</v>
      </c>
      <c r="P125" s="22">
        <v>-9.1785810330925505E-2</v>
      </c>
      <c r="Q125" s="22">
        <v>-2.7210474539898302E-2</v>
      </c>
      <c r="R125" s="22"/>
      <c r="S125" s="22"/>
      <c r="T125" s="22">
        <v>-5.9428033326752901E-2</v>
      </c>
      <c r="U125" s="22">
        <v>-9.1528921989676104E-2</v>
      </c>
      <c r="V125" s="22">
        <v>-2.7203760893096701E-2</v>
      </c>
      <c r="W125" s="22"/>
      <c r="X125" s="22"/>
      <c r="Y125" s="22">
        <v>2.3243454206096598E-2</v>
      </c>
      <c r="Z125" s="22">
        <v>1.3775845004890799E-9</v>
      </c>
      <c r="AA125" s="22">
        <v>1.32604944872184E-2</v>
      </c>
      <c r="AB125" s="22"/>
      <c r="AC125" s="22"/>
      <c r="AD125" s="22"/>
      <c r="AE125" s="22"/>
      <c r="AF125" s="22"/>
      <c r="AG125" s="22"/>
      <c r="AH125" s="22" t="s">
        <v>748</v>
      </c>
      <c r="AI125" s="22"/>
      <c r="AJ125" s="22" t="s">
        <v>880</v>
      </c>
    </row>
    <row r="126" spans="1:36" ht="15" customHeight="1" x14ac:dyDescent="0.3">
      <c r="A126" s="22" t="s">
        <v>277</v>
      </c>
      <c r="B126" s="22" t="s">
        <v>278</v>
      </c>
      <c r="C126" s="22" t="s">
        <v>573</v>
      </c>
      <c r="D126" s="22" t="s">
        <v>574</v>
      </c>
      <c r="E126" s="22" t="s">
        <v>746</v>
      </c>
      <c r="F126" s="22" t="s">
        <v>747</v>
      </c>
      <c r="G126" s="22">
        <v>0.6</v>
      </c>
      <c r="H126" s="22">
        <v>2369</v>
      </c>
      <c r="I126" s="22">
        <v>99</v>
      </c>
      <c r="J126" s="22">
        <v>98</v>
      </c>
      <c r="K126" s="22">
        <v>-5.8937901533731699E-2</v>
      </c>
      <c r="L126" s="22">
        <v>1.6156190367319301E-2</v>
      </c>
      <c r="M126" s="22">
        <v>-3.6480073701626501</v>
      </c>
      <c r="N126" s="22">
        <v>95.976394080094096</v>
      </c>
      <c r="O126" s="22">
        <v>4.2966206878337503E-4</v>
      </c>
      <c r="P126" s="22">
        <v>-9.10077866106727E-2</v>
      </c>
      <c r="Q126" s="22">
        <v>-2.68680164567906E-2</v>
      </c>
      <c r="R126" s="22"/>
      <c r="S126" s="22"/>
      <c r="T126" s="22">
        <v>-5.8869752493902999E-2</v>
      </c>
      <c r="U126" s="22">
        <v>-9.0757361408592099E-2</v>
      </c>
      <c r="V126" s="22">
        <v>-2.6861553069565499E-2</v>
      </c>
      <c r="W126" s="22"/>
      <c r="X126" s="22"/>
      <c r="Y126" s="22">
        <v>2.3236636127229E-2</v>
      </c>
      <c r="Z126" s="22">
        <v>2.08512288037324E-9</v>
      </c>
      <c r="AA126" s="22">
        <v>1.2885061831959199E-2</v>
      </c>
      <c r="AB126" s="22"/>
      <c r="AC126" s="22"/>
      <c r="AD126" s="22"/>
      <c r="AE126" s="22"/>
      <c r="AF126" s="22"/>
      <c r="AG126" s="22"/>
      <c r="AH126" s="22" t="s">
        <v>748</v>
      </c>
      <c r="AI126" s="22"/>
      <c r="AJ126" s="22" t="s">
        <v>881</v>
      </c>
    </row>
    <row r="127" spans="1:36" ht="15" customHeight="1" x14ac:dyDescent="0.3">
      <c r="A127" s="22" t="s">
        <v>277</v>
      </c>
      <c r="B127" s="22" t="s">
        <v>278</v>
      </c>
      <c r="C127" s="22" t="s">
        <v>576</v>
      </c>
      <c r="D127" s="22" t="s">
        <v>577</v>
      </c>
      <c r="E127" s="22" t="s">
        <v>746</v>
      </c>
      <c r="F127" s="22" t="s">
        <v>747</v>
      </c>
      <c r="G127" s="22">
        <v>0.6</v>
      </c>
      <c r="H127" s="22">
        <v>2382</v>
      </c>
      <c r="I127" s="22">
        <v>100</v>
      </c>
      <c r="J127" s="22">
        <v>99</v>
      </c>
      <c r="K127" s="22">
        <v>-5.9574151245886602E-2</v>
      </c>
      <c r="L127" s="22">
        <v>1.5991122287845199E-2</v>
      </c>
      <c r="M127" s="22">
        <v>-3.7254515457722901</v>
      </c>
      <c r="N127" s="22">
        <v>96.963200777467506</v>
      </c>
      <c r="O127" s="22">
        <v>3.2763994861189602E-4</v>
      </c>
      <c r="P127" s="22">
        <v>-9.1312254537878307E-2</v>
      </c>
      <c r="Q127" s="22">
        <v>-2.78360479538949E-2</v>
      </c>
      <c r="R127" s="22"/>
      <c r="S127" s="22"/>
      <c r="T127" s="22">
        <v>-5.9503773355317001E-2</v>
      </c>
      <c r="U127" s="22">
        <v>-9.1059313111266305E-2</v>
      </c>
      <c r="V127" s="22">
        <v>-2.7828860635403602E-2</v>
      </c>
      <c r="W127" s="22"/>
      <c r="X127" s="22"/>
      <c r="Y127" s="22">
        <v>2.2979699728857099E-2</v>
      </c>
      <c r="Z127" s="22">
        <v>1.9534941143480099E-9</v>
      </c>
      <c r="AA127" s="22">
        <v>1.28458630553585E-2</v>
      </c>
      <c r="AB127" s="22"/>
      <c r="AC127" s="22"/>
      <c r="AD127" s="22"/>
      <c r="AE127" s="22"/>
      <c r="AF127" s="22"/>
      <c r="AG127" s="22"/>
      <c r="AH127" s="22" t="s">
        <v>748</v>
      </c>
      <c r="AI127" s="22"/>
      <c r="AJ127" s="22" t="s">
        <v>882</v>
      </c>
    </row>
    <row r="128" spans="1:36" ht="15" customHeight="1" x14ac:dyDescent="0.3">
      <c r="A128" s="22" t="s">
        <v>277</v>
      </c>
      <c r="B128" s="22" t="s">
        <v>278</v>
      </c>
      <c r="C128" s="22" t="s">
        <v>579</v>
      </c>
      <c r="D128" s="22" t="s">
        <v>580</v>
      </c>
      <c r="E128" s="22" t="s">
        <v>746</v>
      </c>
      <c r="F128" s="22" t="s">
        <v>747</v>
      </c>
      <c r="G128" s="22">
        <v>0.6</v>
      </c>
      <c r="H128" s="22">
        <v>2443</v>
      </c>
      <c r="I128" s="22">
        <v>101</v>
      </c>
      <c r="J128" s="22">
        <v>100</v>
      </c>
      <c r="K128" s="22">
        <v>-5.9089734430684097E-2</v>
      </c>
      <c r="L128" s="22">
        <v>1.5885172064790801E-2</v>
      </c>
      <c r="M128" s="22">
        <v>-3.7198044937552401</v>
      </c>
      <c r="N128" s="22">
        <v>97.988355998441804</v>
      </c>
      <c r="O128" s="22">
        <v>3.3245773353954701E-4</v>
      </c>
      <c r="P128" s="22">
        <v>-9.0613388221488803E-2</v>
      </c>
      <c r="Q128" s="22">
        <v>-2.7566080639879299E-2</v>
      </c>
      <c r="R128" s="22"/>
      <c r="S128" s="22"/>
      <c r="T128" s="22">
        <v>-5.9021057837931303E-2</v>
      </c>
      <c r="U128" s="22">
        <v>-9.0366197657716293E-2</v>
      </c>
      <c r="V128" s="22">
        <v>-2.7559100376231702E-2</v>
      </c>
      <c r="W128" s="22"/>
      <c r="X128" s="22"/>
      <c r="Y128" s="22">
        <v>2.2964707545058399E-2</v>
      </c>
      <c r="Z128" s="22">
        <v>1.6731291073365601E-9</v>
      </c>
      <c r="AA128" s="22">
        <v>1.2484141167554899E-2</v>
      </c>
      <c r="AB128" s="22"/>
      <c r="AC128" s="22"/>
      <c r="AD128" s="22"/>
      <c r="AE128" s="22"/>
      <c r="AF128" s="22"/>
      <c r="AG128" s="22"/>
      <c r="AH128" s="22" t="s">
        <v>748</v>
      </c>
      <c r="AI128" s="22"/>
      <c r="AJ128" s="22" t="s">
        <v>883</v>
      </c>
    </row>
    <row r="129" spans="1:36" ht="15" customHeight="1" x14ac:dyDescent="0.3">
      <c r="A129" s="22" t="s">
        <v>277</v>
      </c>
      <c r="B129" s="22" t="s">
        <v>278</v>
      </c>
      <c r="C129" s="22" t="s">
        <v>582</v>
      </c>
      <c r="D129" s="22" t="s">
        <v>583</v>
      </c>
      <c r="E129" s="22" t="s">
        <v>746</v>
      </c>
      <c r="F129" s="22" t="s">
        <v>747</v>
      </c>
      <c r="G129" s="22">
        <v>0.6</v>
      </c>
      <c r="H129" s="22">
        <v>2459</v>
      </c>
      <c r="I129" s="22">
        <v>102</v>
      </c>
      <c r="J129" s="22">
        <v>101</v>
      </c>
      <c r="K129" s="22">
        <v>-5.9055982165174797E-2</v>
      </c>
      <c r="L129" s="22">
        <v>1.57037089364238E-2</v>
      </c>
      <c r="M129" s="22">
        <v>-3.7606391206218701</v>
      </c>
      <c r="N129" s="22">
        <v>98.972678215170504</v>
      </c>
      <c r="O129" s="22">
        <v>2.8704208914168399E-4</v>
      </c>
      <c r="P129" s="22">
        <v>-9.0215654049708396E-2</v>
      </c>
      <c r="Q129" s="22">
        <v>-2.7896310280641299E-2</v>
      </c>
      <c r="R129" s="22"/>
      <c r="S129" s="22"/>
      <c r="T129" s="22">
        <v>-5.8987423080950799E-2</v>
      </c>
      <c r="U129" s="22">
        <v>-8.9971697244718707E-2</v>
      </c>
      <c r="V129" s="22">
        <v>-2.78890761912069E-2</v>
      </c>
      <c r="W129" s="22"/>
      <c r="X129" s="22"/>
      <c r="Y129" s="22">
        <v>2.2660251423442902E-2</v>
      </c>
      <c r="Z129" s="22">
        <v>2.5006677256431101E-9</v>
      </c>
      <c r="AA129" s="22">
        <v>1.2423082927549799E-2</v>
      </c>
      <c r="AB129" s="22"/>
      <c r="AC129" s="22"/>
      <c r="AD129" s="22"/>
      <c r="AE129" s="22"/>
      <c r="AF129" s="22"/>
      <c r="AG129" s="22"/>
      <c r="AH129" s="22" t="s">
        <v>748</v>
      </c>
      <c r="AI129" s="22"/>
      <c r="AJ129" s="22" t="s">
        <v>884</v>
      </c>
    </row>
    <row r="130" spans="1:36" ht="15" customHeight="1" x14ac:dyDescent="0.3">
      <c r="A130" s="22" t="s">
        <v>277</v>
      </c>
      <c r="B130" s="22" t="s">
        <v>278</v>
      </c>
      <c r="C130" s="22" t="s">
        <v>585</v>
      </c>
      <c r="D130" s="22" t="s">
        <v>586</v>
      </c>
      <c r="E130" s="22" t="s">
        <v>746</v>
      </c>
      <c r="F130" s="22" t="s">
        <v>747</v>
      </c>
      <c r="G130" s="22">
        <v>0.6</v>
      </c>
      <c r="H130" s="22">
        <v>2476</v>
      </c>
      <c r="I130" s="22">
        <v>103</v>
      </c>
      <c r="J130" s="22">
        <v>102</v>
      </c>
      <c r="K130" s="22">
        <v>-5.8853183455587703E-2</v>
      </c>
      <c r="L130" s="22">
        <v>1.5531467105433501E-2</v>
      </c>
      <c r="M130" s="22">
        <v>-3.78928681083829</v>
      </c>
      <c r="N130" s="22">
        <v>99.959888367495097</v>
      </c>
      <c r="O130" s="22">
        <v>2.58361987956986E-4</v>
      </c>
      <c r="P130" s="22">
        <v>-8.9667323250790298E-2</v>
      </c>
      <c r="Q130" s="22">
        <v>-2.8039043660385201E-2</v>
      </c>
      <c r="R130" s="22"/>
      <c r="S130" s="22"/>
      <c r="T130" s="22">
        <v>-5.8785327597923702E-2</v>
      </c>
      <c r="U130" s="22">
        <v>-8.9427778352922802E-2</v>
      </c>
      <c r="V130" s="22">
        <v>-2.8031697984143102E-2</v>
      </c>
      <c r="W130" s="22"/>
      <c r="X130" s="22"/>
      <c r="Y130" s="22">
        <v>2.2386417303159101E-2</v>
      </c>
      <c r="Z130" s="22">
        <v>2.08406352274505E-9</v>
      </c>
      <c r="AA130" s="22">
        <v>1.2334928441641999E-2</v>
      </c>
      <c r="AB130" s="22"/>
      <c r="AC130" s="22"/>
      <c r="AD130" s="22"/>
      <c r="AE130" s="22"/>
      <c r="AF130" s="22"/>
      <c r="AG130" s="22"/>
      <c r="AH130" s="22" t="s">
        <v>748</v>
      </c>
      <c r="AI130" s="22"/>
      <c r="AJ130" s="22" t="s">
        <v>885</v>
      </c>
    </row>
    <row r="131" spans="1:36" ht="15" customHeight="1" x14ac:dyDescent="0.3">
      <c r="A131" s="22" t="s">
        <v>277</v>
      </c>
      <c r="B131" s="22" t="s">
        <v>278</v>
      </c>
      <c r="C131" s="22" t="s">
        <v>588</v>
      </c>
      <c r="D131" s="22" t="s">
        <v>589</v>
      </c>
      <c r="E131" s="22" t="s">
        <v>746</v>
      </c>
      <c r="F131" s="22" t="s">
        <v>747</v>
      </c>
      <c r="G131" s="22">
        <v>0.6</v>
      </c>
      <c r="H131" s="22">
        <v>2491</v>
      </c>
      <c r="I131" s="22">
        <v>104</v>
      </c>
      <c r="J131" s="22">
        <v>103</v>
      </c>
      <c r="K131" s="22">
        <v>-5.85325422070277E-2</v>
      </c>
      <c r="L131" s="22">
        <v>1.5363388222975701E-2</v>
      </c>
      <c r="M131" s="22">
        <v>-3.8098719733901798</v>
      </c>
      <c r="N131" s="22">
        <v>100.946670846373</v>
      </c>
      <c r="O131" s="22">
        <v>2.39115682193052E-4</v>
      </c>
      <c r="P131" s="22">
        <v>-8.9009566923907102E-2</v>
      </c>
      <c r="Q131" s="22">
        <v>-2.8055517490148198E-2</v>
      </c>
      <c r="R131" s="22"/>
      <c r="S131" s="22"/>
      <c r="T131" s="22">
        <v>-5.8465788382008499E-2</v>
      </c>
      <c r="U131" s="22">
        <v>-8.8775244029763098E-2</v>
      </c>
      <c r="V131" s="22">
        <v>-2.8048158861561701E-2</v>
      </c>
      <c r="W131" s="22"/>
      <c r="X131" s="22"/>
      <c r="Y131" s="22">
        <v>2.2115400513194799E-2</v>
      </c>
      <c r="Z131" s="22">
        <v>1.7158209164171399E-9</v>
      </c>
      <c r="AA131" s="22">
        <v>1.22632928546875E-2</v>
      </c>
      <c r="AB131" s="22"/>
      <c r="AC131" s="22"/>
      <c r="AD131" s="22"/>
      <c r="AE131" s="22"/>
      <c r="AF131" s="22"/>
      <c r="AG131" s="22"/>
      <c r="AH131" s="22" t="s">
        <v>748</v>
      </c>
      <c r="AI131" s="22"/>
      <c r="AJ131" s="22" t="s">
        <v>886</v>
      </c>
    </row>
    <row r="132" spans="1:36" ht="15" customHeight="1" x14ac:dyDescent="0.3">
      <c r="A132" s="22" t="s">
        <v>277</v>
      </c>
      <c r="B132" s="22" t="s">
        <v>278</v>
      </c>
      <c r="C132" s="22" t="s">
        <v>591</v>
      </c>
      <c r="D132" s="22" t="s">
        <v>592</v>
      </c>
      <c r="E132" s="22" t="s">
        <v>746</v>
      </c>
      <c r="F132" s="22" t="s">
        <v>747</v>
      </c>
      <c r="G132" s="22">
        <v>0.6</v>
      </c>
      <c r="H132" s="22">
        <v>2499</v>
      </c>
      <c r="I132" s="22">
        <v>105</v>
      </c>
      <c r="J132" s="22">
        <v>104</v>
      </c>
      <c r="K132" s="22">
        <v>-5.8198795003143497E-2</v>
      </c>
      <c r="L132" s="22">
        <v>1.5194836622273901E-2</v>
      </c>
      <c r="M132" s="22">
        <v>-3.8301691850921702</v>
      </c>
      <c r="N132" s="22">
        <v>101.918764783781</v>
      </c>
      <c r="O132" s="22">
        <v>2.2146879254369799E-4</v>
      </c>
      <c r="P132" s="22">
        <v>-8.8337969736604099E-2</v>
      </c>
      <c r="Q132" s="22">
        <v>-2.8059620269682901E-2</v>
      </c>
      <c r="R132" s="22"/>
      <c r="S132" s="22"/>
      <c r="T132" s="22">
        <v>-5.8133175531117499E-2</v>
      </c>
      <c r="U132" s="22">
        <v>-8.8108900101367404E-2</v>
      </c>
      <c r="V132" s="22">
        <v>-2.8052258412971098E-2</v>
      </c>
      <c r="W132" s="22"/>
      <c r="X132" s="22"/>
      <c r="Y132" s="22">
        <v>2.1803310128606E-2</v>
      </c>
      <c r="Z132" s="22">
        <v>2.6562696214297101E-9</v>
      </c>
      <c r="AA132" s="22">
        <v>1.22789484711824E-2</v>
      </c>
      <c r="AB132" s="22"/>
      <c r="AC132" s="22"/>
      <c r="AD132" s="22"/>
      <c r="AE132" s="22"/>
      <c r="AF132" s="22"/>
      <c r="AG132" s="22"/>
      <c r="AH132" s="22" t="s">
        <v>748</v>
      </c>
      <c r="AI132" s="22"/>
      <c r="AJ132" s="22" t="s">
        <v>887</v>
      </c>
    </row>
    <row r="133" spans="1:36" ht="15" customHeight="1" x14ac:dyDescent="0.3">
      <c r="A133" s="22" t="s">
        <v>277</v>
      </c>
      <c r="B133" s="22" t="s">
        <v>278</v>
      </c>
      <c r="C133" s="22" t="s">
        <v>594</v>
      </c>
      <c r="D133" s="22" t="s">
        <v>595</v>
      </c>
      <c r="E133" s="22" t="s">
        <v>746</v>
      </c>
      <c r="F133" s="22" t="s">
        <v>747</v>
      </c>
      <c r="G133" s="22">
        <v>0.6</v>
      </c>
      <c r="H133" s="22">
        <v>2508</v>
      </c>
      <c r="I133" s="22">
        <v>106</v>
      </c>
      <c r="J133" s="22">
        <v>105</v>
      </c>
      <c r="K133" s="22">
        <v>-5.7879797708501199E-2</v>
      </c>
      <c r="L133" s="22">
        <v>1.5028039499109601E-2</v>
      </c>
      <c r="M133" s="22">
        <v>-3.8514536584715899</v>
      </c>
      <c r="N133" s="22">
        <v>102.901556929438</v>
      </c>
      <c r="O133" s="22">
        <v>2.0432376264577901E-4</v>
      </c>
      <c r="P133" s="22">
        <v>-8.7684708494180905E-2</v>
      </c>
      <c r="Q133" s="22">
        <v>-2.8074886922821399E-2</v>
      </c>
      <c r="R133" s="22"/>
      <c r="S133" s="22"/>
      <c r="T133" s="22">
        <v>-5.7815250392094099E-2</v>
      </c>
      <c r="U133" s="22">
        <v>-8.7460673023902896E-2</v>
      </c>
      <c r="V133" s="22">
        <v>-2.80675130458003E-2</v>
      </c>
      <c r="W133" s="22"/>
      <c r="X133" s="22"/>
      <c r="Y133" s="22">
        <v>2.1520194364884698E-2</v>
      </c>
      <c r="Z133" s="22">
        <v>1.51907434406829E-9</v>
      </c>
      <c r="AA133" s="22">
        <v>1.2238492736425501E-2</v>
      </c>
      <c r="AB133" s="22"/>
      <c r="AC133" s="22"/>
      <c r="AD133" s="22"/>
      <c r="AE133" s="22"/>
      <c r="AF133" s="22"/>
      <c r="AG133" s="22"/>
      <c r="AH133" s="22" t="s">
        <v>748</v>
      </c>
      <c r="AI133" s="22"/>
      <c r="AJ133" s="22" t="s">
        <v>888</v>
      </c>
    </row>
    <row r="134" spans="1:36" ht="15" customHeight="1" x14ac:dyDescent="0.3">
      <c r="A134" s="22" t="s">
        <v>277</v>
      </c>
      <c r="B134" s="22" t="s">
        <v>278</v>
      </c>
      <c r="C134" s="22" t="s">
        <v>597</v>
      </c>
      <c r="D134" s="22" t="s">
        <v>598</v>
      </c>
      <c r="E134" s="22" t="s">
        <v>746</v>
      </c>
      <c r="F134" s="22" t="s">
        <v>747</v>
      </c>
      <c r="G134" s="22">
        <v>0.6</v>
      </c>
      <c r="H134" s="22">
        <v>2529</v>
      </c>
      <c r="I134" s="22">
        <v>107</v>
      </c>
      <c r="J134" s="22">
        <v>106</v>
      </c>
      <c r="K134" s="22">
        <v>-5.77215013118813E-2</v>
      </c>
      <c r="L134" s="22">
        <v>1.48289212968656E-2</v>
      </c>
      <c r="M134" s="22">
        <v>-3.8924949533639999</v>
      </c>
      <c r="N134" s="22">
        <v>103.86267549290299</v>
      </c>
      <c r="O134" s="22">
        <v>1.7555501989131099E-4</v>
      </c>
      <c r="P134" s="22">
        <v>-8.7128266323439701E-2</v>
      </c>
      <c r="Q134" s="22">
        <v>-2.8314736300322899E-2</v>
      </c>
      <c r="R134" s="22"/>
      <c r="S134" s="22"/>
      <c r="T134" s="22">
        <v>-5.7657481674939698E-2</v>
      </c>
      <c r="U134" s="22">
        <v>-8.6908460467405899E-2</v>
      </c>
      <c r="V134" s="22">
        <v>-2.8307171855517701E-2</v>
      </c>
      <c r="W134" s="22"/>
      <c r="X134" s="22"/>
      <c r="Y134" s="22">
        <v>2.11275819338636E-2</v>
      </c>
      <c r="Z134" s="22">
        <v>2.9572020816161701E-9</v>
      </c>
      <c r="AA134" s="22">
        <v>1.2300204691233E-2</v>
      </c>
      <c r="AB134" s="22"/>
      <c r="AC134" s="22"/>
      <c r="AD134" s="22"/>
      <c r="AE134" s="22"/>
      <c r="AF134" s="22"/>
      <c r="AG134" s="22"/>
      <c r="AH134" s="22" t="s">
        <v>748</v>
      </c>
      <c r="AI134" s="22"/>
      <c r="AJ134" s="22" t="s">
        <v>889</v>
      </c>
    </row>
    <row r="135" spans="1:36" ht="15" customHeight="1" x14ac:dyDescent="0.3">
      <c r="A135" s="22" t="s">
        <v>277</v>
      </c>
      <c r="B135" s="22" t="s">
        <v>278</v>
      </c>
      <c r="C135" s="22" t="s">
        <v>600</v>
      </c>
      <c r="D135" s="22" t="s">
        <v>601</v>
      </c>
      <c r="E135" s="22" t="s">
        <v>746</v>
      </c>
      <c r="F135" s="22" t="s">
        <v>747</v>
      </c>
      <c r="G135" s="22">
        <v>0.6</v>
      </c>
      <c r="H135" s="22">
        <v>2611</v>
      </c>
      <c r="I135" s="22">
        <v>108</v>
      </c>
      <c r="J135" s="22">
        <v>107</v>
      </c>
      <c r="K135" s="22">
        <v>-5.74042514037858E-2</v>
      </c>
      <c r="L135" s="22">
        <v>1.47632859388168E-2</v>
      </c>
      <c r="M135" s="22">
        <v>-3.8883112907035202</v>
      </c>
      <c r="N135" s="22">
        <v>104.904384904598</v>
      </c>
      <c r="O135" s="22">
        <v>1.7729512239008499E-4</v>
      </c>
      <c r="P135" s="22">
        <v>-8.6677431249560094E-2</v>
      </c>
      <c r="Q135" s="22">
        <v>-2.8131071558011499E-2</v>
      </c>
      <c r="R135" s="22"/>
      <c r="S135" s="22"/>
      <c r="T135" s="22">
        <v>-5.7341280654453902E-2</v>
      </c>
      <c r="U135" s="22">
        <v>-8.6461013085839894E-2</v>
      </c>
      <c r="V135" s="22">
        <v>-2.81236533309711E-2</v>
      </c>
      <c r="W135" s="22"/>
      <c r="X135" s="22"/>
      <c r="Y135" s="22">
        <v>2.12094407103884E-2</v>
      </c>
      <c r="Z135" s="22">
        <v>2.06499398698623E-9</v>
      </c>
      <c r="AA135" s="22">
        <v>1.1874233013771799E-2</v>
      </c>
      <c r="AB135" s="22"/>
      <c r="AC135" s="22"/>
      <c r="AD135" s="22"/>
      <c r="AE135" s="22"/>
      <c r="AF135" s="22"/>
      <c r="AG135" s="22"/>
      <c r="AH135" s="22" t="s">
        <v>748</v>
      </c>
      <c r="AI135" s="22"/>
      <c r="AJ135" s="22" t="s">
        <v>890</v>
      </c>
    </row>
    <row r="136" spans="1:36" ht="15" customHeight="1" x14ac:dyDescent="0.3">
      <c r="A136" s="22" t="s">
        <v>277</v>
      </c>
      <c r="B136" s="22" t="s">
        <v>278</v>
      </c>
      <c r="C136" s="22" t="s">
        <v>603</v>
      </c>
      <c r="D136" s="22" t="s">
        <v>604</v>
      </c>
      <c r="E136" s="22" t="s">
        <v>746</v>
      </c>
      <c r="F136" s="22" t="s">
        <v>747</v>
      </c>
      <c r="G136" s="22">
        <v>0.6</v>
      </c>
      <c r="H136" s="22">
        <v>2623</v>
      </c>
      <c r="I136" s="22">
        <v>109</v>
      </c>
      <c r="J136" s="22">
        <v>108</v>
      </c>
      <c r="K136" s="22">
        <v>-5.8554902719245502E-2</v>
      </c>
      <c r="L136" s="22">
        <v>1.46475256186284E-2</v>
      </c>
      <c r="M136" s="22">
        <v>-3.9975968804435298</v>
      </c>
      <c r="N136" s="22">
        <v>105.88500647687501</v>
      </c>
      <c r="O136" s="22">
        <v>1.1861304058003601E-4</v>
      </c>
      <c r="P136" s="22">
        <v>-8.75954110115965E-2</v>
      </c>
      <c r="Q136" s="22">
        <v>-2.9514394426894498E-2</v>
      </c>
      <c r="R136" s="22"/>
      <c r="S136" s="22"/>
      <c r="T136" s="22">
        <v>-5.8488072431304702E-2</v>
      </c>
      <c r="U136" s="22">
        <v>-8.7372057918892701E-2</v>
      </c>
      <c r="V136" s="22">
        <v>-2.9505827420771201E-2</v>
      </c>
      <c r="W136" s="22"/>
      <c r="X136" s="22"/>
      <c r="Y136" s="22">
        <v>2.1052673488845899E-2</v>
      </c>
      <c r="Z136" s="22">
        <v>1.3500634684829801E-9</v>
      </c>
      <c r="AA136" s="22">
        <v>1.19491641925666E-2</v>
      </c>
      <c r="AB136" s="22"/>
      <c r="AC136" s="22"/>
      <c r="AD136" s="22"/>
      <c r="AE136" s="22"/>
      <c r="AF136" s="22"/>
      <c r="AG136" s="22"/>
      <c r="AH136" s="22" t="s">
        <v>748</v>
      </c>
      <c r="AI136" s="22"/>
      <c r="AJ136" s="22" t="s">
        <v>891</v>
      </c>
    </row>
    <row r="137" spans="1:36" ht="15" customHeight="1" x14ac:dyDescent="0.3">
      <c r="A137" s="22" t="s">
        <v>277</v>
      </c>
      <c r="B137" s="22" t="s">
        <v>278</v>
      </c>
      <c r="C137" s="22" t="s">
        <v>606</v>
      </c>
      <c r="D137" s="22" t="s">
        <v>607</v>
      </c>
      <c r="E137" s="22" t="s">
        <v>746</v>
      </c>
      <c r="F137" s="22" t="s">
        <v>747</v>
      </c>
      <c r="G137" s="22">
        <v>0.6</v>
      </c>
      <c r="H137" s="22">
        <v>2653</v>
      </c>
      <c r="I137" s="22">
        <v>110</v>
      </c>
      <c r="J137" s="22">
        <v>109</v>
      </c>
      <c r="K137" s="22">
        <v>-5.7868883529201803E-2</v>
      </c>
      <c r="L137" s="22">
        <v>1.45085341228199E-2</v>
      </c>
      <c r="M137" s="22">
        <v>-3.9886099477260299</v>
      </c>
      <c r="N137" s="22">
        <v>106.871584347259</v>
      </c>
      <c r="O137" s="22">
        <v>1.21952195197085E-4</v>
      </c>
      <c r="P137" s="22">
        <v>-8.6630755519935404E-2</v>
      </c>
      <c r="Q137" s="22">
        <v>-2.9107011538468199E-2</v>
      </c>
      <c r="R137" s="22"/>
      <c r="S137" s="22"/>
      <c r="T137" s="22">
        <v>-5.7804372687701701E-2</v>
      </c>
      <c r="U137" s="22">
        <v>-8.6414686094023599E-2</v>
      </c>
      <c r="V137" s="22">
        <v>-2.9098794327293401E-2</v>
      </c>
      <c r="W137" s="22"/>
      <c r="X137" s="22"/>
      <c r="Y137" s="22">
        <v>2.0838830575723E-2</v>
      </c>
      <c r="Z137" s="22">
        <v>2.8317445308776801E-9</v>
      </c>
      <c r="AA137" s="22">
        <v>1.19134731075119E-2</v>
      </c>
      <c r="AB137" s="22"/>
      <c r="AC137" s="22"/>
      <c r="AD137" s="22"/>
      <c r="AE137" s="22"/>
      <c r="AF137" s="22"/>
      <c r="AG137" s="22"/>
      <c r="AH137" s="22" t="s">
        <v>748</v>
      </c>
      <c r="AI137" s="22"/>
      <c r="AJ137" s="22" t="s">
        <v>892</v>
      </c>
    </row>
    <row r="138" spans="1:36" ht="15" customHeight="1" x14ac:dyDescent="0.3">
      <c r="A138" s="22" t="s">
        <v>277</v>
      </c>
      <c r="B138" s="22" t="s">
        <v>278</v>
      </c>
      <c r="C138" s="22" t="s">
        <v>609</v>
      </c>
      <c r="D138" s="22" t="s">
        <v>610</v>
      </c>
      <c r="E138" s="22" t="s">
        <v>746</v>
      </c>
      <c r="F138" s="22" t="s">
        <v>747</v>
      </c>
      <c r="G138" s="22">
        <v>0.6</v>
      </c>
      <c r="H138" s="22">
        <v>2669</v>
      </c>
      <c r="I138" s="22">
        <v>111</v>
      </c>
      <c r="J138" s="22">
        <v>110</v>
      </c>
      <c r="K138" s="22">
        <v>-5.9031904540426797E-2</v>
      </c>
      <c r="L138" s="22">
        <v>1.4431903349052999E-2</v>
      </c>
      <c r="M138" s="22">
        <v>-4.0903755459462996</v>
      </c>
      <c r="N138" s="22">
        <v>107.872746211685</v>
      </c>
      <c r="O138" s="22">
        <v>8.3256203593585205E-5</v>
      </c>
      <c r="P138" s="22">
        <v>-8.7638822979755698E-2</v>
      </c>
      <c r="Q138" s="22">
        <v>-3.0424986101097898E-2</v>
      </c>
      <c r="R138" s="22"/>
      <c r="S138" s="22"/>
      <c r="T138" s="22">
        <v>-5.8963429200611997E-2</v>
      </c>
      <c r="U138" s="22">
        <v>-8.7415138322017402E-2</v>
      </c>
      <c r="V138" s="22">
        <v>-3.0415601644410699E-2</v>
      </c>
      <c r="W138" s="22"/>
      <c r="X138" s="22"/>
      <c r="Y138" s="22">
        <v>2.08069093614562E-2</v>
      </c>
      <c r="Z138" s="22">
        <v>1.84914178416826E-9</v>
      </c>
      <c r="AA138" s="22">
        <v>1.18712055056804E-2</v>
      </c>
      <c r="AB138" s="22"/>
      <c r="AC138" s="22"/>
      <c r="AD138" s="22"/>
      <c r="AE138" s="22"/>
      <c r="AF138" s="22"/>
      <c r="AG138" s="22"/>
      <c r="AH138" s="22" t="s">
        <v>748</v>
      </c>
      <c r="AI138" s="22"/>
      <c r="AJ138" s="22" t="s">
        <v>893</v>
      </c>
    </row>
    <row r="139" spans="1:36" ht="15" customHeight="1" x14ac:dyDescent="0.3">
      <c r="A139" s="22" t="s">
        <v>277</v>
      </c>
      <c r="B139" s="22" t="s">
        <v>278</v>
      </c>
      <c r="C139" s="22" t="s">
        <v>612</v>
      </c>
      <c r="D139" s="22" t="s">
        <v>613</v>
      </c>
      <c r="E139" s="22" t="s">
        <v>746</v>
      </c>
      <c r="F139" s="22" t="s">
        <v>747</v>
      </c>
      <c r="G139" s="22">
        <v>0.6</v>
      </c>
      <c r="H139" s="22">
        <v>2685</v>
      </c>
      <c r="I139" s="22">
        <v>112</v>
      </c>
      <c r="J139" s="22">
        <v>111</v>
      </c>
      <c r="K139" s="22">
        <v>-5.9066767837680702E-2</v>
      </c>
      <c r="L139" s="22">
        <v>1.4274826527245099E-2</v>
      </c>
      <c r="M139" s="22">
        <v>-4.1378273651833997</v>
      </c>
      <c r="N139" s="22">
        <v>108.851623469735</v>
      </c>
      <c r="O139" s="22">
        <v>6.9314361535539307E-5</v>
      </c>
      <c r="P139" s="22">
        <v>-8.7359442789889802E-2</v>
      </c>
      <c r="Q139" s="22">
        <v>-3.0774092885471602E-2</v>
      </c>
      <c r="R139" s="22"/>
      <c r="S139" s="22"/>
      <c r="T139" s="22">
        <v>-5.8998171217697203E-2</v>
      </c>
      <c r="U139" s="22">
        <v>-8.7137886225871306E-2</v>
      </c>
      <c r="V139" s="22">
        <v>-3.07643817493993E-2</v>
      </c>
      <c r="W139" s="22"/>
      <c r="X139" s="22"/>
      <c r="Y139" s="22">
        <v>2.0524973907877799E-2</v>
      </c>
      <c r="Z139" s="22">
        <v>2.5836690272006798E-9</v>
      </c>
      <c r="AA139" s="22">
        <v>1.1856452623455201E-2</v>
      </c>
      <c r="AB139" s="22"/>
      <c r="AC139" s="22"/>
      <c r="AD139" s="22"/>
      <c r="AE139" s="22"/>
      <c r="AF139" s="22"/>
      <c r="AG139" s="22"/>
      <c r="AH139" s="22" t="s">
        <v>748</v>
      </c>
      <c r="AI139" s="22"/>
      <c r="AJ139" s="22" t="s">
        <v>894</v>
      </c>
    </row>
    <row r="140" spans="1:36" ht="15" customHeight="1" x14ac:dyDescent="0.3">
      <c r="A140" s="22" t="s">
        <v>277</v>
      </c>
      <c r="B140" s="22" t="s">
        <v>278</v>
      </c>
      <c r="C140" s="22" t="s">
        <v>615</v>
      </c>
      <c r="D140" s="22" t="s">
        <v>616</v>
      </c>
      <c r="E140" s="22" t="s">
        <v>746</v>
      </c>
      <c r="F140" s="22" t="s">
        <v>747</v>
      </c>
      <c r="G140" s="22">
        <v>0.6</v>
      </c>
      <c r="H140" s="22">
        <v>2705</v>
      </c>
      <c r="I140" s="22">
        <v>113</v>
      </c>
      <c r="J140" s="22">
        <v>112</v>
      </c>
      <c r="K140" s="22">
        <v>-5.8779059737144798E-2</v>
      </c>
      <c r="L140" s="22">
        <v>1.41097385556259E-2</v>
      </c>
      <c r="M140" s="22">
        <v>-4.1658503809560798</v>
      </c>
      <c r="N140" s="22">
        <v>109.822475369779</v>
      </c>
      <c r="O140" s="22">
        <v>6.2015541449490205E-5</v>
      </c>
      <c r="P140" s="22">
        <v>-8.6741752407110503E-2</v>
      </c>
      <c r="Q140" s="22">
        <v>-3.0816367067178999E-2</v>
      </c>
      <c r="R140" s="22"/>
      <c r="S140" s="22"/>
      <c r="T140" s="22">
        <v>-5.8711459708171501E-2</v>
      </c>
      <c r="U140" s="22">
        <v>-8.6524853055021195E-2</v>
      </c>
      <c r="V140" s="22">
        <v>-3.0806615865874201E-2</v>
      </c>
      <c r="W140" s="22"/>
      <c r="X140" s="22"/>
      <c r="Y140" s="22">
        <v>2.02132234052122E-2</v>
      </c>
      <c r="Z140" s="22">
        <v>3.8523599003643299E-10</v>
      </c>
      <c r="AA140" s="22">
        <v>1.1880597156476901E-2</v>
      </c>
      <c r="AB140" s="22"/>
      <c r="AC140" s="22"/>
      <c r="AD140" s="22"/>
      <c r="AE140" s="22"/>
      <c r="AF140" s="22"/>
      <c r="AG140" s="22"/>
      <c r="AH140" s="22" t="s">
        <v>748</v>
      </c>
      <c r="AI140" s="22"/>
      <c r="AJ140" s="22" t="s">
        <v>895</v>
      </c>
    </row>
    <row r="141" spans="1:36" ht="15" customHeight="1" x14ac:dyDescent="0.3">
      <c r="A141" s="22" t="s">
        <v>633</v>
      </c>
      <c r="B141" s="22" t="s">
        <v>634</v>
      </c>
      <c r="C141" s="22" t="s">
        <v>635</v>
      </c>
      <c r="D141" s="22" t="s">
        <v>636</v>
      </c>
      <c r="E141" s="22" t="s">
        <v>746</v>
      </c>
      <c r="F141" s="22" t="s">
        <v>747</v>
      </c>
      <c r="G141" s="22">
        <v>0.6</v>
      </c>
      <c r="H141" s="22">
        <v>312</v>
      </c>
      <c r="I141" s="22">
        <v>9</v>
      </c>
      <c r="J141" s="22">
        <v>9</v>
      </c>
      <c r="K141" s="22">
        <v>-1.48714200641961E-2</v>
      </c>
      <c r="L141" s="22"/>
      <c r="M141" s="22"/>
      <c r="N141" s="22"/>
      <c r="O141" s="22"/>
      <c r="P141" s="22"/>
      <c r="Q141" s="22"/>
      <c r="R141" s="22"/>
      <c r="S141" s="22"/>
      <c r="T141" s="22">
        <v>-1.48703238443738E-2</v>
      </c>
      <c r="U141" s="22"/>
      <c r="V141" s="22"/>
      <c r="W141" s="22"/>
      <c r="X141" s="22"/>
      <c r="Y141" s="22">
        <v>3.2384721785524201E-12</v>
      </c>
      <c r="Z141" s="22">
        <v>3.2384683866035502E-12</v>
      </c>
      <c r="AA141" s="22">
        <v>1.8789520455422201E-3</v>
      </c>
      <c r="AB141" s="22"/>
      <c r="AC141" s="22"/>
      <c r="AD141" s="22"/>
      <c r="AE141" s="22"/>
      <c r="AF141" s="22"/>
      <c r="AG141" s="22"/>
      <c r="AH141" s="22" t="s">
        <v>748</v>
      </c>
      <c r="AI141" s="22"/>
      <c r="AJ141" s="22" t="s">
        <v>896</v>
      </c>
    </row>
    <row r="142" spans="1:36" ht="15" customHeight="1" x14ac:dyDescent="0.3">
      <c r="A142" s="22" t="s">
        <v>633</v>
      </c>
      <c r="B142" s="22" t="s">
        <v>634</v>
      </c>
      <c r="C142" s="22" t="s">
        <v>638</v>
      </c>
      <c r="D142" s="22" t="s">
        <v>636</v>
      </c>
      <c r="E142" s="22" t="s">
        <v>746</v>
      </c>
      <c r="F142" s="22" t="s">
        <v>747</v>
      </c>
      <c r="G142" s="22">
        <v>0.6</v>
      </c>
      <c r="H142" s="22">
        <v>306</v>
      </c>
      <c r="I142" s="22">
        <v>8</v>
      </c>
      <c r="J142" s="22">
        <v>8</v>
      </c>
      <c r="K142" s="22">
        <v>-1.51867203135413E-2</v>
      </c>
      <c r="L142" s="22"/>
      <c r="M142" s="22"/>
      <c r="N142" s="22"/>
      <c r="O142" s="22"/>
      <c r="P142" s="22"/>
      <c r="Q142" s="22"/>
      <c r="R142" s="22"/>
      <c r="S142" s="22"/>
      <c r="T142" s="22">
        <v>-1.51855528840342E-2</v>
      </c>
      <c r="U142" s="22"/>
      <c r="V142" s="22"/>
      <c r="W142" s="22"/>
      <c r="X142" s="22"/>
      <c r="Y142" s="22">
        <v>5.3732706965301803E-12</v>
      </c>
      <c r="Z142" s="22">
        <v>5.3732709898551996E-12</v>
      </c>
      <c r="AA142" s="22">
        <v>1.8608640934214501E-3</v>
      </c>
      <c r="AB142" s="22"/>
      <c r="AC142" s="22"/>
      <c r="AD142" s="22"/>
      <c r="AE142" s="22"/>
      <c r="AF142" s="22"/>
      <c r="AG142" s="22"/>
      <c r="AH142" s="22" t="s">
        <v>748</v>
      </c>
      <c r="AI142" s="22"/>
      <c r="AJ142" s="22" t="s">
        <v>897</v>
      </c>
    </row>
    <row r="143" spans="1:36" ht="15" customHeight="1" x14ac:dyDescent="0.3">
      <c r="A143" s="22" t="s">
        <v>633</v>
      </c>
      <c r="B143" s="22" t="s">
        <v>634</v>
      </c>
      <c r="C143" s="22" t="s">
        <v>640</v>
      </c>
      <c r="D143" s="22" t="s">
        <v>636</v>
      </c>
      <c r="E143" s="22" t="s">
        <v>746</v>
      </c>
      <c r="F143" s="22" t="s">
        <v>747</v>
      </c>
      <c r="G143" s="22">
        <v>0.6</v>
      </c>
      <c r="H143" s="22">
        <v>242</v>
      </c>
      <c r="I143" s="22">
        <v>8</v>
      </c>
      <c r="J143" s="22">
        <v>8</v>
      </c>
      <c r="K143" s="22">
        <v>-1.6355716354717401E-2</v>
      </c>
      <c r="L143" s="22"/>
      <c r="M143" s="22"/>
      <c r="N143" s="22"/>
      <c r="O143" s="22"/>
      <c r="P143" s="22"/>
      <c r="Q143" s="22"/>
      <c r="R143" s="22"/>
      <c r="S143" s="22"/>
      <c r="T143" s="22">
        <v>-1.6354258074489099E-2</v>
      </c>
      <c r="U143" s="22"/>
      <c r="V143" s="22"/>
      <c r="W143" s="22"/>
      <c r="X143" s="22"/>
      <c r="Y143" s="22">
        <v>6.1079516516566901E-6</v>
      </c>
      <c r="Z143" s="22">
        <v>6.1079516407935603E-6</v>
      </c>
      <c r="AA143" s="22">
        <v>1.7298442696185401E-3</v>
      </c>
      <c r="AB143" s="22"/>
      <c r="AC143" s="22"/>
      <c r="AD143" s="22"/>
      <c r="AE143" s="22"/>
      <c r="AF143" s="22"/>
      <c r="AG143" s="22"/>
      <c r="AH143" s="22" t="s">
        <v>748</v>
      </c>
      <c r="AI143" s="22"/>
      <c r="AJ143" s="22" t="s">
        <v>898</v>
      </c>
    </row>
    <row r="144" spans="1:36" ht="15" customHeight="1" x14ac:dyDescent="0.3">
      <c r="A144" s="22" t="s">
        <v>633</v>
      </c>
      <c r="B144" s="22" t="s">
        <v>634</v>
      </c>
      <c r="C144" s="22" t="s">
        <v>642</v>
      </c>
      <c r="D144" s="22" t="s">
        <v>636</v>
      </c>
      <c r="E144" s="22" t="s">
        <v>746</v>
      </c>
      <c r="F144" s="22" t="s">
        <v>747</v>
      </c>
      <c r="G144" s="22">
        <v>0.6</v>
      </c>
      <c r="H144" s="22">
        <v>75</v>
      </c>
      <c r="I144" s="22">
        <v>6</v>
      </c>
      <c r="J144" s="22">
        <v>6</v>
      </c>
      <c r="K144" s="22">
        <v>-3.9045798003424698E-2</v>
      </c>
      <c r="L144" s="22"/>
      <c r="M144" s="22"/>
      <c r="N144" s="22"/>
      <c r="O144" s="22"/>
      <c r="P144" s="22"/>
      <c r="Q144" s="22"/>
      <c r="R144" s="22"/>
      <c r="S144" s="22"/>
      <c r="T144" s="22">
        <v>-3.9025967356059302E-2</v>
      </c>
      <c r="U144" s="22"/>
      <c r="V144" s="22"/>
      <c r="W144" s="22"/>
      <c r="X144" s="22"/>
      <c r="Y144" s="22">
        <v>1.58799249868888E-4</v>
      </c>
      <c r="Z144" s="22">
        <v>1.58799251855315E-4</v>
      </c>
      <c r="AA144" s="22">
        <v>6.2158481474860697E-3</v>
      </c>
      <c r="AB144" s="22"/>
      <c r="AC144" s="22"/>
      <c r="AD144" s="22"/>
      <c r="AE144" s="22"/>
      <c r="AF144" s="22"/>
      <c r="AG144" s="22"/>
      <c r="AH144" s="22" t="s">
        <v>748</v>
      </c>
      <c r="AI144" s="22"/>
      <c r="AJ144" s="22" t="s">
        <v>899</v>
      </c>
    </row>
    <row r="145" spans="1:36" ht="15" customHeight="1" x14ac:dyDescent="0.3">
      <c r="A145" s="22" t="s">
        <v>633</v>
      </c>
      <c r="B145" s="22" t="s">
        <v>634</v>
      </c>
      <c r="C145" s="22" t="s">
        <v>644</v>
      </c>
      <c r="D145" s="22" t="s">
        <v>636</v>
      </c>
      <c r="E145" s="22" t="s">
        <v>746</v>
      </c>
      <c r="F145" s="22" t="s">
        <v>747</v>
      </c>
      <c r="G145" s="22">
        <v>0.6</v>
      </c>
      <c r="H145" s="22">
        <v>26</v>
      </c>
      <c r="I145" s="22">
        <v>4</v>
      </c>
      <c r="J145" s="22">
        <v>4</v>
      </c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 t="s">
        <v>748</v>
      </c>
      <c r="AI145" s="22"/>
      <c r="AJ145" s="22" t="s">
        <v>900</v>
      </c>
    </row>
    <row r="146" spans="1:36" ht="15" customHeight="1" x14ac:dyDescent="0.3">
      <c r="A146" s="22" t="s">
        <v>633</v>
      </c>
      <c r="B146" s="22" t="s">
        <v>634</v>
      </c>
      <c r="C146" s="22" t="s">
        <v>646</v>
      </c>
      <c r="D146" s="22" t="s">
        <v>636</v>
      </c>
      <c r="E146" s="22" t="s">
        <v>746</v>
      </c>
      <c r="F146" s="22" t="s">
        <v>747</v>
      </c>
      <c r="G146" s="22">
        <v>0.6</v>
      </c>
      <c r="H146" s="22">
        <v>67</v>
      </c>
      <c r="I146" s="22">
        <v>7</v>
      </c>
      <c r="J146" s="22">
        <v>7</v>
      </c>
      <c r="K146" s="22">
        <v>-6.4797512902352306E-2</v>
      </c>
      <c r="L146" s="22"/>
      <c r="M146" s="22"/>
      <c r="N146" s="22"/>
      <c r="O146" s="22"/>
      <c r="P146" s="22"/>
      <c r="Q146" s="22"/>
      <c r="R146" s="22"/>
      <c r="S146" s="22"/>
      <c r="T146" s="22">
        <v>-6.4706976133666896E-2</v>
      </c>
      <c r="U146" s="22"/>
      <c r="V146" s="22"/>
      <c r="W146" s="22"/>
      <c r="X146" s="22"/>
      <c r="Y146" s="22">
        <v>3.5675903815816701E-12</v>
      </c>
      <c r="Z146" s="22">
        <v>3.5675905569238499E-12</v>
      </c>
      <c r="AA146" s="22">
        <v>1.04226045470119E-2</v>
      </c>
      <c r="AB146" s="22"/>
      <c r="AC146" s="22"/>
      <c r="AD146" s="22"/>
      <c r="AE146" s="22"/>
      <c r="AF146" s="22"/>
      <c r="AG146" s="22"/>
      <c r="AH146" s="22" t="s">
        <v>748</v>
      </c>
      <c r="AI146" s="22"/>
      <c r="AJ146" s="22" t="s">
        <v>901</v>
      </c>
    </row>
    <row r="147" spans="1:36" ht="15" customHeight="1" x14ac:dyDescent="0.3">
      <c r="A147" s="22" t="s">
        <v>633</v>
      </c>
      <c r="B147" s="22" t="s">
        <v>634</v>
      </c>
      <c r="C147" s="22" t="s">
        <v>648</v>
      </c>
      <c r="D147" s="22" t="s">
        <v>636</v>
      </c>
      <c r="E147" s="22" t="s">
        <v>746</v>
      </c>
      <c r="F147" s="22" t="s">
        <v>747</v>
      </c>
      <c r="G147" s="22">
        <v>0.6</v>
      </c>
      <c r="H147" s="22">
        <v>85</v>
      </c>
      <c r="I147" s="22">
        <v>8</v>
      </c>
      <c r="J147" s="22">
        <v>8</v>
      </c>
      <c r="K147" s="22">
        <v>-7.1015842557823006E-2</v>
      </c>
      <c r="L147" s="22"/>
      <c r="M147" s="22"/>
      <c r="N147" s="22"/>
      <c r="O147" s="22"/>
      <c r="P147" s="22"/>
      <c r="Q147" s="22"/>
      <c r="R147" s="22"/>
      <c r="S147" s="22"/>
      <c r="T147" s="22">
        <v>-7.0896699352812703E-2</v>
      </c>
      <c r="U147" s="22"/>
      <c r="V147" s="22"/>
      <c r="W147" s="22"/>
      <c r="X147" s="22"/>
      <c r="Y147" s="22">
        <v>2.6712831250529502E-12</v>
      </c>
      <c r="Z147" s="22">
        <v>2.6712837538369399E-12</v>
      </c>
      <c r="AA147" s="22">
        <v>1.15616387946876E-2</v>
      </c>
      <c r="AB147" s="22"/>
      <c r="AC147" s="22"/>
      <c r="AD147" s="22"/>
      <c r="AE147" s="22"/>
      <c r="AF147" s="22"/>
      <c r="AG147" s="22"/>
      <c r="AH147" s="22" t="s">
        <v>748</v>
      </c>
      <c r="AI147" s="22"/>
      <c r="AJ147" s="22" t="s">
        <v>902</v>
      </c>
    </row>
    <row r="148" spans="1:36" ht="15" customHeight="1" x14ac:dyDescent="0.3">
      <c r="A148" s="22" t="s">
        <v>633</v>
      </c>
      <c r="B148" s="22" t="s">
        <v>634</v>
      </c>
      <c r="C148" s="22" t="s">
        <v>650</v>
      </c>
      <c r="D148" s="22" t="s">
        <v>636</v>
      </c>
      <c r="E148" s="22" t="s">
        <v>746</v>
      </c>
      <c r="F148" s="22" t="s">
        <v>747</v>
      </c>
      <c r="G148" s="22">
        <v>0.6</v>
      </c>
      <c r="H148" s="22">
        <v>436</v>
      </c>
      <c r="I148" s="22">
        <v>18</v>
      </c>
      <c r="J148" s="22">
        <v>18</v>
      </c>
      <c r="K148" s="22">
        <v>-4.1300989186840602E-2</v>
      </c>
      <c r="L148" s="22">
        <v>1.02055137453229E-2</v>
      </c>
      <c r="M148" s="22">
        <v>-4.04692896580229</v>
      </c>
      <c r="N148" s="22">
        <v>14.826400463289101</v>
      </c>
      <c r="O148" s="22">
        <v>1.0770773814721499E-3</v>
      </c>
      <c r="P148" s="22">
        <v>-6.3075731140246005E-2</v>
      </c>
      <c r="Q148" s="22">
        <v>-1.9526247233435198E-2</v>
      </c>
      <c r="R148" s="22"/>
      <c r="S148" s="22"/>
      <c r="T148" s="22">
        <v>-4.1277521845727999E-2</v>
      </c>
      <c r="U148" s="22">
        <v>-6.2992214109970801E-2</v>
      </c>
      <c r="V148" s="22">
        <v>-1.9523765992897402E-2</v>
      </c>
      <c r="W148" s="22"/>
      <c r="X148" s="22"/>
      <c r="Y148" s="22">
        <v>5.6783128408078199E-4</v>
      </c>
      <c r="Z148" s="22">
        <v>5.6783135457297697E-4</v>
      </c>
      <c r="AA148" s="22">
        <v>3.2280909012058702E-3</v>
      </c>
      <c r="AB148" s="22"/>
      <c r="AC148" s="22"/>
      <c r="AD148" s="22"/>
      <c r="AE148" s="22"/>
      <c r="AF148" s="22"/>
      <c r="AG148" s="22"/>
      <c r="AH148" s="22" t="s">
        <v>748</v>
      </c>
      <c r="AI148" s="22"/>
      <c r="AJ148" s="22" t="s">
        <v>903</v>
      </c>
    </row>
    <row r="149" spans="1:36" ht="15" customHeight="1" x14ac:dyDescent="0.3">
      <c r="A149" s="22" t="s">
        <v>633</v>
      </c>
      <c r="B149" s="22" t="s">
        <v>634</v>
      </c>
      <c r="C149" s="22" t="s">
        <v>652</v>
      </c>
      <c r="D149" s="22" t="s">
        <v>636</v>
      </c>
      <c r="E149" s="22" t="s">
        <v>746</v>
      </c>
      <c r="F149" s="22" t="s">
        <v>747</v>
      </c>
      <c r="G149" s="22">
        <v>0.6</v>
      </c>
      <c r="H149" s="22">
        <v>674</v>
      </c>
      <c r="I149" s="22">
        <v>24</v>
      </c>
      <c r="J149" s="22">
        <v>24</v>
      </c>
      <c r="K149" s="22">
        <v>-5.2902864288935501E-2</v>
      </c>
      <c r="L149" s="22">
        <v>1.0733015214343999E-2</v>
      </c>
      <c r="M149" s="22">
        <v>-4.9289843750742097</v>
      </c>
      <c r="N149" s="22">
        <v>20.827496099852699</v>
      </c>
      <c r="O149" s="22">
        <v>7.2489785110033399E-5</v>
      </c>
      <c r="P149" s="22">
        <v>-7.5234653383599803E-2</v>
      </c>
      <c r="Q149" s="22">
        <v>-3.0571075194271099E-2</v>
      </c>
      <c r="R149" s="22"/>
      <c r="S149" s="22"/>
      <c r="T149" s="22">
        <v>-5.2853566164499599E-2</v>
      </c>
      <c r="U149" s="22">
        <v>-7.5093024976753506E-2</v>
      </c>
      <c r="V149" s="22">
        <v>-3.0561554939709398E-2</v>
      </c>
      <c r="W149" s="22"/>
      <c r="X149" s="22"/>
      <c r="Y149" s="22">
        <v>8.8373918813656105E-4</v>
      </c>
      <c r="Z149" s="22">
        <v>8.8373958585096402E-4</v>
      </c>
      <c r="AA149" s="22">
        <v>7.1329188936958398E-3</v>
      </c>
      <c r="AB149" s="22"/>
      <c r="AC149" s="22"/>
      <c r="AD149" s="22"/>
      <c r="AE149" s="22"/>
      <c r="AF149" s="22"/>
      <c r="AG149" s="22"/>
      <c r="AH149" s="22" t="s">
        <v>748</v>
      </c>
      <c r="AI149" s="22"/>
      <c r="AJ149" s="22" t="s">
        <v>904</v>
      </c>
    </row>
    <row r="150" spans="1:36" ht="15" customHeight="1" x14ac:dyDescent="0.3">
      <c r="A150" s="22" t="s">
        <v>633</v>
      </c>
      <c r="B150" s="22" t="s">
        <v>634</v>
      </c>
      <c r="C150" s="22" t="s">
        <v>654</v>
      </c>
      <c r="D150" s="22" t="s">
        <v>636</v>
      </c>
      <c r="E150" s="22" t="s">
        <v>746</v>
      </c>
      <c r="F150" s="22" t="s">
        <v>747</v>
      </c>
      <c r="G150" s="22">
        <v>0.6</v>
      </c>
      <c r="H150" s="22">
        <v>1008</v>
      </c>
      <c r="I150" s="22">
        <v>43</v>
      </c>
      <c r="J150" s="22">
        <v>42</v>
      </c>
      <c r="K150" s="22">
        <v>-8.6801725380718897E-2</v>
      </c>
      <c r="L150" s="22">
        <v>4.0022875213596702E-2</v>
      </c>
      <c r="M150" s="22">
        <v>-2.1688028388133</v>
      </c>
      <c r="N150" s="22">
        <v>40.933297423358503</v>
      </c>
      <c r="O150" s="22">
        <v>3.5960827125381303E-2</v>
      </c>
      <c r="P150" s="22">
        <v>-0.16763356182724101</v>
      </c>
      <c r="Q150" s="22">
        <v>-5.9698889341972296E-3</v>
      </c>
      <c r="R150" s="22"/>
      <c r="S150" s="22"/>
      <c r="T150" s="22">
        <v>-8.6584376729003404E-2</v>
      </c>
      <c r="U150" s="22">
        <v>-0.16608078909691201</v>
      </c>
      <c r="V150" s="22">
        <v>-5.9698180137756698E-3</v>
      </c>
      <c r="W150" s="22"/>
      <c r="X150" s="22"/>
      <c r="Y150" s="22">
        <v>6.5028404820473895E-2</v>
      </c>
      <c r="Z150" s="22">
        <v>9.1228079176656505E-10</v>
      </c>
      <c r="AA150" s="22">
        <v>1.17441282815249E-2</v>
      </c>
      <c r="AB150" s="22"/>
      <c r="AC150" s="22"/>
      <c r="AD150" s="22"/>
      <c r="AE150" s="22"/>
      <c r="AF150" s="22"/>
      <c r="AG150" s="22"/>
      <c r="AH150" s="22" t="s">
        <v>748</v>
      </c>
      <c r="AI150" s="22"/>
      <c r="AJ150" s="22" t="s">
        <v>905</v>
      </c>
    </row>
    <row r="151" spans="1:36" ht="15" customHeight="1" x14ac:dyDescent="0.3">
      <c r="A151" s="22" t="s">
        <v>633</v>
      </c>
      <c r="B151" s="22" t="s">
        <v>634</v>
      </c>
      <c r="C151" s="22" t="s">
        <v>656</v>
      </c>
      <c r="D151" s="22" t="s">
        <v>636</v>
      </c>
      <c r="E151" s="22" t="s">
        <v>746</v>
      </c>
      <c r="F151" s="22" t="s">
        <v>747</v>
      </c>
      <c r="G151" s="22">
        <v>0.6</v>
      </c>
      <c r="H151" s="22">
        <v>1368</v>
      </c>
      <c r="I151" s="22">
        <v>54</v>
      </c>
      <c r="J151" s="22">
        <v>53</v>
      </c>
      <c r="K151" s="22">
        <v>-7.3528679830586405E-2</v>
      </c>
      <c r="L151" s="22">
        <v>3.1936071828760598E-2</v>
      </c>
      <c r="M151" s="22">
        <v>-2.3023708183286602</v>
      </c>
      <c r="N151" s="22">
        <v>51.930738722036999</v>
      </c>
      <c r="O151" s="22">
        <v>2.5354623111179801E-2</v>
      </c>
      <c r="P151" s="22">
        <v>-0.137615130835367</v>
      </c>
      <c r="Q151" s="22">
        <v>-9.4422288258062398E-3</v>
      </c>
      <c r="R151" s="22"/>
      <c r="S151" s="22"/>
      <c r="T151" s="22">
        <v>-7.3396455648405801E-2</v>
      </c>
      <c r="U151" s="22">
        <v>-0.136752946466005</v>
      </c>
      <c r="V151" s="22">
        <v>-9.4419482263527997E-3</v>
      </c>
      <c r="W151" s="22"/>
      <c r="X151" s="22"/>
      <c r="Y151" s="22">
        <v>5.2402681088967402E-2</v>
      </c>
      <c r="Z151" s="22">
        <v>1.3686398531019799E-9</v>
      </c>
      <c r="AA151" s="22">
        <v>9.1350022069450008E-3</v>
      </c>
      <c r="AB151" s="22"/>
      <c r="AC151" s="22"/>
      <c r="AD151" s="22"/>
      <c r="AE151" s="22"/>
      <c r="AF151" s="22"/>
      <c r="AG151" s="22"/>
      <c r="AH151" s="22" t="s">
        <v>748</v>
      </c>
      <c r="AI151" s="22"/>
      <c r="AJ151" s="22" t="s">
        <v>906</v>
      </c>
    </row>
    <row r="152" spans="1:36" ht="15" customHeight="1" x14ac:dyDescent="0.3">
      <c r="A152" s="22" t="s">
        <v>633</v>
      </c>
      <c r="B152" s="22" t="s">
        <v>634</v>
      </c>
      <c r="C152" s="22" t="s">
        <v>658</v>
      </c>
      <c r="D152" s="22" t="s">
        <v>636</v>
      </c>
      <c r="E152" s="22" t="s">
        <v>746</v>
      </c>
      <c r="F152" s="22" t="s">
        <v>747</v>
      </c>
      <c r="G152" s="22">
        <v>0.6</v>
      </c>
      <c r="H152" s="22">
        <v>1552</v>
      </c>
      <c r="I152" s="22">
        <v>63</v>
      </c>
      <c r="J152" s="22">
        <v>62</v>
      </c>
      <c r="K152" s="22">
        <v>-6.6472226346664401E-2</v>
      </c>
      <c r="L152" s="22">
        <v>2.57207336653234E-2</v>
      </c>
      <c r="M152" s="22">
        <v>-2.5843829811232002</v>
      </c>
      <c r="N152" s="22">
        <v>60.652657754601201</v>
      </c>
      <c r="O152" s="22">
        <v>1.21786406101609E-2</v>
      </c>
      <c r="P152" s="22">
        <v>-0.117909969476232</v>
      </c>
      <c r="Q152" s="22">
        <v>-1.50344832170971E-2</v>
      </c>
      <c r="R152" s="22"/>
      <c r="S152" s="22"/>
      <c r="T152" s="22">
        <v>-6.6374495304181005E-2</v>
      </c>
      <c r="U152" s="22">
        <v>-0.11736656649247</v>
      </c>
      <c r="V152" s="22">
        <v>-1.5033350542933E-2</v>
      </c>
      <c r="W152" s="22"/>
      <c r="X152" s="22"/>
      <c r="Y152" s="22">
        <v>3.8430973895207297E-2</v>
      </c>
      <c r="Z152" s="22">
        <v>1.85973900317253E-9</v>
      </c>
      <c r="AA152" s="22">
        <v>1.67733514433114E-2</v>
      </c>
      <c r="AB152" s="22"/>
      <c r="AC152" s="22"/>
      <c r="AD152" s="22"/>
      <c r="AE152" s="22"/>
      <c r="AF152" s="22"/>
      <c r="AG152" s="22"/>
      <c r="AH152" s="22" t="s">
        <v>748</v>
      </c>
      <c r="AI152" s="22"/>
      <c r="AJ152" s="22" t="s">
        <v>907</v>
      </c>
    </row>
    <row r="153" spans="1:36" ht="15" customHeight="1" x14ac:dyDescent="0.3">
      <c r="A153" s="22" t="s">
        <v>633</v>
      </c>
      <c r="B153" s="22" t="s">
        <v>634</v>
      </c>
      <c r="C153" s="22" t="s">
        <v>660</v>
      </c>
      <c r="D153" s="22" t="s">
        <v>636</v>
      </c>
      <c r="E153" s="22" t="s">
        <v>746</v>
      </c>
      <c r="F153" s="22" t="s">
        <v>747</v>
      </c>
      <c r="G153" s="22">
        <v>0.6</v>
      </c>
      <c r="H153" s="22">
        <v>1676</v>
      </c>
      <c r="I153" s="22">
        <v>72</v>
      </c>
      <c r="J153" s="22">
        <v>71</v>
      </c>
      <c r="K153" s="22">
        <v>-6.2432418439040099E-2</v>
      </c>
      <c r="L153" s="22">
        <v>2.2271271251453499E-2</v>
      </c>
      <c r="M153" s="22">
        <v>-2.8032714313497298</v>
      </c>
      <c r="N153" s="22">
        <v>69.469691161663107</v>
      </c>
      <c r="O153" s="22">
        <v>6.5519430657647896E-3</v>
      </c>
      <c r="P153" s="22">
        <v>-0.106857030455107</v>
      </c>
      <c r="Q153" s="22">
        <v>-1.8007806422973501E-2</v>
      </c>
      <c r="R153" s="22"/>
      <c r="S153" s="22"/>
      <c r="T153" s="22">
        <v>-6.2351428207197503E-2</v>
      </c>
      <c r="U153" s="22">
        <v>-0.106452166523497</v>
      </c>
      <c r="V153" s="22">
        <v>-1.80058601450514E-2</v>
      </c>
      <c r="W153" s="22"/>
      <c r="X153" s="22"/>
      <c r="Y153" s="22">
        <v>3.2653348159831397E-2</v>
      </c>
      <c r="Z153" s="22">
        <v>1.2570702044108401E-9</v>
      </c>
      <c r="AA153" s="22">
        <v>1.60178069330273E-2</v>
      </c>
      <c r="AB153" s="22"/>
      <c r="AC153" s="22"/>
      <c r="AD153" s="22"/>
      <c r="AE153" s="22"/>
      <c r="AF153" s="22"/>
      <c r="AG153" s="22"/>
      <c r="AH153" s="22" t="s">
        <v>748</v>
      </c>
      <c r="AI153" s="22"/>
      <c r="AJ153" s="22" t="s">
        <v>908</v>
      </c>
    </row>
    <row r="154" spans="1:36" ht="15" customHeight="1" x14ac:dyDescent="0.3">
      <c r="A154" s="22" t="s">
        <v>633</v>
      </c>
      <c r="B154" s="22" t="s">
        <v>634</v>
      </c>
      <c r="C154" s="22" t="s">
        <v>662</v>
      </c>
      <c r="D154" s="22" t="s">
        <v>636</v>
      </c>
      <c r="E154" s="22" t="s">
        <v>746</v>
      </c>
      <c r="F154" s="22" t="s">
        <v>747</v>
      </c>
      <c r="G154" s="22">
        <v>0.6</v>
      </c>
      <c r="H154" s="22">
        <v>1339</v>
      </c>
      <c r="I154" s="22">
        <v>65</v>
      </c>
      <c r="J154" s="22">
        <v>64</v>
      </c>
      <c r="K154" s="22">
        <v>-6.5468398828848695E-2</v>
      </c>
      <c r="L154" s="22">
        <v>2.4284854222608301E-2</v>
      </c>
      <c r="M154" s="22">
        <v>-2.6958530707546999</v>
      </c>
      <c r="N154" s="22">
        <v>62.405185209443403</v>
      </c>
      <c r="O154" s="22">
        <v>9.0126823535384096E-3</v>
      </c>
      <c r="P154" s="22">
        <v>-0.114006861699504</v>
      </c>
      <c r="Q154" s="22">
        <v>-1.6929935958193899E-2</v>
      </c>
      <c r="R154" s="22"/>
      <c r="S154" s="22"/>
      <c r="T154" s="22">
        <v>-6.5375023964795095E-2</v>
      </c>
      <c r="U154" s="22">
        <v>-0.11351547907242</v>
      </c>
      <c r="V154" s="22">
        <v>-1.6928318642121E-2</v>
      </c>
      <c r="W154" s="22"/>
      <c r="X154" s="22"/>
      <c r="Y154" s="22">
        <v>3.44971293024652E-2</v>
      </c>
      <c r="Z154" s="22">
        <v>1.3679622662190499E-9</v>
      </c>
      <c r="AA154" s="22">
        <v>1.9559065961414199E-2</v>
      </c>
      <c r="AB154" s="22"/>
      <c r="AC154" s="22"/>
      <c r="AD154" s="22"/>
      <c r="AE154" s="22"/>
      <c r="AF154" s="22"/>
      <c r="AG154" s="22"/>
      <c r="AH154" s="22" t="s">
        <v>748</v>
      </c>
      <c r="AI154" s="22"/>
      <c r="AJ154" s="22" t="s">
        <v>909</v>
      </c>
    </row>
    <row r="155" spans="1:36" ht="15" customHeight="1" x14ac:dyDescent="0.3">
      <c r="A155" s="22" t="s">
        <v>633</v>
      </c>
      <c r="B155" s="22" t="s">
        <v>634</v>
      </c>
      <c r="C155" s="22" t="s">
        <v>664</v>
      </c>
      <c r="D155" s="22" t="s">
        <v>636</v>
      </c>
      <c r="E155" s="22" t="s">
        <v>746</v>
      </c>
      <c r="F155" s="22" t="s">
        <v>747</v>
      </c>
      <c r="G155" s="22">
        <v>0.6</v>
      </c>
      <c r="H155" s="22">
        <v>1365</v>
      </c>
      <c r="I155" s="22">
        <v>64</v>
      </c>
      <c r="J155" s="22">
        <v>63</v>
      </c>
      <c r="K155" s="22">
        <v>-6.3369749202987394E-2</v>
      </c>
      <c r="L155" s="22">
        <v>2.5091274338674498E-2</v>
      </c>
      <c r="M155" s="22">
        <v>-2.5255691818455102</v>
      </c>
      <c r="N155" s="22">
        <v>61.535777951637897</v>
      </c>
      <c r="O155" s="22">
        <v>1.41413216225099E-2</v>
      </c>
      <c r="P155" s="22">
        <v>-0.11353401975393899</v>
      </c>
      <c r="Q155" s="22">
        <v>-1.32054786520361E-2</v>
      </c>
      <c r="R155" s="22"/>
      <c r="S155" s="22"/>
      <c r="T155" s="22">
        <v>-6.3285060071247401E-2</v>
      </c>
      <c r="U155" s="22">
        <v>-0.113048705037317</v>
      </c>
      <c r="V155" s="22">
        <v>-1.32047110945796E-2</v>
      </c>
      <c r="W155" s="22"/>
      <c r="X155" s="22"/>
      <c r="Y155" s="22">
        <v>3.66834534399696E-2</v>
      </c>
      <c r="Z155" s="22">
        <v>1.15886904097765E-9</v>
      </c>
      <c r="AA155" s="22">
        <v>1.7567020207654299E-2</v>
      </c>
      <c r="AB155" s="22"/>
      <c r="AC155" s="22"/>
      <c r="AD155" s="22"/>
      <c r="AE155" s="22"/>
      <c r="AF155" s="22"/>
      <c r="AG155" s="22"/>
      <c r="AH155" s="22" t="s">
        <v>748</v>
      </c>
      <c r="AI155" s="22"/>
      <c r="AJ155" s="22" t="s">
        <v>910</v>
      </c>
    </row>
    <row r="156" spans="1:36" ht="15" customHeight="1" x14ac:dyDescent="0.3">
      <c r="A156" s="22" t="s">
        <v>633</v>
      </c>
      <c r="B156" s="22" t="s">
        <v>634</v>
      </c>
      <c r="C156" s="22" t="s">
        <v>666</v>
      </c>
      <c r="D156" s="22" t="s">
        <v>636</v>
      </c>
      <c r="E156" s="22" t="s">
        <v>746</v>
      </c>
      <c r="F156" s="22" t="s">
        <v>747</v>
      </c>
      <c r="G156" s="22">
        <v>0.6</v>
      </c>
      <c r="H156" s="22">
        <v>1097</v>
      </c>
      <c r="I156" s="22">
        <v>46</v>
      </c>
      <c r="J156" s="22">
        <v>46</v>
      </c>
      <c r="K156" s="22">
        <v>-3.8931966083907303E-2</v>
      </c>
      <c r="L156" s="22">
        <v>7.6260060655317999E-3</v>
      </c>
      <c r="M156" s="22">
        <v>-5.1051580275909902</v>
      </c>
      <c r="N156" s="22">
        <v>36.284312556995999</v>
      </c>
      <c r="O156" s="22">
        <v>1.0683447303589301E-5</v>
      </c>
      <c r="P156" s="22">
        <v>-5.4394016369388697E-2</v>
      </c>
      <c r="Q156" s="22">
        <v>-2.3469915798425799E-2</v>
      </c>
      <c r="R156" s="22"/>
      <c r="S156" s="22"/>
      <c r="T156" s="22">
        <v>-3.89123083011014E-2</v>
      </c>
      <c r="U156" s="22">
        <v>-5.4340434426282801E-2</v>
      </c>
      <c r="V156" s="22">
        <v>-2.3465607382124401E-2</v>
      </c>
      <c r="W156" s="22"/>
      <c r="X156" s="22"/>
      <c r="Y156" s="22">
        <v>5.8085583044692403E-4</v>
      </c>
      <c r="Z156" s="22">
        <v>5.8085582585558099E-4</v>
      </c>
      <c r="AA156" s="22">
        <v>1.54912404603786E-2</v>
      </c>
      <c r="AB156" s="22"/>
      <c r="AC156" s="22"/>
      <c r="AD156" s="22"/>
      <c r="AE156" s="22"/>
      <c r="AF156" s="22"/>
      <c r="AG156" s="22"/>
      <c r="AH156" s="22" t="s">
        <v>748</v>
      </c>
      <c r="AI156" s="22"/>
      <c r="AJ156" s="22" t="s">
        <v>911</v>
      </c>
    </row>
    <row r="157" spans="1:36" ht="15" customHeight="1" x14ac:dyDescent="0.3">
      <c r="A157" s="22" t="s">
        <v>633</v>
      </c>
      <c r="B157" s="22" t="s">
        <v>634</v>
      </c>
      <c r="C157" s="22" t="s">
        <v>668</v>
      </c>
      <c r="D157" s="22" t="s">
        <v>636</v>
      </c>
      <c r="E157" s="22" t="s">
        <v>746</v>
      </c>
      <c r="F157" s="22" t="s">
        <v>747</v>
      </c>
      <c r="G157" s="22">
        <v>0.6</v>
      </c>
      <c r="H157" s="22">
        <v>823</v>
      </c>
      <c r="I157" s="22">
        <v>41</v>
      </c>
      <c r="J157" s="22">
        <v>41</v>
      </c>
      <c r="K157" s="22">
        <v>-4.1259598158217801E-2</v>
      </c>
      <c r="L157" s="22">
        <v>7.8480137527658506E-3</v>
      </c>
      <c r="M157" s="22">
        <v>-5.2573300019609199</v>
      </c>
      <c r="N157" s="22">
        <v>28.454146632190099</v>
      </c>
      <c r="O157" s="22">
        <v>1.31033504320179E-5</v>
      </c>
      <c r="P157" s="22">
        <v>-5.7323974054926501E-2</v>
      </c>
      <c r="Q157" s="22">
        <v>-2.5195222261509199E-2</v>
      </c>
      <c r="R157" s="22"/>
      <c r="S157" s="22"/>
      <c r="T157" s="22">
        <v>-4.12362012699658E-2</v>
      </c>
      <c r="U157" s="22">
        <v>-5.72612668911733E-2</v>
      </c>
      <c r="V157" s="22">
        <v>-2.5189892312364001E-2</v>
      </c>
      <c r="W157" s="22"/>
      <c r="X157" s="22"/>
      <c r="Y157" s="22">
        <v>3.2638213083808099E-4</v>
      </c>
      <c r="Z157" s="22">
        <v>3.2638215195480698E-4</v>
      </c>
      <c r="AA157" s="22">
        <v>2.0641044192700801E-2</v>
      </c>
      <c r="AB157" s="22"/>
      <c r="AC157" s="22"/>
      <c r="AD157" s="22"/>
      <c r="AE157" s="22"/>
      <c r="AF157" s="22"/>
      <c r="AG157" s="22"/>
      <c r="AH157" s="22" t="s">
        <v>748</v>
      </c>
      <c r="AI157" s="22"/>
      <c r="AJ157" s="22" t="s">
        <v>912</v>
      </c>
    </row>
    <row r="158" spans="1:36" ht="15" customHeight="1" x14ac:dyDescent="0.3">
      <c r="A158" s="22" t="s">
        <v>633</v>
      </c>
      <c r="B158" s="22" t="s">
        <v>634</v>
      </c>
      <c r="C158" s="22" t="s">
        <v>670</v>
      </c>
      <c r="D158" s="22" t="s">
        <v>636</v>
      </c>
      <c r="E158" s="22" t="s">
        <v>746</v>
      </c>
      <c r="F158" s="22" t="s">
        <v>747</v>
      </c>
      <c r="G158" s="22">
        <v>0.6</v>
      </c>
      <c r="H158" s="22">
        <v>754</v>
      </c>
      <c r="I158" s="22">
        <v>35</v>
      </c>
      <c r="J158" s="22">
        <v>35</v>
      </c>
      <c r="K158" s="22">
        <v>-4.7836983608535402E-2</v>
      </c>
      <c r="L158" s="22">
        <v>7.7681801262849803E-3</v>
      </c>
      <c r="M158" s="22">
        <v>-6.1580682773653397</v>
      </c>
      <c r="N158" s="22">
        <v>30.179561043451901</v>
      </c>
      <c r="O158" s="22">
        <v>8.7511116931634802E-7</v>
      </c>
      <c r="P158" s="22">
        <v>-6.3697766687157403E-2</v>
      </c>
      <c r="Q158" s="22">
        <v>-3.1976200529913401E-2</v>
      </c>
      <c r="R158" s="22"/>
      <c r="S158" s="22"/>
      <c r="T158" s="22">
        <v>-4.7800527294129799E-2</v>
      </c>
      <c r="U158" s="22">
        <v>-6.3611757052286597E-2</v>
      </c>
      <c r="V158" s="22">
        <v>-3.1965306671251303E-2</v>
      </c>
      <c r="W158" s="22"/>
      <c r="X158" s="22"/>
      <c r="Y158" s="22">
        <v>6.2931874627048998E-4</v>
      </c>
      <c r="Z158" s="22">
        <v>6.2931878845954995E-4</v>
      </c>
      <c r="AA158" s="22">
        <v>4.6760450139743002E-3</v>
      </c>
      <c r="AB158" s="22"/>
      <c r="AC158" s="22"/>
      <c r="AD158" s="22"/>
      <c r="AE158" s="22"/>
      <c r="AF158" s="22"/>
      <c r="AG158" s="22"/>
      <c r="AH158" s="22" t="s">
        <v>748</v>
      </c>
      <c r="AI158" s="22"/>
      <c r="AJ158" s="22" t="s">
        <v>913</v>
      </c>
    </row>
    <row r="159" spans="1:36" ht="15" customHeight="1" x14ac:dyDescent="0.3">
      <c r="A159" s="22" t="s">
        <v>633</v>
      </c>
      <c r="B159" s="22" t="s">
        <v>634</v>
      </c>
      <c r="C159" s="22" t="s">
        <v>672</v>
      </c>
      <c r="D159" s="22" t="s">
        <v>636</v>
      </c>
      <c r="E159" s="22" t="s">
        <v>746</v>
      </c>
      <c r="F159" s="22" t="s">
        <v>747</v>
      </c>
      <c r="G159" s="22">
        <v>0.6</v>
      </c>
      <c r="H159" s="22">
        <v>612</v>
      </c>
      <c r="I159" s="22">
        <v>25</v>
      </c>
      <c r="J159" s="22">
        <v>25</v>
      </c>
      <c r="K159" s="22">
        <v>-5.0845322510934002E-2</v>
      </c>
      <c r="L159" s="22">
        <v>9.4386895033015308E-3</v>
      </c>
      <c r="M159" s="22">
        <v>-5.3869048762700604</v>
      </c>
      <c r="N159" s="22">
        <v>21.741826330679402</v>
      </c>
      <c r="O159" s="22">
        <v>2.1571887773754901E-5</v>
      </c>
      <c r="P159" s="22">
        <v>-7.0433451923272994E-2</v>
      </c>
      <c r="Q159" s="22">
        <v>-3.12571930985951E-2</v>
      </c>
      <c r="R159" s="22"/>
      <c r="S159" s="22"/>
      <c r="T159" s="22">
        <v>-5.0801551870741403E-2</v>
      </c>
      <c r="U159" s="22">
        <v>-7.0317212151494404E-2</v>
      </c>
      <c r="V159" s="22">
        <v>-3.12470175230718E-2</v>
      </c>
      <c r="W159" s="22"/>
      <c r="X159" s="22"/>
      <c r="Y159" s="22">
        <v>7.33311973538629E-4</v>
      </c>
      <c r="Z159" s="22">
        <v>7.3331185473510003E-4</v>
      </c>
      <c r="AA159" s="22">
        <v>4.0202232528440103E-3</v>
      </c>
      <c r="AB159" s="22"/>
      <c r="AC159" s="22"/>
      <c r="AD159" s="22"/>
      <c r="AE159" s="22"/>
      <c r="AF159" s="22"/>
      <c r="AG159" s="22"/>
      <c r="AH159" s="22" t="s">
        <v>748</v>
      </c>
      <c r="AI159" s="22"/>
      <c r="AJ159" s="22" t="s">
        <v>914</v>
      </c>
    </row>
    <row r="160" spans="1:36" ht="15" customHeight="1" x14ac:dyDescent="0.3">
      <c r="A160" s="22" t="s">
        <v>633</v>
      </c>
      <c r="B160" s="22" t="s">
        <v>634</v>
      </c>
      <c r="C160" s="22" t="s">
        <v>674</v>
      </c>
      <c r="D160" s="22" t="s">
        <v>636</v>
      </c>
      <c r="E160" s="22" t="s">
        <v>746</v>
      </c>
      <c r="F160" s="22" t="s">
        <v>747</v>
      </c>
      <c r="G160" s="22">
        <v>0.6</v>
      </c>
      <c r="H160" s="22">
        <v>618</v>
      </c>
      <c r="I160" s="22">
        <v>22</v>
      </c>
      <c r="J160" s="22">
        <v>22</v>
      </c>
      <c r="K160" s="22">
        <v>-5.0953482266777497E-2</v>
      </c>
      <c r="L160" s="22">
        <v>1.00632609446794E-2</v>
      </c>
      <c r="M160" s="22">
        <v>-5.0633172037258296</v>
      </c>
      <c r="N160" s="22">
        <v>19.480890625887</v>
      </c>
      <c r="O160" s="22">
        <v>6.4160376578281805E-5</v>
      </c>
      <c r="P160" s="22">
        <v>-7.1980993924645104E-2</v>
      </c>
      <c r="Q160" s="22">
        <v>-2.9925970608909801E-2</v>
      </c>
      <c r="R160" s="22"/>
      <c r="S160" s="22"/>
      <c r="T160" s="22">
        <v>-5.09094318949515E-2</v>
      </c>
      <c r="U160" s="22">
        <v>-7.1856933535616702E-2</v>
      </c>
      <c r="V160" s="22">
        <v>-2.9917040270147799E-2</v>
      </c>
      <c r="W160" s="22"/>
      <c r="X160" s="22"/>
      <c r="Y160" s="22">
        <v>7.7996572492890605E-4</v>
      </c>
      <c r="Z160" s="22">
        <v>7.7996581524282602E-4</v>
      </c>
      <c r="AA160" s="22">
        <v>4.4258655150468101E-3</v>
      </c>
      <c r="AB160" s="22"/>
      <c r="AC160" s="22"/>
      <c r="AD160" s="22"/>
      <c r="AE160" s="22"/>
      <c r="AF160" s="22"/>
      <c r="AG160" s="22"/>
      <c r="AH160" s="22" t="s">
        <v>748</v>
      </c>
      <c r="AI160" s="22"/>
      <c r="AJ160" s="22" t="s">
        <v>915</v>
      </c>
    </row>
    <row r="161" spans="1:36" ht="15" customHeight="1" x14ac:dyDescent="0.3">
      <c r="A161" s="22" t="s">
        <v>633</v>
      </c>
      <c r="B161" s="22" t="s">
        <v>634</v>
      </c>
      <c r="C161" s="22" t="s">
        <v>676</v>
      </c>
      <c r="D161" s="22" t="s">
        <v>636</v>
      </c>
      <c r="E161" s="22" t="s">
        <v>746</v>
      </c>
      <c r="F161" s="22" t="s">
        <v>747</v>
      </c>
      <c r="G161" s="22">
        <v>0.6</v>
      </c>
      <c r="H161" s="22">
        <v>336</v>
      </c>
      <c r="I161" s="22">
        <v>14</v>
      </c>
      <c r="J161" s="22">
        <v>14</v>
      </c>
      <c r="K161" s="22">
        <v>-5.33834695525452E-2</v>
      </c>
      <c r="L161" s="22">
        <v>1.53241125341996E-2</v>
      </c>
      <c r="M161" s="22">
        <v>-3.4836255237232598</v>
      </c>
      <c r="N161" s="22">
        <v>12.580064394696199</v>
      </c>
      <c r="O161" s="22">
        <v>4.2267155735488497E-3</v>
      </c>
      <c r="P161" s="22">
        <v>-8.6601890755343996E-2</v>
      </c>
      <c r="Q161" s="22">
        <v>-2.0165048349746501E-2</v>
      </c>
      <c r="R161" s="22"/>
      <c r="S161" s="22"/>
      <c r="T161" s="22">
        <v>-5.3332816646889401E-2</v>
      </c>
      <c r="U161" s="22">
        <v>-8.6386036805550195E-2</v>
      </c>
      <c r="V161" s="22">
        <v>-2.01623155619137E-2</v>
      </c>
      <c r="W161" s="22"/>
      <c r="X161" s="22"/>
      <c r="Y161" s="22">
        <v>1.2891490886072199E-3</v>
      </c>
      <c r="Z161" s="22">
        <v>1.28914887141433E-3</v>
      </c>
      <c r="AA161" s="22">
        <v>4.6404473781118897E-3</v>
      </c>
      <c r="AB161" s="22"/>
      <c r="AC161" s="22"/>
      <c r="AD161" s="22"/>
      <c r="AE161" s="22"/>
      <c r="AF161" s="22"/>
      <c r="AG161" s="22"/>
      <c r="AH161" s="22" t="s">
        <v>748</v>
      </c>
      <c r="AI161" s="22"/>
      <c r="AJ161" s="22" t="s">
        <v>916</v>
      </c>
    </row>
    <row r="162" spans="1:36" ht="15" customHeight="1" x14ac:dyDescent="0.3">
      <c r="A162" s="22" t="s">
        <v>678</v>
      </c>
      <c r="B162" s="22" t="s">
        <v>679</v>
      </c>
      <c r="C162" s="22" t="s">
        <v>184</v>
      </c>
      <c r="D162" s="22" t="s">
        <v>680</v>
      </c>
      <c r="E162" s="22" t="s">
        <v>746</v>
      </c>
      <c r="F162" s="22" t="s">
        <v>760</v>
      </c>
      <c r="G162" s="22">
        <v>0.6</v>
      </c>
      <c r="H162" s="22">
        <v>2713</v>
      </c>
      <c r="I162" s="22">
        <v>115</v>
      </c>
      <c r="J162" s="22">
        <v>114</v>
      </c>
      <c r="K162" s="22">
        <v>-5.8646736610097998E-2</v>
      </c>
      <c r="L162" s="22"/>
      <c r="M162" s="22"/>
      <c r="N162" s="22"/>
      <c r="O162" s="22"/>
      <c r="P162" s="22"/>
      <c r="Q162" s="22"/>
      <c r="R162" s="22"/>
      <c r="S162" s="22"/>
      <c r="T162" s="22">
        <v>-5.85795916799434E-2</v>
      </c>
      <c r="U162" s="22">
        <v>-8.5890445375145993E-2</v>
      </c>
      <c r="V162" s="22">
        <v>-3.1180767616603398E-2</v>
      </c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 t="s">
        <v>748</v>
      </c>
      <c r="AI162" s="22"/>
      <c r="AJ162" s="22" t="s">
        <v>917</v>
      </c>
    </row>
    <row r="163" spans="1:36" ht="15" customHeight="1" x14ac:dyDescent="0.3">
      <c r="A163" s="22" t="s">
        <v>678</v>
      </c>
      <c r="B163" s="22" t="s">
        <v>679</v>
      </c>
      <c r="C163" s="22" t="s">
        <v>184</v>
      </c>
      <c r="D163" s="22" t="s">
        <v>682</v>
      </c>
      <c r="E163" s="22" t="s">
        <v>746</v>
      </c>
      <c r="F163" s="22" t="s">
        <v>760</v>
      </c>
      <c r="G163" s="22"/>
      <c r="H163" s="22"/>
      <c r="I163" s="22">
        <v>75</v>
      </c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>
        <v>-3.9E-2</v>
      </c>
      <c r="U163" s="22">
        <v>-4.5999999999999999E-2</v>
      </c>
      <c r="V163" s="22">
        <v>-3.2000000000000001E-2</v>
      </c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 t="s">
        <v>748</v>
      </c>
      <c r="AI163" s="22"/>
      <c r="AJ163" s="22" t="s">
        <v>918</v>
      </c>
    </row>
    <row r="164" spans="1:36" ht="15" customHeight="1" x14ac:dyDescent="0.3">
      <c r="A164" s="22" t="s">
        <v>694</v>
      </c>
      <c r="B164" s="22" t="s">
        <v>695</v>
      </c>
      <c r="C164" s="22" t="s">
        <v>184</v>
      </c>
      <c r="D164" s="22" t="s">
        <v>696</v>
      </c>
      <c r="E164" s="22" t="s">
        <v>759</v>
      </c>
      <c r="F164" s="22" t="s">
        <v>760</v>
      </c>
      <c r="G164" s="22">
        <v>0.6</v>
      </c>
      <c r="H164" s="22">
        <v>31</v>
      </c>
      <c r="I164" s="22">
        <v>31</v>
      </c>
      <c r="J164" s="22">
        <v>31</v>
      </c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>
        <v>28</v>
      </c>
      <c r="AH164" s="22" t="s">
        <v>748</v>
      </c>
      <c r="AI164" s="22"/>
      <c r="AJ164" s="22" t="s">
        <v>919</v>
      </c>
    </row>
    <row r="165" spans="1:36" ht="15" customHeight="1" x14ac:dyDescent="0.3">
      <c r="A165" s="22" t="s">
        <v>694</v>
      </c>
      <c r="B165" s="22" t="s">
        <v>695</v>
      </c>
      <c r="C165" s="22" t="s">
        <v>184</v>
      </c>
      <c r="D165" s="22" t="s">
        <v>698</v>
      </c>
      <c r="E165" s="22" t="s">
        <v>759</v>
      </c>
      <c r="F165" s="22" t="s">
        <v>760</v>
      </c>
      <c r="G165" s="22">
        <v>0.6</v>
      </c>
      <c r="H165" s="22"/>
      <c r="I165" s="22">
        <v>28</v>
      </c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>
        <v>1.5161931514740001E-6</v>
      </c>
      <c r="AH165" s="22" t="s">
        <v>748</v>
      </c>
      <c r="AI165" s="22"/>
      <c r="AJ165" s="22" t="s">
        <v>920</v>
      </c>
    </row>
    <row r="166" spans="1:36" ht="15" customHeight="1" x14ac:dyDescent="0.3">
      <c r="A166" s="22" t="s">
        <v>694</v>
      </c>
      <c r="B166" s="22" t="s">
        <v>695</v>
      </c>
      <c r="C166" s="22" t="s">
        <v>184</v>
      </c>
      <c r="D166" s="22" t="s">
        <v>700</v>
      </c>
      <c r="E166" s="22" t="s">
        <v>759</v>
      </c>
      <c r="F166" s="22" t="s">
        <v>760</v>
      </c>
      <c r="G166" s="22">
        <v>0.6</v>
      </c>
      <c r="H166" s="22"/>
      <c r="I166" s="22">
        <v>28</v>
      </c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>
        <v>2.05864521899557E-119</v>
      </c>
      <c r="AH166" s="22" t="s">
        <v>748</v>
      </c>
      <c r="AI166" s="22"/>
      <c r="AJ166" s="22" t="s">
        <v>921</v>
      </c>
    </row>
    <row r="167" spans="1:36" ht="15" customHeight="1" x14ac:dyDescent="0.3">
      <c r="A167" s="22" t="s">
        <v>694</v>
      </c>
      <c r="B167" s="22" t="s">
        <v>695</v>
      </c>
      <c r="C167" s="22" t="s">
        <v>184</v>
      </c>
      <c r="D167" s="22" t="s">
        <v>702</v>
      </c>
      <c r="E167" s="22" t="s">
        <v>759</v>
      </c>
      <c r="F167" s="22" t="s">
        <v>760</v>
      </c>
      <c r="G167" s="22">
        <v>0.6</v>
      </c>
      <c r="H167" s="22"/>
      <c r="I167" s="22">
        <v>28</v>
      </c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>
        <v>1</v>
      </c>
      <c r="AH167" s="22" t="s">
        <v>748</v>
      </c>
      <c r="AI167" s="22"/>
      <c r="AJ167" s="22" t="s">
        <v>922</v>
      </c>
    </row>
    <row r="168" spans="1:36" ht="15" customHeight="1" x14ac:dyDescent="0.3">
      <c r="A168" s="22" t="s">
        <v>704</v>
      </c>
      <c r="B168" s="22" t="s">
        <v>705</v>
      </c>
      <c r="C168" s="22" t="s">
        <v>396</v>
      </c>
      <c r="D168" s="22" t="s">
        <v>706</v>
      </c>
      <c r="E168" s="22" t="s">
        <v>746</v>
      </c>
      <c r="F168" s="22" t="s">
        <v>760</v>
      </c>
      <c r="G168" s="22">
        <v>0.6</v>
      </c>
      <c r="H168" s="22">
        <v>12</v>
      </c>
      <c r="I168" s="22">
        <v>1</v>
      </c>
      <c r="J168" s="22">
        <v>1</v>
      </c>
      <c r="K168" s="22">
        <v>-5.2348082685068902E-2</v>
      </c>
      <c r="L168" s="22"/>
      <c r="M168" s="22"/>
      <c r="N168" s="22"/>
      <c r="O168" s="22"/>
      <c r="P168" s="22"/>
      <c r="Q168" s="22"/>
      <c r="R168" s="22"/>
      <c r="S168" s="22"/>
      <c r="T168" s="22">
        <v>-5.2300318177061302E-2</v>
      </c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>
        <v>3.4291927372880102E-2</v>
      </c>
      <c r="AH168" s="22" t="s">
        <v>748</v>
      </c>
      <c r="AI168" s="22"/>
      <c r="AJ168" s="22" t="s">
        <v>923</v>
      </c>
    </row>
    <row r="169" spans="1:36" ht="15" customHeight="1" x14ac:dyDescent="0.3">
      <c r="A169" s="22" t="s">
        <v>704</v>
      </c>
      <c r="B169" s="22" t="s">
        <v>705</v>
      </c>
      <c r="C169" s="22" t="s">
        <v>396</v>
      </c>
      <c r="D169" s="22" t="s">
        <v>708</v>
      </c>
      <c r="E169" s="22" t="s">
        <v>746</v>
      </c>
      <c r="F169" s="22" t="s">
        <v>760</v>
      </c>
      <c r="G169" s="22">
        <v>0.6</v>
      </c>
      <c r="H169" s="22">
        <v>5</v>
      </c>
      <c r="I169" s="22">
        <v>1</v>
      </c>
      <c r="J169" s="22">
        <v>1</v>
      </c>
      <c r="K169" s="22">
        <v>-1.6230795425781999E-2</v>
      </c>
      <c r="L169" s="22"/>
      <c r="M169" s="22"/>
      <c r="N169" s="22"/>
      <c r="O169" s="22"/>
      <c r="P169" s="22"/>
      <c r="Q169" s="22"/>
      <c r="R169" s="22"/>
      <c r="S169" s="22"/>
      <c r="T169" s="22">
        <v>-1.6229370302630199E-2</v>
      </c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>
        <v>3.2549259689010297E-2</v>
      </c>
      <c r="AH169" s="22" t="s">
        <v>748</v>
      </c>
      <c r="AI169" s="22"/>
      <c r="AJ169" s="22" t="s">
        <v>923</v>
      </c>
    </row>
    <row r="170" spans="1:36" ht="15" customHeight="1" x14ac:dyDescent="0.3">
      <c r="A170" s="22" t="s">
        <v>704</v>
      </c>
      <c r="B170" s="22" t="s">
        <v>705</v>
      </c>
      <c r="C170" s="22" t="s">
        <v>396</v>
      </c>
      <c r="D170" s="22" t="s">
        <v>710</v>
      </c>
      <c r="E170" s="22" t="s">
        <v>746</v>
      </c>
      <c r="F170" s="22" t="s">
        <v>760</v>
      </c>
      <c r="G170" s="22">
        <v>0.6</v>
      </c>
      <c r="H170" s="22">
        <v>17</v>
      </c>
      <c r="I170" s="22">
        <v>1</v>
      </c>
      <c r="J170" s="22">
        <v>1</v>
      </c>
      <c r="K170" s="22">
        <v>3.6117287259286902E-2</v>
      </c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 t="s">
        <v>748</v>
      </c>
      <c r="AI170" s="22"/>
      <c r="AJ170" s="22" t="s">
        <v>924</v>
      </c>
    </row>
    <row r="171" spans="1:36" ht="15" customHeight="1" x14ac:dyDescent="0.3">
      <c r="A171" s="22" t="s">
        <v>273</v>
      </c>
      <c r="B171" s="22" t="s">
        <v>274</v>
      </c>
      <c r="C171" s="22" t="s">
        <v>184</v>
      </c>
      <c r="D171" s="22" t="s">
        <v>275</v>
      </c>
      <c r="E171" s="22" t="s">
        <v>759</v>
      </c>
      <c r="F171" s="22" t="s">
        <v>760</v>
      </c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>
        <v>79</v>
      </c>
      <c r="AH171" s="22" t="s">
        <v>748</v>
      </c>
      <c r="AI171" s="22"/>
      <c r="AJ171" s="22" t="s">
        <v>925</v>
      </c>
    </row>
    <row r="172" spans="1:36" ht="15" customHeight="1" x14ac:dyDescent="0.3">
      <c r="A172" s="22" t="s">
        <v>273</v>
      </c>
      <c r="B172" s="22" t="s">
        <v>274</v>
      </c>
      <c r="C172" s="22" t="s">
        <v>184</v>
      </c>
      <c r="D172" s="22" t="s">
        <v>926</v>
      </c>
      <c r="E172" s="22" t="s">
        <v>759</v>
      </c>
      <c r="F172" s="22" t="s">
        <v>760</v>
      </c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>
        <v>12</v>
      </c>
      <c r="AH172" s="22" t="s">
        <v>748</v>
      </c>
      <c r="AI172" s="22"/>
      <c r="AJ172" s="22" t="s">
        <v>927</v>
      </c>
    </row>
    <row r="173" spans="1:36" ht="15" customHeight="1" x14ac:dyDescent="0.3">
      <c r="A173" s="22" t="s">
        <v>273</v>
      </c>
      <c r="B173" s="22" t="s">
        <v>274</v>
      </c>
      <c r="C173" s="22" t="s">
        <v>184</v>
      </c>
      <c r="D173" s="22" t="s">
        <v>618</v>
      </c>
      <c r="E173" s="22" t="s">
        <v>759</v>
      </c>
      <c r="F173" s="22" t="s">
        <v>760</v>
      </c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>
        <v>10</v>
      </c>
      <c r="AH173" s="22" t="s">
        <v>748</v>
      </c>
      <c r="AI173" s="22"/>
      <c r="AJ173" s="22" t="s">
        <v>928</v>
      </c>
    </row>
    <row r="174" spans="1:36" ht="15" customHeight="1" x14ac:dyDescent="0.3">
      <c r="A174" s="22" t="s">
        <v>273</v>
      </c>
      <c r="B174" s="22" t="s">
        <v>274</v>
      </c>
      <c r="C174" s="22" t="s">
        <v>184</v>
      </c>
      <c r="D174" s="22" t="s">
        <v>620</v>
      </c>
      <c r="E174" s="22" t="s">
        <v>759</v>
      </c>
      <c r="F174" s="22" t="s">
        <v>760</v>
      </c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 t="s">
        <v>748</v>
      </c>
      <c r="AI174" s="22"/>
      <c r="AJ174" s="22" t="s">
        <v>929</v>
      </c>
    </row>
    <row r="175" spans="1:36" ht="15" customHeight="1" x14ac:dyDescent="0.3">
      <c r="A175" s="22" t="s">
        <v>273</v>
      </c>
      <c r="B175" s="22" t="s">
        <v>274</v>
      </c>
      <c r="C175" s="22" t="s">
        <v>184</v>
      </c>
      <c r="D175" s="22" t="s">
        <v>930</v>
      </c>
      <c r="E175" s="22" t="s">
        <v>222</v>
      </c>
      <c r="F175" s="22" t="s">
        <v>760</v>
      </c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>
        <v>1998</v>
      </c>
      <c r="AH175" s="22" t="s">
        <v>748</v>
      </c>
      <c r="AI175" s="22"/>
      <c r="AJ175" s="22" t="s">
        <v>931</v>
      </c>
    </row>
    <row r="176" spans="1:36" ht="15" customHeight="1" x14ac:dyDescent="0.3">
      <c r="A176" s="22" t="s">
        <v>273</v>
      </c>
      <c r="B176" s="22" t="s">
        <v>274</v>
      </c>
      <c r="C176" s="22" t="s">
        <v>184</v>
      </c>
      <c r="D176" s="22" t="s">
        <v>716</v>
      </c>
      <c r="E176" s="22" t="s">
        <v>759</v>
      </c>
      <c r="F176" s="22" t="s">
        <v>760</v>
      </c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 t="s">
        <v>748</v>
      </c>
      <c r="AI176" s="22"/>
      <c r="AJ176" s="22" t="s">
        <v>932</v>
      </c>
    </row>
    <row r="177" spans="1:36" ht="15" customHeight="1" x14ac:dyDescent="0.3">
      <c r="A177" s="22" t="s">
        <v>273</v>
      </c>
      <c r="B177" s="22" t="s">
        <v>274</v>
      </c>
      <c r="C177" s="22" t="s">
        <v>184</v>
      </c>
      <c r="D177" s="22" t="s">
        <v>712</v>
      </c>
      <c r="E177" s="22" t="s">
        <v>759</v>
      </c>
      <c r="F177" s="22" t="s">
        <v>760</v>
      </c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>
        <v>73</v>
      </c>
      <c r="AH177" s="22" t="s">
        <v>748</v>
      </c>
      <c r="AI177" s="22"/>
      <c r="AJ177" s="22" t="s">
        <v>933</v>
      </c>
    </row>
    <row r="178" spans="1:36" ht="15" customHeight="1" x14ac:dyDescent="0.3">
      <c r="A178" s="22" t="s">
        <v>273</v>
      </c>
      <c r="B178" s="22" t="s">
        <v>274</v>
      </c>
      <c r="C178" s="22" t="s">
        <v>184</v>
      </c>
      <c r="D178" s="22" t="s">
        <v>714</v>
      </c>
      <c r="E178" s="22" t="s">
        <v>759</v>
      </c>
      <c r="F178" s="22" t="s">
        <v>760</v>
      </c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>
        <v>72</v>
      </c>
      <c r="AH178" s="22" t="s">
        <v>748</v>
      </c>
      <c r="AI178" s="22"/>
      <c r="AJ178" s="22" t="s">
        <v>934</v>
      </c>
    </row>
  </sheetData>
  <autoFilter ref="A1:AJ178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9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24" customWidth="1"/>
    <col min="2" max="2" width="42" customWidth="1"/>
    <col min="3" max="7" width="12" customWidth="1"/>
    <col min="8" max="8" width="95" customWidth="1"/>
    <col min="9" max="9" width="30" customWidth="1"/>
    <col min="10" max="10" width="60" customWidth="1"/>
  </cols>
  <sheetData>
    <row r="1" spans="1:10" ht="15" customHeight="1" x14ac:dyDescent="0.3">
      <c r="A1" s="1" t="s">
        <v>935</v>
      </c>
    </row>
    <row r="2" spans="1:10" ht="15" customHeight="1" x14ac:dyDescent="0.3">
      <c r="A2" s="2" t="s">
        <v>936</v>
      </c>
    </row>
    <row r="3" spans="1:10" ht="15" customHeight="1" x14ac:dyDescent="0.3">
      <c r="A3" s="2" t="s">
        <v>2</v>
      </c>
    </row>
    <row r="5" spans="1:10" ht="15" customHeight="1" x14ac:dyDescent="0.3">
      <c r="A5" s="3" t="s">
        <v>744</v>
      </c>
      <c r="B5" s="3" t="s">
        <v>25</v>
      </c>
      <c r="C5" s="3" t="s">
        <v>937</v>
      </c>
      <c r="D5" s="3" t="s">
        <v>938</v>
      </c>
      <c r="E5" s="3" t="s">
        <v>939</v>
      </c>
      <c r="F5" s="3" t="s">
        <v>940</v>
      </c>
      <c r="G5" s="3" t="s">
        <v>941</v>
      </c>
      <c r="H5" s="3" t="s">
        <v>942</v>
      </c>
      <c r="I5" s="3" t="s">
        <v>943</v>
      </c>
      <c r="J5" s="3" t="s">
        <v>180</v>
      </c>
    </row>
    <row r="6" spans="1:10" ht="79.5" customHeight="1" x14ac:dyDescent="0.3">
      <c r="A6" s="4" t="s">
        <v>751</v>
      </c>
      <c r="B6" s="5" t="s">
        <v>944</v>
      </c>
      <c r="C6" s="6">
        <f>IF(INDEX(Results_Long!$O:$O,SUMPRODUCT((Results_Long!$A$2:$A$178="E1")*(Results_Long!$B$2:$B$178="tost_pooled")*(Results_Long!$C$2:$C$178="defined")*(Results_Long!$D$2:$D$178="tost_band_0.070")*ROW(Results_Long!$A$2:$A$178)))="","NA",INDEX(Results_Long!$O:$O,SUMPRODUCT((Results_Long!$A$2:$A$178="E1")*(Results_Long!$B$2:$B$178="tost_pooled")*(Results_Long!$C$2:$C$178="defined")*(Results_Long!$D$2:$D$178="tost_band_0.070")*ROW(Results_Long!$A$2:$A$178))))</f>
        <v>0.20482591070186801</v>
      </c>
      <c r="D6" s="6">
        <f>IF(INDEX(Results_Long!$P:$P,SUMPRODUCT((Results_Long!$A$2:$A$178="E1")*(Results_Long!$B$2:$B$178="tost_pooled")*(Results_Long!$C$2:$C$178="defined")*(Results_Long!$D$2:$D$178="tost_band_0.070")*ROW(Results_Long!$A$2:$A$178)))="","NA",INDEX(Results_Long!$P:$P,SUMPRODUCT((Results_Long!$A$2:$A$178="E1")*(Results_Long!$B$2:$B$178="tost_pooled")*(Results_Long!$C$2:$C$178="defined")*(Results_Long!$D$2:$D$178="tost_band_0.070")*ROW(Results_Long!$A$2:$A$178))))</f>
        <v>-8.1629393917443602E-2</v>
      </c>
      <c r="E6" s="6">
        <f>IF(INDEX(Results_Long!$Q:$Q,SUMPRODUCT((Results_Long!$A$2:$A$178="E1")*(Results_Long!$B$2:$B$178="tost_pooled")*(Results_Long!$C$2:$C$178="defined")*(Results_Long!$D$2:$D$178="tost_band_0.070")*ROW(Results_Long!$A$2:$A$178)))="","NA",INDEX(Results_Long!$Q:$Q,SUMPRODUCT((Results_Long!$A$2:$A$178="E1")*(Results_Long!$B$2:$B$178="tost_pooled")*(Results_Long!$C$2:$C$178="defined")*(Results_Long!$D$2:$D$178="tost_band_0.070")*ROW(Results_Long!$A$2:$A$178))))</f>
        <v>-3.5664079302752401E-2</v>
      </c>
      <c r="F6" s="6">
        <f>IF(INDEX(Results_Long!$AG:$AG,SUMPRODUCT((Results_Long!$A$2:$A$178="E1")*(Results_Long!$B$2:$B$178="tost_pooled")*(Results_Long!$C$2:$C$178="defined")*(Results_Long!$D$2:$D$178="tost_band_0.070")*ROW(Results_Long!$A$2:$A$178)))="","NA",INDEX(Results_Long!$AG:$AG,SUMPRODUCT((Results_Long!$A$2:$A$178="E1")*(Results_Long!$B$2:$B$178="tost_pooled")*(Results_Long!$C$2:$C$178="defined")*(Results_Long!$D$2:$D$178="tost_band_0.070")*ROW(Results_Long!$A$2:$A$178))))</f>
        <v>0</v>
      </c>
      <c r="G6" s="6">
        <f>IF(INDEX(Results_Long!$K:$K,SUMPRODUCT((Results_Long!$A$2:$A$178="E1")*(Results_Long!$B$2:$B$178="tost_pooled")*(Results_Long!$C$2:$C$178="defined")*(Results_Long!$D$2:$D$178="pooled_mean")*ROW(Results_Long!$A$2:$A$178)))="","NA",INDEX(Results_Long!$K:$K,SUMPRODUCT((Results_Long!$A$2:$A$178="E1")*(Results_Long!$B$2:$B$178="tost_pooled")*(Results_Long!$C$2:$C$178="defined")*(Results_Long!$D$2:$D$178="pooled_mean")*ROW(Results_Long!$A$2:$A$178))))</f>
        <v>-5.8646736610097998E-2</v>
      </c>
      <c r="H6" s="5" t="str">
        <f>"TOST (primary band |r| = 0.070): "&amp;IF($C6="NA","p = NA",IF($C6&lt;0.0001,"p &lt; 0.0001","p = "&amp;IF($C6="NA","NA",IF($C6&lt;0,"-","")&amp;INT(ROUND(ABS($C6)*10000,0)/10000)&amp;"."&amp;REPT("0",4-LEN(MOD(ROUND(ABS($C6)*10000,0),10000)))&amp;MOD(ROUND(ABS($C6)*10000,0),10000))))&amp;"; 90% CI ["&amp;IF($D6="NA","NA",IF($D6&lt;0,"-","")&amp;INT(ROUND(ABS($D6)*10000,0)/10000)&amp;"."&amp;REPT("0",4-LEN(MOD(ROUND(ABS($D6)*10000,0),10000)))&amp;MOD(ROUND(ABS($D6)*10000,0),10000))&amp;"; "&amp;IF($E6="NA","NA",IF($E6&lt;0,"-","")&amp;INT(ROUND(ABS($E6)*10000,0)/10000)&amp;"."&amp;REPT("0",4-LEN(MOD(ROUND(ABS($E6)*10000,0),10000)))&amp;MOD(ROUND(ABS($E6)*10000,0),10000))&amp;"]; flag = "&amp;IF($F6="NA","NA",ROUND($F6,0))&amp;"; pooled z = "&amp;IF($G6="NA","NA",IF($G6&lt;0,"-","")&amp;INT(ROUND(ABS($G6)*10000,0)/10000)&amp;"."&amp;REPT("0",4-LEN(MOD(ROUND(ABS($G6)*10000,0),10000)))&amp;MOD(ROUND(ABS($G6)*10000,0),10000))</f>
        <v>TOST (primary band |r| = 0.070): p = 0.2048; 90% CI [-0.0816; -0.0357]; flag = 0; pooled z = -0.0586</v>
      </c>
      <c r="I6" s="5" t="s">
        <v>945</v>
      </c>
      <c r="J6" s="5" t="str">
        <f>IF(INDEX(Results_Long!$AJ:$AJ,SUMPRODUCT((Results_Long!$A$2:$A$178="E1")*(Results_Long!$B$2:$B$178="tost_pooled")*(Results_Long!$C$2:$C$178="defined")*(Results_Long!$D$2:$D$178="tost_band_0.070")*ROW(Results_Long!$A$2:$A$178)))="","NA",INDEX(Results_Long!$AJ:$AJ,SUMPRODUCT((Results_Long!$A$2:$A$178="E1")*(Results_Long!$B$2:$B$178="tost_pooled")*(Results_Long!$C$2:$C$178="defined")*(Results_Long!$D$2:$D$178="tost_band_0.070")*ROW(Results_Long!$A$2:$A$178))))</f>
        <v>TOST, two one-sided tests each alpha=.05 &lt;=&gt; 90% CI inside band [DEC-045 E-pins]; PRIMARY level band |r| = 0.070 (F27v2) -&gt; z band atanh = 0.070114671; arm p (lower/upper) = 0.204826 / 7.26341e-16; TOST p = max(arms); CI columns carry the 90% CI (TOST convention); value = 1{90%-CI inside band} (mechanical flag, no verdict language); ex-ante expectation [DEC-044/DEC-045]: this arm is expected to FAIL (T1 CI edge -0.086); E2 adjudicates Tier 1; E1 calibrates the Tier-2 wording only</v>
      </c>
    </row>
    <row r="7" spans="1:10" ht="102" customHeight="1" x14ac:dyDescent="0.3">
      <c r="A7" s="4" t="s">
        <v>757</v>
      </c>
      <c r="B7" s="5" t="s">
        <v>946</v>
      </c>
      <c r="C7" s="6">
        <f>IF(INDEX(Results_Long!$K:$K,SUMPRODUCT((Results_Long!$A$2:$A$178="E2")*(Results_Long!$B$2:$B$178="tost_paris")*(Results_Long!$C$2:$C$178="defined")*(Results_Long!$D$2:$D$178="diff")*ROW(Results_Long!$A$2:$A$178)))="","NA",INDEX(Results_Long!$K:$K,SUMPRODUCT((Results_Long!$A$2:$A$178="E2")*(Results_Long!$B$2:$B$178="tost_paris")*(Results_Long!$C$2:$C$178="defined")*(Results_Long!$D$2:$D$178="diff")*ROW(Results_Long!$A$2:$A$178))))</f>
        <v>1.01759067104026E-2</v>
      </c>
      <c r="D7" s="6">
        <f>IF(INDEX(Results_Long!$O:$O,SUMPRODUCT((Results_Long!$A$2:$A$178="E2")*(Results_Long!$B$2:$B$178="tost_paris")*(Results_Long!$C$2:$C$178="defined")*(Results_Long!$D$2:$D$178="tost_band_0.050")*ROW(Results_Long!$A$2:$A$178)))="","NA",INDEX(Results_Long!$O:$O,SUMPRODUCT((Results_Long!$A$2:$A$178="E2")*(Results_Long!$B$2:$B$178="tost_paris")*(Results_Long!$C$2:$C$178="defined")*(Results_Long!$D$2:$D$178="tost_band_0.050")*ROW(Results_Long!$A$2:$A$178))))</f>
        <v>2.19798496977043E-2</v>
      </c>
      <c r="E7" s="6">
        <f>IF(INDEX(Results_Long!$P:$P,SUMPRODUCT((Results_Long!$A$2:$A$178="E2")*(Results_Long!$B$2:$B$178="tost_paris")*(Results_Long!$C$2:$C$178="defined")*(Results_Long!$D$2:$D$178="tost_band_0.050")*ROW(Results_Long!$A$2:$A$178)))="","NA",INDEX(Results_Long!$P:$P,SUMPRODUCT((Results_Long!$A$2:$A$178="E2")*(Results_Long!$B$2:$B$178="tost_paris")*(Results_Long!$C$2:$C$178="defined")*(Results_Long!$D$2:$D$178="tost_band_0.050")*ROW(Results_Long!$A$2:$A$178))))</f>
        <v>-2.1568174295886498E-2</v>
      </c>
      <c r="F7" s="6">
        <f>IF(INDEX(Results_Long!$Q:$Q,SUMPRODUCT((Results_Long!$A$2:$A$178="E2")*(Results_Long!$B$2:$B$178="tost_paris")*(Results_Long!$C$2:$C$178="defined")*(Results_Long!$D$2:$D$178="tost_band_0.050")*ROW(Results_Long!$A$2:$A$178)))="","NA",INDEX(Results_Long!$Q:$Q,SUMPRODUCT((Results_Long!$A$2:$A$178="E2")*(Results_Long!$B$2:$B$178="tost_paris")*(Results_Long!$C$2:$C$178="defined")*(Results_Long!$D$2:$D$178="tost_band_0.050")*ROW(Results_Long!$A$2:$A$178))))</f>
        <v>4.1919987716691601E-2</v>
      </c>
      <c r="G7" s="6">
        <f>IF(INDEX(Results_Long!$AG:$AG,SUMPRODUCT((Results_Long!$A$2:$A$178="E2")*(Results_Long!$B$2:$B$178="tost_paris")*(Results_Long!$C$2:$C$178="defined")*(Results_Long!$D$2:$D$178="tost_band_0.050")*ROW(Results_Long!$A$2:$A$178)))="","NA",INDEX(Results_Long!$AG:$AG,SUMPRODUCT((Results_Long!$A$2:$A$178="E2")*(Results_Long!$B$2:$B$178="tost_paris")*(Results_Long!$C$2:$C$178="defined")*(Results_Long!$D$2:$D$178="tost_band_0.050")*ROW(Results_Long!$A$2:$A$178))))</f>
        <v>1</v>
      </c>
      <c r="H7" s="5" t="str">
        <f>"Paris contrast: diff_z = "&amp;IF($C7="NA","NA",IF($C7&lt;0,"-","+")&amp;INT(ROUND(ABS($C7)*10000,0)/10000)&amp;"."&amp;REPT("0",4-LEN(MOD(ROUND(ABS($C7)*10000,0),10000)))&amp;MOD(ROUND(ABS($C7)*10000,0),10000))&amp;"; TOST ±0.050: "&amp;IF($D7="NA","p = NA",IF($D7&lt;0.0001,"p &lt; 0.0001","p = "&amp;IF($D7="NA","NA",IF($D7&lt;0,"-","")&amp;INT(ROUND(ABS($D7)*10000,0)/10000)&amp;"."&amp;REPT("0",4-LEN(MOD(ROUND(ABS($D7)*10000,0),10000)))&amp;MOD(ROUND(ABS($D7)*10000,0),10000))))&amp;", 90% CI ["&amp;IF($E7="NA","NA",IF($E7&lt;0,"-","+")&amp;INT(ROUND(ABS($E7)*10000,0)/10000)&amp;"."&amp;REPT("0",4-LEN(MOD(ROUND(ABS($E7)*10000,0),10000)))&amp;MOD(ROUND(ABS($E7)*10000,0),10000))&amp;"; "&amp;IF($F7="NA","NA",IF($F7&lt;0,"-","+")&amp;INT(ROUND(ABS($F7)*10000,0)/10000)&amp;"."&amp;REPT("0",4-LEN(MOD(ROUND(ABS($F7)*10000,0),10000)))&amp;MOD(ROUND(ABS($F7)*10000,0),10000))&amp;"], flag = "&amp;IF($G7="NA","NA",ROUND($G7,0))</f>
        <v>Paris contrast: diff_z = +0.0102; TOST ±0.050: p = 0.0220, 90% CI [-0.0216; +0.0419], flag = 1</v>
      </c>
      <c r="I7" s="5" t="s">
        <v>947</v>
      </c>
      <c r="J7" s="5" t="str">
        <f>IF(INDEX(Results_Long!$AJ:$AJ,SUMPRODUCT((Results_Long!$A$2:$A$178="E2")*(Results_Long!$B$2:$B$178="tost_paris")*(Results_Long!$C$2:$C$178="defined")*(Results_Long!$D$2:$D$178="tost_band_0.050")*ROW(Results_Long!$A$2:$A$178)))="","NA",INDEX(Results_Long!$AJ:$AJ,SUMPRODUCT((Results_Long!$A$2:$A$178="E2")*(Results_Long!$B$2:$B$178="tost_paris")*(Results_Long!$C$2:$C$178="defined")*(Results_Long!$D$2:$D$178="tost_band_0.050")*ROW(Results_Long!$A$2:$A$178))))</f>
        <v>TOST, two one-sided tests each alpha=.05 &lt;=&gt; 90% CI inside band [DEC-045 E-pins]; contrast band |dr| = 0.05 (secondary SESOI = the contrast band [DEC-031 Block E]); applied on the z-difference directly; |dz| read as |dr| (third-order approx, T8/B8 convention); arm p (lower/upper) = 0.00231753 / 0.0219798; TOST p = max(arms); CI columns carry the 90% CI (TOST convention); value = 1{90%-CI inside band} (mechanical flag, no verdict language); E2 adjudicates Tier 1 (the Paris null) [DEC-045 E-pins]; dose transfer NOT triggered (design df 31.9 [DEC-024/A.3])</v>
      </c>
    </row>
    <row r="8" spans="1:10" ht="90.75" customHeight="1" x14ac:dyDescent="0.3">
      <c r="A8" s="4" t="s">
        <v>777</v>
      </c>
      <c r="B8" s="5" t="s">
        <v>948</v>
      </c>
      <c r="C8" s="6">
        <f>IF(INDEX(Results_Long!$AG:$AG,SUMPRODUCT((Results_Long!$A$2:$A$178="H4")*(Results_Long!$B$2:$B$178="sup_break")*(Results_Long!$C$2:$C$178="defined")*(Results_Long!$D$2:$D$178="observed_sup")*ROW(Results_Long!$A$2:$A$178)))="","NA",INDEX(Results_Long!$AG:$AG,SUMPRODUCT((Results_Long!$A$2:$A$178="H4")*(Results_Long!$B$2:$B$178="sup_break")*(Results_Long!$C$2:$C$178="defined")*(Results_Long!$D$2:$D$178="observed_sup")*ROW(Results_Long!$A$2:$A$178))))</f>
        <v>2.1225331888738901</v>
      </c>
      <c r="D8" s="23"/>
      <c r="E8" s="23"/>
      <c r="F8" s="23"/>
      <c r="G8" s="23"/>
      <c r="H8" s="5" t="str">
        <f>"sup |t| = "&amp;IF($C8="NA","NA",IF($C8&lt;0,"-","")&amp;INT(ROUND(ABS($C8)*10000,0)/10000)&amp;"."&amp;REPT("0",4-LEN(MOD(ROUND(ABS($C8)*10000,0),10000)))&amp;MOD(ROUND(ABS($C8)*10000,0),10000))&amp;" attained at "&amp;'7_H4_Break_Grid'!$W$21&amp;" (12 admissible years 2008-2019, df &gt;= 5 rule; p_perm single-homed in the TH-c workbook)"</f>
        <v>sup |t| = 2.1225 attained at 2009 (12 admissible years 2008-2019, df &gt;= 5 rule; p_perm single-homed in the TH-c workbook)</v>
      </c>
      <c r="I8" s="5" t="s">
        <v>949</v>
      </c>
      <c r="J8" s="5" t="str">
        <f>IF(INDEX(Results_Long!$AJ:$AJ,SUMPRODUCT((Results_Long!$A$2:$A$178="H4")*(Results_Long!$B$2:$B$178="sup_break")*(Results_Long!$C$2:$C$178="defined")*(Results_Long!$D$2:$D$178="observed_sup")*ROW(Results_Long!$A$2:$A$178)))="","NA",INDEX(Results_Long!$AJ:$AJ,SUMPRODUCT((Results_Long!$A$2:$A$178="H4")*(Results_Long!$B$2:$B$178="sup_break")*(Results_Long!$C$2:$C$178="defined")*(Results_Long!$D$2:$D$178="observed_sup")*ROW(Results_Long!$A$2:$A$178))))</f>
        <v>sup |t| over the ADMISSIBLE candidate years (df &gt;= 5 on the break coefficient [DEC-024 transfer rule / H-Q6]); attained at 2009; admissible set computed ONCE on the observed design and held fixed for the TH-c permutation [H-Q20]; |t| by year: 2008=1.3633(df 14.9), 2009=2.1225(df 6.3), 2010=1.8934(df 6.8), 2011=1.7640(df 9.6), 2012=0.0553(df 11.7), 2013=1.2038(df 14.3), 2014=1.0159(df 22.6), 2015=0.1171(df 18.2), 2016=0.5620(df 15.0), 2017=0.4463(df 10.9), 2018=0.1404(df 18.8), 2019=0.1846(df 15.4); p_perm from TH-c</v>
      </c>
    </row>
    <row r="9" spans="1:10" ht="102" customHeight="1" x14ac:dyDescent="0.3">
      <c r="A9" s="4" t="s">
        <v>781</v>
      </c>
      <c r="B9" s="5" t="s">
        <v>950</v>
      </c>
      <c r="C9" s="6">
        <f>IF(INDEX(Results_Long!$K:$K,SUMPRODUCT((Results_Long!$A$2:$A$178="H6")*(Results_Long!$B$2:$B$178="zarea_transplant")*(Results_Long!$C$2:$C$178="defined")*(Results_Long!$D$2:$D$178="diff")*ROW(Results_Long!$A$2:$A$178)))="","NA",INDEX(Results_Long!$K:$K,SUMPRODUCT((Results_Long!$A$2:$A$178="H6")*(Results_Long!$B$2:$B$178="zarea_transplant")*(Results_Long!$C$2:$C$178="defined")*(Results_Long!$D$2:$D$178="diff")*ROW(Results_Long!$A$2:$A$178))))</f>
        <v>1.05906751360858E-2</v>
      </c>
      <c r="D9" s="6">
        <f>IF(INDEX(Results_Long!$N:$N,SUMPRODUCT((Results_Long!$A$2:$A$178="H6")*(Results_Long!$B$2:$B$178="zarea_transplant")*(Results_Long!$C$2:$C$178="defined")*(Results_Long!$D$2:$D$178="diff")*ROW(Results_Long!$A$2:$A$178)))="","NA",INDEX(Results_Long!$N:$N,SUMPRODUCT((Results_Long!$A$2:$A$178="H6")*(Results_Long!$B$2:$B$178="zarea_transplant")*(Results_Long!$C$2:$C$178="defined")*(Results_Long!$D$2:$D$178="diff")*ROW(Results_Long!$A$2:$A$178))))</f>
        <v>11.5671715294422</v>
      </c>
      <c r="E9" s="6">
        <f>IF(INDEX(Results_Long!$M:$M,SUMPRODUCT((Results_Long!$A$2:$A$178="H6")*(Results_Long!$B$2:$B$178="zarea_transplant")*(Results_Long!$C$2:$C$178="defined")*(Results_Long!$D$2:$D$178="diff")*ROW(Results_Long!$A$2:$A$178)))="","NA",INDEX(Results_Long!$M:$M,SUMPRODUCT((Results_Long!$A$2:$A$178="H6")*(Results_Long!$B$2:$B$178="zarea_transplant")*(Results_Long!$C$2:$C$178="defined")*(Results_Long!$D$2:$D$178="diff")*ROW(Results_Long!$A$2:$A$178))))</f>
        <v>0.57881898939489496</v>
      </c>
      <c r="F9" s="6">
        <f>IF(INDEX(Results_Long!$O:$O,SUMPRODUCT((Results_Long!$A$2:$A$178="H6")*(Results_Long!$B$2:$B$178="zarea_transplant")*(Results_Long!$C$2:$C$178="defined")*(Results_Long!$D$2:$D$178="diff")*ROW(Results_Long!$A$2:$A$178)))="","NA",INDEX(Results_Long!$O:$O,SUMPRODUCT((Results_Long!$A$2:$A$178="H6")*(Results_Long!$B$2:$B$178="zarea_transplant")*(Results_Long!$C$2:$C$178="defined")*(Results_Long!$D$2:$D$178="diff")*ROW(Results_Long!$A$2:$A$178))))</f>
        <v>0.57380955546528001</v>
      </c>
      <c r="G9" s="23"/>
      <c r="H9" s="5" t="str">
        <f>"Zarea-operationalization contrast (midpoint + tie-exclusion, own 3L-RVE spine): diff_z = "&amp;IF($C9="NA","NA",IF($C9&lt;0,"-","+")&amp;INT(ROUND(ABS($C9)*10000,0)/10000)&amp;"."&amp;REPT("0",4-LEN(MOD(ROUND(ABS($C9)*10000,0),10000)))&amp;MOD(ROUND(ABS($C9)*10000,0),10000))&amp;", t("&amp;IF($D9="NA","NA",IF($D9&lt;0,"-","")&amp;INT(ROUND(ABS($D9)*10,0)/10)&amp;"."&amp;REPT("0",1-LEN(MOD(ROUND(ABS($D9)*10,0),10)))&amp;MOD(ROUND(ABS($D9)*10,0),10))&amp;") = "&amp;IF($E9="NA","NA",IF($E9&lt;0,"-","")&amp;INT(ROUND(ABS($E9)*100,0)/100)&amp;"."&amp;REPT("0",2-LEN(MOD(ROUND(ABS($E9)*100,0),100)))&amp;MOD(ROUND(ABS($E9)*100,0),100))&amp;", "&amp;IF($F9="NA","p = NA",IF($F9&lt;0.0001,"p &lt; 0.0001","p = "&amp;IF($F9="NA","NA",IF($F9&lt;0,"-","")&amp;INT(ROUND(ABS($F9)*10000,0)/10000)&amp;"."&amp;REPT("0",4-LEN(MOD(ROUND(ABS($F9)*10000,0),10000)))&amp;MOD(ROUND(ABS($F9)*10000,0),10000))))</f>
        <v>Zarea-operationalization contrast (midpoint + tie-exclusion, own 3L-RVE spine): diff_z = +0.0106, t(11.6) = 0.58, p = 0.5738</v>
      </c>
      <c r="I9" s="5" t="s">
        <v>951</v>
      </c>
      <c r="J9" s="5" t="str">
        <f>IF(INDEX(Results_Long!$AJ:$AJ,SUMPRODUCT((Results_Long!$A$2:$A$178="H6")*(Results_Long!$B$2:$B$178="zarea_transplant")*(Results_Long!$C$2:$C$178="defined")*(Results_Long!$D$2:$D$178="diff")*ROW(Results_Long!$A$2:$A$178)))="","NA",INDEX(Results_Long!$AJ:$AJ,SUMPRODUCT((Results_Long!$A$2:$A$178="H6")*(Results_Long!$B$2:$B$178="zarea_transplant")*(Results_Long!$C$2:$C$178="defined")*(Results_Long!$D$2:$D$178="diff")*ROW(Results_Long!$A$2:$A$178))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post-minus-pre contrast (-1, +1); cell-means parameterization [DEC-031e/A.11]; difference of Fisher-z means; no tanh transform of differences; under Zarea's Paris operationalization (midpoint + tie-exclusion), applied within our 3L-RVE framework [DEC-045 wording pin]; post cell 31 -&gt; 26 studies under the tie-exclusion rule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8" customWidth="1"/>
    <col min="2" max="2" width="26" customWidth="1"/>
    <col min="3" max="3" width="22" customWidth="1"/>
    <col min="4" max="4" width="110" customWidth="1"/>
    <col min="5" max="5" width="34" customWidth="1"/>
    <col min="6" max="6" width="30" customWidth="1"/>
  </cols>
  <sheetData>
    <row r="1" spans="1:6" ht="15" customHeight="1" x14ac:dyDescent="0.3">
      <c r="A1" s="1" t="s">
        <v>952</v>
      </c>
    </row>
    <row r="2" spans="1:6" ht="15" customHeight="1" x14ac:dyDescent="0.3">
      <c r="A2" s="2" t="s">
        <v>953</v>
      </c>
    </row>
    <row r="3" spans="1:6" ht="15" customHeight="1" x14ac:dyDescent="0.3">
      <c r="A3" s="2" t="s">
        <v>2</v>
      </c>
    </row>
    <row r="5" spans="1:6" ht="15" customHeight="1" x14ac:dyDescent="0.3">
      <c r="A5" s="3" t="s">
        <v>954</v>
      </c>
      <c r="B5" s="3" t="s">
        <v>955</v>
      </c>
      <c r="C5" s="3" t="s">
        <v>956</v>
      </c>
      <c r="D5" s="3" t="s">
        <v>957</v>
      </c>
      <c r="E5" s="3" t="s">
        <v>958</v>
      </c>
      <c r="F5" s="3" t="s">
        <v>959</v>
      </c>
    </row>
    <row r="6" spans="1:6" ht="45.75" customHeight="1" x14ac:dyDescent="0.3">
      <c r="A6" s="4" t="s">
        <v>960</v>
      </c>
      <c r="B6" s="6" t="s">
        <v>961</v>
      </c>
      <c r="C6" s="24" t="s">
        <v>962</v>
      </c>
      <c r="D6" s="5" t="s">
        <v>963</v>
      </c>
      <c r="E6" s="5" t="s">
        <v>964</v>
      </c>
      <c r="F6" s="5" t="s">
        <v>965</v>
      </c>
    </row>
    <row r="7" spans="1:6" ht="34.5" customHeight="1" x14ac:dyDescent="0.3">
      <c r="A7" s="4" t="s">
        <v>966</v>
      </c>
      <c r="B7" s="6" t="s">
        <v>967</v>
      </c>
      <c r="C7" s="24" t="s">
        <v>962</v>
      </c>
      <c r="D7" s="5" t="s">
        <v>968</v>
      </c>
      <c r="E7" s="5" t="s">
        <v>964</v>
      </c>
      <c r="F7" s="5" t="s">
        <v>969</v>
      </c>
    </row>
    <row r="8" spans="1:6" ht="45.75" customHeight="1" x14ac:dyDescent="0.3">
      <c r="A8" s="4" t="s">
        <v>970</v>
      </c>
      <c r="B8" s="6" t="s">
        <v>971</v>
      </c>
      <c r="C8" s="25" t="s">
        <v>962</v>
      </c>
      <c r="D8" s="5" t="s">
        <v>972</v>
      </c>
      <c r="E8" s="5" t="s">
        <v>973</v>
      </c>
      <c r="F8" s="5" t="s">
        <v>974</v>
      </c>
    </row>
    <row r="9" spans="1:6" ht="34.5" customHeight="1" x14ac:dyDescent="0.3">
      <c r="A9" s="4" t="s">
        <v>975</v>
      </c>
      <c r="B9" s="6" t="s">
        <v>976</v>
      </c>
      <c r="C9" s="24" t="s">
        <v>962</v>
      </c>
      <c r="D9" s="5" t="s">
        <v>977</v>
      </c>
      <c r="E9" s="5" t="s">
        <v>978</v>
      </c>
      <c r="F9" s="5" t="s">
        <v>979</v>
      </c>
    </row>
    <row r="10" spans="1:6" ht="34.5" customHeight="1" x14ac:dyDescent="0.3">
      <c r="A10" s="4" t="s">
        <v>980</v>
      </c>
      <c r="B10" s="6" t="s">
        <v>981</v>
      </c>
      <c r="C10" s="25" t="s">
        <v>962</v>
      </c>
      <c r="D10" s="5" t="s">
        <v>982</v>
      </c>
      <c r="E10" s="5" t="s">
        <v>983</v>
      </c>
      <c r="F10" s="5" t="s">
        <v>984</v>
      </c>
    </row>
    <row r="11" spans="1:6" ht="45.75" customHeight="1" x14ac:dyDescent="0.3">
      <c r="A11" s="4" t="s">
        <v>985</v>
      </c>
      <c r="B11" s="6" t="s">
        <v>986</v>
      </c>
      <c r="C11" s="26" t="s">
        <v>962</v>
      </c>
      <c r="D11" s="5" t="s">
        <v>987</v>
      </c>
      <c r="E11" s="5" t="s">
        <v>988</v>
      </c>
      <c r="F11" s="5" t="s">
        <v>989</v>
      </c>
    </row>
    <row r="12" spans="1:6" ht="34.5" customHeight="1" x14ac:dyDescent="0.3">
      <c r="A12" s="4" t="s">
        <v>990</v>
      </c>
      <c r="B12" s="6" t="s">
        <v>991</v>
      </c>
      <c r="C12" s="26" t="s">
        <v>962</v>
      </c>
      <c r="D12" s="5" t="s">
        <v>992</v>
      </c>
      <c r="E12" s="5" t="s">
        <v>993</v>
      </c>
      <c r="F12" s="5" t="s">
        <v>994</v>
      </c>
    </row>
    <row r="13" spans="1:6" ht="45.75" customHeight="1" x14ac:dyDescent="0.3">
      <c r="A13" s="4" t="s">
        <v>995</v>
      </c>
      <c r="B13" s="6" t="s">
        <v>996</v>
      </c>
      <c r="C13" s="25" t="s">
        <v>962</v>
      </c>
      <c r="D13" s="5" t="s">
        <v>997</v>
      </c>
      <c r="E13" s="5" t="s">
        <v>998</v>
      </c>
      <c r="F13" s="5"/>
    </row>
    <row r="14" spans="1:6" ht="34.5" customHeight="1" x14ac:dyDescent="0.3">
      <c r="A14" s="4" t="s">
        <v>999</v>
      </c>
      <c r="B14" s="6" t="s">
        <v>1000</v>
      </c>
      <c r="C14" s="25" t="s">
        <v>962</v>
      </c>
      <c r="D14" s="5" t="s">
        <v>1001</v>
      </c>
      <c r="E14" s="5" t="s">
        <v>1002</v>
      </c>
      <c r="F14" s="5" t="s">
        <v>1003</v>
      </c>
    </row>
    <row r="15" spans="1:6" ht="34.5" customHeight="1" x14ac:dyDescent="0.3">
      <c r="A15" s="4" t="s">
        <v>1004</v>
      </c>
      <c r="B15" s="6" t="s">
        <v>1005</v>
      </c>
      <c r="C15" s="25" t="s">
        <v>962</v>
      </c>
      <c r="D15" s="5" t="s">
        <v>1006</v>
      </c>
      <c r="E15" s="5" t="s">
        <v>1007</v>
      </c>
      <c r="F15" s="5" t="s">
        <v>1008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1_README</vt:lpstr>
      <vt:lpstr>2_Methodology</vt:lpstr>
      <vt:lpstr>3_Interpretation_Guide</vt:lpstr>
      <vt:lpstr>4_Formula_Reference</vt:lpstr>
      <vt:lpstr>5_Data_Provenance</vt:lpstr>
      <vt:lpstr>6_E_TOST_Battery</vt:lpstr>
      <vt:lpstr>7_H4_Break_Grid</vt:lpstr>
      <vt:lpstr>8_H6_H7_Transpl_Cumul</vt:lpstr>
      <vt:lpstr>9_H8_H9_Rolling_External</vt:lpstr>
      <vt:lpstr>10_H10_H11_pcurve_within</vt:lpstr>
      <vt:lpstr>Results_Long</vt:lpstr>
      <vt:lpstr>Manuscript_Inputs</vt:lpstr>
      <vt:lpstr>Manuscript_Text_Blocks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Witte</cp:lastModifiedBy>
  <cp:revision>0</cp:revision>
  <dcterms:created xsi:type="dcterms:W3CDTF">2026-07-26T19:38:39Z</dcterms:created>
  <dcterms:modified xsi:type="dcterms:W3CDTF">2026-08-03T12:36:00Z</dcterms:modified>
  <dc:language>en-US</dc:language>
</cp:coreProperties>
</file>