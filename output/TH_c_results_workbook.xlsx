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README" sheetId="1" state="visible" r:id="rId3"/>
    <sheet name="2_Methodology" sheetId="2" state="visible" r:id="rId4"/>
    <sheet name="3_Interpretation_Guide" sheetId="3" state="visible" r:id="rId5"/>
    <sheet name="4_Formula_Reference" sheetId="4" state="visible" r:id="rId6"/>
    <sheet name="5_Data_Provenance" sheetId="5" state="visible" r:id="rId7"/>
    <sheet name="6_H1_MDE_Power" sheetId="6" state="visible" r:id="rId8"/>
    <sheet name="7_H3_Spec_Curve" sheetId="7" state="visible" r:id="rId9"/>
    <sheet name="8_H3_Core_Family" sheetId="8" state="visible" r:id="rId10"/>
    <sheet name="9_H4_Perm_Sup" sheetId="9" state="visible" r:id="rId11"/>
    <sheet name="10_H5_Perm_Race" sheetId="10" state="visible" r:id="rId12"/>
    <sheet name="Results_Long" sheetId="11" state="visible" r:id="rId13"/>
    <sheet name="Manuscript_Inputs" sheetId="12" state="visible" r:id="rId14"/>
    <sheet name="Manuscript_Text_Blocks" sheetId="13" state="visible" r:id="rId15"/>
  </sheets>
  <definedNames>
    <definedName function="false" hidden="true" localSheetId="10" name="_xlnm._FilterDatabase" vbProcedure="false">Results_Long!$A$1:$AJ$1348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<sst xmlns="http://schemas.openxmlformats.org/spreadsheetml/2006/main" count="11722" uniqueCount="1981">
  <si>
    <t xml:space="preserve">TH-c (simulation &amp; permutation family) · README</t>
  </si>
  <si>
    <t xml:space="preserve">Template: docs/results_workbook_template.md (binding; 13-tab SOMA)</t>
  </si>
  <si>
    <t xml:space="preserve">Run finished 2026-07-26 17:39 (canonical) · runtime 44.3 h · verifier R/09_verify_outputs.R 19/19 PASS · chat artefact check 2026-07-26 18/18 PASS · output/TH_c_results.csv 1347x36 · counters fits/fallback/fail: 11,500/92/0 (pass) · 540/3/0 (curve) · 200/2/0 (calibration) · eff_B 500/500/500 · not_estimable cells: 0</t>
  </si>
  <si>
    <t xml:space="preserve">Item</t>
  </si>
  <si>
    <t xml:space="preserve">Value</t>
  </si>
  <si>
    <t xml:space="preserve">Workbook version</t>
  </si>
  <si>
    <t xml:space="preserve">v1.0 (built post-run by project chat; verifier never reads this file)</t>
  </si>
  <si>
    <t xml:space="preserve">Method one-liner</t>
  </si>
  <si>
    <t xml:space="preserve">Simulation &amp; permutation family: design-based MDE/power battery with full-REML calibration (H1), 1,260-cell specification curve with joint time-translation permutation (H3), permutation references for the sup-break (H4) and race (H5) statistics.</t>
  </si>
  <si>
    <t xml:space="preserve">Scope</t>
  </si>
  <si>
    <t xml:space="preserve">H1 (6 scenarios x 9-point delta grid + calibration), H3 (1,260 cells + core family + whole-curve stats), H4 perm, H5 perm; period domain 2,705 ES / 113 studies / 112 clusters.</t>
  </si>
  <si>
    <t xml:space="preserve">Repo / commit basis</t>
  </si>
  <si>
    <t xml:space="preserve">rwitte-wu-research/FOMA-CER-COD-Paris; chain 5a99de6 -&gt; e44fce7 (#12) -&gt; fce9d3a (#13) -&gt; dafd95e (#14); family commit lands on dafd95e (main = origin)</t>
  </si>
  <si>
    <t xml:space="preserve">Computational stack</t>
  </si>
  <si>
    <t xml:space="preserve">R 4.6.1 (ucrt) · metafor 5.0-1 · clubSandwich 0.7.0 · Matrix 1.7-5 · Windows 11 x64 (26200) · reference BLAS single-threaded + per-worker thread guards</t>
  </si>
  <si>
    <t xml:space="preserve">Scripts</t>
  </si>
  <si>
    <t xml:space="preserve">R/09_sim_perm.R + R/09_verify_outputs.R (paired verifier, 19/19 PASS)</t>
  </si>
  <si>
    <t xml:space="preserve">Decision basis</t>
  </si>
  <si>
    <t xml:space="preserve">DEC-045 (E/H execution spec incl. supersessions S1-S9) · DEC-031f (optimizer ladder) · DEC-044 (framing A; language gate UNRESOLVED - see 3_Interpretation_Guide)</t>
  </si>
  <si>
    <t xml:space="preserve">Framing gate</t>
  </si>
  <si>
    <t xml:space="preserve">Framing gate [DEC-044]: all TOST flags and permutation p-values in this workbook are MECHANICAL values; no evidence-of-absence or verdict language is used anywhere; adjudication happens as the documented gate-resolution step after TH-b (H2a/H2b RoBMA).</t>
  </si>
  <si>
    <t xml:space="preserve">TAB-INDEX</t>
  </si>
  <si>
    <t xml:space="preserve">1_README | 2_Methodology | 3_Interpretation_Guide | 4_Formula_Reference | 5_Data_Provenance | 6_H1_MDE_Power | 7_H3_Spec_Curve | 8_H3_Core_Family | 9_H4_Perm_Sup | 10_H5_Perm_Race | Results_Long | Manuscript_Inputs | Manuscript_Text_Blocks</t>
  </si>
  <si>
    <t xml:space="preserve">TH-c (simulation &amp; permutation family) · Methodology</t>
  </si>
  <si>
    <t xml:space="preserve">Quantity | Formula / Construction | Reference (project notation)</t>
  </si>
  <si>
    <t xml:space="preserve">Quantity</t>
  </si>
  <si>
    <t xml:space="preserve">Formula / Construction</t>
  </si>
  <si>
    <t xml:space="preserve">Reference</t>
  </si>
  <si>
    <t xml:space="preserve">H1 power precompute</t>
  </si>
  <si>
    <t xml:space="preserve">Design-based, y-free: SE and Satterthwaite df of the pp_mid contrast precomputed from X = [1, pp_mid], V and the FIXED variance components; delta enters as a noncentral shift of one B = 5,000 stream; power(delta) on the 9-point grid delta = 0.00..0.08</t>
  </si>
  <si>
    <t xml:space="preserve">[DEC-045/H-Q14/R1] [plan A.13]</t>
  </si>
  <si>
    <t xml:space="preserve">H1 MDE definition</t>
  </si>
  <si>
    <t xml:space="preserve">MDE = smallest delta with power &gt;= .80 (resp. .90), linear interpolation on the grid; NA = above the grid ceiling 0.08 (disclosed)</t>
  </si>
  <si>
    <t xml:space="preserve">[DEC-045/H-Q14]</t>
  </si>
  <si>
    <t xml:space="preserve">H1 variance scenarios</t>
  </si>
  <si>
    <t xml:space="preserve">own x0.5/x1.0/x2.0 = T1/A2 components (0.0197455 / 1.02e-09 / 0.0118832) scaled; coe x0.5/x1.0/x2.0 = one-level lower bound tau2_COE = (0.083/3.92)^2, allocated by T1/A2 proportions [S4]; fixed VC are DESIGN INPUTS here (semantically licensed for MDE, prohibited in H3/H5 inference)</t>
  </si>
  <si>
    <t xml:space="preserve">[H-Q4] [DEC-045 S4] [project pin]</t>
  </si>
  <si>
    <t xml:space="preserve">H1 calibration</t>
  </si>
  <si>
    <t xml:space="preserve">200 full REML (optimizer ladder) + CR2/Satterthwaite refits at delta = 0.08 (primary scenario; MDE above ceiling -&gt; calibrated at the 0.08 fallback, disclosed); optimism = 0.80 - rejection rate (positive = precompute stream optimistic)</t>
  </si>
  <si>
    <t xml:space="preserve">[H-Q14] [DEC-045]</t>
  </si>
  <si>
    <t xml:space="preserve">H3 factor space</t>
  </si>
  <si>
    <t xml:space="preserve">1,260 cells = 10 Paris codings x 3 outlier treatments (none/rstudent/winsor) x 2 ES sets (full/no_starbound) x 3 df bases (dfE/k10/k20) x 7 estimator-rho variants (3LMA-RVE CR2 rho .4/.6/.8; one-per-cluster rho .4/.6/.8; UWLS3); 10-coding family frozen verbatim from committed T2 output [D1 amendment]</t>
  </si>
  <si>
    <t xml:space="preserve">[DEC-045 S2/S3] [Steegen et al. 2016; Simonsohn et al. 2020 [PK]]</t>
  </si>
  <si>
    <t xml:space="preserve">H3 core family &amp; whole-curve stats</t>
  </si>
  <si>
    <t xml:space="preserve">Core = 10 codings x 3LMA-RVE x rho .6 x dfE x outlier none x full set; statistic 1 = share of core cells with p &lt; .05, statistic 2 = median |t| over core cells</t>
  </si>
  <si>
    <t xml:space="preserve">[DEC-045 S3] [H-Q15]</t>
  </si>
  <si>
    <t xml:space="preserve">Joint permutation (H3/H4/H5)</t>
  </si>
  <si>
    <t xml:space="preserve">ONE cluster time-translation per replicate applied jointly; codings re-derived per replicate; 23 fits per replicate in ONE pass (H5 race + H4 12 breaks + 10 core cells); p = (1 + #{|stat_perm| &gt;= |stat_obs|}) / (B_eff + 1); B = 500 [S5]; identical permutation list across H3/H4/H5</t>
  </si>
  <si>
    <t xml:space="preserve">[H-Q15/H-Q16/H-Q20/R3] [DEC-045 S5]</t>
  </si>
  <si>
    <t xml:space="preserve">H4/H5 observed anchors</t>
  </si>
  <si>
    <t xml:space="preserve">H4: sup |t| over the 12-year admissible set fixed at the observed design (read from TH_a_results.csv, membership-verified); H5: |t_race| of the pp_mid coefficient in the T8 race model (F65 anchor gates passed at 1e-9/1e-6)</t>
  </si>
  <si>
    <t xml:space="preserve">[H-Q20] [F65] [DEC-045]</t>
  </si>
  <si>
    <t xml:space="preserve">Outlier treatments</t>
  </si>
  <si>
    <t xml:space="preserve">rstudent mask: |standardized marginal residual| &gt; 3 from the full-set intercept spine (mu = -0.058647, sum sigma2 = 0.031629), computed ONCE, fixed across cells and replicates (13 ES); winsor: zi at empirical P1/P99 of the full set [-0.380770; 0.184715], computed once</t>
  </si>
  <si>
    <t xml:space="preserve">[DEC-045 amendment] [Aguinis &amp; Joo 2013; Leys et al. 2013 [PK]]</t>
  </si>
  <si>
    <t xml:space="preserve">df bases</t>
  </si>
  <si>
    <t xml:space="preserve">dfE = F21 base vi = 1/(n-3); k10/k20 via identity vi_k = 1/(1/vi - k) on PCC rows (= 1/(n-13), 1/(n-23)); bivariate rows carry base vi; k20 basis excludes 1 tiny-n row (disclosed)</t>
  </si>
  <si>
    <t xml:space="preserve">[DEC-028] [F21] [DEC-045 amendment]</t>
  </si>
  <si>
    <t xml:space="preserve">Determinism</t>
  </si>
  <si>
    <t xml:space="preserve">Permutation list generated FIRST under seed 20260710 (112 x 500, output/TH_c_perms.rds, md5-pinned); workers receive indices (scheduling-invariant); reference BLAS single-threaded + per-worker OMP/OPENBLAS/MKL guards; execution order pinned: PERMS -&gt; masks -&gt; H1 stream -&gt; H1 calibration -&gt; permutation pass -&gt; H3 curve</t>
  </si>
  <si>
    <t xml:space="preserve">[DEC-045] [TH_design rows]</t>
  </si>
  <si>
    <t xml:space="preserve">TH-c (simulation &amp; permutation family) · Interpretation Guide</t>
  </si>
  <si>
    <t xml:space="preserve">How to read each reported quantity; thresholds with citations</t>
  </si>
  <si>
    <t xml:space="preserve">Meaning</t>
  </si>
  <si>
    <t xml:space="preserve">Decision rule</t>
  </si>
  <si>
    <t xml:space="preserve">p_perm</t>
  </si>
  <si>
    <t xml:space="preserve">(1 + exceedances) / (B_eff + 1); minimum attainable value 1/(B_eff+1) ~ 0.002</t>
  </si>
  <si>
    <t xml:space="preserve">Compare to alpha mechanically; p_perm(share) = 1.000 means NO replicate produced a smaller/equal-extreme share statistic than observed - tabulated without verdict language</t>
  </si>
  <si>
    <t xml:space="preserve">MDE80 / MDE90 = NA</t>
  </si>
  <si>
    <t xml:space="preserve">Smallest detectable contrast lies above the pre-registered grid ceiling 0.08 [§6(i)]</t>
  </si>
  <si>
    <t xml:space="preserve">Disclose the ceiling and the power at 0.08 (table rows); never extrapolate beyond the grid</t>
  </si>
  <si>
    <t xml:space="preserve">optimism (calibration)</t>
  </si>
  <si>
    <t xml:space="preserve">0.80 - full-REML rejection rate at the calibration point</t>
  </si>
  <si>
    <t xml:space="preserve">Positive = analytic precompute stream optimistic relative to full REML at the 0.80 target</t>
  </si>
  <si>
    <t xml:space="preserve">eff_B</t>
  </si>
  <si>
    <t xml:space="preserve">Effective replicates with finite statistic; failed replicates dropped from the denominator</t>
  </si>
  <si>
    <t xml:space="preserve">Fail share &lt;= 0.01 enforced; here 500/500/500 (zero drops)</t>
  </si>
  <si>
    <t xml:space="preserve">UWLS3 rows (df ~ 2,703)</t>
  </si>
  <si>
    <t xml:space="preserve">Unrestricted WLS with k+3 convention; ES-level df by construction</t>
  </si>
  <si>
    <t xml:space="preserve">Different estimand family; included as the estimator-structure axis of the multiverse [S2], not as a spine alternative</t>
  </si>
  <si>
    <t xml:space="preserve">one_per_cluster rows (df = 111)</t>
  </si>
  <si>
    <t xml:space="preserve">Cluster-aggregated two-level check</t>
  </si>
  <si>
    <t xml:space="preserve">Assumption-lean second opinion; rho enters via the aggregation working correlation</t>
  </si>
  <si>
    <t xml:space="preserve">core vs. full curve</t>
  </si>
  <si>
    <t xml:space="preserve">Core = pre-registered 10-cell family; full curve = all 1,260 cells</t>
  </si>
  <si>
    <t xml:space="preserve">Inference on the core (joint permutation); the full curve is descriptive breadth</t>
  </si>
  <si>
    <t xml:space="preserve">[DEC-044]</t>
  </si>
  <si>
    <t xml:space="preserve">TH-c (simulation &amp; permutation family) · Formula Reference</t>
  </si>
  <si>
    <t xml:space="preserve">Exact calls as implemented (from run notes / run_meta)</t>
  </si>
  <si>
    <t xml:space="preserve">R call</t>
  </si>
  <si>
    <t xml:space="preserve">Reference / script section</t>
  </si>
  <si>
    <t xml:space="preserve">Power precompute</t>
  </si>
  <si>
    <t xml:space="preserve">se_d &lt;- sqrt(crossprod(c, vcovCR2_yfree) c); df_Satt y-free; power &lt;- pt(qt(.975, df), df, ncp = delta/se_d, lower.tail = FALSE) + pt(-qt(.975, df), df, ncp = delta/se_d)</t>
  </si>
  <si>
    <t xml:space="preserve">R/09 H1 block [H-Q14/R1]</t>
  </si>
  <si>
    <t xml:space="preserve">MDE interpolation</t>
  </si>
  <si>
    <t xml:space="preserve">approx(power_grid, delta_grid, xout = 0.80)$y (resp. 0.90); NA if max(power_grid) &lt; target</t>
  </si>
  <si>
    <t xml:space="preserve">R/09 H1</t>
  </si>
  <si>
    <t xml:space="preserve">Calibration refit</t>
  </si>
  <si>
    <t xml:space="preserve">rma.mv(zi + delta*pp_mid, V, mods = ~ pp_mid, random = ~1|cluster_id/study/esid, REML, optimizer ladder) x 200; reject = |t_CR2| &gt; t_crit(df_Satt)</t>
  </si>
  <si>
    <t xml:space="preserve">R/09 H1 calibration</t>
  </si>
  <si>
    <t xml:space="preserve">Permutation pass</t>
  </si>
  <si>
    <t xml:space="preserve">for b in 1:500: translate cluster windows by perm[[b]]; re-derive all 10 codings; refit H5 race + 12 H4 breaks + 10 core cells (23 fits); collect |t| statistics</t>
  </si>
  <si>
    <t xml:space="preserve">R/09 perm pass [R3]</t>
  </si>
  <si>
    <t xml:space="preserve">Perm p</t>
  </si>
  <si>
    <t xml:space="preserve">p = (1 + sum(abs(stat_perm) &gt;= abs(stat_obs))) / (eff_B + 1)</t>
  </si>
  <si>
    <t xml:space="preserve">R/09 [S5]</t>
  </si>
  <si>
    <t xml:space="preserve">Curve stats in-workbook</t>
  </si>
  <si>
    <t xml:space="preserve">COUNTIFS / _xlfn.MINIFS / _xlfn.MAXIFS over Results_Long H3 diff rows (single formula source)</t>
  </si>
  <si>
    <t xml:space="preserve">Tab 7_H3_Spec_Curve</t>
  </si>
  <si>
    <t xml:space="preserve">rstudent mask</t>
  </si>
  <si>
    <t xml:space="preserve">abs(zi - mu_spine) / sqrt(vi + sum_sigma2) &gt; 3 on the full-set intercept spine; fixed once</t>
  </si>
  <si>
    <t xml:space="preserve">R/09 masks [DEC-045 amendment]</t>
  </si>
  <si>
    <t xml:space="preserve">Winsorization</t>
  </si>
  <si>
    <t xml:space="preserve">zi &lt;- pmin(pmax(zi, q01), q99), bounds computed once on the full estimation set</t>
  </si>
  <si>
    <t xml:space="preserve">R/09 masks</t>
  </si>
  <si>
    <t xml:space="preserve">TH-c (simulation &amp; permutation family) · Data Provenance</t>
  </si>
  <si>
    <t xml:space="preserve">Estimation set, anchors, counters, environment, disclosures</t>
  </si>
  <si>
    <t xml:space="preserve">Source</t>
  </si>
  <si>
    <t xml:space="preserve">Estimation set / domain</t>
  </si>
  <si>
    <t xml:space="preserve">Period domain 2,705 ES / 113 studies / 112 clusters (H3/H4/H5, H1 design); full-set spine anchors for masks</t>
  </si>
  <si>
    <t xml:space="preserve">TH_c_results.csv</t>
  </si>
  <si>
    <t xml:space="preserve">dat_prep md5</t>
  </si>
  <si>
    <t xml:space="preserve">6702ef3dc45fe0b693b13f50ebd1576b (identical to TH_a_run_meta - cross-run anchor)</t>
  </si>
  <si>
    <t xml:space="preserve">run_meta both runs</t>
  </si>
  <si>
    <t xml:space="preserve">Permutation list</t>
  </si>
  <si>
    <t xml:space="preserve">output/TH_c_perms.rds: 112 x 500 cluster permutations, generated FIRST under seed 20260710; md5 = 077d689b2dee2931467650585089888a; deliberately NOT in git (.gitignore output/*.rds); md5 triple-anchored (run_meta, design row, O13)</t>
  </si>
  <si>
    <t xml:space="preserve">TH_design perm_list; session log §1</t>
  </si>
  <si>
    <t xml:space="preserve">Run stamp / runtime</t>
  </si>
  <si>
    <t xml:space="preserve">Finished 2026-07-26 17:39:47; runtime 44.3 h vs. 13-15 h projected [§6(v)] - decomposition: single-fit benchmark 41.92 s (idle P-core) vs. ~96 CPU-s/fit under 11-worker load (measured probe); 92 ladder fallbacks; straggler scheduling; architecture externally validated via the O5 core anchors; lessons for R/07 pinned</t>
  </si>
  <si>
    <t xml:space="preserve">session log §1; [DEC-045]</t>
  </si>
  <si>
    <t xml:space="preserve">Counters</t>
  </si>
  <si>
    <t xml:space="preserve">fits/fallback/fail = 11,500/92/0 (permutation pass) · 540/3/0 (curve) · 200/2/0 (calibration); eff_B = 500/500/500; not_estimable cells = 0 [§6(ii) analogue]</t>
  </si>
  <si>
    <t xml:space="preserve">run_meta; verifier 19/19</t>
  </si>
  <si>
    <t xml:space="preserve">k20 exclusion [§6(iii)]</t>
  </si>
  <si>
    <t xml:space="preserve">Design row (verbatim): 'k20 basis excludes 1 row(s) with nonpositive/NA vi_k20 (tiny-n edge, n &lt;= 23) from all k20 cells -- disclosed [DEC-045 amendment; author ruling 2026-07-24]'; the excluded row is Chodnicka-Jaworska (2022), n = 18, vi_k20 = NA; 2,607 PCC rows pass the identity assert at 1e-9</t>
  </si>
  <si>
    <t xml:space="preserve">TH_design vi_k_identity; author ruling 2026-07-24</t>
  </si>
  <si>
    <t xml:space="preserve">Outlier constants [§6(iv)]</t>
  </si>
  <si>
    <t xml:space="preserve">rstudent mask = 13 ES at threshold 3 (full-set intercept spine, mu = -0.058647, sum sigma2 = 0.031629); winsor bounds [-0.380770; 0.184715] (empirical P1/P99, computed once)</t>
  </si>
  <si>
    <t xml:space="preserve">TH_design rstudent_mask / winsor_bounds</t>
  </si>
  <si>
    <t xml:space="preserve">H1 NA disclosure [§6(i)]</t>
  </si>
  <si>
    <t xml:space="preserve">MDE80 AND MDE90 = NA in own_x1.0 and own_x2.0 (grid ceiling 0.08); calibration rule-conformly executed at the 0.08 fallback and disclosed in the calibration note; power at 0.08 tabulated (0.7304 / 0.4476)</t>
  </si>
  <si>
    <t xml:space="preserve">TH_c_results.csv H1</t>
  </si>
  <si>
    <t xml:space="preserve">Observed anchors</t>
  </si>
  <si>
    <t xml:space="preserve">center_sample_mid = 2012.257855823 (in-script, constancy asserted); F65 gates PASSED: T8 B4/race/pp_mid_lag0 matched embedded constants at 1e-9, observed refit identity at 1e-6, |t_race_obs| = 1.052421; H4 admissible echo membership-verified against TH_a_results.csv</t>
  </si>
  <si>
    <t xml:space="preserve">TH_design rows</t>
  </si>
  <si>
    <t xml:space="preserve">Execution order / determinism</t>
  </si>
  <si>
    <t xml:space="preserve">PERMS -&gt; masks -&gt; H1 stream -&gt; H1 calibration -&gt; permutation pass (ONE pass, 23 fits/replicate) -&gt; H3 curve; Windows CRAN reference BLAS single-threaded; OMP/OPENBLAS/MKL guards per worker</t>
  </si>
  <si>
    <t xml:space="preserve">TH_design execution_order / blas_note</t>
  </si>
  <si>
    <t xml:space="preserve">Repo basis</t>
  </si>
  <si>
    <t xml:space="preserve">5a99de6 -&gt; e44fce7 (#12) -&gt; fce9d3a (#13) -&gt; dafd95e (#14); family commit lands on dafd95e (main = origin); TH-c relaunch executed on dafd95e (post ERROR_LOG #13/#14 fixes)</t>
  </si>
  <si>
    <t xml:space="preserve">session log §1</t>
  </si>
  <si>
    <t xml:space="preserve">Environment</t>
  </si>
  <si>
    <t xml:space="preserve">R 4.6.1 ucrt · Windows 11 x64 (26200) · German_Austria.utf8 / LC_NUMERIC = C · TZ Europe/Vienna · metafor 5.0-1, clubSandwich 0.7.0, Matrix 1.7-5 (sessionInfo identical to TH-a)</t>
  </si>
  <si>
    <t xml:space="preserve">TH_c_run_meta sessionInfo</t>
  </si>
  <si>
    <t xml:space="preserve">TH-c (simulation &amp; permutation family) · H1 - design-based MDE / power battery (6 scenarios) + full-REML calibration</t>
  </si>
  <si>
    <t xml:space="preserve">Fixed variance components are DESIGN INPUTS here [H-Q4]; y-free precompute, noncentral-t power; MDE by grid interpolation, NA = above the 0.08 ceiling.</t>
  </si>
  <si>
    <t xml:space="preserve">Panel row</t>
  </si>
  <si>
    <t xml:space="preserve">analysis_id</t>
  </si>
  <si>
    <t xml:space="preserve">spec</t>
  </si>
  <si>
    <t xml:space="preserve">subset</t>
  </si>
  <si>
    <t xml:space="preserve">term</t>
  </si>
  <si>
    <t xml:space="preserve">RL row</t>
  </si>
  <si>
    <t xml:space="preserve">k_es</t>
  </si>
  <si>
    <t xml:space="preserve">k_cl</t>
  </si>
  <si>
    <t xml:space="preserve">value</t>
  </si>
  <si>
    <t xml:space="preserve">note (verbatim)</t>
  </si>
  <si>
    <t xml:space="preserve">calibration: rejection rate (200 REML @ delta 0.08)</t>
  </si>
  <si>
    <t xml:space="preserve">H1</t>
  </si>
  <si>
    <t xml:space="preserve">calibration</t>
  </si>
  <si>
    <t xml:space="preserve">defined</t>
  </si>
  <si>
    <t xml:space="preserve">rejection_rate</t>
  </si>
  <si>
    <t xml:space="preserve">calibration: optimism (0.80 - rejection)</t>
  </si>
  <si>
    <t xml:space="preserve">optimism_diff</t>
  </si>
  <si>
    <t xml:space="preserve">df_Satt</t>
  </si>
  <si>
    <t xml:space="preserve">own_x0.5 · power_delta_0.00</t>
  </si>
  <si>
    <t xml:space="preserve">own_x0.5</t>
  </si>
  <si>
    <t xml:space="preserve">power_delta_0.00</t>
  </si>
  <si>
    <t xml:space="preserve">own_x0.5 · power_delta_0.01</t>
  </si>
  <si>
    <t xml:space="preserve">power_delta_0.01</t>
  </si>
  <si>
    <t xml:space="preserve">own_x0.5 · power_delta_0.02</t>
  </si>
  <si>
    <t xml:space="preserve">power_delta_0.02</t>
  </si>
  <si>
    <t xml:space="preserve">own_x0.5 · power_delta_0.03</t>
  </si>
  <si>
    <t xml:space="preserve">power_delta_0.03</t>
  </si>
  <si>
    <t xml:space="preserve">own_x0.5 · power_delta_0.04</t>
  </si>
  <si>
    <t xml:space="preserve">power_delta_0.04</t>
  </si>
  <si>
    <t xml:space="preserve">own_x0.5 · power_delta_0.05</t>
  </si>
  <si>
    <t xml:space="preserve">power_delta_0.05</t>
  </si>
  <si>
    <t xml:space="preserve">own_x0.5 · power_delta_0.06</t>
  </si>
  <si>
    <t xml:space="preserve">power_delta_0.06</t>
  </si>
  <si>
    <t xml:space="preserve">own_x0.5 · power_delta_0.07</t>
  </si>
  <si>
    <t xml:space="preserve">power_delta_0.07</t>
  </si>
  <si>
    <t xml:space="preserve">own_x0.5 · power_delta_0.08</t>
  </si>
  <si>
    <t xml:space="preserve">power_delta_0.08</t>
  </si>
  <si>
    <t xml:space="preserve">own_x0.5 · mde_power80</t>
  </si>
  <si>
    <t xml:space="preserve">mde_power80</t>
  </si>
  <si>
    <t xml:space="preserve">own_x0.5 · mde_power90</t>
  </si>
  <si>
    <t xml:space="preserve">mde_power90</t>
  </si>
  <si>
    <t xml:space="preserve">own_x1.0 · power_delta_0.00</t>
  </si>
  <si>
    <t xml:space="preserve">own_x1.0</t>
  </si>
  <si>
    <t xml:space="preserve">own_x1.0 · power_delta_0.01</t>
  </si>
  <si>
    <t xml:space="preserve">own_x1.0 · power_delta_0.02</t>
  </si>
  <si>
    <t xml:space="preserve">own_x1.0 · power_delta_0.03</t>
  </si>
  <si>
    <t xml:space="preserve">own_x1.0 · power_delta_0.04</t>
  </si>
  <si>
    <t xml:space="preserve">own_x1.0 · power_delta_0.05</t>
  </si>
  <si>
    <t xml:space="preserve">own_x1.0 · power_delta_0.06</t>
  </si>
  <si>
    <t xml:space="preserve">own_x1.0 · power_delta_0.07</t>
  </si>
  <si>
    <t xml:space="preserve">own_x1.0 · power_delta_0.08</t>
  </si>
  <si>
    <t xml:space="preserve">own_x1.0 · mde_power80</t>
  </si>
  <si>
    <t xml:space="preserve">own_x1.0 · mde_power90</t>
  </si>
  <si>
    <t xml:space="preserve">own_x2.0 · power_delta_0.00</t>
  </si>
  <si>
    <t xml:space="preserve">own_x2.0</t>
  </si>
  <si>
    <t xml:space="preserve">own_x2.0 · power_delta_0.01</t>
  </si>
  <si>
    <t xml:space="preserve">own_x2.0 · power_delta_0.02</t>
  </si>
  <si>
    <t xml:space="preserve">own_x2.0 · power_delta_0.03</t>
  </si>
  <si>
    <t xml:space="preserve">own_x2.0 · power_delta_0.04</t>
  </si>
  <si>
    <t xml:space="preserve">own_x2.0 · power_delta_0.05</t>
  </si>
  <si>
    <t xml:space="preserve">own_x2.0 · power_delta_0.06</t>
  </si>
  <si>
    <t xml:space="preserve">own_x2.0 · power_delta_0.07</t>
  </si>
  <si>
    <t xml:space="preserve">own_x2.0 · power_delta_0.08</t>
  </si>
  <si>
    <t xml:space="preserve">own_x2.0 · mde_power80</t>
  </si>
  <si>
    <t xml:space="preserve">own_x2.0 · mde_power90</t>
  </si>
  <si>
    <t xml:space="preserve">coe_x0.5 · power_delta_0.00</t>
  </si>
  <si>
    <t xml:space="preserve">coe_x0.5</t>
  </si>
  <si>
    <t xml:space="preserve">coe_x0.5 · power_delta_0.01</t>
  </si>
  <si>
    <t xml:space="preserve">coe_x0.5 · power_delta_0.02</t>
  </si>
  <si>
    <t xml:space="preserve">coe_x0.5 · power_delta_0.03</t>
  </si>
  <si>
    <t xml:space="preserve">coe_x0.5 · power_delta_0.04</t>
  </si>
  <si>
    <t xml:space="preserve">coe_x0.5 · power_delta_0.05</t>
  </si>
  <si>
    <t xml:space="preserve">coe_x0.5 · power_delta_0.06</t>
  </si>
  <si>
    <t xml:space="preserve">coe_x0.5 · power_delta_0.07</t>
  </si>
  <si>
    <t xml:space="preserve">coe_x0.5 · power_delta_0.08</t>
  </si>
  <si>
    <t xml:space="preserve">coe_x0.5 · mde_power80</t>
  </si>
  <si>
    <t xml:space="preserve">coe_x0.5 · mde_power90</t>
  </si>
  <si>
    <t xml:space="preserve">coe_x1.0 · power_delta_0.00</t>
  </si>
  <si>
    <t xml:space="preserve">coe_x1.0</t>
  </si>
  <si>
    <t xml:space="preserve">coe_x1.0 · power_delta_0.01</t>
  </si>
  <si>
    <t xml:space="preserve">coe_x1.0 · power_delta_0.02</t>
  </si>
  <si>
    <t xml:space="preserve">coe_x1.0 · power_delta_0.03</t>
  </si>
  <si>
    <t xml:space="preserve">coe_x1.0 · power_delta_0.04</t>
  </si>
  <si>
    <t xml:space="preserve">coe_x1.0 · power_delta_0.05</t>
  </si>
  <si>
    <t xml:space="preserve">coe_x1.0 · power_delta_0.06</t>
  </si>
  <si>
    <t xml:space="preserve">coe_x1.0 · power_delta_0.07</t>
  </si>
  <si>
    <t xml:space="preserve">coe_x1.0 · power_delta_0.08</t>
  </si>
  <si>
    <t xml:space="preserve">coe_x1.0 · mde_power80</t>
  </si>
  <si>
    <t xml:space="preserve">coe_x1.0 · mde_power90</t>
  </si>
  <si>
    <t xml:space="preserve">coe_x2.0 · power_delta_0.00</t>
  </si>
  <si>
    <t xml:space="preserve">coe_x2.0</t>
  </si>
  <si>
    <t xml:space="preserve">coe_x2.0 · power_delta_0.01</t>
  </si>
  <si>
    <t xml:space="preserve">coe_x2.0 · power_delta_0.02</t>
  </si>
  <si>
    <t xml:space="preserve">coe_x2.0 · power_delta_0.03</t>
  </si>
  <si>
    <t xml:space="preserve">coe_x2.0 · power_delta_0.04</t>
  </si>
  <si>
    <t xml:space="preserve">coe_x2.0 · power_delta_0.05</t>
  </si>
  <si>
    <t xml:space="preserve">coe_x2.0 · power_delta_0.06</t>
  </si>
  <si>
    <t xml:space="preserve">coe_x2.0 · power_delta_0.07</t>
  </si>
  <si>
    <t xml:space="preserve">coe_x2.0 · power_delta_0.08</t>
  </si>
  <si>
    <t xml:space="preserve">coe_x2.0 · mde_power80</t>
  </si>
  <si>
    <t xml:space="preserve">coe_x2.0 · mde_power90</t>
  </si>
  <si>
    <t xml:space="preserve">Interpretation</t>
  </si>
  <si>
    <t xml:space="preserve">§6(i) disclosure: MDE80 AND MDE90 are NA in own_x1.0 and own_x2.0 - the smallest detectable contrast lies above the pre-registered delta-grid ceiling of 0.08; the power at the ceiling is tabulated in the power_delta_0.08 rows. The calibration therefore ran rule-conformly at the 0.08 fallback (disclosed in its row note).</t>
  </si>
  <si>
    <t xml:space="preserve">Scenario provenance: own streams scale the observed T1/A2 variance components; coe streams map the equity-companion between-study variance as a one-level LOWER BOUND [S4] - the companion caveat (variance factor ~65, MDE factor ~8) applies to any cross-channel reading.</t>
  </si>
  <si>
    <t xml:space="preserve">df_Satt is precomputed y-free per stream (df column); the value column carries power (power rows) or the MDE in z units (mde rows).</t>
  </si>
  <si>
    <t xml:space="preserve">Question</t>
  </si>
  <si>
    <t xml:space="preserve">Answer</t>
  </si>
  <si>
    <t xml:space="preserve">Why fixed variance components - is that not prohibited?</t>
  </si>
  <si>
    <t xml:space="preserve">Fixed VC are prohibited where the ACTUAL test-statistic distribution must be replicated (H3 permutation, H5); in the MDE context they are semantically correct design inputs [H-Q4] - the question answered is 'what was detectable under the observed design'.</t>
  </si>
  <si>
    <t xml:space="preserve">Why is the calibration run at 0.08 and not at the MDE?</t>
  </si>
  <si>
    <t xml:space="preserve">The primary-scenario MDE is above the grid ceiling; extrapolating beyond the pinned grid is not licensed, so the calibration anchors at the ceiling fallback and discloses it [H-Q14].</t>
  </si>
  <si>
    <t xml:space="preserve">Why does the coe mapping matter?</t>
  </si>
  <si>
    <t xml:space="preserve">It bounds the best case: if the debt literature were as homogeneous as the equity companion's study level, contrasts of ~0.01-0.02 z would have been detectable - the observed heterogeneity is the binding constraint, not k.</t>
  </si>
  <si>
    <t xml:space="preserve">Verdict: Mechanical outcome: 6-scenario power grid, MDE rows (with rule-conform NA above the ceiling) and 200-replicate calibration tabulated; adjudication deferred to the documented gate-resolution step [DEC-044].</t>
  </si>
  <si>
    <t xml:space="preserve">TH-c (simulation &amp; permutation family) · H3 - specification curve: whole-curve statistics + joint permutation</t>
  </si>
  <si>
    <t xml:space="preserve">Core = pre-registered 10-cell family [S3]; full curve = 1,260 cells; joint permutation re-derives codings per replicate [H-Q15/R3].</t>
  </si>
  <si>
    <t xml:space="preserve">observed share p &lt; .05 (core, of 10)</t>
  </si>
  <si>
    <t xml:space="preserve">H3</t>
  </si>
  <si>
    <t xml:space="preserve">core_curve</t>
  </si>
  <si>
    <t xml:space="preserve">observed_share_sig</t>
  </si>
  <si>
    <t xml:space="preserve">observed median |t| (core)</t>
  </si>
  <si>
    <t xml:space="preserve">observed_median_t</t>
  </si>
  <si>
    <t xml:space="preserve">p_perm - share statistic</t>
  </si>
  <si>
    <t xml:space="preserve">p_perm_share_sig</t>
  </si>
  <si>
    <t xml:space="preserve">p_perm - median-|t| statistic</t>
  </si>
  <si>
    <t xml:space="preserve">p_perm_median_t</t>
  </si>
  <si>
    <t xml:space="preserve">effective replicates</t>
  </si>
  <si>
    <t xml:space="preserve">Full-curve descriptives (formula-derived from Results_Long; single formula source)</t>
  </si>
  <si>
    <t xml:space="preserve">Restriction</t>
  </si>
  <si>
    <t xml:space="preserve">Value (formula)</t>
  </si>
  <si>
    <t xml:space="preserve">n multiverse cells (diff rows)</t>
  </si>
  <si>
    <t xml:space="preserve">analysis H3, term diff</t>
  </si>
  <si>
    <t xml:space="preserve">n cells with p &lt; .05</t>
  </si>
  <si>
    <t xml:space="preserve">same</t>
  </si>
  <si>
    <t xml:space="preserve">share p &lt; .05 (full curve)</t>
  </si>
  <si>
    <t xml:space="preserve">n sig | 3LMA-RVE_CR2</t>
  </si>
  <si>
    <t xml:space="preserve">estimator restriction</t>
  </si>
  <si>
    <t xml:space="preserve">n sig | one_per_cluster</t>
  </si>
  <si>
    <t xml:space="preserve">n sig | UWLS3</t>
  </si>
  <si>
    <t xml:space="preserve">min diff_z over full curve</t>
  </si>
  <si>
    <t xml:space="preserve">all 1,260 cells</t>
  </si>
  <si>
    <t xml:space="preserve">max diff_z over full curve</t>
  </si>
  <si>
    <t xml:space="preserve">min p over full curve</t>
  </si>
  <si>
    <t xml:space="preserve">The per-cell core |t| listing is carried verbatim in the observed_share_sig row note.</t>
  </si>
  <si>
    <t xml:space="preserve">Inference lives on the core family via the joint permutation; the full-curve descriptives display robustness breadth without multiplicity claims.</t>
  </si>
  <si>
    <t xml:space="preserve">The full curve contains exactly one cell below .05 (locatable via the estimator-restricted counts and the min-p row) - a descriptive observation against ~63 cells expected under a global null at alpha = .05 (5% of 1,260).</t>
  </si>
  <si>
    <t xml:space="preserve">p_perm(share) at its boundary value means no replicate reached a share as small as/equal to the observed one under the null translation - a mechanical statement.</t>
  </si>
  <si>
    <t xml:space="preserve">Why permute time-translations instead of cluster labels?</t>
  </si>
  <si>
    <t xml:space="preserve">The estimand is a TIME moderation; translating cluster windows preserves the within-cluster dependence structure while breaking the calendar alignment - the label-permutation variant would destroy the wrong structure [H-Q15/H-Q20 supersession of Annex-H N7].</t>
  </si>
  <si>
    <t xml:space="preserve">Why re-derive the codings per replicate?</t>
  </si>
  <si>
    <t xml:space="preserve">All 10 codings are deterministic functions of the (translated) windows; holding them fixed would leak observed-design information into the null [R3].</t>
  </si>
  <si>
    <t xml:space="preserve">Verdict: Mechanical outcome: whole-curve statistics and joint-permutation p-values tabulated; full-curve descriptives formula-derived above; adjudication deferred to the documented gate-resolution step [DEC-044].</t>
  </si>
  <si>
    <t xml:space="preserve">TH-c (simulation &amp; permutation family) · H3 - core cell family (10 codings; 3LMA-RVE CR2, rho .6, dfE, outlier none, full set)</t>
  </si>
  <si>
    <t xml:space="preserve">Family frozen verbatim from committed T2 output [D1 amendment]; diff rows z-only.</t>
  </si>
  <si>
    <t xml:space="preserve">k_st</t>
  </si>
  <si>
    <t xml:space="preserve">est_z</t>
  </si>
  <si>
    <t xml:space="preserve">ci_lb_z</t>
  </si>
  <si>
    <t xml:space="preserve">ci_ub_z</t>
  </si>
  <si>
    <t xml:space="preserve">est_r</t>
  </si>
  <si>
    <t xml:space="preserve">ci_lb_r</t>
  </si>
  <si>
    <t xml:space="preserve">ci_ub_r</t>
  </si>
  <si>
    <t xml:space="preserve">se_z</t>
  </si>
  <si>
    <t xml:space="preserve">t</t>
  </si>
  <si>
    <t xml:space="preserve">df</t>
  </si>
  <si>
    <t xml:space="preserve">p</t>
  </si>
  <si>
    <t xml:space="preserve">core: paris_mid</t>
  </si>
  <si>
    <t xml:space="preserve">paris_mid|none|full|dfE</t>
  </si>
  <si>
    <t xml:space="preserve">3LMA-RVE_CR2|r0.6</t>
  </si>
  <si>
    <t xml:space="preserve">diff</t>
  </si>
  <si>
    <t xml:space="preserve">core: tie_break_median</t>
  </si>
  <si>
    <t xml:space="preserve">tie_break_median|none|full|dfE</t>
  </si>
  <si>
    <t xml:space="preserve">core: end_any_exposure</t>
  </si>
  <si>
    <t xml:space="preserve">end_any_exposure|none|full|dfE</t>
  </si>
  <si>
    <t xml:space="preserve">core: share_recut_2017</t>
  </si>
  <si>
    <t xml:space="preserve">share_recut_2017|none|full|dfE</t>
  </si>
  <si>
    <t xml:space="preserve">core: share_recut_2018</t>
  </si>
  <si>
    <t xml:space="preserve">share_recut_2018|none|full|dfE</t>
  </si>
  <si>
    <t xml:space="preserve">core: share_recut_2019</t>
  </si>
  <si>
    <t xml:space="preserve">share_recut_2019|none|full|dfE</t>
  </si>
  <si>
    <t xml:space="preserve">core: end_lag1</t>
  </si>
  <si>
    <t xml:space="preserve">end_lag1|none|full|dfE</t>
  </si>
  <si>
    <t xml:space="preserve">core: end_lag2</t>
  </si>
  <si>
    <t xml:space="preserve">end_lag2|none|full|dfE</t>
  </si>
  <si>
    <t xml:space="preserve">core: end_lag3</t>
  </si>
  <si>
    <t xml:space="preserve">end_lag3|none|full|dfE</t>
  </si>
  <si>
    <t xml:space="preserve">core: clean_window</t>
  </si>
  <si>
    <t xml:space="preserve">clean_window|none|full|dfE</t>
  </si>
  <si>
    <t xml:space="preserve">core cell keys (design)</t>
  </si>
  <si>
    <t xml:space="preserve">TH_design</t>
  </si>
  <si>
    <t xml:space="preserve">design</t>
  </si>
  <si>
    <t xml:space="preserve">core_cells</t>
  </si>
  <si>
    <t xml:space="preserve">clean_window is the pre-registered subset coding (929 ES / 40 clusters) - its smaller base is a design feature, not attrition.</t>
  </si>
  <si>
    <t xml:space="preserve">The end_lag2 cell carries the largest absolute contrast of the family; its p-value is tabulated in the panel (no verdict language attached).</t>
  </si>
  <si>
    <t xml:space="preserve">These 10 cells are exactly the ms_input core rows; the joint permutation over the family lives on Tab '7_H3_Spec_Curve'.</t>
  </si>
  <si>
    <t xml:space="preserve">Why 10 codings rather than the 6 of Annex H?</t>
  </si>
  <si>
    <t xml:space="preserve">Author ruling H-Q3 superseded Annex H: the factor space follows the committed T2/B3 coding family (10 codings, extracted verbatim from output/T2_results.csv before any H estimate existed) [DEC-045 D1 amendment].</t>
  </si>
  <si>
    <t xml:space="preserve">Why is dfE/none/full the core cell?</t>
  </si>
  <si>
    <t xml:space="preserve">It mirrors the pre-registered headline spine (D31.1); outlier treatments, ES-set and df-base variations are robustness axes, not co-equal estimands [S3].</t>
  </si>
  <si>
    <t xml:space="preserve">Verdict: Mechanical outcome: 10 core contrasts tabulated with CR2/Satterthwaite columns; adjudication deferred to the documented gate-resolution step [DEC-044].</t>
  </si>
  <si>
    <t xml:space="preserve">TH-c (simulation &amp; permutation family) · H4 - permutation reference for the sup-break statistic</t>
  </si>
  <si>
    <t xml:space="preserve">Identical permutation list as H5 [H-Q16]; admissible year set fixed at the observed design [H-Q20]; observed sup single-homed in the TH-a workbook Tab 7.</t>
  </si>
  <si>
    <t xml:space="preserve">p_perm (sup |t|)</t>
  </si>
  <si>
    <t xml:space="preserve">H4</t>
  </si>
  <si>
    <t xml:space="preserve">perm_sup</t>
  </si>
  <si>
    <t xml:space="preserve">admissible-set echo (design)</t>
  </si>
  <si>
    <t xml:space="preserve">h4_admissible_echo</t>
  </si>
  <si>
    <t xml:space="preserve">The observed statistic (sup |t| = value in TH_a_results.csv, tabulated in the TH-a workbook Tab '7_H4_Break_Grid') is carried verbatim in the p_perm row note here; this tab reports the reference distribution only (single-home rule).</t>
  </si>
  <si>
    <t xml:space="preserve">Each replicate recomputes the full 12-year grid on translated windows and takes its supremum - the multiplicity of the year search is thus inside the null distribution.</t>
  </si>
  <si>
    <t xml:space="preserve">Why B = 500 rather than the Annex-H 2,000?</t>
  </si>
  <si>
    <t xml:space="preserve">DEC-045 S5 (benchmark-derived): B = 500 with eff_B enforcement (fail share &lt;= 1%) bounds the minimum attainable p at ~0.002 - sufficient for the pre-registered alpha ladder at a quarter of the runtime.</t>
  </si>
  <si>
    <t xml:space="preserve">Verdict: Mechanical outcome: sup-statistic permutation p and effective replicates tabulated; observed sup single-homed in TH-a; adjudication deferred to the documented gate-resolution step [DEC-044].</t>
  </si>
  <si>
    <t xml:space="preserve">TH-c (simulation &amp; permutation family) · H5 - permutation inference for the trend-vs-break race statistic</t>
  </si>
  <si>
    <t xml:space="preserve">Time-translation permutation [H-Q20]; observed |t_race| anchored via F65 gates; point estimate and p_CR2 single-homed in T8 [4a].</t>
  </si>
  <si>
    <t xml:space="preserve">p_perm (race |t|)</t>
  </si>
  <si>
    <t xml:space="preserve">H5</t>
  </si>
  <si>
    <t xml:space="preserve">perm_race</t>
  </si>
  <si>
    <t xml:space="preserve">T8 race anchor (design)</t>
  </si>
  <si>
    <t xml:space="preserve">t8_race_anchor</t>
  </si>
  <si>
    <t xml:space="preserve">The race point estimate and its CR2 p-value have ONE reporting home (T8 workbook) [single-home rule 4a]; this tab adds only the permutation reference; the observed |t_race| is carried verbatim in the row notes.</t>
  </si>
  <si>
    <t xml:space="preserve">Fixed variance components are prohibited here: each replicate refits the full REML race model so the null distribution replicates the actual test statistic [project pin].</t>
  </si>
  <si>
    <t xml:space="preserve">Why does H5 permute rather than bootstrap?</t>
  </si>
  <si>
    <t xml:space="preserve">The estimand is exchangeability of calendar alignment under the null of no time structure; the cluster time-translation design targets exactly that, keeping within-cluster dependence intact [H-Q20].</t>
  </si>
  <si>
    <t xml:space="preserve">Verdict: Mechanical outcome: race-statistic permutation p and effective replicates tabulated; point estimate single-homed in T8; adjudication deferred to the documented gate-resolution step [DEC-044].</t>
  </si>
  <si>
    <t xml:space="preserve">metric</t>
  </si>
  <si>
    <t xml:space="preserve">estimator</t>
  </si>
  <si>
    <t xml:space="preserve">rho</t>
  </si>
  <si>
    <t xml:space="preserve">k_study</t>
  </si>
  <si>
    <t xml:space="preserve">k_cluster</t>
  </si>
  <si>
    <t xml:space="preserve">t_stat</t>
  </si>
  <si>
    <t xml:space="preserve">pi_lb_z</t>
  </si>
  <si>
    <t xml:space="preserve">pi_ub_z</t>
  </si>
  <si>
    <t xml:space="preserve">pi_lb_r</t>
  </si>
  <si>
    <t xml:space="preserve">pi_ub_r</t>
  </si>
  <si>
    <t xml:space="preserve">sigma2_cluster</t>
  </si>
  <si>
    <t xml:space="preserve">sigma2_study</t>
  </si>
  <si>
    <t xml:space="preserve">sigma2_esid</t>
  </si>
  <si>
    <t xml:space="preserve">pct_cluster</t>
  </si>
  <si>
    <t xml:space="preserve">pct_study</t>
  </si>
  <si>
    <t xml:space="preserve">pct_esid</t>
  </si>
  <si>
    <t xml:space="preserve">pct_sampling</t>
  </si>
  <si>
    <t xml:space="preserve">typical_v</t>
  </si>
  <si>
    <t xml:space="preserve">ms_input</t>
  </si>
  <si>
    <t xml:space="preserve">ms_label</t>
  </si>
  <si>
    <t xml:space="preserve">note</t>
  </si>
  <si>
    <t xml:space="preserve">count</t>
  </si>
  <si>
    <t xml:space="preserve">3LMA-RVE_CR2</t>
  </si>
  <si>
    <t xml:space="preserve">FALSE</t>
  </si>
  <si>
    <t xml:space="preserve">H1 scenario own_x0.5: fixed VC (cluster/study/esid) = 0.00987277/5.10461e-10/0.00594159 (= T1/A2 components x 0.5); design X = [1, pp_mid] on 2,705/112; CR2/Satterthwaite two-sided alpha=.05, df precomputed y-free; delta enters as noncentral shift of one B=5000 stream [DEC-045/H-Q14/R1]</t>
  </si>
  <si>
    <t xml:space="preserve">Fisher_z</t>
  </si>
  <si>
    <t xml:space="preserve">H1 scenario own_x0.5: fixed VC (cluster/study/esid) = 0.00987277/5.10461e-10/0.00594159 (= T1/A2 components x 0.5); design X = [1, pp_mid] on 2,705/112; CR2/Satterthwaite two-sided alpha=.05, df precomputed y-free; delta enters as noncentral shift of one B=5000 stream [DEC-045/H-Q14/R1]; MDE = smallest delta with power &gt;= .80, linear interpolation on the 9-point grid; NA = above grid ceiling 0.08</t>
  </si>
  <si>
    <t xml:space="preserve">H1 scenario own_x0.5: fixed VC (cluster/study/esid) = 0.00987277/5.10461e-10/0.00594159 (= T1/A2 components x 0.5); design X = [1, pp_mid] on 2,705/112; CR2/Satterthwaite two-sided alpha=.05, df precomputed y-free; delta enters as noncentral shift of one B=5000 stream [DEC-045/H-Q14/R1]; co-reported 90% criterion</t>
  </si>
  <si>
    <t xml:space="preserve">H1 scenario own_x1.0: fixed VC (cluster/study/esid) = 0.0197455/1.02092e-09/0.0118832 (= T1/A2 components x 1.0); design X = [1, pp_mid] on 2,705/112; CR2/Satterthwaite two-sided alpha=.05, df precomputed y-free; delta enters as noncentral shift of one B=5000 stream [DEC-045/H-Q14/R1]</t>
  </si>
  <si>
    <t xml:space="preserve">TRUE</t>
  </si>
  <si>
    <t xml:space="preserve">h1_mde_primary</t>
  </si>
  <si>
    <t xml:space="preserve">H1 scenario own_x1.0: fixed VC (cluster/study/esid) = 0.0197455/1.02092e-09/0.0118832 (= T1/A2 components x 1.0); design X = [1, pp_mid] on 2,705/112; CR2/Satterthwaite two-sided alpha=.05, df precomputed y-free; delta enters as noncentral shift of one B=5000 stream [DEC-045/H-Q14/R1]; MDE = smallest delta with power &gt;= .80, linear interpolation on the 9-point grid; NA = above grid ceiling 0.08</t>
  </si>
  <si>
    <t xml:space="preserve">H1 scenario own_x1.0: fixed VC (cluster/study/esid) = 0.0197455/1.02092e-09/0.0118832 (= T1/A2 components x 1.0); design X = [1, pp_mid] on 2,705/112; CR2/Satterthwaite two-sided alpha=.05, df precomputed y-free; delta enters as noncentral shift of one B=5000 stream [DEC-045/H-Q14/R1]; co-reported 90% criterion</t>
  </si>
  <si>
    <t xml:space="preserve">H1 scenario own_x2.0: fixed VC (cluster/study/esid) = 0.0394911/2.04184e-09/0.0237664 (= T1/A2 components x 2.0); design X = [1, pp_mid] on 2,705/112; CR2/Satterthwaite two-sided alpha=.05, df precomputed y-free; delta enters as noncentral shift of one B=5000 stream [DEC-045/H-Q14/R1]</t>
  </si>
  <si>
    <t xml:space="preserve">H1 scenario own_x2.0: fixed VC (cluster/study/esid) = 0.0394911/2.04184e-09/0.0237664 (= T1/A2 components x 2.0); design X = [1, pp_mid] on 2,705/112; CR2/Satterthwaite two-sided alpha=.05, df precomputed y-free; delta enters as noncentral shift of one B=5000 stream [DEC-045/H-Q14/R1]; MDE = smallest delta with power &gt;= .80, linear interpolation on the 9-point grid; NA = above grid ceiling 0.08</t>
  </si>
  <si>
    <t xml:space="preserve">H1 scenario own_x2.0: fixed VC (cluster/study/esid) = 0.0394911/2.04184e-09/0.0237664 (= T1/A2 components x 2.0); design X = [1, pp_mid] on 2,705/112; CR2/Satterthwaite two-sided alpha=.05, df precomputed y-free; delta enters as noncentral shift of one B=5000 stream [DEC-045/H-Q14/R1]; co-reported 90% criterion</t>
  </si>
  <si>
    <t xml:space="preserve">H1 scenario coe_x0.5: fixed VC (cluster/study/esid) = 0.00013994/7.23543e-12/8.4218e-05 (one-level lower bound: tau2_COE = (0.083/3.92)^2 x 0.5, allocated by T1/A2 proportions [S4]); design X = [1, pp_mid] on 2,705/112; CR2/Satterthwaite two-sided alpha=.05, df precomputed y-free; delta enters as noncentral shift of one B=5000 stream [DEC-045/H-Q14/R1]</t>
  </si>
  <si>
    <t xml:space="preserve">H1 scenario coe_x0.5: fixed VC (cluster/study/esid) = 0.00013994/7.23543e-12/8.4218e-05 (one-level lower bound: tau2_COE = (0.083/3.92)^2 x 0.5, allocated by T1/A2 proportions [S4]); design X = [1, pp_mid] on 2,705/112; CR2/Satterthwaite two-sided alpha=.05, df precomputed y-free; delta enters as noncentral shift of one B=5000 stream [DEC-045/H-Q14/R1]; MDE = smallest delta with power &gt;= .80, linear interpolation on the 9-point grid; NA = above grid ceiling 0.08</t>
  </si>
  <si>
    <t xml:space="preserve">H1 scenario coe_x0.5: fixed VC (cluster/study/esid) = 0.00013994/7.23543e-12/8.4218e-05 (one-level lower bound: tau2_COE = (0.083/3.92)^2 x 0.5, allocated by T1/A2 proportions [S4]); design X = [1, pp_mid] on 2,705/112; CR2/Satterthwaite two-sided alpha=.05, df precomputed y-free; delta enters as noncentral shift of one B=5000 stream [DEC-045/H-Q14/R1]; co-reported 90% criterion</t>
  </si>
  <si>
    <t xml:space="preserve">H1 scenario coe_x1.0: fixed VC (cluster/study/esid) = 0.00027988/1.44709e-11/0.000168436 (one-level lower bound: tau2_COE = (0.083/3.92)^2 x 1.0, allocated by T1/A2 proportions [S4]); design X = [1, pp_mid] on 2,705/112; CR2/Satterthwaite two-sided alpha=.05, df precomputed y-free; delta enters as noncentral shift of one B=5000 stream [DEC-045/H-Q14/R1]</t>
  </si>
  <si>
    <t xml:space="preserve">H1 scenario coe_x1.0: fixed VC (cluster/study/esid) = 0.00027988/1.44709e-11/0.000168436 (one-level lower bound: tau2_COE = (0.083/3.92)^2 x 1.0, allocated by T1/A2 proportions [S4]); design X = [1, pp_mid] on 2,705/112; CR2/Satterthwaite two-sided alpha=.05, df precomputed y-free; delta enters as noncentral shift of one B=5000 stream [DEC-045/H-Q14/R1]; MDE = smallest delta with power &gt;= .80, linear interpolation on the 9-point grid; NA = above grid ceiling 0.08</t>
  </si>
  <si>
    <t xml:space="preserve">H1 scenario coe_x1.0: fixed VC (cluster/study/esid) = 0.00027988/1.44709e-11/0.000168436 (one-level lower bound: tau2_COE = (0.083/3.92)^2 x 1.0, allocated by T1/A2 proportions [S4]); design X = [1, pp_mid] on 2,705/112; CR2/Satterthwaite two-sided alpha=.05, df precomputed y-free; delta enters as noncentral shift of one B=5000 stream [DEC-045/H-Q14/R1]; co-reported 90% criterion</t>
  </si>
  <si>
    <t xml:space="preserve">H1 scenario coe_x2.0: fixed VC (cluster/study/esid) = 0.00055976/2.89417e-11/0.000336872 (one-level lower bound: tau2_COE = (0.083/3.92)^2 x 2.0, allocated by T1/A2 proportions [S4]); design X = [1, pp_mid] on 2,705/112; CR2/Satterthwaite two-sided alpha=.05, df precomputed y-free; delta enters as noncentral shift of one B=5000 stream [DEC-045/H-Q14/R1]</t>
  </si>
  <si>
    <t xml:space="preserve">H1 scenario coe_x2.0: fixed VC (cluster/study/esid) = 0.00055976/2.89417e-11/0.000336872 (one-level lower bound: tau2_COE = (0.083/3.92)^2 x 2.0, allocated by T1/A2 proportions [S4]); design X = [1, pp_mid] on 2,705/112; CR2/Satterthwaite two-sided alpha=.05, df precomputed y-free; delta enters as noncentral shift of one B=5000 stream [DEC-045/H-Q14/R1]; MDE = smallest delta with power &gt;= .80, linear interpolation on the 9-point grid; NA = above grid ceiling 0.08</t>
  </si>
  <si>
    <t xml:space="preserve">H1 scenario coe_x2.0: fixed VC (cluster/study/esid) = 0.00055976/2.89417e-11/0.000336872 (one-level lower bound: tau2_COE = (0.083/3.92)^2 x 2.0, allocated by T1/A2 proportions [S4]); design X = [1, pp_mid] on 2,705/112; CR2/Satterthwaite two-sided alpha=.05, df precomputed y-free; delta enters as noncentral shift of one B=5000 stream [DEC-045/H-Q14/R1]; co-reported 90% criterion</t>
  </si>
  <si>
    <t xml:space="preserve">calibration subset [H-Q14]: 200 full REML (ladder) + CR2/Satt refits at delta = 0.080000 (primary scenario; MDE above grid ceiling -&gt; calibrated at 0.08 (disclosed)); optimism = 0.80 - rejection rate (positive = stream optimistic); n effective = 200/200</t>
  </si>
  <si>
    <t xml:space="preserve">calibration subset [H-Q14]: 200 full REML (ladder) + CR2/Satt refits at delta = 0.080000 (primary scenario; MDE above grid ceiling -&gt; calibrated at 0.08 (disclosed)); optimism = 0.80 - rejection rate (positive = stream optimistic); reported as a design row [DEC-045]</t>
  </si>
  <si>
    <t xml:space="preserve">h5_p_perm</t>
  </si>
  <si>
    <t xml:space="preserve">time-translation permutation [H-Q20]: p = (1 + 200) / (500 + 1); observed |t_race| = 1.052421 (pp_mid coefficient of the T8 race model; point estimate/p_CR2 live in T8 — single-home [4a]); B = 500, exceed count = 200 of 500 effective</t>
  </si>
  <si>
    <t xml:space="preserve">effective replicates (finite race statistic) of 500; failed replicates dropped from the denominator, share &lt;= 0.01 enforced</t>
  </si>
  <si>
    <t xml:space="preserve">h4_p_perm</t>
  </si>
  <si>
    <t xml:space="preserve">time-translation permutation, identical list as H5 [H-Q16/H-Q20]: p = (1 + 170) / (500 + 1); observed sup |t| = 2.122533 (from TH_a_results.csv observed_sup); admissible years fixed at the observed design: 2008, 2009, 2010, 2011, 2012, 2013, 2014, 2015, 2016, 2017, 2018, 2019; exceed count = 170 of 500 effective</t>
  </si>
  <si>
    <t xml:space="preserve">effective replicates (finite sup statistic) of 500</t>
  </si>
  <si>
    <t xml:space="preserve">Simonsohn whole-curve statistic 1: share of the 10 core cells with p &lt; .05 (observed); core = B3 coding family x 3LMA-RVE x rho .6 x dfE x outlier none x full set [S3]; per-cell |t|: paris_mid=0.5620, tie_break_median=0.5525, end_any_exposure=0.9270, share_recut_2017=0.4463, share_recut_2018=0.1404, share_recut_2019=0.1846, end_lag1=0.3087, end_lag2=1.5221, end_lag3=0.9796, clean_window=0.7455</t>
  </si>
  <si>
    <t xml:space="preserve">Simonsohn whole-curve statistic 2: median |t| over the 10 core cells (observed)</t>
  </si>
  <si>
    <t xml:space="preserve">h3_p_perm_share</t>
  </si>
  <si>
    <t xml:space="preserve">joint permutation [H-Q15/R3]: ONE cluster time-translation per replicate applied to all 10 core cells (codings re-derived); p = (1 + 500)/(500 + 1)</t>
  </si>
  <si>
    <t xml:space="preserve">joint permutation, statistic 2; p = (1 + 427)/(500 + 1)</t>
  </si>
  <si>
    <t xml:space="preserve">effective replicates of 500; mean estimable core cells per replicate = 10.00</t>
  </si>
  <si>
    <t xml:space="preserve">3LMA-RVE_CR2|r0.4</t>
  </si>
  <si>
    <t xml:space="preserve">multiverse cell 1/1260: coding=paris_mid, outlier=none, es_set=full, df_basis=dfE, estimator=3LMA-RVE_CR2, rho=0.4 [DEC-045 S2]; descriptive curve cell</t>
  </si>
  <si>
    <t xml:space="preserve">multiverse cell 2/1260: coding=tie_break_median, outlier=none, es_set=full, df_basis=dfE, estimator=3LMA-RVE_CR2, rho=0.4 [DEC-045 S2]; descriptive curve cell</t>
  </si>
  <si>
    <t xml:space="preserve">multiverse cell 3/1260: coding=end_any_exposure, outlier=none, es_set=full, df_basis=dfE, estimator=3LMA-RVE_CR2, rho=0.4 [DEC-045 S2]; descriptive curve cell</t>
  </si>
  <si>
    <t xml:space="preserve">multiverse cell 4/1260: coding=share_recut_2017, outlier=none, es_set=full, df_basis=dfE, estimator=3LMA-RVE_CR2, rho=0.4 [DEC-045 S2]; descriptive curve cell</t>
  </si>
  <si>
    <t xml:space="preserve">multiverse cell 5/1260: coding=share_recut_2018, outlier=none, es_set=full, df_basis=dfE, estimator=3LMA-RVE_CR2, rho=0.4 [DEC-045 S2]; descriptive curve cell</t>
  </si>
  <si>
    <t xml:space="preserve">multiverse cell 6/1260: coding=share_recut_2019, outlier=none, es_set=full, df_basis=dfE, estimator=3LMA-RVE_CR2, rho=0.4 [DEC-045 S2]; descriptive curve cell</t>
  </si>
  <si>
    <t xml:space="preserve">multiverse cell 7/1260: coding=end_lag1, outlier=none, es_set=full, df_basis=dfE, estimator=3LMA-RVE_CR2, rho=0.4 [DEC-045 S2]; descriptive curve cell</t>
  </si>
  <si>
    <t xml:space="preserve">multiverse cell 8/1260: coding=end_lag2, outlier=none, es_set=full, df_basis=dfE, estimator=3LMA-RVE_CR2, rho=0.4 [DEC-045 S2]; descriptive curve cell</t>
  </si>
  <si>
    <t xml:space="preserve">multiverse cell 9/1260: coding=end_lag3, outlier=none, es_set=full, df_basis=dfE, estimator=3LMA-RVE_CR2, rho=0.4 [DEC-045 S2]; descriptive curve cell</t>
  </si>
  <si>
    <t xml:space="preserve">multiverse cell 10/1260: coding=clean_window, outlier=none, es_set=full, df_basis=dfE, estimator=3LMA-RVE_CR2, rho=0.4 [DEC-045 S2]; descriptive curve cell</t>
  </si>
  <si>
    <t xml:space="preserve">paris_mid|rstudent|full|dfE</t>
  </si>
  <si>
    <t xml:space="preserve">multiverse cell 11/1260: coding=paris_mid, outlier=rstudent, es_set=full, df_basis=dfE, estimator=3LMA-RVE_CR2, rho=0.4 [DEC-045 S2]; descriptive curve cell</t>
  </si>
  <si>
    <t xml:space="preserve">tie_break_median|rstudent|full|dfE</t>
  </si>
  <si>
    <t xml:space="preserve">multiverse cell 12/1260: coding=tie_break_median, outlier=rstudent, es_set=full, df_basis=dfE, estimator=3LMA-RVE_CR2, rho=0.4 [DEC-045 S2]; descriptive curve cell</t>
  </si>
  <si>
    <t xml:space="preserve">end_any_exposure|rstudent|full|dfE</t>
  </si>
  <si>
    <t xml:space="preserve">multiverse cell 13/1260: coding=end_any_exposure, outlier=rstudent, es_set=full, df_basis=dfE, estimator=3LMA-RVE_CR2, rho=0.4 [DEC-045 S2]; descriptive curve cell</t>
  </si>
  <si>
    <t xml:space="preserve">share_recut_2017|rstudent|full|dfE</t>
  </si>
  <si>
    <t xml:space="preserve">multiverse cell 14/1260: coding=share_recut_2017, outlier=rstudent, es_set=full, df_basis=dfE, estimator=3LMA-RVE_CR2, rho=0.4 [DEC-045 S2]; descriptive curve cell</t>
  </si>
  <si>
    <t xml:space="preserve">share_recut_2018|rstudent|full|dfE</t>
  </si>
  <si>
    <t xml:space="preserve">multiverse cell 15/1260: coding=share_recut_2018, outlier=rstudent, es_set=full, df_basis=dfE, estimator=3LMA-RVE_CR2, rho=0.4 [DEC-045 S2]; descriptive curve cell</t>
  </si>
  <si>
    <t xml:space="preserve">share_recut_2019|rstudent|full|dfE</t>
  </si>
  <si>
    <t xml:space="preserve">multiverse cell 16/1260: coding=share_recut_2019, outlier=rstudent, es_set=full, df_basis=dfE, estimator=3LMA-RVE_CR2, rho=0.4 [DEC-045 S2]; descriptive curve cell</t>
  </si>
  <si>
    <t xml:space="preserve">end_lag1|rstudent|full|dfE</t>
  </si>
  <si>
    <t xml:space="preserve">multiverse cell 17/1260: coding=end_lag1, outlier=rstudent, es_set=full, df_basis=dfE, estimator=3LMA-RVE_CR2, rho=0.4 [DEC-045 S2]; descriptive curve cell</t>
  </si>
  <si>
    <t xml:space="preserve">end_lag2|rstudent|full|dfE</t>
  </si>
  <si>
    <t xml:space="preserve">multiverse cell 18/1260: coding=end_lag2, outlier=rstudent, es_set=full, df_basis=dfE, estimator=3LMA-RVE_CR2, rho=0.4 [DEC-045 S2]; descriptive curve cell</t>
  </si>
  <si>
    <t xml:space="preserve">end_lag3|rstudent|full|dfE</t>
  </si>
  <si>
    <t xml:space="preserve">multiverse cell 19/1260: coding=end_lag3, outlier=rstudent, es_set=full, df_basis=dfE, estimator=3LMA-RVE_CR2, rho=0.4 [DEC-045 S2]; descriptive curve cell</t>
  </si>
  <si>
    <t xml:space="preserve">clean_window|rstudent|full|dfE</t>
  </si>
  <si>
    <t xml:space="preserve">multiverse cell 20/1260: coding=clean_window, outlier=rstudent, es_set=full, df_basis=dfE, estimator=3LMA-RVE_CR2, rho=0.4 [DEC-045 S2]; descriptive curve cell</t>
  </si>
  <si>
    <t xml:space="preserve">paris_mid|winsor|full|dfE</t>
  </si>
  <si>
    <t xml:space="preserve">multiverse cell 21/1260: coding=paris_mid, outlier=winsor, es_set=full, df_basis=dfE, estimator=3LMA-RVE_CR2, rho=0.4 [DEC-045 S2]; descriptive curve cell</t>
  </si>
  <si>
    <t xml:space="preserve">tie_break_median|winsor|full|dfE</t>
  </si>
  <si>
    <t xml:space="preserve">multiverse cell 22/1260: coding=tie_break_median, outlier=winsor, es_set=full, df_basis=dfE, estimator=3LMA-RVE_CR2, rho=0.4 [DEC-045 S2]; descriptive curve cell</t>
  </si>
  <si>
    <t xml:space="preserve">end_any_exposure|winsor|full|dfE</t>
  </si>
  <si>
    <t xml:space="preserve">multiverse cell 23/1260: coding=end_any_exposure, outlier=winsor, es_set=full, df_basis=dfE, estimator=3LMA-RVE_CR2, rho=0.4 [DEC-045 S2]; descriptive curve cell</t>
  </si>
  <si>
    <t xml:space="preserve">share_recut_2017|winsor|full|dfE</t>
  </si>
  <si>
    <t xml:space="preserve">multiverse cell 24/1260: coding=share_recut_2017, outlier=winsor, es_set=full, df_basis=dfE, estimator=3LMA-RVE_CR2, rho=0.4 [DEC-045 S2]; descriptive curve cell</t>
  </si>
  <si>
    <t xml:space="preserve">share_recut_2018|winsor|full|dfE</t>
  </si>
  <si>
    <t xml:space="preserve">multiverse cell 25/1260: coding=share_recut_2018, outlier=winsor, es_set=full, df_basis=dfE, estimator=3LMA-RVE_CR2, rho=0.4 [DEC-045 S2]; descriptive curve cell</t>
  </si>
  <si>
    <t xml:space="preserve">share_recut_2019|winsor|full|dfE</t>
  </si>
  <si>
    <t xml:space="preserve">multiverse cell 26/1260: coding=share_recut_2019, outlier=winsor, es_set=full, df_basis=dfE, estimator=3LMA-RVE_CR2, rho=0.4 [DEC-045 S2]; descriptive curve cell</t>
  </si>
  <si>
    <t xml:space="preserve">end_lag1|winsor|full|dfE</t>
  </si>
  <si>
    <t xml:space="preserve">multiverse cell 27/1260: coding=end_lag1, outlier=winsor, es_set=full, df_basis=dfE, estimator=3LMA-RVE_CR2, rho=0.4 [DEC-045 S2]; descriptive curve cell</t>
  </si>
  <si>
    <t xml:space="preserve">end_lag2|winsor|full|dfE</t>
  </si>
  <si>
    <t xml:space="preserve">multiverse cell 28/1260: coding=end_lag2, outlier=winsor, es_set=full, df_basis=dfE, estimator=3LMA-RVE_CR2, rho=0.4 [DEC-045 S2]; descriptive curve cell</t>
  </si>
  <si>
    <t xml:space="preserve">end_lag3|winsor|full|dfE</t>
  </si>
  <si>
    <t xml:space="preserve">multiverse cell 29/1260: coding=end_lag3, outlier=winsor, es_set=full, df_basis=dfE, estimator=3LMA-RVE_CR2, rho=0.4 [DEC-045 S2]; descriptive curve cell</t>
  </si>
  <si>
    <t xml:space="preserve">clean_window|winsor|full|dfE</t>
  </si>
  <si>
    <t xml:space="preserve">multiverse cell 30/1260: coding=clean_window, outlier=winsor, es_set=full, df_basis=dfE, estimator=3LMA-RVE_CR2, rho=0.4 [DEC-045 S2]; descriptive curve cell</t>
  </si>
  <si>
    <t xml:space="preserve">paris_mid|none|no_starbound|dfE</t>
  </si>
  <si>
    <t xml:space="preserve">multiverse cell 31/1260: coding=paris_mid, outlier=none, es_set=no_starbound, df_basis=dfE, estimator=3LMA-RVE_CR2, rho=0.4 [DEC-045 S2]; descriptive curve cell</t>
  </si>
  <si>
    <t xml:space="preserve">tie_break_median|none|no_starbound|dfE</t>
  </si>
  <si>
    <t xml:space="preserve">multiverse cell 32/1260: coding=tie_break_median, outlier=none, es_set=no_starbound, df_basis=dfE, estimator=3LMA-RVE_CR2, rho=0.4 [DEC-045 S2]; descriptive curve cell</t>
  </si>
  <si>
    <t xml:space="preserve">end_any_exposure|none|no_starbound|dfE</t>
  </si>
  <si>
    <t xml:space="preserve">multiverse cell 33/1260: coding=end_any_exposure, outlier=none, es_set=no_starbound, df_basis=dfE, estimator=3LMA-RVE_CR2, rho=0.4 [DEC-045 S2]; descriptive curve cell</t>
  </si>
  <si>
    <t xml:space="preserve">share_recut_2017|none|no_starbound|dfE</t>
  </si>
  <si>
    <t xml:space="preserve">multiverse cell 34/1260: coding=share_recut_2017, outlier=none, es_set=no_starbound, df_basis=dfE, estimator=3LMA-RVE_CR2, rho=0.4 [DEC-045 S2]; descriptive curve cell</t>
  </si>
  <si>
    <t xml:space="preserve">share_recut_2018|none|no_starbound|dfE</t>
  </si>
  <si>
    <t xml:space="preserve">multiverse cell 35/1260: coding=share_recut_2018, outlier=none, es_set=no_starbound, df_basis=dfE, estimator=3LMA-RVE_CR2, rho=0.4 [DEC-045 S2]; descriptive curve cell</t>
  </si>
  <si>
    <t xml:space="preserve">share_recut_2019|none|no_starbound|dfE</t>
  </si>
  <si>
    <t xml:space="preserve">multiverse cell 36/1260: coding=share_recut_2019, outlier=none, es_set=no_starbound, df_basis=dfE, estimator=3LMA-RVE_CR2, rho=0.4 [DEC-045 S2]; descriptive curve cell</t>
  </si>
  <si>
    <t xml:space="preserve">end_lag1|none|no_starbound|dfE</t>
  </si>
  <si>
    <t xml:space="preserve">multiverse cell 37/1260: coding=end_lag1, outlier=none, es_set=no_starbound, df_basis=dfE, estimator=3LMA-RVE_CR2, rho=0.4 [DEC-045 S2]; descriptive curve cell</t>
  </si>
  <si>
    <t xml:space="preserve">end_lag2|none|no_starbound|dfE</t>
  </si>
  <si>
    <t xml:space="preserve">multiverse cell 38/1260: coding=end_lag2, outlier=none, es_set=no_starbound, df_basis=dfE, estimator=3LMA-RVE_CR2, rho=0.4 [DEC-045 S2]; descriptive curve cell</t>
  </si>
  <si>
    <t xml:space="preserve">end_lag3|none|no_starbound|dfE</t>
  </si>
  <si>
    <t xml:space="preserve">multiverse cell 39/1260: coding=end_lag3, outlier=none, es_set=no_starbound, df_basis=dfE, estimator=3LMA-RVE_CR2, rho=0.4 [DEC-045 S2]; descriptive curve cell</t>
  </si>
  <si>
    <t xml:space="preserve">clean_window|none|no_starbound|dfE</t>
  </si>
  <si>
    <t xml:space="preserve">multiverse cell 40/1260: coding=clean_window, outlier=none, es_set=no_starbound, df_basis=dfE, estimator=3LMA-RVE_CR2, rho=0.4 [DEC-045 S2]; descriptive curve cell</t>
  </si>
  <si>
    <t xml:space="preserve">paris_mid|rstudent|no_starbound|dfE</t>
  </si>
  <si>
    <t xml:space="preserve">multiverse cell 41/1260: coding=paris_mid, outlier=rstudent, es_set=no_starbound, df_basis=dfE, estimator=3LMA-RVE_CR2, rho=0.4 [DEC-045 S2]; descriptive curve cell</t>
  </si>
  <si>
    <t xml:space="preserve">tie_break_median|rstudent|no_starbound|dfE</t>
  </si>
  <si>
    <t xml:space="preserve">multiverse cell 42/1260: coding=tie_break_median, outlier=rstudent, es_set=no_starbound, df_basis=dfE, estimator=3LMA-RVE_CR2, rho=0.4 [DEC-045 S2]; descriptive curve cell</t>
  </si>
  <si>
    <t xml:space="preserve">end_any_exposure|rstudent|no_starbound|dfE</t>
  </si>
  <si>
    <t xml:space="preserve">multiverse cell 43/1260: coding=end_any_exposure, outlier=rstudent, es_set=no_starbound, df_basis=dfE, estimator=3LMA-RVE_CR2, rho=0.4 [DEC-045 S2]; descriptive curve cell</t>
  </si>
  <si>
    <t xml:space="preserve">share_recut_2017|rstudent|no_starbound|dfE</t>
  </si>
  <si>
    <t xml:space="preserve">multiverse cell 44/1260: coding=share_recut_2017, outlier=rstudent, es_set=no_starbound, df_basis=dfE, estimator=3LMA-RVE_CR2, rho=0.4 [DEC-045 S2]; descriptive curve cell</t>
  </si>
  <si>
    <t xml:space="preserve">share_recut_2018|rstudent|no_starbound|dfE</t>
  </si>
  <si>
    <t xml:space="preserve">multiverse cell 45/1260: coding=share_recut_2018, outlier=rstudent, es_set=no_starbound, df_basis=dfE, estimator=3LMA-RVE_CR2, rho=0.4 [DEC-045 S2]; descriptive curve cell</t>
  </si>
  <si>
    <t xml:space="preserve">share_recut_2019|rstudent|no_starbound|dfE</t>
  </si>
  <si>
    <t xml:space="preserve">multiverse cell 46/1260: coding=share_recut_2019, outlier=rstudent, es_set=no_starbound, df_basis=dfE, estimator=3LMA-RVE_CR2, rho=0.4 [DEC-045 S2]; descriptive curve cell</t>
  </si>
  <si>
    <t xml:space="preserve">end_lag1|rstudent|no_starbound|dfE</t>
  </si>
  <si>
    <t xml:space="preserve">multiverse cell 47/1260: coding=end_lag1, outlier=rstudent, es_set=no_starbound, df_basis=dfE, estimator=3LMA-RVE_CR2, rho=0.4 [DEC-045 S2]; descriptive curve cell</t>
  </si>
  <si>
    <t xml:space="preserve">end_lag2|rstudent|no_starbound|dfE</t>
  </si>
  <si>
    <t xml:space="preserve">multiverse cell 48/1260: coding=end_lag2, outlier=rstudent, es_set=no_starbound, df_basis=dfE, estimator=3LMA-RVE_CR2, rho=0.4 [DEC-045 S2]; descriptive curve cell</t>
  </si>
  <si>
    <t xml:space="preserve">end_lag3|rstudent|no_starbound|dfE</t>
  </si>
  <si>
    <t xml:space="preserve">multiverse cell 49/1260: coding=end_lag3, outlier=rstudent, es_set=no_starbound, df_basis=dfE, estimator=3LMA-RVE_CR2, rho=0.4 [DEC-045 S2]; descriptive curve cell</t>
  </si>
  <si>
    <t xml:space="preserve">clean_window|rstudent|no_starbound|dfE</t>
  </si>
  <si>
    <t xml:space="preserve">multiverse cell 50/1260: coding=clean_window, outlier=rstudent, es_set=no_starbound, df_basis=dfE, estimator=3LMA-RVE_CR2, rho=0.4 [DEC-045 S2]; descriptive curve cell</t>
  </si>
  <si>
    <t xml:space="preserve">paris_mid|winsor|no_starbound|dfE</t>
  </si>
  <si>
    <t xml:space="preserve">multiverse cell 51/1260: coding=paris_mid, outlier=winsor, es_set=no_starbound, df_basis=dfE, estimator=3LMA-RVE_CR2, rho=0.4 [DEC-045 S2]; descriptive curve cell</t>
  </si>
  <si>
    <t xml:space="preserve">tie_break_median|winsor|no_starbound|dfE</t>
  </si>
  <si>
    <t xml:space="preserve">multiverse cell 52/1260: coding=tie_break_median, outlier=winsor, es_set=no_starbound, df_basis=dfE, estimator=3LMA-RVE_CR2, rho=0.4 [DEC-045 S2]; descriptive curve cell</t>
  </si>
  <si>
    <t xml:space="preserve">end_any_exposure|winsor|no_starbound|dfE</t>
  </si>
  <si>
    <t xml:space="preserve">multiverse cell 53/1260: coding=end_any_exposure, outlier=winsor, es_set=no_starbound, df_basis=dfE, estimator=3LMA-RVE_CR2, rho=0.4 [DEC-045 S2]; descriptive curve cell</t>
  </si>
  <si>
    <t xml:space="preserve">share_recut_2017|winsor|no_starbound|dfE</t>
  </si>
  <si>
    <t xml:space="preserve">multiverse cell 54/1260: coding=share_recut_2017, outlier=winsor, es_set=no_starbound, df_basis=dfE, estimator=3LMA-RVE_CR2, rho=0.4 [DEC-045 S2]; descriptive curve cell</t>
  </si>
  <si>
    <t xml:space="preserve">share_recut_2018|winsor|no_starbound|dfE</t>
  </si>
  <si>
    <t xml:space="preserve">multiverse cell 55/1260: coding=share_recut_2018, outlier=winsor, es_set=no_starbound, df_basis=dfE, estimator=3LMA-RVE_CR2, rho=0.4 [DEC-045 S2]; descriptive curve cell</t>
  </si>
  <si>
    <t xml:space="preserve">share_recut_2019|winsor|no_starbound|dfE</t>
  </si>
  <si>
    <t xml:space="preserve">multiverse cell 56/1260: coding=share_recut_2019, outlier=winsor, es_set=no_starbound, df_basis=dfE, estimator=3LMA-RVE_CR2, rho=0.4 [DEC-045 S2]; descriptive curve cell</t>
  </si>
  <si>
    <t xml:space="preserve">end_lag1|winsor|no_starbound|dfE</t>
  </si>
  <si>
    <t xml:space="preserve">multiverse cell 57/1260: coding=end_lag1, outlier=winsor, es_set=no_starbound, df_basis=dfE, estimator=3LMA-RVE_CR2, rho=0.4 [DEC-045 S2]; descriptive curve cell</t>
  </si>
  <si>
    <t xml:space="preserve">end_lag2|winsor|no_starbound|dfE</t>
  </si>
  <si>
    <t xml:space="preserve">multiverse cell 58/1260: coding=end_lag2, outlier=winsor, es_set=no_starbound, df_basis=dfE, estimator=3LMA-RVE_CR2, rho=0.4 [DEC-045 S2]; descriptive curve cell</t>
  </si>
  <si>
    <t xml:space="preserve">end_lag3|winsor|no_starbound|dfE</t>
  </si>
  <si>
    <t xml:space="preserve">multiverse cell 59/1260: coding=end_lag3, outlier=winsor, es_set=no_starbound, df_basis=dfE, estimator=3LMA-RVE_CR2, rho=0.4 [DEC-045 S2]; descriptive curve cell</t>
  </si>
  <si>
    <t xml:space="preserve">clean_window|winsor|no_starbound|dfE</t>
  </si>
  <si>
    <t xml:space="preserve">multiverse cell 60/1260: coding=clean_window, outlier=winsor, es_set=no_starbound, df_basis=dfE, estimator=3LMA-RVE_CR2, rho=0.4 [DEC-045 S2]; descriptive curve cell</t>
  </si>
  <si>
    <t xml:space="preserve">paris_mid|none|full|k10</t>
  </si>
  <si>
    <t xml:space="preserve">multiverse cell 61/1260: coding=paris_mid, outlier=none, es_set=full, df_basis=k10, estimator=3LMA-RVE_CR2, rho=0.4 [DEC-045 S2]; descriptive curve cell</t>
  </si>
  <si>
    <t xml:space="preserve">tie_break_median|none|full|k10</t>
  </si>
  <si>
    <t xml:space="preserve">multiverse cell 62/1260: coding=tie_break_median, outlier=none, es_set=full, df_basis=k10, estimator=3LMA-RVE_CR2, rho=0.4 [DEC-045 S2]; descriptive curve cell</t>
  </si>
  <si>
    <t xml:space="preserve">end_any_exposure|none|full|k10</t>
  </si>
  <si>
    <t xml:space="preserve">multiverse cell 63/1260: coding=end_any_exposure, outlier=none, es_set=full, df_basis=k10, estimator=3LMA-RVE_CR2, rho=0.4 [DEC-045 S2]; descriptive curve cell</t>
  </si>
  <si>
    <t xml:space="preserve">share_recut_2017|none|full|k10</t>
  </si>
  <si>
    <t xml:space="preserve">multiverse cell 64/1260: coding=share_recut_2017, outlier=none, es_set=full, df_basis=k10, estimator=3LMA-RVE_CR2, rho=0.4 [DEC-045 S2]; descriptive curve cell</t>
  </si>
  <si>
    <t xml:space="preserve">share_recut_2018|none|full|k10</t>
  </si>
  <si>
    <t xml:space="preserve">multiverse cell 65/1260: coding=share_recut_2018, outlier=none, es_set=full, df_basis=k10, estimator=3LMA-RVE_CR2, rho=0.4 [DEC-045 S2]; descriptive curve cell</t>
  </si>
  <si>
    <t xml:space="preserve">share_recut_2019|none|full|k10</t>
  </si>
  <si>
    <t xml:space="preserve">multiverse cell 66/1260: coding=share_recut_2019, outlier=none, es_set=full, df_basis=k10, estimator=3LMA-RVE_CR2, rho=0.4 [DEC-045 S2]; descriptive curve cell</t>
  </si>
  <si>
    <t xml:space="preserve">end_lag1|none|full|k10</t>
  </si>
  <si>
    <t xml:space="preserve">multiverse cell 67/1260: coding=end_lag1, outlier=none, es_set=full, df_basis=k10, estimator=3LMA-RVE_CR2, rho=0.4 [DEC-045 S2]; descriptive curve cell</t>
  </si>
  <si>
    <t xml:space="preserve">end_lag2|none|full|k10</t>
  </si>
  <si>
    <t xml:space="preserve">multiverse cell 68/1260: coding=end_lag2, outlier=none, es_set=full, df_basis=k10, estimator=3LMA-RVE_CR2, rho=0.4 [DEC-045 S2]; descriptive curve cell</t>
  </si>
  <si>
    <t xml:space="preserve">end_lag3|none|full|k10</t>
  </si>
  <si>
    <t xml:space="preserve">multiverse cell 69/1260: coding=end_lag3, outlier=none, es_set=full, df_basis=k10, estimator=3LMA-RVE_CR2, rho=0.4 [DEC-045 S2]; descriptive curve cell</t>
  </si>
  <si>
    <t xml:space="preserve">clean_window|none|full|k10</t>
  </si>
  <si>
    <t xml:space="preserve">multiverse cell 70/1260: coding=clean_window, outlier=none, es_set=full, df_basis=k10, estimator=3LMA-RVE_CR2, rho=0.4 [DEC-045 S2]; descriptive curve cell</t>
  </si>
  <si>
    <t xml:space="preserve">paris_mid|rstudent|full|k10</t>
  </si>
  <si>
    <t xml:space="preserve">multiverse cell 71/1260: coding=paris_mid, outlier=rstudent, es_set=full, df_basis=k10, estimator=3LMA-RVE_CR2, rho=0.4 [DEC-045 S2]; descriptive curve cell</t>
  </si>
  <si>
    <t xml:space="preserve">tie_break_median|rstudent|full|k10</t>
  </si>
  <si>
    <t xml:space="preserve">multiverse cell 72/1260: coding=tie_break_median, outlier=rstudent, es_set=full, df_basis=k10, estimator=3LMA-RVE_CR2, rho=0.4 [DEC-045 S2]; descriptive curve cell</t>
  </si>
  <si>
    <t xml:space="preserve">end_any_exposure|rstudent|full|k10</t>
  </si>
  <si>
    <t xml:space="preserve">multiverse cell 73/1260: coding=end_any_exposure, outlier=rstudent, es_set=full, df_basis=k10, estimator=3LMA-RVE_CR2, rho=0.4 [DEC-045 S2]; descriptive curve cell</t>
  </si>
  <si>
    <t xml:space="preserve">share_recut_2017|rstudent|full|k10</t>
  </si>
  <si>
    <t xml:space="preserve">multiverse cell 74/1260: coding=share_recut_2017, outlier=rstudent, es_set=full, df_basis=k10, estimator=3LMA-RVE_CR2, rho=0.4 [DEC-045 S2]; descriptive curve cell</t>
  </si>
  <si>
    <t xml:space="preserve">share_recut_2018|rstudent|full|k10</t>
  </si>
  <si>
    <t xml:space="preserve">multiverse cell 75/1260: coding=share_recut_2018, outlier=rstudent, es_set=full, df_basis=k10, estimator=3LMA-RVE_CR2, rho=0.4 [DEC-045 S2]; descriptive curve cell</t>
  </si>
  <si>
    <t xml:space="preserve">share_recut_2019|rstudent|full|k10</t>
  </si>
  <si>
    <t xml:space="preserve">multiverse cell 76/1260: coding=share_recut_2019, outlier=rstudent, es_set=full, df_basis=k10, estimator=3LMA-RVE_CR2, rho=0.4 [DEC-045 S2]; descriptive curve cell</t>
  </si>
  <si>
    <t xml:space="preserve">end_lag1|rstudent|full|k10</t>
  </si>
  <si>
    <t xml:space="preserve">multiverse cell 77/1260: coding=end_lag1, outlier=rstudent, es_set=full, df_basis=k10, estimator=3LMA-RVE_CR2, rho=0.4 [DEC-045 S2]; descriptive curve cell</t>
  </si>
  <si>
    <t xml:space="preserve">end_lag2|rstudent|full|k10</t>
  </si>
  <si>
    <t xml:space="preserve">multiverse cell 78/1260: coding=end_lag2, outlier=rstudent, es_set=full, df_basis=k10, estimator=3LMA-RVE_CR2, rho=0.4 [DEC-045 S2]; descriptive curve cell</t>
  </si>
  <si>
    <t xml:space="preserve">end_lag3|rstudent|full|k10</t>
  </si>
  <si>
    <t xml:space="preserve">multiverse cell 79/1260: coding=end_lag3, outlier=rstudent, es_set=full, df_basis=k10, estimator=3LMA-RVE_CR2, rho=0.4 [DEC-045 S2]; descriptive curve cell</t>
  </si>
  <si>
    <t xml:space="preserve">clean_window|rstudent|full|k10</t>
  </si>
  <si>
    <t xml:space="preserve">multiverse cell 80/1260: coding=clean_window, outlier=rstudent, es_set=full, df_basis=k10, estimator=3LMA-RVE_CR2, rho=0.4 [DEC-045 S2]; descriptive curve cell</t>
  </si>
  <si>
    <t xml:space="preserve">paris_mid|winsor|full|k10</t>
  </si>
  <si>
    <t xml:space="preserve">multiverse cell 81/1260: coding=paris_mid, outlier=winsor, es_set=full, df_basis=k10, estimator=3LMA-RVE_CR2, rho=0.4 [DEC-045 S2]; descriptive curve cell</t>
  </si>
  <si>
    <t xml:space="preserve">tie_break_median|winsor|full|k10</t>
  </si>
  <si>
    <t xml:space="preserve">multiverse cell 82/1260: coding=tie_break_median, outlier=winsor, es_set=full, df_basis=k10, estimator=3LMA-RVE_CR2, rho=0.4 [DEC-045 S2]; descriptive curve cell</t>
  </si>
  <si>
    <t xml:space="preserve">end_any_exposure|winsor|full|k10</t>
  </si>
  <si>
    <t xml:space="preserve">multiverse cell 83/1260: coding=end_any_exposure, outlier=winsor, es_set=full, df_basis=k10, estimator=3LMA-RVE_CR2, rho=0.4 [DEC-045 S2]; descriptive curve cell</t>
  </si>
  <si>
    <t xml:space="preserve">share_recut_2017|winsor|full|k10</t>
  </si>
  <si>
    <t xml:space="preserve">multiverse cell 84/1260: coding=share_recut_2017, outlier=winsor, es_set=full, df_basis=k10, estimator=3LMA-RVE_CR2, rho=0.4 [DEC-045 S2]; descriptive curve cell</t>
  </si>
  <si>
    <t xml:space="preserve">share_recut_2018|winsor|full|k10</t>
  </si>
  <si>
    <t xml:space="preserve">multiverse cell 85/1260: coding=share_recut_2018, outlier=winsor, es_set=full, df_basis=k10, estimator=3LMA-RVE_CR2, rho=0.4 [DEC-045 S2]; descriptive curve cell</t>
  </si>
  <si>
    <t xml:space="preserve">share_recut_2019|winsor|full|k10</t>
  </si>
  <si>
    <t xml:space="preserve">multiverse cell 86/1260: coding=share_recut_2019, outlier=winsor, es_set=full, df_basis=k10, estimator=3LMA-RVE_CR2, rho=0.4 [DEC-045 S2]; descriptive curve cell</t>
  </si>
  <si>
    <t xml:space="preserve">end_lag1|winsor|full|k10</t>
  </si>
  <si>
    <t xml:space="preserve">multiverse cell 87/1260: coding=end_lag1, outlier=winsor, es_set=full, df_basis=k10, estimator=3LMA-RVE_CR2, rho=0.4 [DEC-045 S2]; descriptive curve cell</t>
  </si>
  <si>
    <t xml:space="preserve">end_lag2|winsor|full|k10</t>
  </si>
  <si>
    <t xml:space="preserve">multiverse cell 88/1260: coding=end_lag2, outlier=winsor, es_set=full, df_basis=k10, estimator=3LMA-RVE_CR2, rho=0.4 [DEC-045 S2]; descriptive curve cell</t>
  </si>
  <si>
    <t xml:space="preserve">end_lag3|winsor|full|k10</t>
  </si>
  <si>
    <t xml:space="preserve">multiverse cell 89/1260: coding=end_lag3, outlier=winsor, es_set=full, df_basis=k10, estimator=3LMA-RVE_CR2, rho=0.4 [DEC-045 S2]; descriptive curve cell</t>
  </si>
  <si>
    <t xml:space="preserve">clean_window|winsor|full|k10</t>
  </si>
  <si>
    <t xml:space="preserve">multiverse cell 90/1260: coding=clean_window, outlier=winsor, es_set=full, df_basis=k10, estimator=3LMA-RVE_CR2, rho=0.4 [DEC-045 S2]; descriptive curve cell</t>
  </si>
  <si>
    <t xml:space="preserve">paris_mid|none|no_starbound|k10</t>
  </si>
  <si>
    <t xml:space="preserve">multiverse cell 91/1260: coding=paris_mid, outlier=none, es_set=no_starbound, df_basis=k10, estimator=3LMA-RVE_CR2, rho=0.4 [DEC-045 S2]; descriptive curve cell</t>
  </si>
  <si>
    <t xml:space="preserve">tie_break_median|none|no_starbound|k10</t>
  </si>
  <si>
    <t xml:space="preserve">multiverse cell 92/1260: coding=tie_break_median, outlier=none, es_set=no_starbound, df_basis=k10, estimator=3LMA-RVE_CR2, rho=0.4 [DEC-045 S2]; descriptive curve cell</t>
  </si>
  <si>
    <t xml:space="preserve">end_any_exposure|none|no_starbound|k10</t>
  </si>
  <si>
    <t xml:space="preserve">multiverse cell 93/1260: coding=end_any_exposure, outlier=none, es_set=no_starbound, df_basis=k10, estimator=3LMA-RVE_CR2, rho=0.4 [DEC-045 S2]; descriptive curve cell</t>
  </si>
  <si>
    <t xml:space="preserve">share_recut_2017|none|no_starbound|k10</t>
  </si>
  <si>
    <t xml:space="preserve">multiverse cell 94/1260: coding=share_recut_2017, outlier=none, es_set=no_starbound, df_basis=k10, estimator=3LMA-RVE_CR2, rho=0.4 [DEC-045 S2]; descriptive curve cell</t>
  </si>
  <si>
    <t xml:space="preserve">share_recut_2018|none|no_starbound|k10</t>
  </si>
  <si>
    <t xml:space="preserve">multiverse cell 95/1260: coding=share_recut_2018, outlier=none, es_set=no_starbound, df_basis=k10, estimator=3LMA-RVE_CR2, rho=0.4 [DEC-045 S2]; descriptive curve cell</t>
  </si>
  <si>
    <t xml:space="preserve">share_recut_2019|none|no_starbound|k10</t>
  </si>
  <si>
    <t xml:space="preserve">multiverse cell 96/1260: coding=share_recut_2019, outlier=none, es_set=no_starbound, df_basis=k10, estimator=3LMA-RVE_CR2, rho=0.4 [DEC-045 S2]; descriptive curve cell</t>
  </si>
  <si>
    <t xml:space="preserve">end_lag1|none|no_starbound|k10</t>
  </si>
  <si>
    <t xml:space="preserve">multiverse cell 97/1260: coding=end_lag1, outlier=none, es_set=no_starbound, df_basis=k10, estimator=3LMA-RVE_CR2, rho=0.4 [DEC-045 S2]; descriptive curve cell</t>
  </si>
  <si>
    <t xml:space="preserve">end_lag2|none|no_starbound|k10</t>
  </si>
  <si>
    <t xml:space="preserve">multiverse cell 98/1260: coding=end_lag2, outlier=none, es_set=no_starbound, df_basis=k10, estimator=3LMA-RVE_CR2, rho=0.4 [DEC-045 S2]; descriptive curve cell</t>
  </si>
  <si>
    <t xml:space="preserve">end_lag3|none|no_starbound|k10</t>
  </si>
  <si>
    <t xml:space="preserve">multiverse cell 99/1260: coding=end_lag3, outlier=none, es_set=no_starbound, df_basis=k10, estimator=3LMA-RVE_CR2, rho=0.4 [DEC-045 S2]; descriptive curve cell</t>
  </si>
  <si>
    <t xml:space="preserve">clean_window|none|no_starbound|k10</t>
  </si>
  <si>
    <t xml:space="preserve">multiverse cell 100/1260: coding=clean_window, outlier=none, es_set=no_starbound, df_basis=k10, estimator=3LMA-RVE_CR2, rho=0.4 [DEC-045 S2]; descriptive curve cell</t>
  </si>
  <si>
    <t xml:space="preserve">paris_mid|rstudent|no_starbound|k10</t>
  </si>
  <si>
    <t xml:space="preserve">multiverse cell 101/1260: coding=paris_mid, outlier=rstudent, es_set=no_starbound, df_basis=k10, estimator=3LMA-RVE_CR2, rho=0.4 [DEC-045 S2]; descriptive curve cell</t>
  </si>
  <si>
    <t xml:space="preserve">tie_break_median|rstudent|no_starbound|k10</t>
  </si>
  <si>
    <t xml:space="preserve">multiverse cell 102/1260: coding=tie_break_median, outlier=rstudent, es_set=no_starbound, df_basis=k10, estimator=3LMA-RVE_CR2, rho=0.4 [DEC-045 S2]; descriptive curve cell</t>
  </si>
  <si>
    <t xml:space="preserve">end_any_exposure|rstudent|no_starbound|k10</t>
  </si>
  <si>
    <t xml:space="preserve">multiverse cell 103/1260: coding=end_any_exposure, outlier=rstudent, es_set=no_starbound, df_basis=k10, estimator=3LMA-RVE_CR2, rho=0.4 [DEC-045 S2]; descriptive curve cell</t>
  </si>
  <si>
    <t xml:space="preserve">share_recut_2017|rstudent|no_starbound|k10</t>
  </si>
  <si>
    <t xml:space="preserve">multiverse cell 104/1260: coding=share_recut_2017, outlier=rstudent, es_set=no_starbound, df_basis=k10, estimator=3LMA-RVE_CR2, rho=0.4 [DEC-045 S2]; descriptive curve cell</t>
  </si>
  <si>
    <t xml:space="preserve">share_recut_2018|rstudent|no_starbound|k10</t>
  </si>
  <si>
    <t xml:space="preserve">multiverse cell 105/1260: coding=share_recut_2018, outlier=rstudent, es_set=no_starbound, df_basis=k10, estimator=3LMA-RVE_CR2, rho=0.4 [DEC-045 S2]; descriptive curve cell</t>
  </si>
  <si>
    <t xml:space="preserve">share_recut_2019|rstudent|no_starbound|k10</t>
  </si>
  <si>
    <t xml:space="preserve">multiverse cell 106/1260: coding=share_recut_2019, outlier=rstudent, es_set=no_starbound, df_basis=k10, estimator=3LMA-RVE_CR2, rho=0.4 [DEC-045 S2]; descriptive curve cell</t>
  </si>
  <si>
    <t xml:space="preserve">end_lag1|rstudent|no_starbound|k10</t>
  </si>
  <si>
    <t xml:space="preserve">multiverse cell 107/1260: coding=end_lag1, outlier=rstudent, es_set=no_starbound, df_basis=k10, estimator=3LMA-RVE_CR2, rho=0.4 [DEC-045 S2]; descriptive curve cell</t>
  </si>
  <si>
    <t xml:space="preserve">end_lag2|rstudent|no_starbound|k10</t>
  </si>
  <si>
    <t xml:space="preserve">multiverse cell 108/1260: coding=end_lag2, outlier=rstudent, es_set=no_starbound, df_basis=k10, estimator=3LMA-RVE_CR2, rho=0.4 [DEC-045 S2]; descriptive curve cell</t>
  </si>
  <si>
    <t xml:space="preserve">end_lag3|rstudent|no_starbound|k10</t>
  </si>
  <si>
    <t xml:space="preserve">multiverse cell 109/1260: coding=end_lag3, outlier=rstudent, es_set=no_starbound, df_basis=k10, estimator=3LMA-RVE_CR2, rho=0.4 [DEC-045 S2]; descriptive curve cell</t>
  </si>
  <si>
    <t xml:space="preserve">clean_window|rstudent|no_starbound|k10</t>
  </si>
  <si>
    <t xml:space="preserve">multiverse cell 110/1260: coding=clean_window, outlier=rstudent, es_set=no_starbound, df_basis=k10, estimator=3LMA-RVE_CR2, rho=0.4 [DEC-045 S2]; descriptive curve cell</t>
  </si>
  <si>
    <t xml:space="preserve">paris_mid|winsor|no_starbound|k10</t>
  </si>
  <si>
    <t xml:space="preserve">multiverse cell 111/1260: coding=paris_mid, outlier=winsor, es_set=no_starbound, df_basis=k10, estimator=3LMA-RVE_CR2, rho=0.4 [DEC-045 S2]; descriptive curve cell</t>
  </si>
  <si>
    <t xml:space="preserve">tie_break_median|winsor|no_starbound|k10</t>
  </si>
  <si>
    <t xml:space="preserve">multiverse cell 112/1260: coding=tie_break_median, outlier=winsor, es_set=no_starbound, df_basis=k10, estimator=3LMA-RVE_CR2, rho=0.4 [DEC-045 S2]; descriptive curve cell</t>
  </si>
  <si>
    <t xml:space="preserve">end_any_exposure|winsor|no_starbound|k10</t>
  </si>
  <si>
    <t xml:space="preserve">multiverse cell 113/1260: coding=end_any_exposure, outlier=winsor, es_set=no_starbound, df_basis=k10, estimator=3LMA-RVE_CR2, rho=0.4 [DEC-045 S2]; descriptive curve cell</t>
  </si>
  <si>
    <t xml:space="preserve">share_recut_2017|winsor|no_starbound|k10</t>
  </si>
  <si>
    <t xml:space="preserve">multiverse cell 114/1260: coding=share_recut_2017, outlier=winsor, es_set=no_starbound, df_basis=k10, estimator=3LMA-RVE_CR2, rho=0.4 [DEC-045 S2]; descriptive curve cell</t>
  </si>
  <si>
    <t xml:space="preserve">share_recut_2018|winsor|no_starbound|k10</t>
  </si>
  <si>
    <t xml:space="preserve">multiverse cell 115/1260: coding=share_recut_2018, outlier=winsor, es_set=no_starbound, df_basis=k10, estimator=3LMA-RVE_CR2, rho=0.4 [DEC-045 S2]; descriptive curve cell</t>
  </si>
  <si>
    <t xml:space="preserve">share_recut_2019|winsor|no_starbound|k10</t>
  </si>
  <si>
    <t xml:space="preserve">multiverse cell 116/1260: coding=share_recut_2019, outlier=winsor, es_set=no_starbound, df_basis=k10, estimator=3LMA-RVE_CR2, rho=0.4 [DEC-045 S2]; descriptive curve cell</t>
  </si>
  <si>
    <t xml:space="preserve">end_lag1|winsor|no_starbound|k10</t>
  </si>
  <si>
    <t xml:space="preserve">multiverse cell 117/1260: coding=end_lag1, outlier=winsor, es_set=no_starbound, df_basis=k10, estimator=3LMA-RVE_CR2, rho=0.4 [DEC-045 S2]; descriptive curve cell</t>
  </si>
  <si>
    <t xml:space="preserve">end_lag2|winsor|no_starbound|k10</t>
  </si>
  <si>
    <t xml:space="preserve">multiverse cell 118/1260: coding=end_lag2, outlier=winsor, es_set=no_starbound, df_basis=k10, estimator=3LMA-RVE_CR2, rho=0.4 [DEC-045 S2]; descriptive curve cell</t>
  </si>
  <si>
    <t xml:space="preserve">end_lag3|winsor|no_starbound|k10</t>
  </si>
  <si>
    <t xml:space="preserve">multiverse cell 119/1260: coding=end_lag3, outlier=winsor, es_set=no_starbound, df_basis=k10, estimator=3LMA-RVE_CR2, rho=0.4 [DEC-045 S2]; descriptive curve cell</t>
  </si>
  <si>
    <t xml:space="preserve">clean_window|winsor|no_starbound|k10</t>
  </si>
  <si>
    <t xml:space="preserve">multiverse cell 120/1260: coding=clean_window, outlier=winsor, es_set=no_starbound, df_basis=k10, estimator=3LMA-RVE_CR2, rho=0.4 [DEC-045 S2]; descriptive curve cell</t>
  </si>
  <si>
    <t xml:space="preserve">paris_mid|none|full|k20</t>
  </si>
  <si>
    <t xml:space="preserve">multiverse cell 121/1260: coding=paris_mid, outlier=none, es_set=full, df_basis=k20, estimator=3LMA-RVE_CR2, rho=0.4 [DEC-045 S2]; descriptive curve cell</t>
  </si>
  <si>
    <t xml:space="preserve">tie_break_median|none|full|k20</t>
  </si>
  <si>
    <t xml:space="preserve">multiverse cell 122/1260: coding=tie_break_median, outlier=none, es_set=full, df_basis=k20, estimator=3LMA-RVE_CR2, rho=0.4 [DEC-045 S2]; descriptive curve cell</t>
  </si>
  <si>
    <t xml:space="preserve">end_any_exposure|none|full|k20</t>
  </si>
  <si>
    <t xml:space="preserve">multiverse cell 123/1260: coding=end_any_exposure, outlier=none, es_set=full, df_basis=k20, estimator=3LMA-RVE_CR2, rho=0.4 [DEC-045 S2]; descriptive curve cell</t>
  </si>
  <si>
    <t xml:space="preserve">share_recut_2017|none|full|k20</t>
  </si>
  <si>
    <t xml:space="preserve">multiverse cell 124/1260: coding=share_recut_2017, outlier=none, es_set=full, df_basis=k20, estimator=3LMA-RVE_CR2, rho=0.4 [DEC-045 S2]; descriptive curve cell</t>
  </si>
  <si>
    <t xml:space="preserve">share_recut_2018|none|full|k20</t>
  </si>
  <si>
    <t xml:space="preserve">multiverse cell 125/1260: coding=share_recut_2018, outlier=none, es_set=full, df_basis=k20, estimator=3LMA-RVE_CR2, rho=0.4 [DEC-045 S2]; descriptive curve cell</t>
  </si>
  <si>
    <t xml:space="preserve">share_recut_2019|none|full|k20</t>
  </si>
  <si>
    <t xml:space="preserve">multiverse cell 126/1260: coding=share_recut_2019, outlier=none, es_set=full, df_basis=k20, estimator=3LMA-RVE_CR2, rho=0.4 [DEC-045 S2]; descriptive curve cell</t>
  </si>
  <si>
    <t xml:space="preserve">end_lag1|none|full|k20</t>
  </si>
  <si>
    <t xml:space="preserve">multiverse cell 127/1260: coding=end_lag1, outlier=none, es_set=full, df_basis=k20, estimator=3LMA-RVE_CR2, rho=0.4 [DEC-045 S2]; descriptive curve cell</t>
  </si>
  <si>
    <t xml:space="preserve">end_lag2|none|full|k20</t>
  </si>
  <si>
    <t xml:space="preserve">multiverse cell 128/1260: coding=end_lag2, outlier=none, es_set=full, df_basis=k20, estimator=3LMA-RVE_CR2, rho=0.4 [DEC-045 S2]; descriptive curve cell</t>
  </si>
  <si>
    <t xml:space="preserve">end_lag3|none|full|k20</t>
  </si>
  <si>
    <t xml:space="preserve">multiverse cell 129/1260: coding=end_lag3, outlier=none, es_set=full, df_basis=k20, estimator=3LMA-RVE_CR2, rho=0.4 [DEC-045 S2]; descriptive curve cell</t>
  </si>
  <si>
    <t xml:space="preserve">clean_window|none|full|k20</t>
  </si>
  <si>
    <t xml:space="preserve">multiverse cell 130/1260: coding=clean_window, outlier=none, es_set=full, df_basis=k20, estimator=3LMA-RVE_CR2, rho=0.4 [DEC-045 S2]; descriptive curve cell</t>
  </si>
  <si>
    <t xml:space="preserve">paris_mid|rstudent|full|k20</t>
  </si>
  <si>
    <t xml:space="preserve">multiverse cell 131/1260: coding=paris_mid, outlier=rstudent, es_set=full, df_basis=k20, estimator=3LMA-RVE_CR2, rho=0.4 [DEC-045 S2]; descriptive curve cell</t>
  </si>
  <si>
    <t xml:space="preserve">tie_break_median|rstudent|full|k20</t>
  </si>
  <si>
    <t xml:space="preserve">multiverse cell 132/1260: coding=tie_break_median, outlier=rstudent, es_set=full, df_basis=k20, estimator=3LMA-RVE_CR2, rho=0.4 [DEC-045 S2]; descriptive curve cell</t>
  </si>
  <si>
    <t xml:space="preserve">end_any_exposure|rstudent|full|k20</t>
  </si>
  <si>
    <t xml:space="preserve">multiverse cell 133/1260: coding=end_any_exposure, outlier=rstudent, es_set=full, df_basis=k20, estimator=3LMA-RVE_CR2, rho=0.4 [DEC-045 S2]; descriptive curve cell</t>
  </si>
  <si>
    <t xml:space="preserve">share_recut_2017|rstudent|full|k20</t>
  </si>
  <si>
    <t xml:space="preserve">multiverse cell 134/1260: coding=share_recut_2017, outlier=rstudent, es_set=full, df_basis=k20, estimator=3LMA-RVE_CR2, rho=0.4 [DEC-045 S2]; descriptive curve cell</t>
  </si>
  <si>
    <t xml:space="preserve">share_recut_2018|rstudent|full|k20</t>
  </si>
  <si>
    <t xml:space="preserve">multiverse cell 135/1260: coding=share_recut_2018, outlier=rstudent, es_set=full, df_basis=k20, estimator=3LMA-RVE_CR2, rho=0.4 [DEC-045 S2]; descriptive curve cell</t>
  </si>
  <si>
    <t xml:space="preserve">share_recut_2019|rstudent|full|k20</t>
  </si>
  <si>
    <t xml:space="preserve">multiverse cell 136/1260: coding=share_recut_2019, outlier=rstudent, es_set=full, df_basis=k20, estimator=3LMA-RVE_CR2, rho=0.4 [DEC-045 S2]; descriptive curve cell</t>
  </si>
  <si>
    <t xml:space="preserve">end_lag1|rstudent|full|k20</t>
  </si>
  <si>
    <t xml:space="preserve">multiverse cell 137/1260: coding=end_lag1, outlier=rstudent, es_set=full, df_basis=k20, estimator=3LMA-RVE_CR2, rho=0.4 [DEC-045 S2]; descriptive curve cell</t>
  </si>
  <si>
    <t xml:space="preserve">end_lag2|rstudent|full|k20</t>
  </si>
  <si>
    <t xml:space="preserve">multiverse cell 138/1260: coding=end_lag2, outlier=rstudent, es_set=full, df_basis=k20, estimator=3LMA-RVE_CR2, rho=0.4 [DEC-045 S2]; descriptive curve cell</t>
  </si>
  <si>
    <t xml:space="preserve">end_lag3|rstudent|full|k20</t>
  </si>
  <si>
    <t xml:space="preserve">multiverse cell 139/1260: coding=end_lag3, outlier=rstudent, es_set=full, df_basis=k20, estimator=3LMA-RVE_CR2, rho=0.4 [DEC-045 S2]; descriptive curve cell</t>
  </si>
  <si>
    <t xml:space="preserve">clean_window|rstudent|full|k20</t>
  </si>
  <si>
    <t xml:space="preserve">multiverse cell 140/1260: coding=clean_window, outlier=rstudent, es_set=full, df_basis=k20, estimator=3LMA-RVE_CR2, rho=0.4 [DEC-045 S2]; descriptive curve cell</t>
  </si>
  <si>
    <t xml:space="preserve">paris_mid|winsor|full|k20</t>
  </si>
  <si>
    <t xml:space="preserve">multiverse cell 141/1260: coding=paris_mid, outlier=winsor, es_set=full, df_basis=k20, estimator=3LMA-RVE_CR2, rho=0.4 [DEC-045 S2]; descriptive curve cell</t>
  </si>
  <si>
    <t xml:space="preserve">tie_break_median|winsor|full|k20</t>
  </si>
  <si>
    <t xml:space="preserve">multiverse cell 142/1260: coding=tie_break_median, outlier=winsor, es_set=full, df_basis=k20, estimator=3LMA-RVE_CR2, rho=0.4 [DEC-045 S2]; descriptive curve cell</t>
  </si>
  <si>
    <t xml:space="preserve">end_any_exposure|winsor|full|k20</t>
  </si>
  <si>
    <t xml:space="preserve">multiverse cell 143/1260: coding=end_any_exposure, outlier=winsor, es_set=full, df_basis=k20, estimator=3LMA-RVE_CR2, rho=0.4 [DEC-045 S2]; descriptive curve cell</t>
  </si>
  <si>
    <t xml:space="preserve">share_recut_2017|winsor|full|k20</t>
  </si>
  <si>
    <t xml:space="preserve">multiverse cell 144/1260: coding=share_recut_2017, outlier=winsor, es_set=full, df_basis=k20, estimator=3LMA-RVE_CR2, rho=0.4 [DEC-045 S2]; descriptive curve cell</t>
  </si>
  <si>
    <t xml:space="preserve">share_recut_2018|winsor|full|k20</t>
  </si>
  <si>
    <t xml:space="preserve">multiverse cell 145/1260: coding=share_recut_2018, outlier=winsor, es_set=full, df_basis=k20, estimator=3LMA-RVE_CR2, rho=0.4 [DEC-045 S2]; descriptive curve cell</t>
  </si>
  <si>
    <t xml:space="preserve">share_recut_2019|winsor|full|k20</t>
  </si>
  <si>
    <t xml:space="preserve">multiverse cell 146/1260: coding=share_recut_2019, outlier=winsor, es_set=full, df_basis=k20, estimator=3LMA-RVE_CR2, rho=0.4 [DEC-045 S2]; descriptive curve cell</t>
  </si>
  <si>
    <t xml:space="preserve">end_lag1|winsor|full|k20</t>
  </si>
  <si>
    <t xml:space="preserve">multiverse cell 147/1260: coding=end_lag1, outlier=winsor, es_set=full, df_basis=k20, estimator=3LMA-RVE_CR2, rho=0.4 [DEC-045 S2]; descriptive curve cell</t>
  </si>
  <si>
    <t xml:space="preserve">end_lag2|winsor|full|k20</t>
  </si>
  <si>
    <t xml:space="preserve">multiverse cell 148/1260: coding=end_lag2, outlier=winsor, es_set=full, df_basis=k20, estimator=3LMA-RVE_CR2, rho=0.4 [DEC-045 S2]; descriptive curve cell</t>
  </si>
  <si>
    <t xml:space="preserve">end_lag3|winsor|full|k20</t>
  </si>
  <si>
    <t xml:space="preserve">multiverse cell 149/1260: coding=end_lag3, outlier=winsor, es_set=full, df_basis=k20, estimator=3LMA-RVE_CR2, rho=0.4 [DEC-045 S2]; descriptive curve cell</t>
  </si>
  <si>
    <t xml:space="preserve">clean_window|winsor|full|k20</t>
  </si>
  <si>
    <t xml:space="preserve">multiverse cell 150/1260: coding=clean_window, outlier=winsor, es_set=full, df_basis=k20, estimator=3LMA-RVE_CR2, rho=0.4 [DEC-045 S2]; descriptive curve cell</t>
  </si>
  <si>
    <t xml:space="preserve">paris_mid|none|no_starbound|k20</t>
  </si>
  <si>
    <t xml:space="preserve">multiverse cell 151/1260: coding=paris_mid, outlier=none, es_set=no_starbound, df_basis=k20, estimator=3LMA-RVE_CR2, rho=0.4 [DEC-045 S2]; descriptive curve cell</t>
  </si>
  <si>
    <t xml:space="preserve">tie_break_median|none|no_starbound|k20</t>
  </si>
  <si>
    <t xml:space="preserve">multiverse cell 152/1260: coding=tie_break_median, outlier=none, es_set=no_starbound, df_basis=k20, estimator=3LMA-RVE_CR2, rho=0.4 [DEC-045 S2]; descriptive curve cell</t>
  </si>
  <si>
    <t xml:space="preserve">end_any_exposure|none|no_starbound|k20</t>
  </si>
  <si>
    <t xml:space="preserve">multiverse cell 153/1260: coding=end_any_exposure, outlier=none, es_set=no_starbound, df_basis=k20, estimator=3LMA-RVE_CR2, rho=0.4 [DEC-045 S2]; descriptive curve cell</t>
  </si>
  <si>
    <t xml:space="preserve">share_recut_2017|none|no_starbound|k20</t>
  </si>
  <si>
    <t xml:space="preserve">multiverse cell 154/1260: coding=share_recut_2017, outlier=none, es_set=no_starbound, df_basis=k20, estimator=3LMA-RVE_CR2, rho=0.4 [DEC-045 S2]; descriptive curve cell</t>
  </si>
  <si>
    <t xml:space="preserve">share_recut_2018|none|no_starbound|k20</t>
  </si>
  <si>
    <t xml:space="preserve">multiverse cell 155/1260: coding=share_recut_2018, outlier=none, es_set=no_starbound, df_basis=k20, estimator=3LMA-RVE_CR2, rho=0.4 [DEC-045 S2]; descriptive curve cell</t>
  </si>
  <si>
    <t xml:space="preserve">share_recut_2019|none|no_starbound|k20</t>
  </si>
  <si>
    <t xml:space="preserve">multiverse cell 156/1260: coding=share_recut_2019, outlier=none, es_set=no_starbound, df_basis=k20, estimator=3LMA-RVE_CR2, rho=0.4 [DEC-045 S2]; descriptive curve cell</t>
  </si>
  <si>
    <t xml:space="preserve">end_lag1|none|no_starbound|k20</t>
  </si>
  <si>
    <t xml:space="preserve">multiverse cell 157/1260: coding=end_lag1, outlier=none, es_set=no_starbound, df_basis=k20, estimator=3LMA-RVE_CR2, rho=0.4 [DEC-045 S2]; descriptive curve cell</t>
  </si>
  <si>
    <t xml:space="preserve">end_lag2|none|no_starbound|k20</t>
  </si>
  <si>
    <t xml:space="preserve">multiverse cell 158/1260: coding=end_lag2, outlier=none, es_set=no_starbound, df_basis=k20, estimator=3LMA-RVE_CR2, rho=0.4 [DEC-045 S2]; descriptive curve cell</t>
  </si>
  <si>
    <t xml:space="preserve">end_lag3|none|no_starbound|k20</t>
  </si>
  <si>
    <t xml:space="preserve">multiverse cell 159/1260: coding=end_lag3, outlier=none, es_set=no_starbound, df_basis=k20, estimator=3LMA-RVE_CR2, rho=0.4 [DEC-045 S2]; descriptive curve cell</t>
  </si>
  <si>
    <t xml:space="preserve">clean_window|none|no_starbound|k20</t>
  </si>
  <si>
    <t xml:space="preserve">multiverse cell 160/1260: coding=clean_window, outlier=none, es_set=no_starbound, df_basis=k20, estimator=3LMA-RVE_CR2, rho=0.4 [DEC-045 S2]; descriptive curve cell</t>
  </si>
  <si>
    <t xml:space="preserve">paris_mid|rstudent|no_starbound|k20</t>
  </si>
  <si>
    <t xml:space="preserve">multiverse cell 161/1260: coding=paris_mid, outlier=rstudent, es_set=no_starbound, df_basis=k20, estimator=3LMA-RVE_CR2, rho=0.4 [DEC-045 S2]; descriptive curve cell</t>
  </si>
  <si>
    <t xml:space="preserve">tie_break_median|rstudent|no_starbound|k20</t>
  </si>
  <si>
    <t xml:space="preserve">multiverse cell 162/1260: coding=tie_break_median, outlier=rstudent, es_set=no_starbound, df_basis=k20, estimator=3LMA-RVE_CR2, rho=0.4 [DEC-045 S2]; descriptive curve cell</t>
  </si>
  <si>
    <t xml:space="preserve">end_any_exposure|rstudent|no_starbound|k20</t>
  </si>
  <si>
    <t xml:space="preserve">multiverse cell 163/1260: coding=end_any_exposure, outlier=rstudent, es_set=no_starbound, df_basis=k20, estimator=3LMA-RVE_CR2, rho=0.4 [DEC-045 S2]; descriptive curve cell</t>
  </si>
  <si>
    <t xml:space="preserve">share_recut_2017|rstudent|no_starbound|k20</t>
  </si>
  <si>
    <t xml:space="preserve">multiverse cell 164/1260: coding=share_recut_2017, outlier=rstudent, es_set=no_starbound, df_basis=k20, estimator=3LMA-RVE_CR2, rho=0.4 [DEC-045 S2]; descriptive curve cell</t>
  </si>
  <si>
    <t xml:space="preserve">share_recut_2018|rstudent|no_starbound|k20</t>
  </si>
  <si>
    <t xml:space="preserve">multiverse cell 165/1260: coding=share_recut_2018, outlier=rstudent, es_set=no_starbound, df_basis=k20, estimator=3LMA-RVE_CR2, rho=0.4 [DEC-045 S2]; descriptive curve cell</t>
  </si>
  <si>
    <t xml:space="preserve">share_recut_2019|rstudent|no_starbound|k20</t>
  </si>
  <si>
    <t xml:space="preserve">multiverse cell 166/1260: coding=share_recut_2019, outlier=rstudent, es_set=no_starbound, df_basis=k20, estimator=3LMA-RVE_CR2, rho=0.4 [DEC-045 S2]; descriptive curve cell</t>
  </si>
  <si>
    <t xml:space="preserve">end_lag1|rstudent|no_starbound|k20</t>
  </si>
  <si>
    <t xml:space="preserve">multiverse cell 167/1260: coding=end_lag1, outlier=rstudent, es_set=no_starbound, df_basis=k20, estimator=3LMA-RVE_CR2, rho=0.4 [DEC-045 S2]; descriptive curve cell</t>
  </si>
  <si>
    <t xml:space="preserve">end_lag2|rstudent|no_starbound|k20</t>
  </si>
  <si>
    <t xml:space="preserve">multiverse cell 168/1260: coding=end_lag2, outlier=rstudent, es_set=no_starbound, df_basis=k20, estimator=3LMA-RVE_CR2, rho=0.4 [DEC-045 S2]; descriptive curve cell</t>
  </si>
  <si>
    <t xml:space="preserve">end_lag3|rstudent|no_starbound|k20</t>
  </si>
  <si>
    <t xml:space="preserve">multiverse cell 169/1260: coding=end_lag3, outlier=rstudent, es_set=no_starbound, df_basis=k20, estimator=3LMA-RVE_CR2, rho=0.4 [DEC-045 S2]; descriptive curve cell</t>
  </si>
  <si>
    <t xml:space="preserve">clean_window|rstudent|no_starbound|k20</t>
  </si>
  <si>
    <t xml:space="preserve">multiverse cell 170/1260: coding=clean_window, outlier=rstudent, es_set=no_starbound, df_basis=k20, estimator=3LMA-RVE_CR2, rho=0.4 [DEC-045 S2]; descriptive curve cell</t>
  </si>
  <si>
    <t xml:space="preserve">paris_mid|winsor|no_starbound|k20</t>
  </si>
  <si>
    <t xml:space="preserve">multiverse cell 171/1260: coding=paris_mid, outlier=winsor, es_set=no_starbound, df_basis=k20, estimator=3LMA-RVE_CR2, rho=0.4 [DEC-045 S2]; descriptive curve cell</t>
  </si>
  <si>
    <t xml:space="preserve">tie_break_median|winsor|no_starbound|k20</t>
  </si>
  <si>
    <t xml:space="preserve">multiverse cell 172/1260: coding=tie_break_median, outlier=winsor, es_set=no_starbound, df_basis=k20, estimator=3LMA-RVE_CR2, rho=0.4 [DEC-045 S2]; descriptive curve cell</t>
  </si>
  <si>
    <t xml:space="preserve">end_any_exposure|winsor|no_starbound|k20</t>
  </si>
  <si>
    <t xml:space="preserve">multiverse cell 173/1260: coding=end_any_exposure, outlier=winsor, es_set=no_starbound, df_basis=k20, estimator=3LMA-RVE_CR2, rho=0.4 [DEC-045 S2]; descriptive curve cell</t>
  </si>
  <si>
    <t xml:space="preserve">share_recut_2017|winsor|no_starbound|k20</t>
  </si>
  <si>
    <t xml:space="preserve">multiverse cell 174/1260: coding=share_recut_2017, outlier=winsor, es_set=no_starbound, df_basis=k20, estimator=3LMA-RVE_CR2, rho=0.4 [DEC-045 S2]; descriptive curve cell</t>
  </si>
  <si>
    <t xml:space="preserve">share_recut_2018|winsor|no_starbound|k20</t>
  </si>
  <si>
    <t xml:space="preserve">multiverse cell 175/1260: coding=share_recut_2018, outlier=winsor, es_set=no_starbound, df_basis=k20, estimator=3LMA-RVE_CR2, rho=0.4 [DEC-045 S2]; descriptive curve cell</t>
  </si>
  <si>
    <t xml:space="preserve">share_recut_2019|winsor|no_starbound|k20</t>
  </si>
  <si>
    <t xml:space="preserve">multiverse cell 176/1260: coding=share_recut_2019, outlier=winsor, es_set=no_starbound, df_basis=k20, estimator=3LMA-RVE_CR2, rho=0.4 [DEC-045 S2]; descriptive curve cell</t>
  </si>
  <si>
    <t xml:space="preserve">end_lag1|winsor|no_starbound|k20</t>
  </si>
  <si>
    <t xml:space="preserve">multiverse cell 177/1260: coding=end_lag1, outlier=winsor, es_set=no_starbound, df_basis=k20, estimator=3LMA-RVE_CR2, rho=0.4 [DEC-045 S2]; descriptive curve cell</t>
  </si>
  <si>
    <t xml:space="preserve">end_lag2|winsor|no_starbound|k20</t>
  </si>
  <si>
    <t xml:space="preserve">multiverse cell 178/1260: coding=end_lag2, outlier=winsor, es_set=no_starbound, df_basis=k20, estimator=3LMA-RVE_CR2, rho=0.4 [DEC-045 S2]; descriptive curve cell</t>
  </si>
  <si>
    <t xml:space="preserve">end_lag3|winsor|no_starbound|k20</t>
  </si>
  <si>
    <t xml:space="preserve">multiverse cell 179/1260: coding=end_lag3, outlier=winsor, es_set=no_starbound, df_basis=k20, estimator=3LMA-RVE_CR2, rho=0.4 [DEC-045 S2]; descriptive curve cell</t>
  </si>
  <si>
    <t xml:space="preserve">clean_window|winsor|no_starbound|k20</t>
  </si>
  <si>
    <t xml:space="preserve">multiverse cell 180/1260: coding=clean_window, outlier=winsor, es_set=no_starbound, df_basis=k20, estimator=3LMA-RVE_CR2, rho=0.4 [DEC-045 S2]; descriptive curve cell</t>
  </si>
  <si>
    <t xml:space="preserve">one_per_cluster|r0.4</t>
  </si>
  <si>
    <t xml:space="preserve">one_per_cluster</t>
  </si>
  <si>
    <t xml:space="preserve">multiverse cell 181/1260: coding=paris_mid, outlier=none, es_set=full, df_basis=dfE, estimator=one_per_cluster, rho=0.4 [DEC-045 S2]; cluster x cell aggregates (D2/H2b convention)</t>
  </si>
  <si>
    <t xml:space="preserve">multiverse cell 182/1260: coding=tie_break_median, outlier=none, es_set=full, df_basis=dfE, estimator=one_per_cluster, rho=0.4 [DEC-045 S2]; cluster x cell aggregates (D2/H2b convention)</t>
  </si>
  <si>
    <t xml:space="preserve">multiverse cell 183/1260: coding=end_any_exposure, outlier=none, es_set=full, df_basis=dfE, estimator=one_per_cluster, rho=0.4 [DEC-045 S2]; cluster x cell aggregates (D2/H2b convention)</t>
  </si>
  <si>
    <t xml:space="preserve">multiverse cell 184/1260: coding=share_recut_2017, outlier=none, es_set=full, df_basis=dfE, estimator=one_per_cluster, rho=0.4 [DEC-045 S2]; cluster x cell aggregates (D2/H2b convention)</t>
  </si>
  <si>
    <t xml:space="preserve">multiverse cell 185/1260: coding=share_recut_2018, outlier=none, es_set=full, df_basis=dfE, estimator=one_per_cluster, rho=0.4 [DEC-045 S2]; cluster x cell aggregates (D2/H2b convention)</t>
  </si>
  <si>
    <t xml:space="preserve">multiverse cell 186/1260: coding=share_recut_2019, outlier=none, es_set=full, df_basis=dfE, estimator=one_per_cluster, rho=0.4 [DEC-045 S2]; cluster x cell aggregates (D2/H2b convention)</t>
  </si>
  <si>
    <t xml:space="preserve">multiverse cell 187/1260: coding=end_lag1, outlier=none, es_set=full, df_basis=dfE, estimator=one_per_cluster, rho=0.4 [DEC-045 S2]; cluster x cell aggregates (D2/H2b convention)</t>
  </si>
  <si>
    <t xml:space="preserve">multiverse cell 188/1260: coding=end_lag2, outlier=none, es_set=full, df_basis=dfE, estimator=one_per_cluster, rho=0.4 [DEC-045 S2]; cluster x cell aggregates (D2/H2b convention)</t>
  </si>
  <si>
    <t xml:space="preserve">multiverse cell 189/1260: coding=end_lag3, outlier=none, es_set=full, df_basis=dfE, estimator=one_per_cluster, rho=0.4 [DEC-045 S2]; cluster x cell aggregates (D2/H2b convention)</t>
  </si>
  <si>
    <t xml:space="preserve">multiverse cell 190/1260: coding=clean_window, outlier=none, es_set=full, df_basis=dfE, estimator=one_per_cluster, rho=0.4 [DEC-045 S2]; cluster x cell aggregates (D2/H2b convention)</t>
  </si>
  <si>
    <t xml:space="preserve">multiverse cell 191/1260: coding=paris_mid, outlier=rstudent, es_set=full, df_basis=dfE, estimator=one_per_cluster, rho=0.4 [DEC-045 S2]; cluster x cell aggregates (D2/H2b convention)</t>
  </si>
  <si>
    <t xml:space="preserve">multiverse cell 192/1260: coding=tie_break_median, outlier=rstudent, es_set=full, df_basis=dfE, estimator=one_per_cluster, rho=0.4 [DEC-045 S2]; cluster x cell aggregates (D2/H2b convention)</t>
  </si>
  <si>
    <t xml:space="preserve">multiverse cell 193/1260: coding=end_any_exposure, outlier=rstudent, es_set=full, df_basis=dfE, estimator=one_per_cluster, rho=0.4 [DEC-045 S2]; cluster x cell aggregates (D2/H2b convention)</t>
  </si>
  <si>
    <t xml:space="preserve">multiverse cell 194/1260: coding=share_recut_2017, outlier=rstudent, es_set=full, df_basis=dfE, estimator=one_per_cluster, rho=0.4 [DEC-045 S2]; cluster x cell aggregates (D2/H2b convention)</t>
  </si>
  <si>
    <t xml:space="preserve">multiverse cell 195/1260: coding=share_recut_2018, outlier=rstudent, es_set=full, df_basis=dfE, estimator=one_per_cluster, rho=0.4 [DEC-045 S2]; cluster x cell aggregates (D2/H2b convention)</t>
  </si>
  <si>
    <t xml:space="preserve">multiverse cell 196/1260: coding=share_recut_2019, outlier=rstudent, es_set=full, df_basis=dfE, estimator=one_per_cluster, rho=0.4 [DEC-045 S2]; cluster x cell aggregates (D2/H2b convention)</t>
  </si>
  <si>
    <t xml:space="preserve">multiverse cell 197/1260: coding=end_lag1, outlier=rstudent, es_set=full, df_basis=dfE, estimator=one_per_cluster, rho=0.4 [DEC-045 S2]; cluster x cell aggregates (D2/H2b convention)</t>
  </si>
  <si>
    <t xml:space="preserve">multiverse cell 198/1260: coding=end_lag2, outlier=rstudent, es_set=full, df_basis=dfE, estimator=one_per_cluster, rho=0.4 [DEC-045 S2]; cluster x cell aggregates (D2/H2b convention)</t>
  </si>
  <si>
    <t xml:space="preserve">multiverse cell 199/1260: coding=end_lag3, outlier=rstudent, es_set=full, df_basis=dfE, estimator=one_per_cluster, rho=0.4 [DEC-045 S2]; cluster x cell aggregates (D2/H2b convention)</t>
  </si>
  <si>
    <t xml:space="preserve">multiverse cell 200/1260: coding=clean_window, outlier=rstudent, es_set=full, df_basis=dfE, estimator=one_per_cluster, rho=0.4 [DEC-045 S2]; cluster x cell aggregates (D2/H2b convention)</t>
  </si>
  <si>
    <t xml:space="preserve">multiverse cell 201/1260: coding=paris_mid, outlier=winsor, es_set=full, df_basis=dfE, estimator=one_per_cluster, rho=0.4 [DEC-045 S2]; cluster x cell aggregates (D2/H2b convention)</t>
  </si>
  <si>
    <t xml:space="preserve">multiverse cell 202/1260: coding=tie_break_median, outlier=winsor, es_set=full, df_basis=dfE, estimator=one_per_cluster, rho=0.4 [DEC-045 S2]; cluster x cell aggregates (D2/H2b convention)</t>
  </si>
  <si>
    <t xml:space="preserve">multiverse cell 203/1260: coding=end_any_exposure, outlier=winsor, es_set=full, df_basis=dfE, estimator=one_per_cluster, rho=0.4 [DEC-045 S2]; cluster x cell aggregates (D2/H2b convention)</t>
  </si>
  <si>
    <t xml:space="preserve">multiverse cell 204/1260: coding=share_recut_2017, outlier=winsor, es_set=full, df_basis=dfE, estimator=one_per_cluster, rho=0.4 [DEC-045 S2]; cluster x cell aggregates (D2/H2b convention)</t>
  </si>
  <si>
    <t xml:space="preserve">multiverse cell 205/1260: coding=share_recut_2018, outlier=winsor, es_set=full, df_basis=dfE, estimator=one_per_cluster, rho=0.4 [DEC-045 S2]; cluster x cell aggregates (D2/H2b convention)</t>
  </si>
  <si>
    <t xml:space="preserve">multiverse cell 206/1260: coding=share_recut_2019, outlier=winsor, es_set=full, df_basis=dfE, estimator=one_per_cluster, rho=0.4 [DEC-045 S2]; cluster x cell aggregates (D2/H2b convention)</t>
  </si>
  <si>
    <t xml:space="preserve">multiverse cell 207/1260: coding=end_lag1, outlier=winsor, es_set=full, df_basis=dfE, estimator=one_per_cluster, rho=0.4 [DEC-045 S2]; cluster x cell aggregates (D2/H2b convention)</t>
  </si>
  <si>
    <t xml:space="preserve">multiverse cell 208/1260: coding=end_lag2, outlier=winsor, es_set=full, df_basis=dfE, estimator=one_per_cluster, rho=0.4 [DEC-045 S2]; cluster x cell aggregates (D2/H2b convention)</t>
  </si>
  <si>
    <t xml:space="preserve">multiverse cell 209/1260: coding=end_lag3, outlier=winsor, es_set=full, df_basis=dfE, estimator=one_per_cluster, rho=0.4 [DEC-045 S2]; cluster x cell aggregates (D2/H2b convention)</t>
  </si>
  <si>
    <t xml:space="preserve">multiverse cell 210/1260: coding=clean_window, outlier=winsor, es_set=full, df_basis=dfE, estimator=one_per_cluster, rho=0.4 [DEC-045 S2]; cluster x cell aggregates (D2/H2b convention)</t>
  </si>
  <si>
    <t xml:space="preserve">multiverse cell 211/1260: coding=paris_mid, outlier=none, es_set=no_starbound, df_basis=dfE, estimator=one_per_cluster, rho=0.4 [DEC-045 S2]; cluster x cell aggregates (D2/H2b convention)</t>
  </si>
  <si>
    <t xml:space="preserve">multiverse cell 212/1260: coding=tie_break_median, outlier=none, es_set=no_starbound, df_basis=dfE, estimator=one_per_cluster, rho=0.4 [DEC-045 S2]; cluster x cell aggregates (D2/H2b convention)</t>
  </si>
  <si>
    <t xml:space="preserve">multiverse cell 213/1260: coding=end_any_exposure, outlier=none, es_set=no_starbound, df_basis=dfE, estimator=one_per_cluster, rho=0.4 [DEC-045 S2]; cluster x cell aggregates (D2/H2b convention)</t>
  </si>
  <si>
    <t xml:space="preserve">multiverse cell 214/1260: coding=share_recut_2017, outlier=none, es_set=no_starbound, df_basis=dfE, estimator=one_per_cluster, rho=0.4 [DEC-045 S2]; cluster x cell aggregates (D2/H2b convention)</t>
  </si>
  <si>
    <t xml:space="preserve">multiverse cell 215/1260: coding=share_recut_2018, outlier=none, es_set=no_starbound, df_basis=dfE, estimator=one_per_cluster, rho=0.4 [DEC-045 S2]; cluster x cell aggregates (D2/H2b convention)</t>
  </si>
  <si>
    <t xml:space="preserve">multiverse cell 216/1260: coding=share_recut_2019, outlier=none, es_set=no_starbound, df_basis=dfE, estimator=one_per_cluster, rho=0.4 [DEC-045 S2]; cluster x cell aggregates (D2/H2b convention)</t>
  </si>
  <si>
    <t xml:space="preserve">multiverse cell 217/1260: coding=end_lag1, outlier=none, es_set=no_starbound, df_basis=dfE, estimator=one_per_cluster, rho=0.4 [DEC-045 S2]; cluster x cell aggregates (D2/H2b convention)</t>
  </si>
  <si>
    <t xml:space="preserve">multiverse cell 218/1260: coding=end_lag2, outlier=none, es_set=no_starbound, df_basis=dfE, estimator=one_per_cluster, rho=0.4 [DEC-045 S2]; cluster x cell aggregates (D2/H2b convention)</t>
  </si>
  <si>
    <t xml:space="preserve">multiverse cell 219/1260: coding=end_lag3, outlier=none, es_set=no_starbound, df_basis=dfE, estimator=one_per_cluster, rho=0.4 [DEC-045 S2]; cluster x cell aggregates (D2/H2b convention)</t>
  </si>
  <si>
    <t xml:space="preserve">multiverse cell 220/1260: coding=clean_window, outlier=none, es_set=no_starbound, df_basis=dfE, estimator=one_per_cluster, rho=0.4 [DEC-045 S2]; cluster x cell aggregates (D2/H2b convention)</t>
  </si>
  <si>
    <t xml:space="preserve">multiverse cell 221/1260: coding=paris_mid, outlier=rstudent, es_set=no_starbound, df_basis=dfE, estimator=one_per_cluster, rho=0.4 [DEC-045 S2]; cluster x cell aggregates (D2/H2b convention)</t>
  </si>
  <si>
    <t xml:space="preserve">multiverse cell 222/1260: coding=tie_break_median, outlier=rstudent, es_set=no_starbound, df_basis=dfE, estimator=one_per_cluster, rho=0.4 [DEC-045 S2]; cluster x cell aggregates (D2/H2b convention)</t>
  </si>
  <si>
    <t xml:space="preserve">multiverse cell 223/1260: coding=end_any_exposure, outlier=rstudent, es_set=no_starbound, df_basis=dfE, estimator=one_per_cluster, rho=0.4 [DEC-045 S2]; cluster x cell aggregates (D2/H2b convention)</t>
  </si>
  <si>
    <t xml:space="preserve">multiverse cell 224/1260: coding=share_recut_2017, outlier=rstudent, es_set=no_starbound, df_basis=dfE, estimator=one_per_cluster, rho=0.4 [DEC-045 S2]; cluster x cell aggregates (D2/H2b convention)</t>
  </si>
  <si>
    <t xml:space="preserve">multiverse cell 225/1260: coding=share_recut_2018, outlier=rstudent, es_set=no_starbound, df_basis=dfE, estimator=one_per_cluster, rho=0.4 [DEC-045 S2]; cluster x cell aggregates (D2/H2b convention)</t>
  </si>
  <si>
    <t xml:space="preserve">multiverse cell 226/1260: coding=share_recut_2019, outlier=rstudent, es_set=no_starbound, df_basis=dfE, estimator=one_per_cluster, rho=0.4 [DEC-045 S2]; cluster x cell aggregates (D2/H2b convention)</t>
  </si>
  <si>
    <t xml:space="preserve">multiverse cell 227/1260: coding=end_lag1, outlier=rstudent, es_set=no_starbound, df_basis=dfE, estimator=one_per_cluster, rho=0.4 [DEC-045 S2]; cluster x cell aggregates (D2/H2b convention)</t>
  </si>
  <si>
    <t xml:space="preserve">multiverse cell 228/1260: coding=end_lag2, outlier=rstudent, es_set=no_starbound, df_basis=dfE, estimator=one_per_cluster, rho=0.4 [DEC-045 S2]; cluster x cell aggregates (D2/H2b convention)</t>
  </si>
  <si>
    <t xml:space="preserve">multiverse cell 229/1260: coding=end_lag3, outlier=rstudent, es_set=no_starbound, df_basis=dfE, estimator=one_per_cluster, rho=0.4 [DEC-045 S2]; cluster x cell aggregates (D2/H2b convention)</t>
  </si>
  <si>
    <t xml:space="preserve">multiverse cell 230/1260: coding=clean_window, outlier=rstudent, es_set=no_starbound, df_basis=dfE, estimator=one_per_cluster, rho=0.4 [DEC-045 S2]; cluster x cell aggregates (D2/H2b convention)</t>
  </si>
  <si>
    <t xml:space="preserve">multiverse cell 231/1260: coding=paris_mid, outlier=winsor, es_set=no_starbound, df_basis=dfE, estimator=one_per_cluster, rho=0.4 [DEC-045 S2]; cluster x cell aggregates (D2/H2b convention)</t>
  </si>
  <si>
    <t xml:space="preserve">multiverse cell 232/1260: coding=tie_break_median, outlier=winsor, es_set=no_starbound, df_basis=dfE, estimator=one_per_cluster, rho=0.4 [DEC-045 S2]; cluster x cell aggregates (D2/H2b convention)</t>
  </si>
  <si>
    <t xml:space="preserve">multiverse cell 233/1260: coding=end_any_exposure, outlier=winsor, es_set=no_starbound, df_basis=dfE, estimator=one_per_cluster, rho=0.4 [DEC-045 S2]; cluster x cell aggregates (D2/H2b convention)</t>
  </si>
  <si>
    <t xml:space="preserve">multiverse cell 234/1260: coding=share_recut_2017, outlier=winsor, es_set=no_starbound, df_basis=dfE, estimator=one_per_cluster, rho=0.4 [DEC-045 S2]; cluster x cell aggregates (D2/H2b convention)</t>
  </si>
  <si>
    <t xml:space="preserve">multiverse cell 235/1260: coding=share_recut_2018, outlier=winsor, es_set=no_starbound, df_basis=dfE, estimator=one_per_cluster, rho=0.4 [DEC-045 S2]; cluster x cell aggregates (D2/H2b convention)</t>
  </si>
  <si>
    <t xml:space="preserve">multiverse cell 236/1260: coding=share_recut_2019, outlier=winsor, es_set=no_starbound, df_basis=dfE, estimator=one_per_cluster, rho=0.4 [DEC-045 S2]; cluster x cell aggregates (D2/H2b convention)</t>
  </si>
  <si>
    <t xml:space="preserve">multiverse cell 237/1260: coding=end_lag1, outlier=winsor, es_set=no_starbound, df_basis=dfE, estimator=one_per_cluster, rho=0.4 [DEC-045 S2]; cluster x cell aggregates (D2/H2b convention)</t>
  </si>
  <si>
    <t xml:space="preserve">multiverse cell 238/1260: coding=end_lag2, outlier=winsor, es_set=no_starbound, df_basis=dfE, estimator=one_per_cluster, rho=0.4 [DEC-045 S2]; cluster x cell aggregates (D2/H2b convention)</t>
  </si>
  <si>
    <t xml:space="preserve">multiverse cell 239/1260: coding=end_lag3, outlier=winsor, es_set=no_starbound, df_basis=dfE, estimator=one_per_cluster, rho=0.4 [DEC-045 S2]; cluster x cell aggregates (D2/H2b convention)</t>
  </si>
  <si>
    <t xml:space="preserve">multiverse cell 240/1260: coding=clean_window, outlier=winsor, es_set=no_starbound, df_basis=dfE, estimator=one_per_cluster, rho=0.4 [DEC-045 S2]; cluster x cell aggregates (D2/H2b convention)</t>
  </si>
  <si>
    <t xml:space="preserve">multiverse cell 241/1260: coding=paris_mid, outlier=none, es_set=full, df_basis=k10, estimator=one_per_cluster, rho=0.4 [DEC-045 S2]; cluster x cell aggregates (D2/H2b convention)</t>
  </si>
  <si>
    <t xml:space="preserve">multiverse cell 242/1260: coding=tie_break_median, outlier=none, es_set=full, df_basis=k10, estimator=one_per_cluster, rho=0.4 [DEC-045 S2]; cluster x cell aggregates (D2/H2b convention)</t>
  </si>
  <si>
    <t xml:space="preserve">multiverse cell 243/1260: coding=end_any_exposure, outlier=none, es_set=full, df_basis=k10, estimator=one_per_cluster, rho=0.4 [DEC-045 S2]; cluster x cell aggregates (D2/H2b convention)</t>
  </si>
  <si>
    <t xml:space="preserve">multiverse cell 244/1260: coding=share_recut_2017, outlier=none, es_set=full, df_basis=k10, estimator=one_per_cluster, rho=0.4 [DEC-045 S2]; cluster x cell aggregates (D2/H2b convention)</t>
  </si>
  <si>
    <t xml:space="preserve">multiverse cell 245/1260: coding=share_recut_2018, outlier=none, es_set=full, df_basis=k10, estimator=one_per_cluster, rho=0.4 [DEC-045 S2]; cluster x cell aggregates (D2/H2b convention)</t>
  </si>
  <si>
    <t xml:space="preserve">multiverse cell 246/1260: coding=share_recut_2019, outlier=none, es_set=full, df_basis=k10, estimator=one_per_cluster, rho=0.4 [DEC-045 S2]; cluster x cell aggregates (D2/H2b convention)</t>
  </si>
  <si>
    <t xml:space="preserve">multiverse cell 247/1260: coding=end_lag1, outlier=none, es_set=full, df_basis=k10, estimator=one_per_cluster, rho=0.4 [DEC-045 S2]; cluster x cell aggregates (D2/H2b convention)</t>
  </si>
  <si>
    <t xml:space="preserve">multiverse cell 248/1260: coding=end_lag2, outlier=none, es_set=full, df_basis=k10, estimator=one_per_cluster, rho=0.4 [DEC-045 S2]; cluster x cell aggregates (D2/H2b convention)</t>
  </si>
  <si>
    <t xml:space="preserve">multiverse cell 249/1260: coding=end_lag3, outlier=none, es_set=full, df_basis=k10, estimator=one_per_cluster, rho=0.4 [DEC-045 S2]; cluster x cell aggregates (D2/H2b convention)</t>
  </si>
  <si>
    <t xml:space="preserve">multiverse cell 250/1260: coding=clean_window, outlier=none, es_set=full, df_basis=k10, estimator=one_per_cluster, rho=0.4 [DEC-045 S2]; cluster x cell aggregates (D2/H2b convention)</t>
  </si>
  <si>
    <t xml:space="preserve">multiverse cell 251/1260: coding=paris_mid, outlier=rstudent, es_set=full, df_basis=k10, estimator=one_per_cluster, rho=0.4 [DEC-045 S2]; cluster x cell aggregates (D2/H2b convention)</t>
  </si>
  <si>
    <t xml:space="preserve">multiverse cell 252/1260: coding=tie_break_median, outlier=rstudent, es_set=full, df_basis=k10, estimator=one_per_cluster, rho=0.4 [DEC-045 S2]; cluster x cell aggregates (D2/H2b convention)</t>
  </si>
  <si>
    <t xml:space="preserve">multiverse cell 253/1260: coding=end_any_exposure, outlier=rstudent, es_set=full, df_basis=k10, estimator=one_per_cluster, rho=0.4 [DEC-045 S2]; cluster x cell aggregates (D2/H2b convention)</t>
  </si>
  <si>
    <t xml:space="preserve">multiverse cell 254/1260: coding=share_recut_2017, outlier=rstudent, es_set=full, df_basis=k10, estimator=one_per_cluster, rho=0.4 [DEC-045 S2]; cluster x cell aggregates (D2/H2b convention)</t>
  </si>
  <si>
    <t xml:space="preserve">multiverse cell 255/1260: coding=share_recut_2018, outlier=rstudent, es_set=full, df_basis=k10, estimator=one_per_cluster, rho=0.4 [DEC-045 S2]; cluster x cell aggregates (D2/H2b convention)</t>
  </si>
  <si>
    <t xml:space="preserve">multiverse cell 256/1260: coding=share_recut_2019, outlier=rstudent, es_set=full, df_basis=k10, estimator=one_per_cluster, rho=0.4 [DEC-045 S2]; cluster x cell aggregates (D2/H2b convention)</t>
  </si>
  <si>
    <t xml:space="preserve">multiverse cell 257/1260: coding=end_lag1, outlier=rstudent, es_set=full, df_basis=k10, estimator=one_per_cluster, rho=0.4 [DEC-045 S2]; cluster x cell aggregates (D2/H2b convention)</t>
  </si>
  <si>
    <t xml:space="preserve">multiverse cell 258/1260: coding=end_lag2, outlier=rstudent, es_set=full, df_basis=k10, estimator=one_per_cluster, rho=0.4 [DEC-045 S2]; cluster x cell aggregates (D2/H2b convention)</t>
  </si>
  <si>
    <t xml:space="preserve">multiverse cell 259/1260: coding=end_lag3, outlier=rstudent, es_set=full, df_basis=k10, estimator=one_per_cluster, rho=0.4 [DEC-045 S2]; cluster x cell aggregates (D2/H2b convention)</t>
  </si>
  <si>
    <t xml:space="preserve">multiverse cell 260/1260: coding=clean_window, outlier=rstudent, es_set=full, df_basis=k10, estimator=one_per_cluster, rho=0.4 [DEC-045 S2]; cluster x cell aggregates (D2/H2b convention)</t>
  </si>
  <si>
    <t xml:space="preserve">multiverse cell 261/1260: coding=paris_mid, outlier=winsor, es_set=full, df_basis=k10, estimator=one_per_cluster, rho=0.4 [DEC-045 S2]; cluster x cell aggregates (D2/H2b convention)</t>
  </si>
  <si>
    <t xml:space="preserve">multiverse cell 262/1260: coding=tie_break_median, outlier=winsor, es_set=full, df_basis=k10, estimator=one_per_cluster, rho=0.4 [DEC-045 S2]; cluster x cell aggregates (D2/H2b convention)</t>
  </si>
  <si>
    <t xml:space="preserve">multiverse cell 263/1260: coding=end_any_exposure, outlier=winsor, es_set=full, df_basis=k10, estimator=one_per_cluster, rho=0.4 [DEC-045 S2]; cluster x cell aggregates (D2/H2b convention)</t>
  </si>
  <si>
    <t xml:space="preserve">multiverse cell 264/1260: coding=share_recut_2017, outlier=winsor, es_set=full, df_basis=k10, estimator=one_per_cluster, rho=0.4 [DEC-045 S2]; cluster x cell aggregates (D2/H2b convention)</t>
  </si>
  <si>
    <t xml:space="preserve">multiverse cell 265/1260: coding=share_recut_2018, outlier=winsor, es_set=full, df_basis=k10, estimator=one_per_cluster, rho=0.4 [DEC-045 S2]; cluster x cell aggregates (D2/H2b convention)</t>
  </si>
  <si>
    <t xml:space="preserve">multiverse cell 266/1260: coding=share_recut_2019, outlier=winsor, es_set=full, df_basis=k10, estimator=one_per_cluster, rho=0.4 [DEC-045 S2]; cluster x cell aggregates (D2/H2b convention)</t>
  </si>
  <si>
    <t xml:space="preserve">multiverse cell 267/1260: coding=end_lag1, outlier=winsor, es_set=full, df_basis=k10, estimator=one_per_cluster, rho=0.4 [DEC-045 S2]; cluster x cell aggregates (D2/H2b convention)</t>
  </si>
  <si>
    <t xml:space="preserve">multiverse cell 268/1260: coding=end_lag2, outlier=winsor, es_set=full, df_basis=k10, estimator=one_per_cluster, rho=0.4 [DEC-045 S2]; cluster x cell aggregates (D2/H2b convention)</t>
  </si>
  <si>
    <t xml:space="preserve">multiverse cell 269/1260: coding=end_lag3, outlier=winsor, es_set=full, df_basis=k10, estimator=one_per_cluster, rho=0.4 [DEC-045 S2]; cluster x cell aggregates (D2/H2b convention)</t>
  </si>
  <si>
    <t xml:space="preserve">multiverse cell 270/1260: coding=clean_window, outlier=winsor, es_set=full, df_basis=k10, estimator=one_per_cluster, rho=0.4 [DEC-045 S2]; cluster x cell aggregates (D2/H2b convention)</t>
  </si>
  <si>
    <t xml:space="preserve">multiverse cell 271/1260: coding=paris_mid, outlier=none, es_set=no_starbound, df_basis=k10, estimator=one_per_cluster, rho=0.4 [DEC-045 S2]; cluster x cell aggregates (D2/H2b convention)</t>
  </si>
  <si>
    <t xml:space="preserve">multiverse cell 272/1260: coding=tie_break_median, outlier=none, es_set=no_starbound, df_basis=k10, estimator=one_per_cluster, rho=0.4 [DEC-045 S2]; cluster x cell aggregates (D2/H2b convention)</t>
  </si>
  <si>
    <t xml:space="preserve">multiverse cell 273/1260: coding=end_any_exposure, outlier=none, es_set=no_starbound, df_basis=k10, estimator=one_per_cluster, rho=0.4 [DEC-045 S2]; cluster x cell aggregates (D2/H2b convention)</t>
  </si>
  <si>
    <t xml:space="preserve">multiverse cell 274/1260: coding=share_recut_2017, outlier=none, es_set=no_starbound, df_basis=k10, estimator=one_per_cluster, rho=0.4 [DEC-045 S2]; cluster x cell aggregates (D2/H2b convention)</t>
  </si>
  <si>
    <t xml:space="preserve">multiverse cell 275/1260: coding=share_recut_2018, outlier=none, es_set=no_starbound, df_basis=k10, estimator=one_per_cluster, rho=0.4 [DEC-045 S2]; cluster x cell aggregates (D2/H2b convention)</t>
  </si>
  <si>
    <t xml:space="preserve">multiverse cell 276/1260: coding=share_recut_2019, outlier=none, es_set=no_starbound, df_basis=k10, estimator=one_per_cluster, rho=0.4 [DEC-045 S2]; cluster x cell aggregates (D2/H2b convention)</t>
  </si>
  <si>
    <t xml:space="preserve">multiverse cell 277/1260: coding=end_lag1, outlier=none, es_set=no_starbound, df_basis=k10, estimator=one_per_cluster, rho=0.4 [DEC-045 S2]; cluster x cell aggregates (D2/H2b convention)</t>
  </si>
  <si>
    <t xml:space="preserve">multiverse cell 278/1260: coding=end_lag2, outlier=none, es_set=no_starbound, df_basis=k10, estimator=one_per_cluster, rho=0.4 [DEC-045 S2]; cluster x cell aggregates (D2/H2b convention)</t>
  </si>
  <si>
    <t xml:space="preserve">multiverse cell 279/1260: coding=end_lag3, outlier=none, es_set=no_starbound, df_basis=k10, estimator=one_per_cluster, rho=0.4 [DEC-045 S2]; cluster x cell aggregates (D2/H2b convention)</t>
  </si>
  <si>
    <t xml:space="preserve">multiverse cell 280/1260: coding=clean_window, outlier=none, es_set=no_starbound, df_basis=k10, estimator=one_per_cluster, rho=0.4 [DEC-045 S2]; cluster x cell aggregates (D2/H2b convention)</t>
  </si>
  <si>
    <t xml:space="preserve">multiverse cell 281/1260: coding=paris_mid, outlier=rstudent, es_set=no_starbound, df_basis=k10, estimator=one_per_cluster, rho=0.4 [DEC-045 S2]; cluster x cell aggregates (D2/H2b convention)</t>
  </si>
  <si>
    <t xml:space="preserve">multiverse cell 282/1260: coding=tie_break_median, outlier=rstudent, es_set=no_starbound, df_basis=k10, estimator=one_per_cluster, rho=0.4 [DEC-045 S2]; cluster x cell aggregates (D2/H2b convention)</t>
  </si>
  <si>
    <t xml:space="preserve">multiverse cell 283/1260: coding=end_any_exposure, outlier=rstudent, es_set=no_starbound, df_basis=k10, estimator=one_per_cluster, rho=0.4 [DEC-045 S2]; cluster x cell aggregates (D2/H2b convention)</t>
  </si>
  <si>
    <t xml:space="preserve">multiverse cell 284/1260: coding=share_recut_2017, outlier=rstudent, es_set=no_starbound, df_basis=k10, estimator=one_per_cluster, rho=0.4 [DEC-045 S2]; cluster x cell aggregates (D2/H2b convention)</t>
  </si>
  <si>
    <t xml:space="preserve">multiverse cell 285/1260: coding=share_recut_2018, outlier=rstudent, es_set=no_starbound, df_basis=k10, estimator=one_per_cluster, rho=0.4 [DEC-045 S2]; cluster x cell aggregates (D2/H2b convention)</t>
  </si>
  <si>
    <t xml:space="preserve">multiverse cell 286/1260: coding=share_recut_2019, outlier=rstudent, es_set=no_starbound, df_basis=k10, estimator=one_per_cluster, rho=0.4 [DEC-045 S2]; cluster x cell aggregates (D2/H2b convention)</t>
  </si>
  <si>
    <t xml:space="preserve">multiverse cell 287/1260: coding=end_lag1, outlier=rstudent, es_set=no_starbound, df_basis=k10, estimator=one_per_cluster, rho=0.4 [DEC-045 S2]; cluster x cell aggregates (D2/H2b convention)</t>
  </si>
  <si>
    <t xml:space="preserve">multiverse cell 288/1260: coding=end_lag2, outlier=rstudent, es_set=no_starbound, df_basis=k10, estimator=one_per_cluster, rho=0.4 [DEC-045 S2]; cluster x cell aggregates (D2/H2b convention)</t>
  </si>
  <si>
    <t xml:space="preserve">multiverse cell 289/1260: coding=end_lag3, outlier=rstudent, es_set=no_starbound, df_basis=k10, estimator=one_per_cluster, rho=0.4 [DEC-045 S2]; cluster x cell aggregates (D2/H2b convention)</t>
  </si>
  <si>
    <t xml:space="preserve">multiverse cell 290/1260: coding=clean_window, outlier=rstudent, es_set=no_starbound, df_basis=k10, estimator=one_per_cluster, rho=0.4 [DEC-045 S2]; cluster x cell aggregates (D2/H2b convention)</t>
  </si>
  <si>
    <t xml:space="preserve">multiverse cell 291/1260: coding=paris_mid, outlier=winsor, es_set=no_starbound, df_basis=k10, estimator=one_per_cluster, rho=0.4 [DEC-045 S2]; cluster x cell aggregates (D2/H2b convention)</t>
  </si>
  <si>
    <t xml:space="preserve">multiverse cell 292/1260: coding=tie_break_median, outlier=winsor, es_set=no_starbound, df_basis=k10, estimator=one_per_cluster, rho=0.4 [DEC-045 S2]; cluster x cell aggregates (D2/H2b convention)</t>
  </si>
  <si>
    <t xml:space="preserve">multiverse cell 293/1260: coding=end_any_exposure, outlier=winsor, es_set=no_starbound, df_basis=k10, estimator=one_per_cluster, rho=0.4 [DEC-045 S2]; cluster x cell aggregates (D2/H2b convention)</t>
  </si>
  <si>
    <t xml:space="preserve">multiverse cell 294/1260: coding=share_recut_2017, outlier=winsor, es_set=no_starbound, df_basis=k10, estimator=one_per_cluster, rho=0.4 [DEC-045 S2]; cluster x cell aggregates (D2/H2b convention)</t>
  </si>
  <si>
    <t xml:space="preserve">multiverse cell 295/1260: coding=share_recut_2018, outlier=winsor, es_set=no_starbound, df_basis=k10, estimator=one_per_cluster, rho=0.4 [DEC-045 S2]; cluster x cell aggregates (D2/H2b convention)</t>
  </si>
  <si>
    <t xml:space="preserve">multiverse cell 296/1260: coding=share_recut_2019, outlier=winsor, es_set=no_starbound, df_basis=k10, estimator=one_per_cluster, rho=0.4 [DEC-045 S2]; cluster x cell aggregates (D2/H2b convention)</t>
  </si>
  <si>
    <t xml:space="preserve">multiverse cell 297/1260: coding=end_lag1, outlier=winsor, es_set=no_starbound, df_basis=k10, estimator=one_per_cluster, rho=0.4 [DEC-045 S2]; cluster x cell aggregates (D2/H2b convention)</t>
  </si>
  <si>
    <t xml:space="preserve">multiverse cell 298/1260: coding=end_lag2, outlier=winsor, es_set=no_starbound, df_basis=k10, estimator=one_per_cluster, rho=0.4 [DEC-045 S2]; cluster x cell aggregates (D2/H2b convention)</t>
  </si>
  <si>
    <t xml:space="preserve">multiverse cell 299/1260: coding=end_lag3, outlier=winsor, es_set=no_starbound, df_basis=k10, estimator=one_per_cluster, rho=0.4 [DEC-045 S2]; cluster x cell aggregates (D2/H2b convention)</t>
  </si>
  <si>
    <t xml:space="preserve">multiverse cell 300/1260: coding=clean_window, outlier=winsor, es_set=no_starbound, df_basis=k10, estimator=one_per_cluster, rho=0.4 [DEC-045 S2]; cluster x cell aggregates (D2/H2b convention)</t>
  </si>
  <si>
    <t xml:space="preserve">multiverse cell 301/1260: coding=paris_mid, outlier=none, es_set=full, df_basis=k20, estimator=one_per_cluster, rho=0.4 [DEC-045 S2]; cluster x cell aggregates (D2/H2b convention)</t>
  </si>
  <si>
    <t xml:space="preserve">multiverse cell 302/1260: coding=tie_break_median, outlier=none, es_set=full, df_basis=k20, estimator=one_per_cluster, rho=0.4 [DEC-045 S2]; cluster x cell aggregates (D2/H2b convention)</t>
  </si>
  <si>
    <t xml:space="preserve">multiverse cell 303/1260: coding=end_any_exposure, outlier=none, es_set=full, df_basis=k20, estimator=one_per_cluster, rho=0.4 [DEC-045 S2]; cluster x cell aggregates (D2/H2b convention)</t>
  </si>
  <si>
    <t xml:space="preserve">multiverse cell 304/1260: coding=share_recut_2017, outlier=none, es_set=full, df_basis=k20, estimator=one_per_cluster, rho=0.4 [DEC-045 S2]; cluster x cell aggregates (D2/H2b convention)</t>
  </si>
  <si>
    <t xml:space="preserve">multiverse cell 305/1260: coding=share_recut_2018, outlier=none, es_set=full, df_basis=k20, estimator=one_per_cluster, rho=0.4 [DEC-045 S2]; cluster x cell aggregates (D2/H2b convention)</t>
  </si>
  <si>
    <t xml:space="preserve">multiverse cell 306/1260: coding=share_recut_2019, outlier=none, es_set=full, df_basis=k20, estimator=one_per_cluster, rho=0.4 [DEC-045 S2]; cluster x cell aggregates (D2/H2b convention)</t>
  </si>
  <si>
    <t xml:space="preserve">multiverse cell 307/1260: coding=end_lag1, outlier=none, es_set=full, df_basis=k20, estimator=one_per_cluster, rho=0.4 [DEC-045 S2]; cluster x cell aggregates (D2/H2b convention)</t>
  </si>
  <si>
    <t xml:space="preserve">multiverse cell 308/1260: coding=end_lag2, outlier=none, es_set=full, df_basis=k20, estimator=one_per_cluster, rho=0.4 [DEC-045 S2]; cluster x cell aggregates (D2/H2b convention)</t>
  </si>
  <si>
    <t xml:space="preserve">multiverse cell 309/1260: coding=end_lag3, outlier=none, es_set=full, df_basis=k20, estimator=one_per_cluster, rho=0.4 [DEC-045 S2]; cluster x cell aggregates (D2/H2b convention)</t>
  </si>
  <si>
    <t xml:space="preserve">multiverse cell 310/1260: coding=clean_window, outlier=none, es_set=full, df_basis=k20, estimator=one_per_cluster, rho=0.4 [DEC-045 S2]; cluster x cell aggregates (D2/H2b convention)</t>
  </si>
  <si>
    <t xml:space="preserve">multiverse cell 311/1260: coding=paris_mid, outlier=rstudent, es_set=full, df_basis=k20, estimator=one_per_cluster, rho=0.4 [DEC-045 S2]; cluster x cell aggregates (D2/H2b convention)</t>
  </si>
  <si>
    <t xml:space="preserve">multiverse cell 312/1260: coding=tie_break_median, outlier=rstudent, es_set=full, df_basis=k20, estimator=one_per_cluster, rho=0.4 [DEC-045 S2]; cluster x cell aggregates (D2/H2b convention)</t>
  </si>
  <si>
    <t xml:space="preserve">multiverse cell 313/1260: coding=end_any_exposure, outlier=rstudent, es_set=full, df_basis=k20, estimator=one_per_cluster, rho=0.4 [DEC-045 S2]; cluster x cell aggregates (D2/H2b convention)</t>
  </si>
  <si>
    <t xml:space="preserve">multiverse cell 314/1260: coding=share_recut_2017, outlier=rstudent, es_set=full, df_basis=k20, estimator=one_per_cluster, rho=0.4 [DEC-045 S2]; cluster x cell aggregates (D2/H2b convention)</t>
  </si>
  <si>
    <t xml:space="preserve">multiverse cell 315/1260: coding=share_recut_2018, outlier=rstudent, es_set=full, df_basis=k20, estimator=one_per_cluster, rho=0.4 [DEC-045 S2]; cluster x cell aggregates (D2/H2b convention)</t>
  </si>
  <si>
    <t xml:space="preserve">multiverse cell 316/1260: coding=share_recut_2019, outlier=rstudent, es_set=full, df_basis=k20, estimator=one_per_cluster, rho=0.4 [DEC-045 S2]; cluster x cell aggregates (D2/H2b convention)</t>
  </si>
  <si>
    <t xml:space="preserve">multiverse cell 317/1260: coding=end_lag1, outlier=rstudent, es_set=full, df_basis=k20, estimator=one_per_cluster, rho=0.4 [DEC-045 S2]; cluster x cell aggregates (D2/H2b convention)</t>
  </si>
  <si>
    <t xml:space="preserve">multiverse cell 318/1260: coding=end_lag2, outlier=rstudent, es_set=full, df_basis=k20, estimator=one_per_cluster, rho=0.4 [DEC-045 S2]; cluster x cell aggregates (D2/H2b convention)</t>
  </si>
  <si>
    <t xml:space="preserve">multiverse cell 319/1260: coding=end_lag3, outlier=rstudent, es_set=full, df_basis=k20, estimator=one_per_cluster, rho=0.4 [DEC-045 S2]; cluster x cell aggregates (D2/H2b convention)</t>
  </si>
  <si>
    <t xml:space="preserve">multiverse cell 320/1260: coding=clean_window, outlier=rstudent, es_set=full, df_basis=k20, estimator=one_per_cluster, rho=0.4 [DEC-045 S2]; cluster x cell aggregates (D2/H2b convention)</t>
  </si>
  <si>
    <t xml:space="preserve">multiverse cell 321/1260: coding=paris_mid, outlier=winsor, es_set=full, df_basis=k20, estimator=one_per_cluster, rho=0.4 [DEC-045 S2]; cluster x cell aggregates (D2/H2b convention)</t>
  </si>
  <si>
    <t xml:space="preserve">multiverse cell 322/1260: coding=tie_break_median, outlier=winsor, es_set=full, df_basis=k20, estimator=one_per_cluster, rho=0.4 [DEC-045 S2]; cluster x cell aggregates (D2/H2b convention)</t>
  </si>
  <si>
    <t xml:space="preserve">multiverse cell 323/1260: coding=end_any_exposure, outlier=winsor, es_set=full, df_basis=k20, estimator=one_per_cluster, rho=0.4 [DEC-045 S2]; cluster x cell aggregates (D2/H2b convention)</t>
  </si>
  <si>
    <t xml:space="preserve">multiverse cell 324/1260: coding=share_recut_2017, outlier=winsor, es_set=full, df_basis=k20, estimator=one_per_cluster, rho=0.4 [DEC-045 S2]; cluster x cell aggregates (D2/H2b convention)</t>
  </si>
  <si>
    <t xml:space="preserve">multiverse cell 325/1260: coding=share_recut_2018, outlier=winsor, es_set=full, df_basis=k20, estimator=one_per_cluster, rho=0.4 [DEC-045 S2]; cluster x cell aggregates (D2/H2b convention)</t>
  </si>
  <si>
    <t xml:space="preserve">multiverse cell 326/1260: coding=share_recut_2019, outlier=winsor, es_set=full, df_basis=k20, estimator=one_per_cluster, rho=0.4 [DEC-045 S2]; cluster x cell aggregates (D2/H2b convention)</t>
  </si>
  <si>
    <t xml:space="preserve">multiverse cell 327/1260: coding=end_lag1, outlier=winsor, es_set=full, df_basis=k20, estimator=one_per_cluster, rho=0.4 [DEC-045 S2]; cluster x cell aggregates (D2/H2b convention)</t>
  </si>
  <si>
    <t xml:space="preserve">multiverse cell 328/1260: coding=end_lag2, outlier=winsor, es_set=full, df_basis=k20, estimator=one_per_cluster, rho=0.4 [DEC-045 S2]; cluster x cell aggregates (D2/H2b convention)</t>
  </si>
  <si>
    <t xml:space="preserve">multiverse cell 329/1260: coding=end_lag3, outlier=winsor, es_set=full, df_basis=k20, estimator=one_per_cluster, rho=0.4 [DEC-045 S2]; cluster x cell aggregates (D2/H2b convention)</t>
  </si>
  <si>
    <t xml:space="preserve">multiverse cell 330/1260: coding=clean_window, outlier=winsor, es_set=full, df_basis=k20, estimator=one_per_cluster, rho=0.4 [DEC-045 S2]; cluster x cell aggregates (D2/H2b convention)</t>
  </si>
  <si>
    <t xml:space="preserve">multiverse cell 331/1260: coding=paris_mid, outlier=none, es_set=no_starbound, df_basis=k20, estimator=one_per_cluster, rho=0.4 [DEC-045 S2]; cluster x cell aggregates (D2/H2b convention)</t>
  </si>
  <si>
    <t xml:space="preserve">multiverse cell 332/1260: coding=tie_break_median, outlier=none, es_set=no_starbound, df_basis=k20, estimator=one_per_cluster, rho=0.4 [DEC-045 S2]; cluster x cell aggregates (D2/H2b convention)</t>
  </si>
  <si>
    <t xml:space="preserve">multiverse cell 333/1260: coding=end_any_exposure, outlier=none, es_set=no_starbound, df_basis=k20, estimator=one_per_cluster, rho=0.4 [DEC-045 S2]; cluster x cell aggregates (D2/H2b convention)</t>
  </si>
  <si>
    <t xml:space="preserve">multiverse cell 334/1260: coding=share_recut_2017, outlier=none, es_set=no_starbound, df_basis=k20, estimator=one_per_cluster, rho=0.4 [DEC-045 S2]; cluster x cell aggregates (D2/H2b convention)</t>
  </si>
  <si>
    <t xml:space="preserve">multiverse cell 335/1260: coding=share_recut_2018, outlier=none, es_set=no_starbound, df_basis=k20, estimator=one_per_cluster, rho=0.4 [DEC-045 S2]; cluster x cell aggregates (D2/H2b convention)</t>
  </si>
  <si>
    <t xml:space="preserve">multiverse cell 336/1260: coding=share_recut_2019, outlier=none, es_set=no_starbound, df_basis=k20, estimator=one_per_cluster, rho=0.4 [DEC-045 S2]; cluster x cell aggregates (D2/H2b convention)</t>
  </si>
  <si>
    <t xml:space="preserve">multiverse cell 337/1260: coding=end_lag1, outlier=none, es_set=no_starbound, df_basis=k20, estimator=one_per_cluster, rho=0.4 [DEC-045 S2]; cluster x cell aggregates (D2/H2b convention)</t>
  </si>
  <si>
    <t xml:space="preserve">multiverse cell 338/1260: coding=end_lag2, outlier=none, es_set=no_starbound, df_basis=k20, estimator=one_per_cluster, rho=0.4 [DEC-045 S2]; cluster x cell aggregates (D2/H2b convention)</t>
  </si>
  <si>
    <t xml:space="preserve">multiverse cell 339/1260: coding=end_lag3, outlier=none, es_set=no_starbound, df_basis=k20, estimator=one_per_cluster, rho=0.4 [DEC-045 S2]; cluster x cell aggregates (D2/H2b convention)</t>
  </si>
  <si>
    <t xml:space="preserve">multiverse cell 340/1260: coding=clean_window, outlier=none, es_set=no_starbound, df_basis=k20, estimator=one_per_cluster, rho=0.4 [DEC-045 S2]; cluster x cell aggregates (D2/H2b convention)</t>
  </si>
  <si>
    <t xml:space="preserve">multiverse cell 341/1260: coding=paris_mid, outlier=rstudent, es_set=no_starbound, df_basis=k20, estimator=one_per_cluster, rho=0.4 [DEC-045 S2]; cluster x cell aggregates (D2/H2b convention)</t>
  </si>
  <si>
    <t xml:space="preserve">multiverse cell 342/1260: coding=tie_break_median, outlier=rstudent, es_set=no_starbound, df_basis=k20, estimator=one_per_cluster, rho=0.4 [DEC-045 S2]; cluster x cell aggregates (D2/H2b convention)</t>
  </si>
  <si>
    <t xml:space="preserve">multiverse cell 343/1260: coding=end_any_exposure, outlier=rstudent, es_set=no_starbound, df_basis=k20, estimator=one_per_cluster, rho=0.4 [DEC-045 S2]; cluster x cell aggregates (D2/H2b convention)</t>
  </si>
  <si>
    <t xml:space="preserve">multiverse cell 344/1260: coding=share_recut_2017, outlier=rstudent, es_set=no_starbound, df_basis=k20, estimator=one_per_cluster, rho=0.4 [DEC-045 S2]; cluster x cell aggregates (D2/H2b convention)</t>
  </si>
  <si>
    <t xml:space="preserve">multiverse cell 345/1260: coding=share_recut_2018, outlier=rstudent, es_set=no_starbound, df_basis=k20, estimator=one_per_cluster, rho=0.4 [DEC-045 S2]; cluster x cell aggregates (D2/H2b convention)</t>
  </si>
  <si>
    <t xml:space="preserve">multiverse cell 346/1260: coding=share_recut_2019, outlier=rstudent, es_set=no_starbound, df_basis=k20, estimator=one_per_cluster, rho=0.4 [DEC-045 S2]; cluster x cell aggregates (D2/H2b convention)</t>
  </si>
  <si>
    <t xml:space="preserve">multiverse cell 347/1260: coding=end_lag1, outlier=rstudent, es_set=no_starbound, df_basis=k20, estimator=one_per_cluster, rho=0.4 [DEC-045 S2]; cluster x cell aggregates (D2/H2b convention)</t>
  </si>
  <si>
    <t xml:space="preserve">multiverse cell 348/1260: coding=end_lag2, outlier=rstudent, es_set=no_starbound, df_basis=k20, estimator=one_per_cluster, rho=0.4 [DEC-045 S2]; cluster x cell aggregates (D2/H2b convention)</t>
  </si>
  <si>
    <t xml:space="preserve">multiverse cell 349/1260: coding=end_lag3, outlier=rstudent, es_set=no_starbound, df_basis=k20, estimator=one_per_cluster, rho=0.4 [DEC-045 S2]; cluster x cell aggregates (D2/H2b convention)</t>
  </si>
  <si>
    <t xml:space="preserve">multiverse cell 350/1260: coding=clean_window, outlier=rstudent, es_set=no_starbound, df_basis=k20, estimator=one_per_cluster, rho=0.4 [DEC-045 S2]; cluster x cell aggregates (D2/H2b convention)</t>
  </si>
  <si>
    <t xml:space="preserve">multiverse cell 351/1260: coding=paris_mid, outlier=winsor, es_set=no_starbound, df_basis=k20, estimator=one_per_cluster, rho=0.4 [DEC-045 S2]; cluster x cell aggregates (D2/H2b convention)</t>
  </si>
  <si>
    <t xml:space="preserve">multiverse cell 352/1260: coding=tie_break_median, outlier=winsor, es_set=no_starbound, df_basis=k20, estimator=one_per_cluster, rho=0.4 [DEC-045 S2]; cluster x cell aggregates (D2/H2b convention)</t>
  </si>
  <si>
    <t xml:space="preserve">multiverse cell 353/1260: coding=end_any_exposure, outlier=winsor, es_set=no_starbound, df_basis=k20, estimator=one_per_cluster, rho=0.4 [DEC-045 S2]; cluster x cell aggregates (D2/H2b convention)</t>
  </si>
  <si>
    <t xml:space="preserve">multiverse cell 354/1260: coding=share_recut_2017, outlier=winsor, es_set=no_starbound, df_basis=k20, estimator=one_per_cluster, rho=0.4 [DEC-045 S2]; cluster x cell aggregates (D2/H2b convention)</t>
  </si>
  <si>
    <t xml:space="preserve">multiverse cell 355/1260: coding=share_recut_2018, outlier=winsor, es_set=no_starbound, df_basis=k20, estimator=one_per_cluster, rho=0.4 [DEC-045 S2]; cluster x cell aggregates (D2/H2b convention)</t>
  </si>
  <si>
    <t xml:space="preserve">multiverse cell 356/1260: coding=share_recut_2019, outlier=winsor, es_set=no_starbound, df_basis=k20, estimator=one_per_cluster, rho=0.4 [DEC-045 S2]; cluster x cell aggregates (D2/H2b convention)</t>
  </si>
  <si>
    <t xml:space="preserve">multiverse cell 357/1260: coding=end_lag1, outlier=winsor, es_set=no_starbound, df_basis=k20, estimator=one_per_cluster, rho=0.4 [DEC-045 S2]; cluster x cell aggregates (D2/H2b convention)</t>
  </si>
  <si>
    <t xml:space="preserve">multiverse cell 358/1260: coding=end_lag2, outlier=winsor, es_set=no_starbound, df_basis=k20, estimator=one_per_cluster, rho=0.4 [DEC-045 S2]; cluster x cell aggregates (D2/H2b convention)</t>
  </si>
  <si>
    <t xml:space="preserve">multiverse cell 359/1260: coding=end_lag3, outlier=winsor, es_set=no_starbound, df_basis=k20, estimator=one_per_cluster, rho=0.4 [DEC-045 S2]; cluster x cell aggregates (D2/H2b convention)</t>
  </si>
  <si>
    <t xml:space="preserve">multiverse cell 360/1260: coding=clean_window, outlier=winsor, es_set=no_starbound, df_basis=k20, estimator=one_per_cluster, rho=0.4 [DEC-045 S2]; cluster x cell aggregates (D2/H2b convention)</t>
  </si>
  <si>
    <t xml:space="preserve">h3_core_paris_mid</t>
  </si>
  <si>
    <t xml:space="preserve">multiverse cell 361/1260: coding=paris_mid, outlier=none, es_set=full, df_basis=dfE, estimator=3LMA-RVE_CR2, rho=0.6 [DEC-045 S2]; descriptive curve cell; CORE cell (inference via joint permutation); verifier identity vs committed T2 diff at 1e-6</t>
  </si>
  <si>
    <t xml:space="preserve">h3_core_tie_break_median</t>
  </si>
  <si>
    <t xml:space="preserve">multiverse cell 362/1260: coding=tie_break_median, outlier=none, es_set=full, df_basis=dfE, estimator=3LMA-RVE_CR2, rho=0.6 [DEC-045 S2]; descriptive curve cell; CORE cell (inference via joint permutation); verifier identity vs committed T2 diff at 1e-6</t>
  </si>
  <si>
    <t xml:space="preserve">h3_core_end_any_exposure</t>
  </si>
  <si>
    <t xml:space="preserve">multiverse cell 363/1260: coding=end_any_exposure, outlier=none, es_set=full, df_basis=dfE, estimator=3LMA-RVE_CR2, rho=0.6 [DEC-045 S2]; descriptive curve cell; CORE cell (inference via joint permutation); verifier identity vs committed T2 diff at 1e-6</t>
  </si>
  <si>
    <t xml:space="preserve">h3_core_share_recut_2017</t>
  </si>
  <si>
    <t xml:space="preserve">multiverse cell 364/1260: coding=share_recut_2017, outlier=none, es_set=full, df_basis=dfE, estimator=3LMA-RVE_CR2, rho=0.6 [DEC-045 S2]; descriptive curve cell; CORE cell (inference via joint permutation); verifier identity vs committed T2 diff at 1e-6</t>
  </si>
  <si>
    <t xml:space="preserve">h3_core_share_recut_2018</t>
  </si>
  <si>
    <t xml:space="preserve">multiverse cell 365/1260: coding=share_recut_2018, outlier=none, es_set=full, df_basis=dfE, estimator=3LMA-RVE_CR2, rho=0.6 [DEC-045 S2]; descriptive curve cell; CORE cell (inference via joint permutation); verifier identity vs committed T2 diff at 1e-6</t>
  </si>
  <si>
    <t xml:space="preserve">h3_core_share_recut_2019</t>
  </si>
  <si>
    <t xml:space="preserve">multiverse cell 366/1260: coding=share_recut_2019, outlier=none, es_set=full, df_basis=dfE, estimator=3LMA-RVE_CR2, rho=0.6 [DEC-045 S2]; descriptive curve cell; CORE cell (inference via joint permutation); verifier identity vs committed T2 diff at 1e-6</t>
  </si>
  <si>
    <t xml:space="preserve">h3_core_end_lag1</t>
  </si>
  <si>
    <t xml:space="preserve">multiverse cell 367/1260: coding=end_lag1, outlier=none, es_set=full, df_basis=dfE, estimator=3LMA-RVE_CR2, rho=0.6 [DEC-045 S2]; descriptive curve cell; CORE cell (inference via joint permutation); verifier identity vs committed T2 diff at 1e-6</t>
  </si>
  <si>
    <t xml:space="preserve">h3_core_end_lag2</t>
  </si>
  <si>
    <t xml:space="preserve">multiverse cell 368/1260: coding=end_lag2, outlier=none, es_set=full, df_basis=dfE, estimator=3LMA-RVE_CR2, rho=0.6 [DEC-045 S2]; descriptive curve cell; CORE cell (inference via joint permutation); verifier identity vs committed T2 diff at 1e-6</t>
  </si>
  <si>
    <t xml:space="preserve">h3_core_end_lag3</t>
  </si>
  <si>
    <t xml:space="preserve">multiverse cell 369/1260: coding=end_lag3, outlier=none, es_set=full, df_basis=dfE, estimator=3LMA-RVE_CR2, rho=0.6 [DEC-045 S2]; descriptive curve cell; CORE cell (inference via joint permutation); verifier identity vs committed T2 diff at 1e-6</t>
  </si>
  <si>
    <t xml:space="preserve">h3_core_clean_window</t>
  </si>
  <si>
    <t xml:space="preserve">multiverse cell 370/1260: coding=clean_window, outlier=none, es_set=full, df_basis=dfE, estimator=3LMA-RVE_CR2, rho=0.6 [DEC-045 S2]; descriptive curve cell; CORE cell (inference via joint permutation); verifier identity vs committed T2 diff at 1e-6</t>
  </si>
  <si>
    <t xml:space="preserve">multiverse cell 371/1260: coding=paris_mid, outlier=rstudent, es_set=full, df_basis=dfE, estimator=3LMA-RVE_CR2, rho=0.6 [DEC-045 S2]; descriptive curve cell</t>
  </si>
  <si>
    <t xml:space="preserve">multiverse cell 372/1260: coding=tie_break_median, outlier=rstudent, es_set=full, df_basis=dfE, estimator=3LMA-RVE_CR2, rho=0.6 [DEC-045 S2]; descriptive curve cell</t>
  </si>
  <si>
    <t xml:space="preserve">multiverse cell 373/1260: coding=end_any_exposure, outlier=rstudent, es_set=full, df_basis=dfE, estimator=3LMA-RVE_CR2, rho=0.6 [DEC-045 S2]; descriptive curve cell</t>
  </si>
  <si>
    <t xml:space="preserve">multiverse cell 374/1260: coding=share_recut_2017, outlier=rstudent, es_set=full, df_basis=dfE, estimator=3LMA-RVE_CR2, rho=0.6 [DEC-045 S2]; descriptive curve cell</t>
  </si>
  <si>
    <t xml:space="preserve">multiverse cell 375/1260: coding=share_recut_2018, outlier=rstudent, es_set=full, df_basis=dfE, estimator=3LMA-RVE_CR2, rho=0.6 [DEC-045 S2]; descriptive curve cell</t>
  </si>
  <si>
    <t xml:space="preserve">multiverse cell 376/1260: coding=share_recut_2019, outlier=rstudent, es_set=full, df_basis=dfE, estimator=3LMA-RVE_CR2, rho=0.6 [DEC-045 S2]; descriptive curve cell</t>
  </si>
  <si>
    <t xml:space="preserve">multiverse cell 377/1260: coding=end_lag1, outlier=rstudent, es_set=full, df_basis=dfE, estimator=3LMA-RVE_CR2, rho=0.6 [DEC-045 S2]; descriptive curve cell</t>
  </si>
  <si>
    <t xml:space="preserve">multiverse cell 378/1260: coding=end_lag2, outlier=rstudent, es_set=full, df_basis=dfE, estimator=3LMA-RVE_CR2, rho=0.6 [DEC-045 S2]; descriptive curve cell</t>
  </si>
  <si>
    <t xml:space="preserve">multiverse cell 379/1260: coding=end_lag3, outlier=rstudent, es_set=full, df_basis=dfE, estimator=3LMA-RVE_CR2, rho=0.6 [DEC-045 S2]; descriptive curve cell</t>
  </si>
  <si>
    <t xml:space="preserve">multiverse cell 380/1260: coding=clean_window, outlier=rstudent, es_set=full, df_basis=dfE, estimator=3LMA-RVE_CR2, rho=0.6 [DEC-045 S2]; descriptive curve cell</t>
  </si>
  <si>
    <t xml:space="preserve">multiverse cell 381/1260: coding=paris_mid, outlier=winsor, es_set=full, df_basis=dfE, estimator=3LMA-RVE_CR2, rho=0.6 [DEC-045 S2]; descriptive curve cell</t>
  </si>
  <si>
    <t xml:space="preserve">multiverse cell 382/1260: coding=tie_break_median, outlier=winsor, es_set=full, df_basis=dfE, estimator=3LMA-RVE_CR2, rho=0.6 [DEC-045 S2]; descriptive curve cell</t>
  </si>
  <si>
    <t xml:space="preserve">multiverse cell 383/1260: coding=end_any_exposure, outlier=winsor, es_set=full, df_basis=dfE, estimator=3LMA-RVE_CR2, rho=0.6 [DEC-045 S2]; descriptive curve cell</t>
  </si>
  <si>
    <t xml:space="preserve">multiverse cell 384/1260: coding=share_recut_2017, outlier=winsor, es_set=full, df_basis=dfE, estimator=3LMA-RVE_CR2, rho=0.6 [DEC-045 S2]; descriptive curve cell</t>
  </si>
  <si>
    <t xml:space="preserve">multiverse cell 385/1260: coding=share_recut_2018, outlier=winsor, es_set=full, df_basis=dfE, estimator=3LMA-RVE_CR2, rho=0.6 [DEC-045 S2]; descriptive curve cell</t>
  </si>
  <si>
    <t xml:space="preserve">multiverse cell 386/1260: coding=share_recut_2019, outlier=winsor, es_set=full, df_basis=dfE, estimator=3LMA-RVE_CR2, rho=0.6 [DEC-045 S2]; descriptive curve cell</t>
  </si>
  <si>
    <t xml:space="preserve">multiverse cell 387/1260: coding=end_lag1, outlier=winsor, es_set=full, df_basis=dfE, estimator=3LMA-RVE_CR2, rho=0.6 [DEC-045 S2]; descriptive curve cell</t>
  </si>
  <si>
    <t xml:space="preserve">multiverse cell 388/1260: coding=end_lag2, outlier=winsor, es_set=full, df_basis=dfE, estimator=3LMA-RVE_CR2, rho=0.6 [DEC-045 S2]; descriptive curve cell</t>
  </si>
  <si>
    <t xml:space="preserve">multiverse cell 389/1260: coding=end_lag3, outlier=winsor, es_set=full, df_basis=dfE, estimator=3LMA-RVE_CR2, rho=0.6 [DEC-045 S2]; descriptive curve cell</t>
  </si>
  <si>
    <t xml:space="preserve">multiverse cell 390/1260: coding=clean_window, outlier=winsor, es_set=full, df_basis=dfE, estimator=3LMA-RVE_CR2, rho=0.6 [DEC-045 S2]; descriptive curve cell</t>
  </si>
  <si>
    <t xml:space="preserve">multiverse cell 391/1260: coding=paris_mid, outlier=none, es_set=no_starbound, df_basis=dfE, estimator=3LMA-RVE_CR2, rho=0.6 [DEC-045 S2]; descriptive curve cell</t>
  </si>
  <si>
    <t xml:space="preserve">multiverse cell 392/1260: coding=tie_break_median, outlier=none, es_set=no_starbound, df_basis=dfE, estimator=3LMA-RVE_CR2, rho=0.6 [DEC-045 S2]; descriptive curve cell</t>
  </si>
  <si>
    <t xml:space="preserve">multiverse cell 393/1260: coding=end_any_exposure, outlier=none, es_set=no_starbound, df_basis=dfE, estimator=3LMA-RVE_CR2, rho=0.6 [DEC-045 S2]; descriptive curve cell</t>
  </si>
  <si>
    <t xml:space="preserve">multiverse cell 394/1260: coding=share_recut_2017, outlier=none, es_set=no_starbound, df_basis=dfE, estimator=3LMA-RVE_CR2, rho=0.6 [DEC-045 S2]; descriptive curve cell</t>
  </si>
  <si>
    <t xml:space="preserve">multiverse cell 395/1260: coding=share_recut_2018, outlier=none, es_set=no_starbound, df_basis=dfE, estimator=3LMA-RVE_CR2, rho=0.6 [DEC-045 S2]; descriptive curve cell</t>
  </si>
  <si>
    <t xml:space="preserve">multiverse cell 396/1260: coding=share_recut_2019, outlier=none, es_set=no_starbound, df_basis=dfE, estimator=3LMA-RVE_CR2, rho=0.6 [DEC-045 S2]; descriptive curve cell</t>
  </si>
  <si>
    <t xml:space="preserve">multiverse cell 397/1260: coding=end_lag1, outlier=none, es_set=no_starbound, df_basis=dfE, estimator=3LMA-RVE_CR2, rho=0.6 [DEC-045 S2]; descriptive curve cell</t>
  </si>
  <si>
    <t xml:space="preserve">multiverse cell 398/1260: coding=end_lag2, outlier=none, es_set=no_starbound, df_basis=dfE, estimator=3LMA-RVE_CR2, rho=0.6 [DEC-045 S2]; descriptive curve cell</t>
  </si>
  <si>
    <t xml:space="preserve">multiverse cell 399/1260: coding=end_lag3, outlier=none, es_set=no_starbound, df_basis=dfE, estimator=3LMA-RVE_CR2, rho=0.6 [DEC-045 S2]; descriptive curve cell</t>
  </si>
  <si>
    <t xml:space="preserve">multiverse cell 400/1260: coding=clean_window, outlier=none, es_set=no_starbound, df_basis=dfE, estimator=3LMA-RVE_CR2, rho=0.6 [DEC-045 S2]; descriptive curve cell</t>
  </si>
  <si>
    <t xml:space="preserve">multiverse cell 401/1260: coding=paris_mid, outlier=rstudent, es_set=no_starbound, df_basis=dfE, estimator=3LMA-RVE_CR2, rho=0.6 [DEC-045 S2]; descriptive curve cell</t>
  </si>
  <si>
    <t xml:space="preserve">multiverse cell 402/1260: coding=tie_break_median, outlier=rstudent, es_set=no_starbound, df_basis=dfE, estimator=3LMA-RVE_CR2, rho=0.6 [DEC-045 S2]; descriptive curve cell</t>
  </si>
  <si>
    <t xml:space="preserve">multiverse cell 403/1260: coding=end_any_exposure, outlier=rstudent, es_set=no_starbound, df_basis=dfE, estimator=3LMA-RVE_CR2, rho=0.6 [DEC-045 S2]; descriptive curve cell</t>
  </si>
  <si>
    <t xml:space="preserve">multiverse cell 404/1260: coding=share_recut_2017, outlier=rstudent, es_set=no_starbound, df_basis=dfE, estimator=3LMA-RVE_CR2, rho=0.6 [DEC-045 S2]; descriptive curve cell</t>
  </si>
  <si>
    <t xml:space="preserve">multiverse cell 405/1260: coding=share_recut_2018, outlier=rstudent, es_set=no_starbound, df_basis=dfE, estimator=3LMA-RVE_CR2, rho=0.6 [DEC-045 S2]; descriptive curve cell</t>
  </si>
  <si>
    <t xml:space="preserve">multiverse cell 406/1260: coding=share_recut_2019, outlier=rstudent, es_set=no_starbound, df_basis=dfE, estimator=3LMA-RVE_CR2, rho=0.6 [DEC-045 S2]; descriptive curve cell</t>
  </si>
  <si>
    <t xml:space="preserve">multiverse cell 407/1260: coding=end_lag1, outlier=rstudent, es_set=no_starbound, df_basis=dfE, estimator=3LMA-RVE_CR2, rho=0.6 [DEC-045 S2]; descriptive curve cell</t>
  </si>
  <si>
    <t xml:space="preserve">multiverse cell 408/1260: coding=end_lag2, outlier=rstudent, es_set=no_starbound, df_basis=dfE, estimator=3LMA-RVE_CR2, rho=0.6 [DEC-045 S2]; descriptive curve cell</t>
  </si>
  <si>
    <t xml:space="preserve">multiverse cell 409/1260: coding=end_lag3, outlier=rstudent, es_set=no_starbound, df_basis=dfE, estimator=3LMA-RVE_CR2, rho=0.6 [DEC-045 S2]; descriptive curve cell</t>
  </si>
  <si>
    <t xml:space="preserve">multiverse cell 410/1260: coding=clean_window, outlier=rstudent, es_set=no_starbound, df_basis=dfE, estimator=3LMA-RVE_CR2, rho=0.6 [DEC-045 S2]; descriptive curve cell</t>
  </si>
  <si>
    <t xml:space="preserve">multiverse cell 411/1260: coding=paris_mid, outlier=winsor, es_set=no_starbound, df_basis=dfE, estimator=3LMA-RVE_CR2, rho=0.6 [DEC-045 S2]; descriptive curve cell</t>
  </si>
  <si>
    <t xml:space="preserve">multiverse cell 412/1260: coding=tie_break_median, outlier=winsor, es_set=no_starbound, df_basis=dfE, estimator=3LMA-RVE_CR2, rho=0.6 [DEC-045 S2]; descriptive curve cell</t>
  </si>
  <si>
    <t xml:space="preserve">multiverse cell 413/1260: coding=end_any_exposure, outlier=winsor, es_set=no_starbound, df_basis=dfE, estimator=3LMA-RVE_CR2, rho=0.6 [DEC-045 S2]; descriptive curve cell</t>
  </si>
  <si>
    <t xml:space="preserve">multiverse cell 414/1260: coding=share_recut_2017, outlier=winsor, es_set=no_starbound, df_basis=dfE, estimator=3LMA-RVE_CR2, rho=0.6 [DEC-045 S2]; descriptive curve cell</t>
  </si>
  <si>
    <t xml:space="preserve">multiverse cell 415/1260: coding=share_recut_2018, outlier=winsor, es_set=no_starbound, df_basis=dfE, estimator=3LMA-RVE_CR2, rho=0.6 [DEC-045 S2]; descriptive curve cell</t>
  </si>
  <si>
    <t xml:space="preserve">multiverse cell 416/1260: coding=share_recut_2019, outlier=winsor, es_set=no_starbound, df_basis=dfE, estimator=3LMA-RVE_CR2, rho=0.6 [DEC-045 S2]; descriptive curve cell</t>
  </si>
  <si>
    <t xml:space="preserve">multiverse cell 417/1260: coding=end_lag1, outlier=winsor, es_set=no_starbound, df_basis=dfE, estimator=3LMA-RVE_CR2, rho=0.6 [DEC-045 S2]; descriptive curve cell</t>
  </si>
  <si>
    <t xml:space="preserve">multiverse cell 418/1260: coding=end_lag2, outlier=winsor, es_set=no_starbound, df_basis=dfE, estimator=3LMA-RVE_CR2, rho=0.6 [DEC-045 S2]; descriptive curve cell</t>
  </si>
  <si>
    <t xml:space="preserve">multiverse cell 419/1260: coding=end_lag3, outlier=winsor, es_set=no_starbound, df_basis=dfE, estimator=3LMA-RVE_CR2, rho=0.6 [DEC-045 S2]; descriptive curve cell</t>
  </si>
  <si>
    <t xml:space="preserve">multiverse cell 420/1260: coding=clean_window, outlier=winsor, es_set=no_starbound, df_basis=dfE, estimator=3LMA-RVE_CR2, rho=0.6 [DEC-045 S2]; descriptive curve cell</t>
  </si>
  <si>
    <t xml:space="preserve">multiverse cell 421/1260: coding=paris_mid, outlier=none, es_set=full, df_basis=k10, estimator=3LMA-RVE_CR2, rho=0.6 [DEC-045 S2]; descriptive curve cell</t>
  </si>
  <si>
    <t xml:space="preserve">multiverse cell 422/1260: coding=tie_break_median, outlier=none, es_set=full, df_basis=k10, estimator=3LMA-RVE_CR2, rho=0.6 [DEC-045 S2]; descriptive curve cell</t>
  </si>
  <si>
    <t xml:space="preserve">multiverse cell 423/1260: coding=end_any_exposure, outlier=none, es_set=full, df_basis=k10, estimator=3LMA-RVE_CR2, rho=0.6 [DEC-045 S2]; descriptive curve cell</t>
  </si>
  <si>
    <t xml:space="preserve">multiverse cell 424/1260: coding=share_recut_2017, outlier=none, es_set=full, df_basis=k10, estimator=3LMA-RVE_CR2, rho=0.6 [DEC-045 S2]; descriptive curve cell</t>
  </si>
  <si>
    <t xml:space="preserve">multiverse cell 425/1260: coding=share_recut_2018, outlier=none, es_set=full, df_basis=k10, estimator=3LMA-RVE_CR2, rho=0.6 [DEC-045 S2]; descriptive curve cell</t>
  </si>
  <si>
    <t xml:space="preserve">multiverse cell 426/1260: coding=share_recut_2019, outlier=none, es_set=full, df_basis=k10, estimator=3LMA-RVE_CR2, rho=0.6 [DEC-045 S2]; descriptive curve cell</t>
  </si>
  <si>
    <t xml:space="preserve">multiverse cell 427/1260: coding=end_lag1, outlier=none, es_set=full, df_basis=k10, estimator=3LMA-RVE_CR2, rho=0.6 [DEC-045 S2]; descriptive curve cell</t>
  </si>
  <si>
    <t xml:space="preserve">multiverse cell 428/1260: coding=end_lag2, outlier=none, es_set=full, df_basis=k10, estimator=3LMA-RVE_CR2, rho=0.6 [DEC-045 S2]; descriptive curve cell</t>
  </si>
  <si>
    <t xml:space="preserve">multiverse cell 429/1260: coding=end_lag3, outlier=none, es_set=full, df_basis=k10, estimator=3LMA-RVE_CR2, rho=0.6 [DEC-045 S2]; descriptive curve cell</t>
  </si>
  <si>
    <t xml:space="preserve">multiverse cell 430/1260: coding=clean_window, outlier=none, es_set=full, df_basis=k10, estimator=3LMA-RVE_CR2, rho=0.6 [DEC-045 S2]; descriptive curve cell</t>
  </si>
  <si>
    <t xml:space="preserve">multiverse cell 431/1260: coding=paris_mid, outlier=rstudent, es_set=full, df_basis=k10, estimator=3LMA-RVE_CR2, rho=0.6 [DEC-045 S2]; descriptive curve cell</t>
  </si>
  <si>
    <t xml:space="preserve">multiverse cell 432/1260: coding=tie_break_median, outlier=rstudent, es_set=full, df_basis=k10, estimator=3LMA-RVE_CR2, rho=0.6 [DEC-045 S2]; descriptive curve cell</t>
  </si>
  <si>
    <t xml:space="preserve">multiverse cell 433/1260: coding=end_any_exposure, outlier=rstudent, es_set=full, df_basis=k10, estimator=3LMA-RVE_CR2, rho=0.6 [DEC-045 S2]; descriptive curve cell</t>
  </si>
  <si>
    <t xml:space="preserve">multiverse cell 434/1260: coding=share_recut_2017, outlier=rstudent, es_set=full, df_basis=k10, estimator=3LMA-RVE_CR2, rho=0.6 [DEC-045 S2]; descriptive curve cell</t>
  </si>
  <si>
    <t xml:space="preserve">multiverse cell 435/1260: coding=share_recut_2018, outlier=rstudent, es_set=full, df_basis=k10, estimator=3LMA-RVE_CR2, rho=0.6 [DEC-045 S2]; descriptive curve cell</t>
  </si>
  <si>
    <t xml:space="preserve">multiverse cell 436/1260: coding=share_recut_2019, outlier=rstudent, es_set=full, df_basis=k10, estimator=3LMA-RVE_CR2, rho=0.6 [DEC-045 S2]; descriptive curve cell</t>
  </si>
  <si>
    <t xml:space="preserve">multiverse cell 437/1260: coding=end_lag1, outlier=rstudent, es_set=full, df_basis=k10, estimator=3LMA-RVE_CR2, rho=0.6 [DEC-045 S2]; descriptive curve cell</t>
  </si>
  <si>
    <t xml:space="preserve">multiverse cell 438/1260: coding=end_lag2, outlier=rstudent, es_set=full, df_basis=k10, estimator=3LMA-RVE_CR2, rho=0.6 [DEC-045 S2]; descriptive curve cell</t>
  </si>
  <si>
    <t xml:space="preserve">multiverse cell 439/1260: coding=end_lag3, outlier=rstudent, es_set=full, df_basis=k10, estimator=3LMA-RVE_CR2, rho=0.6 [DEC-045 S2]; descriptive curve cell</t>
  </si>
  <si>
    <t xml:space="preserve">multiverse cell 440/1260: coding=clean_window, outlier=rstudent, es_set=full, df_basis=k10, estimator=3LMA-RVE_CR2, rho=0.6 [DEC-045 S2]; descriptive curve cell</t>
  </si>
  <si>
    <t xml:space="preserve">multiverse cell 441/1260: coding=paris_mid, outlier=winsor, es_set=full, df_basis=k10, estimator=3LMA-RVE_CR2, rho=0.6 [DEC-045 S2]; descriptive curve cell</t>
  </si>
  <si>
    <t xml:space="preserve">multiverse cell 442/1260: coding=tie_break_median, outlier=winsor, es_set=full, df_basis=k10, estimator=3LMA-RVE_CR2, rho=0.6 [DEC-045 S2]; descriptive curve cell</t>
  </si>
  <si>
    <t xml:space="preserve">multiverse cell 443/1260: coding=end_any_exposure, outlier=winsor, es_set=full, df_basis=k10, estimator=3LMA-RVE_CR2, rho=0.6 [DEC-045 S2]; descriptive curve cell</t>
  </si>
  <si>
    <t xml:space="preserve">multiverse cell 444/1260: coding=share_recut_2017, outlier=winsor, es_set=full, df_basis=k10, estimator=3LMA-RVE_CR2, rho=0.6 [DEC-045 S2]; descriptive curve cell</t>
  </si>
  <si>
    <t xml:space="preserve">multiverse cell 445/1260: coding=share_recut_2018, outlier=winsor, es_set=full, df_basis=k10, estimator=3LMA-RVE_CR2, rho=0.6 [DEC-045 S2]; descriptive curve cell</t>
  </si>
  <si>
    <t xml:space="preserve">multiverse cell 446/1260: coding=share_recut_2019, outlier=winsor, es_set=full, df_basis=k10, estimator=3LMA-RVE_CR2, rho=0.6 [DEC-045 S2]; descriptive curve cell</t>
  </si>
  <si>
    <t xml:space="preserve">multiverse cell 447/1260: coding=end_lag1, outlier=winsor, es_set=full, df_basis=k10, estimator=3LMA-RVE_CR2, rho=0.6 [DEC-045 S2]; descriptive curve cell</t>
  </si>
  <si>
    <t xml:space="preserve">multiverse cell 448/1260: coding=end_lag2, outlier=winsor, es_set=full, df_basis=k10, estimator=3LMA-RVE_CR2, rho=0.6 [DEC-045 S2]; descriptive curve cell</t>
  </si>
  <si>
    <t xml:space="preserve">multiverse cell 449/1260: coding=end_lag3, outlier=winsor, es_set=full, df_basis=k10, estimator=3LMA-RVE_CR2, rho=0.6 [DEC-045 S2]; descriptive curve cell</t>
  </si>
  <si>
    <t xml:space="preserve">multiverse cell 450/1260: coding=clean_window, outlier=winsor, es_set=full, df_basis=k10, estimator=3LMA-RVE_CR2, rho=0.6 [DEC-045 S2]; descriptive curve cell</t>
  </si>
  <si>
    <t xml:space="preserve">multiverse cell 451/1260: coding=paris_mid, outlier=none, es_set=no_starbound, df_basis=k10, estimator=3LMA-RVE_CR2, rho=0.6 [DEC-045 S2]; descriptive curve cell</t>
  </si>
  <si>
    <t xml:space="preserve">multiverse cell 452/1260: coding=tie_break_median, outlier=none, es_set=no_starbound, df_basis=k10, estimator=3LMA-RVE_CR2, rho=0.6 [DEC-045 S2]; descriptive curve cell</t>
  </si>
  <si>
    <t xml:space="preserve">multiverse cell 453/1260: coding=end_any_exposure, outlier=none, es_set=no_starbound, df_basis=k10, estimator=3LMA-RVE_CR2, rho=0.6 [DEC-045 S2]; descriptive curve cell</t>
  </si>
  <si>
    <t xml:space="preserve">multiverse cell 454/1260: coding=share_recut_2017, outlier=none, es_set=no_starbound, df_basis=k10, estimator=3LMA-RVE_CR2, rho=0.6 [DEC-045 S2]; descriptive curve cell</t>
  </si>
  <si>
    <t xml:space="preserve">multiverse cell 455/1260: coding=share_recut_2018, outlier=none, es_set=no_starbound, df_basis=k10, estimator=3LMA-RVE_CR2, rho=0.6 [DEC-045 S2]; descriptive curve cell</t>
  </si>
  <si>
    <t xml:space="preserve">multiverse cell 456/1260: coding=share_recut_2019, outlier=none, es_set=no_starbound, df_basis=k10, estimator=3LMA-RVE_CR2, rho=0.6 [DEC-045 S2]; descriptive curve cell</t>
  </si>
  <si>
    <t xml:space="preserve">multiverse cell 457/1260: coding=end_lag1, outlier=none, es_set=no_starbound, df_basis=k10, estimator=3LMA-RVE_CR2, rho=0.6 [DEC-045 S2]; descriptive curve cell</t>
  </si>
  <si>
    <t xml:space="preserve">multiverse cell 458/1260: coding=end_lag2, outlier=none, es_set=no_starbound, df_basis=k10, estimator=3LMA-RVE_CR2, rho=0.6 [DEC-045 S2]; descriptive curve cell</t>
  </si>
  <si>
    <t xml:space="preserve">multiverse cell 459/1260: coding=end_lag3, outlier=none, es_set=no_starbound, df_basis=k10, estimator=3LMA-RVE_CR2, rho=0.6 [DEC-045 S2]; descriptive curve cell</t>
  </si>
  <si>
    <t xml:space="preserve">multiverse cell 460/1260: coding=clean_window, outlier=none, es_set=no_starbound, df_basis=k10, estimator=3LMA-RVE_CR2, rho=0.6 [DEC-045 S2]; descriptive curve cell</t>
  </si>
  <si>
    <t xml:space="preserve">multiverse cell 461/1260: coding=paris_mid, outlier=rstudent, es_set=no_starbound, df_basis=k10, estimator=3LMA-RVE_CR2, rho=0.6 [DEC-045 S2]; descriptive curve cell</t>
  </si>
  <si>
    <t xml:space="preserve">multiverse cell 462/1260: coding=tie_break_median, outlier=rstudent, es_set=no_starbound, df_basis=k10, estimator=3LMA-RVE_CR2, rho=0.6 [DEC-045 S2]; descriptive curve cell</t>
  </si>
  <si>
    <t xml:space="preserve">multiverse cell 463/1260: coding=end_any_exposure, outlier=rstudent, es_set=no_starbound, df_basis=k10, estimator=3LMA-RVE_CR2, rho=0.6 [DEC-045 S2]; descriptive curve cell</t>
  </si>
  <si>
    <t xml:space="preserve">multiverse cell 464/1260: coding=share_recut_2017, outlier=rstudent, es_set=no_starbound, df_basis=k10, estimator=3LMA-RVE_CR2, rho=0.6 [DEC-045 S2]; descriptive curve cell</t>
  </si>
  <si>
    <t xml:space="preserve">multiverse cell 465/1260: coding=share_recut_2018, outlier=rstudent, es_set=no_starbound, df_basis=k10, estimator=3LMA-RVE_CR2, rho=0.6 [DEC-045 S2]; descriptive curve cell</t>
  </si>
  <si>
    <t xml:space="preserve">multiverse cell 466/1260: coding=share_recut_2019, outlier=rstudent, es_set=no_starbound, df_basis=k10, estimator=3LMA-RVE_CR2, rho=0.6 [DEC-045 S2]; descriptive curve cell</t>
  </si>
  <si>
    <t xml:space="preserve">multiverse cell 467/1260: coding=end_lag1, outlier=rstudent, es_set=no_starbound, df_basis=k10, estimator=3LMA-RVE_CR2, rho=0.6 [DEC-045 S2]; descriptive curve cell</t>
  </si>
  <si>
    <t xml:space="preserve">multiverse cell 468/1260: coding=end_lag2, outlier=rstudent, es_set=no_starbound, df_basis=k10, estimator=3LMA-RVE_CR2, rho=0.6 [DEC-045 S2]; descriptive curve cell</t>
  </si>
  <si>
    <t xml:space="preserve">multiverse cell 469/1260: coding=end_lag3, outlier=rstudent, es_set=no_starbound, df_basis=k10, estimator=3LMA-RVE_CR2, rho=0.6 [DEC-045 S2]; descriptive curve cell</t>
  </si>
  <si>
    <t xml:space="preserve">multiverse cell 470/1260: coding=clean_window, outlier=rstudent, es_set=no_starbound, df_basis=k10, estimator=3LMA-RVE_CR2, rho=0.6 [DEC-045 S2]; descriptive curve cell</t>
  </si>
  <si>
    <t xml:space="preserve">multiverse cell 471/1260: coding=paris_mid, outlier=winsor, es_set=no_starbound, df_basis=k10, estimator=3LMA-RVE_CR2, rho=0.6 [DEC-045 S2]; descriptive curve cell</t>
  </si>
  <si>
    <t xml:space="preserve">multiverse cell 472/1260: coding=tie_break_median, outlier=winsor, es_set=no_starbound, df_basis=k10, estimator=3LMA-RVE_CR2, rho=0.6 [DEC-045 S2]; descriptive curve cell</t>
  </si>
  <si>
    <t xml:space="preserve">multiverse cell 473/1260: coding=end_any_exposure, outlier=winsor, es_set=no_starbound, df_basis=k10, estimator=3LMA-RVE_CR2, rho=0.6 [DEC-045 S2]; descriptive curve cell</t>
  </si>
  <si>
    <t xml:space="preserve">multiverse cell 474/1260: coding=share_recut_2017, outlier=winsor, es_set=no_starbound, df_basis=k10, estimator=3LMA-RVE_CR2, rho=0.6 [DEC-045 S2]; descriptive curve cell</t>
  </si>
  <si>
    <t xml:space="preserve">multiverse cell 475/1260: coding=share_recut_2018, outlier=winsor, es_set=no_starbound, df_basis=k10, estimator=3LMA-RVE_CR2, rho=0.6 [DEC-045 S2]; descriptive curve cell</t>
  </si>
  <si>
    <t xml:space="preserve">multiverse cell 476/1260: coding=share_recut_2019, outlier=winsor, es_set=no_starbound, df_basis=k10, estimator=3LMA-RVE_CR2, rho=0.6 [DEC-045 S2]; descriptive curve cell</t>
  </si>
  <si>
    <t xml:space="preserve">multiverse cell 477/1260: coding=end_lag1, outlier=winsor, es_set=no_starbound, df_basis=k10, estimator=3LMA-RVE_CR2, rho=0.6 [DEC-045 S2]; descriptive curve cell</t>
  </si>
  <si>
    <t xml:space="preserve">multiverse cell 478/1260: coding=end_lag2, outlier=winsor, es_set=no_starbound, df_basis=k10, estimator=3LMA-RVE_CR2, rho=0.6 [DEC-045 S2]; descriptive curve cell</t>
  </si>
  <si>
    <t xml:space="preserve">multiverse cell 479/1260: coding=end_lag3, outlier=winsor, es_set=no_starbound, df_basis=k10, estimator=3LMA-RVE_CR2, rho=0.6 [DEC-045 S2]; descriptive curve cell</t>
  </si>
  <si>
    <t xml:space="preserve">multiverse cell 480/1260: coding=clean_window, outlier=winsor, es_set=no_starbound, df_basis=k10, estimator=3LMA-RVE_CR2, rho=0.6 [DEC-045 S2]; descriptive curve cell</t>
  </si>
  <si>
    <t xml:space="preserve">multiverse cell 481/1260: coding=paris_mid, outlier=none, es_set=full, df_basis=k20, estimator=3LMA-RVE_CR2, rho=0.6 [DEC-045 S2]; descriptive curve cell</t>
  </si>
  <si>
    <t xml:space="preserve">multiverse cell 482/1260: coding=tie_break_median, outlier=none, es_set=full, df_basis=k20, estimator=3LMA-RVE_CR2, rho=0.6 [DEC-045 S2]; descriptive curve cell</t>
  </si>
  <si>
    <t xml:space="preserve">multiverse cell 483/1260: coding=end_any_exposure, outlier=none, es_set=full, df_basis=k20, estimator=3LMA-RVE_CR2, rho=0.6 [DEC-045 S2]; descriptive curve cell</t>
  </si>
  <si>
    <t xml:space="preserve">multiverse cell 484/1260: coding=share_recut_2017, outlier=none, es_set=full, df_basis=k20, estimator=3LMA-RVE_CR2, rho=0.6 [DEC-045 S2]; descriptive curve cell</t>
  </si>
  <si>
    <t xml:space="preserve">multiverse cell 485/1260: coding=share_recut_2018, outlier=none, es_set=full, df_basis=k20, estimator=3LMA-RVE_CR2, rho=0.6 [DEC-045 S2]; descriptive curve cell</t>
  </si>
  <si>
    <t xml:space="preserve">multiverse cell 486/1260: coding=share_recut_2019, outlier=none, es_set=full, df_basis=k20, estimator=3LMA-RVE_CR2, rho=0.6 [DEC-045 S2]; descriptive curve cell</t>
  </si>
  <si>
    <t xml:space="preserve">multiverse cell 487/1260: coding=end_lag1, outlier=none, es_set=full, df_basis=k20, estimator=3LMA-RVE_CR2, rho=0.6 [DEC-045 S2]; descriptive curve cell</t>
  </si>
  <si>
    <t xml:space="preserve">multiverse cell 488/1260: coding=end_lag2, outlier=none, es_set=full, df_basis=k20, estimator=3LMA-RVE_CR2, rho=0.6 [DEC-045 S2]; descriptive curve cell</t>
  </si>
  <si>
    <t xml:space="preserve">multiverse cell 489/1260: coding=end_lag3, outlier=none, es_set=full, df_basis=k20, estimator=3LMA-RVE_CR2, rho=0.6 [DEC-045 S2]; descriptive curve cell</t>
  </si>
  <si>
    <t xml:space="preserve">multiverse cell 490/1260: coding=clean_window, outlier=none, es_set=full, df_basis=k20, estimator=3LMA-RVE_CR2, rho=0.6 [DEC-045 S2]; descriptive curve cell</t>
  </si>
  <si>
    <t xml:space="preserve">multiverse cell 491/1260: coding=paris_mid, outlier=rstudent, es_set=full, df_basis=k20, estimator=3LMA-RVE_CR2, rho=0.6 [DEC-045 S2]; descriptive curve cell</t>
  </si>
  <si>
    <t xml:space="preserve">multiverse cell 492/1260: coding=tie_break_median, outlier=rstudent, es_set=full, df_basis=k20, estimator=3LMA-RVE_CR2, rho=0.6 [DEC-045 S2]; descriptive curve cell</t>
  </si>
  <si>
    <t xml:space="preserve">multiverse cell 493/1260: coding=end_any_exposure, outlier=rstudent, es_set=full, df_basis=k20, estimator=3LMA-RVE_CR2, rho=0.6 [DEC-045 S2]; descriptive curve cell</t>
  </si>
  <si>
    <t xml:space="preserve">multiverse cell 494/1260: coding=share_recut_2017, outlier=rstudent, es_set=full, df_basis=k20, estimator=3LMA-RVE_CR2, rho=0.6 [DEC-045 S2]; descriptive curve cell</t>
  </si>
  <si>
    <t xml:space="preserve">multiverse cell 495/1260: coding=share_recut_2018, outlier=rstudent, es_set=full, df_basis=k20, estimator=3LMA-RVE_CR2, rho=0.6 [DEC-045 S2]; descriptive curve cell</t>
  </si>
  <si>
    <t xml:space="preserve">multiverse cell 496/1260: coding=share_recut_2019, outlier=rstudent, es_set=full, df_basis=k20, estimator=3LMA-RVE_CR2, rho=0.6 [DEC-045 S2]; descriptive curve cell</t>
  </si>
  <si>
    <t xml:space="preserve">multiverse cell 497/1260: coding=end_lag1, outlier=rstudent, es_set=full, df_basis=k20, estimator=3LMA-RVE_CR2, rho=0.6 [DEC-045 S2]; descriptive curve cell</t>
  </si>
  <si>
    <t xml:space="preserve">multiverse cell 498/1260: coding=end_lag2, outlier=rstudent, es_set=full, df_basis=k20, estimator=3LMA-RVE_CR2, rho=0.6 [DEC-045 S2]; descriptive curve cell</t>
  </si>
  <si>
    <t xml:space="preserve">multiverse cell 499/1260: coding=end_lag3, outlier=rstudent, es_set=full, df_basis=k20, estimator=3LMA-RVE_CR2, rho=0.6 [DEC-045 S2]; descriptive curve cell</t>
  </si>
  <si>
    <t xml:space="preserve">multiverse cell 500/1260: coding=clean_window, outlier=rstudent, es_set=full, df_basis=k20, estimator=3LMA-RVE_CR2, rho=0.6 [DEC-045 S2]; descriptive curve cell</t>
  </si>
  <si>
    <t xml:space="preserve">multiverse cell 501/1260: coding=paris_mid, outlier=winsor, es_set=full, df_basis=k20, estimator=3LMA-RVE_CR2, rho=0.6 [DEC-045 S2]; descriptive curve cell</t>
  </si>
  <si>
    <t xml:space="preserve">multiverse cell 502/1260: coding=tie_break_median, outlier=winsor, es_set=full, df_basis=k20, estimator=3LMA-RVE_CR2, rho=0.6 [DEC-045 S2]; descriptive curve cell</t>
  </si>
  <si>
    <t xml:space="preserve">multiverse cell 503/1260: coding=end_any_exposure, outlier=winsor, es_set=full, df_basis=k20, estimator=3LMA-RVE_CR2, rho=0.6 [DEC-045 S2]; descriptive curve cell</t>
  </si>
  <si>
    <t xml:space="preserve">multiverse cell 504/1260: coding=share_recut_2017, outlier=winsor, es_set=full, df_basis=k20, estimator=3LMA-RVE_CR2, rho=0.6 [DEC-045 S2]; descriptive curve cell</t>
  </si>
  <si>
    <t xml:space="preserve">multiverse cell 505/1260: coding=share_recut_2018, outlier=winsor, es_set=full, df_basis=k20, estimator=3LMA-RVE_CR2, rho=0.6 [DEC-045 S2]; descriptive curve cell</t>
  </si>
  <si>
    <t xml:space="preserve">multiverse cell 506/1260: coding=share_recut_2019, outlier=winsor, es_set=full, df_basis=k20, estimator=3LMA-RVE_CR2, rho=0.6 [DEC-045 S2]; descriptive curve cell</t>
  </si>
  <si>
    <t xml:space="preserve">multiverse cell 507/1260: coding=end_lag1, outlier=winsor, es_set=full, df_basis=k20, estimator=3LMA-RVE_CR2, rho=0.6 [DEC-045 S2]; descriptive curve cell</t>
  </si>
  <si>
    <t xml:space="preserve">multiverse cell 508/1260: coding=end_lag2, outlier=winsor, es_set=full, df_basis=k20, estimator=3LMA-RVE_CR2, rho=0.6 [DEC-045 S2]; descriptive curve cell</t>
  </si>
  <si>
    <t xml:space="preserve">multiverse cell 509/1260: coding=end_lag3, outlier=winsor, es_set=full, df_basis=k20, estimator=3LMA-RVE_CR2, rho=0.6 [DEC-045 S2]; descriptive curve cell</t>
  </si>
  <si>
    <t xml:space="preserve">multiverse cell 510/1260: coding=clean_window, outlier=winsor, es_set=full, df_basis=k20, estimator=3LMA-RVE_CR2, rho=0.6 [DEC-045 S2]; descriptive curve cell</t>
  </si>
  <si>
    <t xml:space="preserve">multiverse cell 511/1260: coding=paris_mid, outlier=none, es_set=no_starbound, df_basis=k20, estimator=3LMA-RVE_CR2, rho=0.6 [DEC-045 S2]; descriptive curve cell</t>
  </si>
  <si>
    <t xml:space="preserve">multiverse cell 512/1260: coding=tie_break_median, outlier=none, es_set=no_starbound, df_basis=k20, estimator=3LMA-RVE_CR2, rho=0.6 [DEC-045 S2]; descriptive curve cell</t>
  </si>
  <si>
    <t xml:space="preserve">multiverse cell 513/1260: coding=end_any_exposure, outlier=none, es_set=no_starbound, df_basis=k20, estimator=3LMA-RVE_CR2, rho=0.6 [DEC-045 S2]; descriptive curve cell</t>
  </si>
  <si>
    <t xml:space="preserve">multiverse cell 514/1260: coding=share_recut_2017, outlier=none, es_set=no_starbound, df_basis=k20, estimator=3LMA-RVE_CR2, rho=0.6 [DEC-045 S2]; descriptive curve cell</t>
  </si>
  <si>
    <t xml:space="preserve">multiverse cell 515/1260: coding=share_recut_2018, outlier=none, es_set=no_starbound, df_basis=k20, estimator=3LMA-RVE_CR2, rho=0.6 [DEC-045 S2]; descriptive curve cell</t>
  </si>
  <si>
    <t xml:space="preserve">multiverse cell 516/1260: coding=share_recut_2019, outlier=none, es_set=no_starbound, df_basis=k20, estimator=3LMA-RVE_CR2, rho=0.6 [DEC-045 S2]; descriptive curve cell</t>
  </si>
  <si>
    <t xml:space="preserve">multiverse cell 517/1260: coding=end_lag1, outlier=none, es_set=no_starbound, df_basis=k20, estimator=3LMA-RVE_CR2, rho=0.6 [DEC-045 S2]; descriptive curve cell</t>
  </si>
  <si>
    <t xml:space="preserve">multiverse cell 518/1260: coding=end_lag2, outlier=none, es_set=no_starbound, df_basis=k20, estimator=3LMA-RVE_CR2, rho=0.6 [DEC-045 S2]; descriptive curve cell</t>
  </si>
  <si>
    <t xml:space="preserve">multiverse cell 519/1260: coding=end_lag3, outlier=none, es_set=no_starbound, df_basis=k20, estimator=3LMA-RVE_CR2, rho=0.6 [DEC-045 S2]; descriptive curve cell</t>
  </si>
  <si>
    <t xml:space="preserve">multiverse cell 520/1260: coding=clean_window, outlier=none, es_set=no_starbound, df_basis=k20, estimator=3LMA-RVE_CR2, rho=0.6 [DEC-045 S2]; descriptive curve cell</t>
  </si>
  <si>
    <t xml:space="preserve">multiverse cell 521/1260: coding=paris_mid, outlier=rstudent, es_set=no_starbound, df_basis=k20, estimator=3LMA-RVE_CR2, rho=0.6 [DEC-045 S2]; descriptive curve cell</t>
  </si>
  <si>
    <t xml:space="preserve">multiverse cell 522/1260: coding=tie_break_median, outlier=rstudent, es_set=no_starbound, df_basis=k20, estimator=3LMA-RVE_CR2, rho=0.6 [DEC-045 S2]; descriptive curve cell</t>
  </si>
  <si>
    <t xml:space="preserve">multiverse cell 523/1260: coding=end_any_exposure, outlier=rstudent, es_set=no_starbound, df_basis=k20, estimator=3LMA-RVE_CR2, rho=0.6 [DEC-045 S2]; descriptive curve cell</t>
  </si>
  <si>
    <t xml:space="preserve">multiverse cell 524/1260: coding=share_recut_2017, outlier=rstudent, es_set=no_starbound, df_basis=k20, estimator=3LMA-RVE_CR2, rho=0.6 [DEC-045 S2]; descriptive curve cell</t>
  </si>
  <si>
    <t xml:space="preserve">multiverse cell 525/1260: coding=share_recut_2018, outlier=rstudent, es_set=no_starbound, df_basis=k20, estimator=3LMA-RVE_CR2, rho=0.6 [DEC-045 S2]; descriptive curve cell</t>
  </si>
  <si>
    <t xml:space="preserve">multiverse cell 526/1260: coding=share_recut_2019, outlier=rstudent, es_set=no_starbound, df_basis=k20, estimator=3LMA-RVE_CR2, rho=0.6 [DEC-045 S2]; descriptive curve cell</t>
  </si>
  <si>
    <t xml:space="preserve">multiverse cell 527/1260: coding=end_lag1, outlier=rstudent, es_set=no_starbound, df_basis=k20, estimator=3LMA-RVE_CR2, rho=0.6 [DEC-045 S2]; descriptive curve cell</t>
  </si>
  <si>
    <t xml:space="preserve">multiverse cell 528/1260: coding=end_lag2, outlier=rstudent, es_set=no_starbound, df_basis=k20, estimator=3LMA-RVE_CR2, rho=0.6 [DEC-045 S2]; descriptive curve cell</t>
  </si>
  <si>
    <t xml:space="preserve">multiverse cell 529/1260: coding=end_lag3, outlier=rstudent, es_set=no_starbound, df_basis=k20, estimator=3LMA-RVE_CR2, rho=0.6 [DEC-045 S2]; descriptive curve cell</t>
  </si>
  <si>
    <t xml:space="preserve">multiverse cell 530/1260: coding=clean_window, outlier=rstudent, es_set=no_starbound, df_basis=k20, estimator=3LMA-RVE_CR2, rho=0.6 [DEC-045 S2]; descriptive curve cell</t>
  </si>
  <si>
    <t xml:space="preserve">multiverse cell 531/1260: coding=paris_mid, outlier=winsor, es_set=no_starbound, df_basis=k20, estimator=3LMA-RVE_CR2, rho=0.6 [DEC-045 S2]; descriptive curve cell</t>
  </si>
  <si>
    <t xml:space="preserve">multiverse cell 532/1260: coding=tie_break_median, outlier=winsor, es_set=no_starbound, df_basis=k20, estimator=3LMA-RVE_CR2, rho=0.6 [DEC-045 S2]; descriptive curve cell</t>
  </si>
  <si>
    <t xml:space="preserve">multiverse cell 533/1260: coding=end_any_exposure, outlier=winsor, es_set=no_starbound, df_basis=k20, estimator=3LMA-RVE_CR2, rho=0.6 [DEC-045 S2]; descriptive curve cell</t>
  </si>
  <si>
    <t xml:space="preserve">multiverse cell 534/1260: coding=share_recut_2017, outlier=winsor, es_set=no_starbound, df_basis=k20, estimator=3LMA-RVE_CR2, rho=0.6 [DEC-045 S2]; descriptive curve cell</t>
  </si>
  <si>
    <t xml:space="preserve">multiverse cell 535/1260: coding=share_recut_2018, outlier=winsor, es_set=no_starbound, df_basis=k20, estimator=3LMA-RVE_CR2, rho=0.6 [DEC-045 S2]; descriptive curve cell</t>
  </si>
  <si>
    <t xml:space="preserve">multiverse cell 536/1260: coding=share_recut_2019, outlier=winsor, es_set=no_starbound, df_basis=k20, estimator=3LMA-RVE_CR2, rho=0.6 [DEC-045 S2]; descriptive curve cell</t>
  </si>
  <si>
    <t xml:space="preserve">multiverse cell 537/1260: coding=end_lag1, outlier=winsor, es_set=no_starbound, df_basis=k20, estimator=3LMA-RVE_CR2, rho=0.6 [DEC-045 S2]; descriptive curve cell</t>
  </si>
  <si>
    <t xml:space="preserve">multiverse cell 538/1260: coding=end_lag2, outlier=winsor, es_set=no_starbound, df_basis=k20, estimator=3LMA-RVE_CR2, rho=0.6 [DEC-045 S2]; descriptive curve cell</t>
  </si>
  <si>
    <t xml:space="preserve">multiverse cell 539/1260: coding=end_lag3, outlier=winsor, es_set=no_starbound, df_basis=k20, estimator=3LMA-RVE_CR2, rho=0.6 [DEC-045 S2]; descriptive curve cell</t>
  </si>
  <si>
    <t xml:space="preserve">multiverse cell 540/1260: coding=clean_window, outlier=winsor, es_set=no_starbound, df_basis=k20, estimator=3LMA-RVE_CR2, rho=0.6 [DEC-045 S2]; descriptive curve cell</t>
  </si>
  <si>
    <t xml:space="preserve">one_per_cluster|r0.6</t>
  </si>
  <si>
    <t xml:space="preserve">multiverse cell 541/1260: coding=paris_mid, outlier=none, es_set=full, df_basis=dfE, estimator=one_per_cluster, rho=0.6 [DEC-045 S2]; cluster x cell aggregates (D2/H2b convention)</t>
  </si>
  <si>
    <t xml:space="preserve">multiverse cell 542/1260: coding=tie_break_median, outlier=none, es_set=full, df_basis=dfE, estimator=one_per_cluster, rho=0.6 [DEC-045 S2]; cluster x cell aggregates (D2/H2b convention)</t>
  </si>
  <si>
    <t xml:space="preserve">multiverse cell 543/1260: coding=end_any_exposure, outlier=none, es_set=full, df_basis=dfE, estimator=one_per_cluster, rho=0.6 [DEC-045 S2]; cluster x cell aggregates (D2/H2b convention)</t>
  </si>
  <si>
    <t xml:space="preserve">multiverse cell 544/1260: coding=share_recut_2017, outlier=none, es_set=full, df_basis=dfE, estimator=one_per_cluster, rho=0.6 [DEC-045 S2]; cluster x cell aggregates (D2/H2b convention)</t>
  </si>
  <si>
    <t xml:space="preserve">multiverse cell 545/1260: coding=share_recut_2018, outlier=none, es_set=full, df_basis=dfE, estimator=one_per_cluster, rho=0.6 [DEC-045 S2]; cluster x cell aggregates (D2/H2b convention)</t>
  </si>
  <si>
    <t xml:space="preserve">multiverse cell 546/1260: coding=share_recut_2019, outlier=none, es_set=full, df_basis=dfE, estimator=one_per_cluster, rho=0.6 [DEC-045 S2]; cluster x cell aggregates (D2/H2b convention)</t>
  </si>
  <si>
    <t xml:space="preserve">multiverse cell 547/1260: coding=end_lag1, outlier=none, es_set=full, df_basis=dfE, estimator=one_per_cluster, rho=0.6 [DEC-045 S2]; cluster x cell aggregates (D2/H2b convention)</t>
  </si>
  <si>
    <t xml:space="preserve">multiverse cell 548/1260: coding=end_lag2, outlier=none, es_set=full, df_basis=dfE, estimator=one_per_cluster, rho=0.6 [DEC-045 S2]; cluster x cell aggregates (D2/H2b convention)</t>
  </si>
  <si>
    <t xml:space="preserve">multiverse cell 549/1260: coding=end_lag3, outlier=none, es_set=full, df_basis=dfE, estimator=one_per_cluster, rho=0.6 [DEC-045 S2]; cluster x cell aggregates (D2/H2b convention)</t>
  </si>
  <si>
    <t xml:space="preserve">multiverse cell 550/1260: coding=clean_window, outlier=none, es_set=full, df_basis=dfE, estimator=one_per_cluster, rho=0.6 [DEC-045 S2]; cluster x cell aggregates (D2/H2b convention)</t>
  </si>
  <si>
    <t xml:space="preserve">multiverse cell 551/1260: coding=paris_mid, outlier=rstudent, es_set=full, df_basis=dfE, estimator=one_per_cluster, rho=0.6 [DEC-045 S2]; cluster x cell aggregates (D2/H2b convention)</t>
  </si>
  <si>
    <t xml:space="preserve">multiverse cell 552/1260: coding=tie_break_median, outlier=rstudent, es_set=full, df_basis=dfE, estimator=one_per_cluster, rho=0.6 [DEC-045 S2]; cluster x cell aggregates (D2/H2b convention)</t>
  </si>
  <si>
    <t xml:space="preserve">multiverse cell 553/1260: coding=end_any_exposure, outlier=rstudent, es_set=full, df_basis=dfE, estimator=one_per_cluster, rho=0.6 [DEC-045 S2]; cluster x cell aggregates (D2/H2b convention)</t>
  </si>
  <si>
    <t xml:space="preserve">multiverse cell 554/1260: coding=share_recut_2017, outlier=rstudent, es_set=full, df_basis=dfE, estimator=one_per_cluster, rho=0.6 [DEC-045 S2]; cluster x cell aggregates (D2/H2b convention)</t>
  </si>
  <si>
    <t xml:space="preserve">multiverse cell 555/1260: coding=share_recut_2018, outlier=rstudent, es_set=full, df_basis=dfE, estimator=one_per_cluster, rho=0.6 [DEC-045 S2]; cluster x cell aggregates (D2/H2b convention)</t>
  </si>
  <si>
    <t xml:space="preserve">multiverse cell 556/1260: coding=share_recut_2019, outlier=rstudent, es_set=full, df_basis=dfE, estimator=one_per_cluster, rho=0.6 [DEC-045 S2]; cluster x cell aggregates (D2/H2b convention)</t>
  </si>
  <si>
    <t xml:space="preserve">multiverse cell 557/1260: coding=end_lag1, outlier=rstudent, es_set=full, df_basis=dfE, estimator=one_per_cluster, rho=0.6 [DEC-045 S2]; cluster x cell aggregates (D2/H2b convention)</t>
  </si>
  <si>
    <t xml:space="preserve">multiverse cell 558/1260: coding=end_lag2, outlier=rstudent, es_set=full, df_basis=dfE, estimator=one_per_cluster, rho=0.6 [DEC-045 S2]; cluster x cell aggregates (D2/H2b convention)</t>
  </si>
  <si>
    <t xml:space="preserve">multiverse cell 559/1260: coding=end_lag3, outlier=rstudent, es_set=full, df_basis=dfE, estimator=one_per_cluster, rho=0.6 [DEC-045 S2]; cluster x cell aggregates (D2/H2b convention)</t>
  </si>
  <si>
    <t xml:space="preserve">multiverse cell 560/1260: coding=clean_window, outlier=rstudent, es_set=full, df_basis=dfE, estimator=one_per_cluster, rho=0.6 [DEC-045 S2]; cluster x cell aggregates (D2/H2b convention)</t>
  </si>
  <si>
    <t xml:space="preserve">multiverse cell 561/1260: coding=paris_mid, outlier=winsor, es_set=full, df_basis=dfE, estimator=one_per_cluster, rho=0.6 [DEC-045 S2]; cluster x cell aggregates (D2/H2b convention)</t>
  </si>
  <si>
    <t xml:space="preserve">multiverse cell 562/1260: coding=tie_break_median, outlier=winsor, es_set=full, df_basis=dfE, estimator=one_per_cluster, rho=0.6 [DEC-045 S2]; cluster x cell aggregates (D2/H2b convention)</t>
  </si>
  <si>
    <t xml:space="preserve">multiverse cell 563/1260: coding=end_any_exposure, outlier=winsor, es_set=full, df_basis=dfE, estimator=one_per_cluster, rho=0.6 [DEC-045 S2]; cluster x cell aggregates (D2/H2b convention)</t>
  </si>
  <si>
    <t xml:space="preserve">multiverse cell 564/1260: coding=share_recut_2017, outlier=winsor, es_set=full, df_basis=dfE, estimator=one_per_cluster, rho=0.6 [DEC-045 S2]; cluster x cell aggregates (D2/H2b convention)</t>
  </si>
  <si>
    <t xml:space="preserve">multiverse cell 565/1260: coding=share_recut_2018, outlier=winsor, es_set=full, df_basis=dfE, estimator=one_per_cluster, rho=0.6 [DEC-045 S2]; cluster x cell aggregates (D2/H2b convention)</t>
  </si>
  <si>
    <t xml:space="preserve">multiverse cell 566/1260: coding=share_recut_2019, outlier=winsor, es_set=full, df_basis=dfE, estimator=one_per_cluster, rho=0.6 [DEC-045 S2]; cluster x cell aggregates (D2/H2b convention)</t>
  </si>
  <si>
    <t xml:space="preserve">multiverse cell 567/1260: coding=end_lag1, outlier=winsor, es_set=full, df_basis=dfE, estimator=one_per_cluster, rho=0.6 [DEC-045 S2]; cluster x cell aggregates (D2/H2b convention)</t>
  </si>
  <si>
    <t xml:space="preserve">multiverse cell 568/1260: coding=end_lag2, outlier=winsor, es_set=full, df_basis=dfE, estimator=one_per_cluster, rho=0.6 [DEC-045 S2]; cluster x cell aggregates (D2/H2b convention)</t>
  </si>
  <si>
    <t xml:space="preserve">multiverse cell 569/1260: coding=end_lag3, outlier=winsor, es_set=full, df_basis=dfE, estimator=one_per_cluster, rho=0.6 [DEC-045 S2]; cluster x cell aggregates (D2/H2b convention)</t>
  </si>
  <si>
    <t xml:space="preserve">multiverse cell 570/1260: coding=clean_window, outlier=winsor, es_set=full, df_basis=dfE, estimator=one_per_cluster, rho=0.6 [DEC-045 S2]; cluster x cell aggregates (D2/H2b convention)</t>
  </si>
  <si>
    <t xml:space="preserve">multiverse cell 571/1260: coding=paris_mid, outlier=none, es_set=no_starbound, df_basis=dfE, estimator=one_per_cluster, rho=0.6 [DEC-045 S2]; cluster x cell aggregates (D2/H2b convention)</t>
  </si>
  <si>
    <t xml:space="preserve">multiverse cell 572/1260: coding=tie_break_median, outlier=none, es_set=no_starbound, df_basis=dfE, estimator=one_per_cluster, rho=0.6 [DEC-045 S2]; cluster x cell aggregates (D2/H2b convention)</t>
  </si>
  <si>
    <t xml:space="preserve">multiverse cell 573/1260: coding=end_any_exposure, outlier=none, es_set=no_starbound, df_basis=dfE, estimator=one_per_cluster, rho=0.6 [DEC-045 S2]; cluster x cell aggregates (D2/H2b convention)</t>
  </si>
  <si>
    <t xml:space="preserve">multiverse cell 574/1260: coding=share_recut_2017, outlier=none, es_set=no_starbound, df_basis=dfE, estimator=one_per_cluster, rho=0.6 [DEC-045 S2]; cluster x cell aggregates (D2/H2b convention)</t>
  </si>
  <si>
    <t xml:space="preserve">multiverse cell 575/1260: coding=share_recut_2018, outlier=none, es_set=no_starbound, df_basis=dfE, estimator=one_per_cluster, rho=0.6 [DEC-045 S2]; cluster x cell aggregates (D2/H2b convention)</t>
  </si>
  <si>
    <t xml:space="preserve">multiverse cell 576/1260: coding=share_recut_2019, outlier=none, es_set=no_starbound, df_basis=dfE, estimator=one_per_cluster, rho=0.6 [DEC-045 S2]; cluster x cell aggregates (D2/H2b convention)</t>
  </si>
  <si>
    <t xml:space="preserve">multiverse cell 577/1260: coding=end_lag1, outlier=none, es_set=no_starbound, df_basis=dfE, estimator=one_per_cluster, rho=0.6 [DEC-045 S2]; cluster x cell aggregates (D2/H2b convention)</t>
  </si>
  <si>
    <t xml:space="preserve">multiverse cell 578/1260: coding=end_lag2, outlier=none, es_set=no_starbound, df_basis=dfE, estimator=one_per_cluster, rho=0.6 [DEC-045 S2]; cluster x cell aggregates (D2/H2b convention)</t>
  </si>
  <si>
    <t xml:space="preserve">multiverse cell 579/1260: coding=end_lag3, outlier=none, es_set=no_starbound, df_basis=dfE, estimator=one_per_cluster, rho=0.6 [DEC-045 S2]; cluster x cell aggregates (D2/H2b convention)</t>
  </si>
  <si>
    <t xml:space="preserve">multiverse cell 580/1260: coding=clean_window, outlier=none, es_set=no_starbound, df_basis=dfE, estimator=one_per_cluster, rho=0.6 [DEC-045 S2]; cluster x cell aggregates (D2/H2b convention)</t>
  </si>
  <si>
    <t xml:space="preserve">multiverse cell 581/1260: coding=paris_mid, outlier=rstudent, es_set=no_starbound, df_basis=dfE, estimator=one_per_cluster, rho=0.6 [DEC-045 S2]; cluster x cell aggregates (D2/H2b convention)</t>
  </si>
  <si>
    <t xml:space="preserve">multiverse cell 582/1260: coding=tie_break_median, outlier=rstudent, es_set=no_starbound, df_basis=dfE, estimator=one_per_cluster, rho=0.6 [DEC-045 S2]; cluster x cell aggregates (D2/H2b convention)</t>
  </si>
  <si>
    <t xml:space="preserve">multiverse cell 583/1260: coding=end_any_exposure, outlier=rstudent, es_set=no_starbound, df_basis=dfE, estimator=one_per_cluster, rho=0.6 [DEC-045 S2]; cluster x cell aggregates (D2/H2b convention)</t>
  </si>
  <si>
    <t xml:space="preserve">multiverse cell 584/1260: coding=share_recut_2017, outlier=rstudent, es_set=no_starbound, df_basis=dfE, estimator=one_per_cluster, rho=0.6 [DEC-045 S2]; cluster x cell aggregates (D2/H2b convention)</t>
  </si>
  <si>
    <t xml:space="preserve">multiverse cell 585/1260: coding=share_recut_2018, outlier=rstudent, es_set=no_starbound, df_basis=dfE, estimator=one_per_cluster, rho=0.6 [DEC-045 S2]; cluster x cell aggregates (D2/H2b convention)</t>
  </si>
  <si>
    <t xml:space="preserve">multiverse cell 586/1260: coding=share_recut_2019, outlier=rstudent, es_set=no_starbound, df_basis=dfE, estimator=one_per_cluster, rho=0.6 [DEC-045 S2]; cluster x cell aggregates (D2/H2b convention)</t>
  </si>
  <si>
    <t xml:space="preserve">multiverse cell 587/1260: coding=end_lag1, outlier=rstudent, es_set=no_starbound, df_basis=dfE, estimator=one_per_cluster, rho=0.6 [DEC-045 S2]; cluster x cell aggregates (D2/H2b convention)</t>
  </si>
  <si>
    <t xml:space="preserve">multiverse cell 588/1260: coding=end_lag2, outlier=rstudent, es_set=no_starbound, df_basis=dfE, estimator=one_per_cluster, rho=0.6 [DEC-045 S2]; cluster x cell aggregates (D2/H2b convention)</t>
  </si>
  <si>
    <t xml:space="preserve">multiverse cell 589/1260: coding=end_lag3, outlier=rstudent, es_set=no_starbound, df_basis=dfE, estimator=one_per_cluster, rho=0.6 [DEC-045 S2]; cluster x cell aggregates (D2/H2b convention)</t>
  </si>
  <si>
    <t xml:space="preserve">multiverse cell 590/1260: coding=clean_window, outlier=rstudent, es_set=no_starbound, df_basis=dfE, estimator=one_per_cluster, rho=0.6 [DEC-045 S2]; cluster x cell aggregates (D2/H2b convention)</t>
  </si>
  <si>
    <t xml:space="preserve">multiverse cell 591/1260: coding=paris_mid, outlier=winsor, es_set=no_starbound, df_basis=dfE, estimator=one_per_cluster, rho=0.6 [DEC-045 S2]; cluster x cell aggregates (D2/H2b convention)</t>
  </si>
  <si>
    <t xml:space="preserve">multiverse cell 592/1260: coding=tie_break_median, outlier=winsor, es_set=no_starbound, df_basis=dfE, estimator=one_per_cluster, rho=0.6 [DEC-045 S2]; cluster x cell aggregates (D2/H2b convention)</t>
  </si>
  <si>
    <t xml:space="preserve">multiverse cell 593/1260: coding=end_any_exposure, outlier=winsor, es_set=no_starbound, df_basis=dfE, estimator=one_per_cluster, rho=0.6 [DEC-045 S2]; cluster x cell aggregates (D2/H2b convention)</t>
  </si>
  <si>
    <t xml:space="preserve">multiverse cell 594/1260: coding=share_recut_2017, outlier=winsor, es_set=no_starbound, df_basis=dfE, estimator=one_per_cluster, rho=0.6 [DEC-045 S2]; cluster x cell aggregates (D2/H2b convention)</t>
  </si>
  <si>
    <t xml:space="preserve">multiverse cell 595/1260: coding=share_recut_2018, outlier=winsor, es_set=no_starbound, df_basis=dfE, estimator=one_per_cluster, rho=0.6 [DEC-045 S2]; cluster x cell aggregates (D2/H2b convention)</t>
  </si>
  <si>
    <t xml:space="preserve">multiverse cell 596/1260: coding=share_recut_2019, outlier=winsor, es_set=no_starbound, df_basis=dfE, estimator=one_per_cluster, rho=0.6 [DEC-045 S2]; cluster x cell aggregates (D2/H2b convention)</t>
  </si>
  <si>
    <t xml:space="preserve">multiverse cell 597/1260: coding=end_lag1, outlier=winsor, es_set=no_starbound, df_basis=dfE, estimator=one_per_cluster, rho=0.6 [DEC-045 S2]; cluster x cell aggregates (D2/H2b convention)</t>
  </si>
  <si>
    <t xml:space="preserve">multiverse cell 598/1260: coding=end_lag2, outlier=winsor, es_set=no_starbound, df_basis=dfE, estimator=one_per_cluster, rho=0.6 [DEC-045 S2]; cluster x cell aggregates (D2/H2b convention)</t>
  </si>
  <si>
    <t xml:space="preserve">multiverse cell 599/1260: coding=end_lag3, outlier=winsor, es_set=no_starbound, df_basis=dfE, estimator=one_per_cluster, rho=0.6 [DEC-045 S2]; cluster x cell aggregates (D2/H2b convention)</t>
  </si>
  <si>
    <t xml:space="preserve">multiverse cell 600/1260: coding=clean_window, outlier=winsor, es_set=no_starbound, df_basis=dfE, estimator=one_per_cluster, rho=0.6 [DEC-045 S2]; cluster x cell aggregates (D2/H2b convention)</t>
  </si>
  <si>
    <t xml:space="preserve">multiverse cell 601/1260: coding=paris_mid, outlier=none, es_set=full, df_basis=k10, estimator=one_per_cluster, rho=0.6 [DEC-045 S2]; cluster x cell aggregates (D2/H2b convention)</t>
  </si>
  <si>
    <t xml:space="preserve">multiverse cell 602/1260: coding=tie_break_median, outlier=none, es_set=full, df_basis=k10, estimator=one_per_cluster, rho=0.6 [DEC-045 S2]; cluster x cell aggregates (D2/H2b convention)</t>
  </si>
  <si>
    <t xml:space="preserve">multiverse cell 603/1260: coding=end_any_exposure, outlier=none, es_set=full, df_basis=k10, estimator=one_per_cluster, rho=0.6 [DEC-045 S2]; cluster x cell aggregates (D2/H2b convention)</t>
  </si>
  <si>
    <t xml:space="preserve">multiverse cell 604/1260: coding=share_recut_2017, outlier=none, es_set=full, df_basis=k10, estimator=one_per_cluster, rho=0.6 [DEC-045 S2]; cluster x cell aggregates (D2/H2b convention)</t>
  </si>
  <si>
    <t xml:space="preserve">multiverse cell 605/1260: coding=share_recut_2018, outlier=none, es_set=full, df_basis=k10, estimator=one_per_cluster, rho=0.6 [DEC-045 S2]; cluster x cell aggregates (D2/H2b convention)</t>
  </si>
  <si>
    <t xml:space="preserve">multiverse cell 606/1260: coding=share_recut_2019, outlier=none, es_set=full, df_basis=k10, estimator=one_per_cluster, rho=0.6 [DEC-045 S2]; cluster x cell aggregates (D2/H2b convention)</t>
  </si>
  <si>
    <t xml:space="preserve">multiverse cell 607/1260: coding=end_lag1, outlier=none, es_set=full, df_basis=k10, estimator=one_per_cluster, rho=0.6 [DEC-045 S2]; cluster x cell aggregates (D2/H2b convention)</t>
  </si>
  <si>
    <t xml:space="preserve">multiverse cell 608/1260: coding=end_lag2, outlier=none, es_set=full, df_basis=k10, estimator=one_per_cluster, rho=0.6 [DEC-045 S2]; cluster x cell aggregates (D2/H2b convention)</t>
  </si>
  <si>
    <t xml:space="preserve">multiverse cell 609/1260: coding=end_lag3, outlier=none, es_set=full, df_basis=k10, estimator=one_per_cluster, rho=0.6 [DEC-045 S2]; cluster x cell aggregates (D2/H2b convention)</t>
  </si>
  <si>
    <t xml:space="preserve">multiverse cell 610/1260: coding=clean_window, outlier=none, es_set=full, df_basis=k10, estimator=one_per_cluster, rho=0.6 [DEC-045 S2]; cluster x cell aggregates (D2/H2b convention)</t>
  </si>
  <si>
    <t xml:space="preserve">multiverse cell 611/1260: coding=paris_mid, outlier=rstudent, es_set=full, df_basis=k10, estimator=one_per_cluster, rho=0.6 [DEC-045 S2]; cluster x cell aggregates (D2/H2b convention)</t>
  </si>
  <si>
    <t xml:space="preserve">multiverse cell 612/1260: coding=tie_break_median, outlier=rstudent, es_set=full, df_basis=k10, estimator=one_per_cluster, rho=0.6 [DEC-045 S2]; cluster x cell aggregates (D2/H2b convention)</t>
  </si>
  <si>
    <t xml:space="preserve">multiverse cell 613/1260: coding=end_any_exposure, outlier=rstudent, es_set=full, df_basis=k10, estimator=one_per_cluster, rho=0.6 [DEC-045 S2]; cluster x cell aggregates (D2/H2b convention)</t>
  </si>
  <si>
    <t xml:space="preserve">multiverse cell 614/1260: coding=share_recut_2017, outlier=rstudent, es_set=full, df_basis=k10, estimator=one_per_cluster, rho=0.6 [DEC-045 S2]; cluster x cell aggregates (D2/H2b convention)</t>
  </si>
  <si>
    <t xml:space="preserve">multiverse cell 615/1260: coding=share_recut_2018, outlier=rstudent, es_set=full, df_basis=k10, estimator=one_per_cluster, rho=0.6 [DEC-045 S2]; cluster x cell aggregates (D2/H2b convention)</t>
  </si>
  <si>
    <t xml:space="preserve">multiverse cell 616/1260: coding=share_recut_2019, outlier=rstudent, es_set=full, df_basis=k10, estimator=one_per_cluster, rho=0.6 [DEC-045 S2]; cluster x cell aggregates (D2/H2b convention)</t>
  </si>
  <si>
    <t xml:space="preserve">multiverse cell 617/1260: coding=end_lag1, outlier=rstudent, es_set=full, df_basis=k10, estimator=one_per_cluster, rho=0.6 [DEC-045 S2]; cluster x cell aggregates (D2/H2b convention)</t>
  </si>
  <si>
    <t xml:space="preserve">multiverse cell 618/1260: coding=end_lag2, outlier=rstudent, es_set=full, df_basis=k10, estimator=one_per_cluster, rho=0.6 [DEC-045 S2]; cluster x cell aggregates (D2/H2b convention)</t>
  </si>
  <si>
    <t xml:space="preserve">multiverse cell 619/1260: coding=end_lag3, outlier=rstudent, es_set=full, df_basis=k10, estimator=one_per_cluster, rho=0.6 [DEC-045 S2]; cluster x cell aggregates (D2/H2b convention)</t>
  </si>
  <si>
    <t xml:space="preserve">multiverse cell 620/1260: coding=clean_window, outlier=rstudent, es_set=full, df_basis=k10, estimator=one_per_cluster, rho=0.6 [DEC-045 S2]; cluster x cell aggregates (D2/H2b convention)</t>
  </si>
  <si>
    <t xml:space="preserve">multiverse cell 621/1260: coding=paris_mid, outlier=winsor, es_set=full, df_basis=k10, estimator=one_per_cluster, rho=0.6 [DEC-045 S2]; cluster x cell aggregates (D2/H2b convention)</t>
  </si>
  <si>
    <t xml:space="preserve">multiverse cell 622/1260: coding=tie_break_median, outlier=winsor, es_set=full, df_basis=k10, estimator=one_per_cluster, rho=0.6 [DEC-045 S2]; cluster x cell aggregates (D2/H2b convention)</t>
  </si>
  <si>
    <t xml:space="preserve">multiverse cell 623/1260: coding=end_any_exposure, outlier=winsor, es_set=full, df_basis=k10, estimator=one_per_cluster, rho=0.6 [DEC-045 S2]; cluster x cell aggregates (D2/H2b convention)</t>
  </si>
  <si>
    <t xml:space="preserve">multiverse cell 624/1260: coding=share_recut_2017, outlier=winsor, es_set=full, df_basis=k10, estimator=one_per_cluster, rho=0.6 [DEC-045 S2]; cluster x cell aggregates (D2/H2b convention)</t>
  </si>
  <si>
    <t xml:space="preserve">multiverse cell 625/1260: coding=share_recut_2018, outlier=winsor, es_set=full, df_basis=k10, estimator=one_per_cluster, rho=0.6 [DEC-045 S2]; cluster x cell aggregates (D2/H2b convention)</t>
  </si>
  <si>
    <t xml:space="preserve">multiverse cell 626/1260: coding=share_recut_2019, outlier=winsor, es_set=full, df_basis=k10, estimator=one_per_cluster, rho=0.6 [DEC-045 S2]; cluster x cell aggregates (D2/H2b convention)</t>
  </si>
  <si>
    <t xml:space="preserve">multiverse cell 627/1260: coding=end_lag1, outlier=winsor, es_set=full, df_basis=k10, estimator=one_per_cluster, rho=0.6 [DEC-045 S2]; cluster x cell aggregates (D2/H2b convention)</t>
  </si>
  <si>
    <t xml:space="preserve">multiverse cell 628/1260: coding=end_lag2, outlier=winsor, es_set=full, df_basis=k10, estimator=one_per_cluster, rho=0.6 [DEC-045 S2]; cluster x cell aggregates (D2/H2b convention)</t>
  </si>
  <si>
    <t xml:space="preserve">multiverse cell 629/1260: coding=end_lag3, outlier=winsor, es_set=full, df_basis=k10, estimator=one_per_cluster, rho=0.6 [DEC-045 S2]; cluster x cell aggregates (D2/H2b convention)</t>
  </si>
  <si>
    <t xml:space="preserve">multiverse cell 630/1260: coding=clean_window, outlier=winsor, es_set=full, df_basis=k10, estimator=one_per_cluster, rho=0.6 [DEC-045 S2]; cluster x cell aggregates (D2/H2b convention)</t>
  </si>
  <si>
    <t xml:space="preserve">multiverse cell 631/1260: coding=paris_mid, outlier=none, es_set=no_starbound, df_basis=k10, estimator=one_per_cluster, rho=0.6 [DEC-045 S2]; cluster x cell aggregates (D2/H2b convention)</t>
  </si>
  <si>
    <t xml:space="preserve">multiverse cell 632/1260: coding=tie_break_median, outlier=none, es_set=no_starbound, df_basis=k10, estimator=one_per_cluster, rho=0.6 [DEC-045 S2]; cluster x cell aggregates (D2/H2b convention)</t>
  </si>
  <si>
    <t xml:space="preserve">multiverse cell 633/1260: coding=end_any_exposure, outlier=none, es_set=no_starbound, df_basis=k10, estimator=one_per_cluster, rho=0.6 [DEC-045 S2]; cluster x cell aggregates (D2/H2b convention)</t>
  </si>
  <si>
    <t xml:space="preserve">multiverse cell 634/1260: coding=share_recut_2017, outlier=none, es_set=no_starbound, df_basis=k10, estimator=one_per_cluster, rho=0.6 [DEC-045 S2]; cluster x cell aggregates (D2/H2b convention)</t>
  </si>
  <si>
    <t xml:space="preserve">multiverse cell 635/1260: coding=share_recut_2018, outlier=none, es_set=no_starbound, df_basis=k10, estimator=one_per_cluster, rho=0.6 [DEC-045 S2]; cluster x cell aggregates (D2/H2b convention)</t>
  </si>
  <si>
    <t xml:space="preserve">multiverse cell 636/1260: coding=share_recut_2019, outlier=none, es_set=no_starbound, df_basis=k10, estimator=one_per_cluster, rho=0.6 [DEC-045 S2]; cluster x cell aggregates (D2/H2b convention)</t>
  </si>
  <si>
    <t xml:space="preserve">multiverse cell 637/1260: coding=end_lag1, outlier=none, es_set=no_starbound, df_basis=k10, estimator=one_per_cluster, rho=0.6 [DEC-045 S2]; cluster x cell aggregates (D2/H2b convention)</t>
  </si>
  <si>
    <t xml:space="preserve">multiverse cell 638/1260: coding=end_lag2, outlier=none, es_set=no_starbound, df_basis=k10, estimator=one_per_cluster, rho=0.6 [DEC-045 S2]; cluster x cell aggregates (D2/H2b convention)</t>
  </si>
  <si>
    <t xml:space="preserve">multiverse cell 639/1260: coding=end_lag3, outlier=none, es_set=no_starbound, df_basis=k10, estimator=one_per_cluster, rho=0.6 [DEC-045 S2]; cluster x cell aggregates (D2/H2b convention)</t>
  </si>
  <si>
    <t xml:space="preserve">multiverse cell 640/1260: coding=clean_window, outlier=none, es_set=no_starbound, df_basis=k10, estimator=one_per_cluster, rho=0.6 [DEC-045 S2]; cluster x cell aggregates (D2/H2b convention)</t>
  </si>
  <si>
    <t xml:space="preserve">multiverse cell 641/1260: coding=paris_mid, outlier=rstudent, es_set=no_starbound, df_basis=k10, estimator=one_per_cluster, rho=0.6 [DEC-045 S2]; cluster x cell aggregates (D2/H2b convention)</t>
  </si>
  <si>
    <t xml:space="preserve">multiverse cell 642/1260: coding=tie_break_median, outlier=rstudent, es_set=no_starbound, df_basis=k10, estimator=one_per_cluster, rho=0.6 [DEC-045 S2]; cluster x cell aggregates (D2/H2b convention)</t>
  </si>
  <si>
    <t xml:space="preserve">multiverse cell 643/1260: coding=end_any_exposure, outlier=rstudent, es_set=no_starbound, df_basis=k10, estimator=one_per_cluster, rho=0.6 [DEC-045 S2]; cluster x cell aggregates (D2/H2b convention)</t>
  </si>
  <si>
    <t xml:space="preserve">multiverse cell 644/1260: coding=share_recut_2017, outlier=rstudent, es_set=no_starbound, df_basis=k10, estimator=one_per_cluster, rho=0.6 [DEC-045 S2]; cluster x cell aggregates (D2/H2b convention)</t>
  </si>
  <si>
    <t xml:space="preserve">multiverse cell 645/1260: coding=share_recut_2018, outlier=rstudent, es_set=no_starbound, df_basis=k10, estimator=one_per_cluster, rho=0.6 [DEC-045 S2]; cluster x cell aggregates (D2/H2b convention)</t>
  </si>
  <si>
    <t xml:space="preserve">multiverse cell 646/1260: coding=share_recut_2019, outlier=rstudent, es_set=no_starbound, df_basis=k10, estimator=one_per_cluster, rho=0.6 [DEC-045 S2]; cluster x cell aggregates (D2/H2b convention)</t>
  </si>
  <si>
    <t xml:space="preserve">multiverse cell 647/1260: coding=end_lag1, outlier=rstudent, es_set=no_starbound, df_basis=k10, estimator=one_per_cluster, rho=0.6 [DEC-045 S2]; cluster x cell aggregates (D2/H2b convention)</t>
  </si>
  <si>
    <t xml:space="preserve">multiverse cell 648/1260: coding=end_lag2, outlier=rstudent, es_set=no_starbound, df_basis=k10, estimator=one_per_cluster, rho=0.6 [DEC-045 S2]; cluster x cell aggregates (D2/H2b convention)</t>
  </si>
  <si>
    <t xml:space="preserve">multiverse cell 649/1260: coding=end_lag3, outlier=rstudent, es_set=no_starbound, df_basis=k10, estimator=one_per_cluster, rho=0.6 [DEC-045 S2]; cluster x cell aggregates (D2/H2b convention)</t>
  </si>
  <si>
    <t xml:space="preserve">multiverse cell 650/1260: coding=clean_window, outlier=rstudent, es_set=no_starbound, df_basis=k10, estimator=one_per_cluster, rho=0.6 [DEC-045 S2]; cluster x cell aggregates (D2/H2b convention)</t>
  </si>
  <si>
    <t xml:space="preserve">multiverse cell 651/1260: coding=paris_mid, outlier=winsor, es_set=no_starbound, df_basis=k10, estimator=one_per_cluster, rho=0.6 [DEC-045 S2]; cluster x cell aggregates (D2/H2b convention)</t>
  </si>
  <si>
    <t xml:space="preserve">multiverse cell 652/1260: coding=tie_break_median, outlier=winsor, es_set=no_starbound, df_basis=k10, estimator=one_per_cluster, rho=0.6 [DEC-045 S2]; cluster x cell aggregates (D2/H2b convention)</t>
  </si>
  <si>
    <t xml:space="preserve">multiverse cell 653/1260: coding=end_any_exposure, outlier=winsor, es_set=no_starbound, df_basis=k10, estimator=one_per_cluster, rho=0.6 [DEC-045 S2]; cluster x cell aggregates (D2/H2b convention)</t>
  </si>
  <si>
    <t xml:space="preserve">multiverse cell 654/1260: coding=share_recut_2017, outlier=winsor, es_set=no_starbound, df_basis=k10, estimator=one_per_cluster, rho=0.6 [DEC-045 S2]; cluster x cell aggregates (D2/H2b convention)</t>
  </si>
  <si>
    <t xml:space="preserve">multiverse cell 655/1260: coding=share_recut_2018, outlier=winsor, es_set=no_starbound, df_basis=k10, estimator=one_per_cluster, rho=0.6 [DEC-045 S2]; cluster x cell aggregates (D2/H2b convention)</t>
  </si>
  <si>
    <t xml:space="preserve">multiverse cell 656/1260: coding=share_recut_2019, outlier=winsor, es_set=no_starbound, df_basis=k10, estimator=one_per_cluster, rho=0.6 [DEC-045 S2]; cluster x cell aggregates (D2/H2b convention)</t>
  </si>
  <si>
    <t xml:space="preserve">multiverse cell 657/1260: coding=end_lag1, outlier=winsor, es_set=no_starbound, df_basis=k10, estimator=one_per_cluster, rho=0.6 [DEC-045 S2]; cluster x cell aggregates (D2/H2b convention)</t>
  </si>
  <si>
    <t xml:space="preserve">multiverse cell 658/1260: coding=end_lag2, outlier=winsor, es_set=no_starbound, df_basis=k10, estimator=one_per_cluster, rho=0.6 [DEC-045 S2]; cluster x cell aggregates (D2/H2b convention)</t>
  </si>
  <si>
    <t xml:space="preserve">multiverse cell 659/1260: coding=end_lag3, outlier=winsor, es_set=no_starbound, df_basis=k10, estimator=one_per_cluster, rho=0.6 [DEC-045 S2]; cluster x cell aggregates (D2/H2b convention)</t>
  </si>
  <si>
    <t xml:space="preserve">multiverse cell 660/1260: coding=clean_window, outlier=winsor, es_set=no_starbound, df_basis=k10, estimator=one_per_cluster, rho=0.6 [DEC-045 S2]; cluster x cell aggregates (D2/H2b convention)</t>
  </si>
  <si>
    <t xml:space="preserve">multiverse cell 661/1260: coding=paris_mid, outlier=none, es_set=full, df_basis=k20, estimator=one_per_cluster, rho=0.6 [DEC-045 S2]; cluster x cell aggregates (D2/H2b convention)</t>
  </si>
  <si>
    <t xml:space="preserve">multiverse cell 662/1260: coding=tie_break_median, outlier=none, es_set=full, df_basis=k20, estimator=one_per_cluster, rho=0.6 [DEC-045 S2]; cluster x cell aggregates (D2/H2b convention)</t>
  </si>
  <si>
    <t xml:space="preserve">multiverse cell 663/1260: coding=end_any_exposure, outlier=none, es_set=full, df_basis=k20, estimator=one_per_cluster, rho=0.6 [DEC-045 S2]; cluster x cell aggregates (D2/H2b convention)</t>
  </si>
  <si>
    <t xml:space="preserve">multiverse cell 664/1260: coding=share_recut_2017, outlier=none, es_set=full, df_basis=k20, estimator=one_per_cluster, rho=0.6 [DEC-045 S2]; cluster x cell aggregates (D2/H2b convention)</t>
  </si>
  <si>
    <t xml:space="preserve">multiverse cell 665/1260: coding=share_recut_2018, outlier=none, es_set=full, df_basis=k20, estimator=one_per_cluster, rho=0.6 [DEC-045 S2]; cluster x cell aggregates (D2/H2b convention)</t>
  </si>
  <si>
    <t xml:space="preserve">multiverse cell 666/1260: coding=share_recut_2019, outlier=none, es_set=full, df_basis=k20, estimator=one_per_cluster, rho=0.6 [DEC-045 S2]; cluster x cell aggregates (D2/H2b convention)</t>
  </si>
  <si>
    <t xml:space="preserve">multiverse cell 667/1260: coding=end_lag1, outlier=none, es_set=full, df_basis=k20, estimator=one_per_cluster, rho=0.6 [DEC-045 S2]; cluster x cell aggregates (D2/H2b convention)</t>
  </si>
  <si>
    <t xml:space="preserve">multiverse cell 668/1260: coding=end_lag2, outlier=none, es_set=full, df_basis=k20, estimator=one_per_cluster, rho=0.6 [DEC-045 S2]; cluster x cell aggregates (D2/H2b convention)</t>
  </si>
  <si>
    <t xml:space="preserve">multiverse cell 669/1260: coding=end_lag3, outlier=none, es_set=full, df_basis=k20, estimator=one_per_cluster, rho=0.6 [DEC-045 S2]; cluster x cell aggregates (D2/H2b convention)</t>
  </si>
  <si>
    <t xml:space="preserve">multiverse cell 670/1260: coding=clean_window, outlier=none, es_set=full, df_basis=k20, estimator=one_per_cluster, rho=0.6 [DEC-045 S2]; cluster x cell aggregates (D2/H2b convention)</t>
  </si>
  <si>
    <t xml:space="preserve">multiverse cell 671/1260: coding=paris_mid, outlier=rstudent, es_set=full, df_basis=k20, estimator=one_per_cluster, rho=0.6 [DEC-045 S2]; cluster x cell aggregates (D2/H2b convention)</t>
  </si>
  <si>
    <t xml:space="preserve">multiverse cell 672/1260: coding=tie_break_median, outlier=rstudent, es_set=full, df_basis=k20, estimator=one_per_cluster, rho=0.6 [DEC-045 S2]; cluster x cell aggregates (D2/H2b convention)</t>
  </si>
  <si>
    <t xml:space="preserve">multiverse cell 673/1260: coding=end_any_exposure, outlier=rstudent, es_set=full, df_basis=k20, estimator=one_per_cluster, rho=0.6 [DEC-045 S2]; cluster x cell aggregates (D2/H2b convention)</t>
  </si>
  <si>
    <t xml:space="preserve">multiverse cell 674/1260: coding=share_recut_2017, outlier=rstudent, es_set=full, df_basis=k20, estimator=one_per_cluster, rho=0.6 [DEC-045 S2]; cluster x cell aggregates (D2/H2b convention)</t>
  </si>
  <si>
    <t xml:space="preserve">multiverse cell 675/1260: coding=share_recut_2018, outlier=rstudent, es_set=full, df_basis=k20, estimator=one_per_cluster, rho=0.6 [DEC-045 S2]; cluster x cell aggregates (D2/H2b convention)</t>
  </si>
  <si>
    <t xml:space="preserve">multiverse cell 676/1260: coding=share_recut_2019, outlier=rstudent, es_set=full, df_basis=k20, estimator=one_per_cluster, rho=0.6 [DEC-045 S2]; cluster x cell aggregates (D2/H2b convention)</t>
  </si>
  <si>
    <t xml:space="preserve">multiverse cell 677/1260: coding=end_lag1, outlier=rstudent, es_set=full, df_basis=k20, estimator=one_per_cluster, rho=0.6 [DEC-045 S2]; cluster x cell aggregates (D2/H2b convention)</t>
  </si>
  <si>
    <t xml:space="preserve">multiverse cell 678/1260: coding=end_lag2, outlier=rstudent, es_set=full, df_basis=k20, estimator=one_per_cluster, rho=0.6 [DEC-045 S2]; cluster x cell aggregates (D2/H2b convention)</t>
  </si>
  <si>
    <t xml:space="preserve">multiverse cell 679/1260: coding=end_lag3, outlier=rstudent, es_set=full, df_basis=k20, estimator=one_per_cluster, rho=0.6 [DEC-045 S2]; cluster x cell aggregates (D2/H2b convention)</t>
  </si>
  <si>
    <t xml:space="preserve">multiverse cell 680/1260: coding=clean_window, outlier=rstudent, es_set=full, df_basis=k20, estimator=one_per_cluster, rho=0.6 [DEC-045 S2]; cluster x cell aggregates (D2/H2b convention)</t>
  </si>
  <si>
    <t xml:space="preserve">multiverse cell 681/1260: coding=paris_mid, outlier=winsor, es_set=full, df_basis=k20, estimator=one_per_cluster, rho=0.6 [DEC-045 S2]; cluster x cell aggregates (D2/H2b convention)</t>
  </si>
  <si>
    <t xml:space="preserve">multiverse cell 682/1260: coding=tie_break_median, outlier=winsor, es_set=full, df_basis=k20, estimator=one_per_cluster, rho=0.6 [DEC-045 S2]; cluster x cell aggregates (D2/H2b convention)</t>
  </si>
  <si>
    <t xml:space="preserve">multiverse cell 683/1260: coding=end_any_exposure, outlier=winsor, es_set=full, df_basis=k20, estimator=one_per_cluster, rho=0.6 [DEC-045 S2]; cluster x cell aggregates (D2/H2b convention)</t>
  </si>
  <si>
    <t xml:space="preserve">multiverse cell 684/1260: coding=share_recut_2017, outlier=winsor, es_set=full, df_basis=k20, estimator=one_per_cluster, rho=0.6 [DEC-045 S2]; cluster x cell aggregates (D2/H2b convention)</t>
  </si>
  <si>
    <t xml:space="preserve">multiverse cell 685/1260: coding=share_recut_2018, outlier=winsor, es_set=full, df_basis=k20, estimator=one_per_cluster, rho=0.6 [DEC-045 S2]; cluster x cell aggregates (D2/H2b convention)</t>
  </si>
  <si>
    <t xml:space="preserve">multiverse cell 686/1260: coding=share_recut_2019, outlier=winsor, es_set=full, df_basis=k20, estimator=one_per_cluster, rho=0.6 [DEC-045 S2]; cluster x cell aggregates (D2/H2b convention)</t>
  </si>
  <si>
    <t xml:space="preserve">multiverse cell 687/1260: coding=end_lag1, outlier=winsor, es_set=full, df_basis=k20, estimator=one_per_cluster, rho=0.6 [DEC-045 S2]; cluster x cell aggregates (D2/H2b convention)</t>
  </si>
  <si>
    <t xml:space="preserve">multiverse cell 688/1260: coding=end_lag2, outlier=winsor, es_set=full, df_basis=k20, estimator=one_per_cluster, rho=0.6 [DEC-045 S2]; cluster x cell aggregates (D2/H2b convention)</t>
  </si>
  <si>
    <t xml:space="preserve">multiverse cell 689/1260: coding=end_lag3, outlier=winsor, es_set=full, df_basis=k20, estimator=one_per_cluster, rho=0.6 [DEC-045 S2]; cluster x cell aggregates (D2/H2b convention)</t>
  </si>
  <si>
    <t xml:space="preserve">multiverse cell 690/1260: coding=clean_window, outlier=winsor, es_set=full, df_basis=k20, estimator=one_per_cluster, rho=0.6 [DEC-045 S2]; cluster x cell aggregates (D2/H2b convention)</t>
  </si>
  <si>
    <t xml:space="preserve">multiverse cell 691/1260: coding=paris_mid, outlier=none, es_set=no_starbound, df_basis=k20, estimator=one_per_cluster, rho=0.6 [DEC-045 S2]; cluster x cell aggregates (D2/H2b convention)</t>
  </si>
  <si>
    <t xml:space="preserve">multiverse cell 692/1260: coding=tie_break_median, outlier=none, es_set=no_starbound, df_basis=k20, estimator=one_per_cluster, rho=0.6 [DEC-045 S2]; cluster x cell aggregates (D2/H2b convention)</t>
  </si>
  <si>
    <t xml:space="preserve">multiverse cell 693/1260: coding=end_any_exposure, outlier=none, es_set=no_starbound, df_basis=k20, estimator=one_per_cluster, rho=0.6 [DEC-045 S2]; cluster x cell aggregates (D2/H2b convention)</t>
  </si>
  <si>
    <t xml:space="preserve">multiverse cell 694/1260: coding=share_recut_2017, outlier=none, es_set=no_starbound, df_basis=k20, estimator=one_per_cluster, rho=0.6 [DEC-045 S2]; cluster x cell aggregates (D2/H2b convention)</t>
  </si>
  <si>
    <t xml:space="preserve">multiverse cell 695/1260: coding=share_recut_2018, outlier=none, es_set=no_starbound, df_basis=k20, estimator=one_per_cluster, rho=0.6 [DEC-045 S2]; cluster x cell aggregates (D2/H2b convention)</t>
  </si>
  <si>
    <t xml:space="preserve">multiverse cell 696/1260: coding=share_recut_2019, outlier=none, es_set=no_starbound, df_basis=k20, estimator=one_per_cluster, rho=0.6 [DEC-045 S2]; cluster x cell aggregates (D2/H2b convention)</t>
  </si>
  <si>
    <t xml:space="preserve">multiverse cell 697/1260: coding=end_lag1, outlier=none, es_set=no_starbound, df_basis=k20, estimator=one_per_cluster, rho=0.6 [DEC-045 S2]; cluster x cell aggregates (D2/H2b convention)</t>
  </si>
  <si>
    <t xml:space="preserve">multiverse cell 698/1260: coding=end_lag2, outlier=none, es_set=no_starbound, df_basis=k20, estimator=one_per_cluster, rho=0.6 [DEC-045 S2]; cluster x cell aggregates (D2/H2b convention)</t>
  </si>
  <si>
    <t xml:space="preserve">multiverse cell 699/1260: coding=end_lag3, outlier=none, es_set=no_starbound, df_basis=k20, estimator=one_per_cluster, rho=0.6 [DEC-045 S2]; cluster x cell aggregates (D2/H2b convention)</t>
  </si>
  <si>
    <t xml:space="preserve">multiverse cell 700/1260: coding=clean_window, outlier=none, es_set=no_starbound, df_basis=k20, estimator=one_per_cluster, rho=0.6 [DEC-045 S2]; cluster x cell aggregates (D2/H2b convention)</t>
  </si>
  <si>
    <t xml:space="preserve">multiverse cell 701/1260: coding=paris_mid, outlier=rstudent, es_set=no_starbound, df_basis=k20, estimator=one_per_cluster, rho=0.6 [DEC-045 S2]; cluster x cell aggregates (D2/H2b convention)</t>
  </si>
  <si>
    <t xml:space="preserve">multiverse cell 702/1260: coding=tie_break_median, outlier=rstudent, es_set=no_starbound, df_basis=k20, estimator=one_per_cluster, rho=0.6 [DEC-045 S2]; cluster x cell aggregates (D2/H2b convention)</t>
  </si>
  <si>
    <t xml:space="preserve">multiverse cell 703/1260: coding=end_any_exposure, outlier=rstudent, es_set=no_starbound, df_basis=k20, estimator=one_per_cluster, rho=0.6 [DEC-045 S2]; cluster x cell aggregates (D2/H2b convention)</t>
  </si>
  <si>
    <t xml:space="preserve">multiverse cell 704/1260: coding=share_recut_2017, outlier=rstudent, es_set=no_starbound, df_basis=k20, estimator=one_per_cluster, rho=0.6 [DEC-045 S2]; cluster x cell aggregates (D2/H2b convention)</t>
  </si>
  <si>
    <t xml:space="preserve">multiverse cell 705/1260: coding=share_recut_2018, outlier=rstudent, es_set=no_starbound, df_basis=k20, estimator=one_per_cluster, rho=0.6 [DEC-045 S2]; cluster x cell aggregates (D2/H2b convention)</t>
  </si>
  <si>
    <t xml:space="preserve">multiverse cell 706/1260: coding=share_recut_2019, outlier=rstudent, es_set=no_starbound, df_basis=k20, estimator=one_per_cluster, rho=0.6 [DEC-045 S2]; cluster x cell aggregates (D2/H2b convention)</t>
  </si>
  <si>
    <t xml:space="preserve">multiverse cell 707/1260: coding=end_lag1, outlier=rstudent, es_set=no_starbound, df_basis=k20, estimator=one_per_cluster, rho=0.6 [DEC-045 S2]; cluster x cell aggregates (D2/H2b convention)</t>
  </si>
  <si>
    <t xml:space="preserve">multiverse cell 708/1260: coding=end_lag2, outlier=rstudent, es_set=no_starbound, df_basis=k20, estimator=one_per_cluster, rho=0.6 [DEC-045 S2]; cluster x cell aggregates (D2/H2b convention)</t>
  </si>
  <si>
    <t xml:space="preserve">multiverse cell 709/1260: coding=end_lag3, outlier=rstudent, es_set=no_starbound, df_basis=k20, estimator=one_per_cluster, rho=0.6 [DEC-045 S2]; cluster x cell aggregates (D2/H2b convention)</t>
  </si>
  <si>
    <t xml:space="preserve">multiverse cell 710/1260: coding=clean_window, outlier=rstudent, es_set=no_starbound, df_basis=k20, estimator=one_per_cluster, rho=0.6 [DEC-045 S2]; cluster x cell aggregates (D2/H2b convention)</t>
  </si>
  <si>
    <t xml:space="preserve">multiverse cell 711/1260: coding=paris_mid, outlier=winsor, es_set=no_starbound, df_basis=k20, estimator=one_per_cluster, rho=0.6 [DEC-045 S2]; cluster x cell aggregates (D2/H2b convention)</t>
  </si>
  <si>
    <t xml:space="preserve">multiverse cell 712/1260: coding=tie_break_median, outlier=winsor, es_set=no_starbound, df_basis=k20, estimator=one_per_cluster, rho=0.6 [DEC-045 S2]; cluster x cell aggregates (D2/H2b convention)</t>
  </si>
  <si>
    <t xml:space="preserve">multiverse cell 713/1260: coding=end_any_exposure, outlier=winsor, es_set=no_starbound, df_basis=k20, estimator=one_per_cluster, rho=0.6 [DEC-045 S2]; cluster x cell aggregates (D2/H2b convention)</t>
  </si>
  <si>
    <t xml:space="preserve">multiverse cell 714/1260: coding=share_recut_2017, outlier=winsor, es_set=no_starbound, df_basis=k20, estimator=one_per_cluster, rho=0.6 [DEC-045 S2]; cluster x cell aggregates (D2/H2b convention)</t>
  </si>
  <si>
    <t xml:space="preserve">multiverse cell 715/1260: coding=share_recut_2018, outlier=winsor, es_set=no_starbound, df_basis=k20, estimator=one_per_cluster, rho=0.6 [DEC-045 S2]; cluster x cell aggregates (D2/H2b convention)</t>
  </si>
  <si>
    <t xml:space="preserve">multiverse cell 716/1260: coding=share_recut_2019, outlier=winsor, es_set=no_starbound, df_basis=k20, estimator=one_per_cluster, rho=0.6 [DEC-045 S2]; cluster x cell aggregates (D2/H2b convention)</t>
  </si>
  <si>
    <t xml:space="preserve">multiverse cell 717/1260: coding=end_lag1, outlier=winsor, es_set=no_starbound, df_basis=k20, estimator=one_per_cluster, rho=0.6 [DEC-045 S2]; cluster x cell aggregates (D2/H2b convention)</t>
  </si>
  <si>
    <t xml:space="preserve">multiverse cell 718/1260: coding=end_lag2, outlier=winsor, es_set=no_starbound, df_basis=k20, estimator=one_per_cluster, rho=0.6 [DEC-045 S2]; cluster x cell aggregates (D2/H2b convention)</t>
  </si>
  <si>
    <t xml:space="preserve">multiverse cell 719/1260: coding=end_lag3, outlier=winsor, es_set=no_starbound, df_basis=k20, estimator=one_per_cluster, rho=0.6 [DEC-045 S2]; cluster x cell aggregates (D2/H2b convention)</t>
  </si>
  <si>
    <t xml:space="preserve">multiverse cell 720/1260: coding=clean_window, outlier=winsor, es_set=no_starbound, df_basis=k20, estimator=one_per_cluster, rho=0.6 [DEC-045 S2]; cluster x cell aggregates (D2/H2b convention)</t>
  </si>
  <si>
    <t xml:space="preserve">UWLS3|r0.6</t>
  </si>
  <si>
    <t xml:space="preserve">UWLS3</t>
  </si>
  <si>
    <t xml:space="preserve">multiverse cell 721/1260: coding=paris_mid, outlier=none, es_set=full, df_basis=dfE, estimator=UWLS3, rho=0.6 [DEC-045 S2]; weighted LS cell means (1/vi); descriptive curve only</t>
  </si>
  <si>
    <t xml:space="preserve">multiverse cell 722/1260: coding=tie_break_median, outlier=none, es_set=full, df_basis=dfE, estimator=UWLS3, rho=0.6 [DEC-045 S2]; weighted LS cell means (1/vi); descriptive curve only</t>
  </si>
  <si>
    <t xml:space="preserve">multiverse cell 723/1260: coding=end_any_exposure, outlier=none, es_set=full, df_basis=dfE, estimator=UWLS3, rho=0.6 [DEC-045 S2]; weighted LS cell means (1/vi); descriptive curve only</t>
  </si>
  <si>
    <t xml:space="preserve">multiverse cell 724/1260: coding=share_recut_2017, outlier=none, es_set=full, df_basis=dfE, estimator=UWLS3, rho=0.6 [DEC-045 S2]; weighted LS cell means (1/vi); descriptive curve only</t>
  </si>
  <si>
    <t xml:space="preserve">multiverse cell 725/1260: coding=share_recut_2018, outlier=none, es_set=full, df_basis=dfE, estimator=UWLS3, rho=0.6 [DEC-045 S2]; weighted LS cell means (1/vi); descriptive curve only</t>
  </si>
  <si>
    <t xml:space="preserve">multiverse cell 726/1260: coding=share_recut_2019, outlier=none, es_set=full, df_basis=dfE, estimator=UWLS3, rho=0.6 [DEC-045 S2]; weighted LS cell means (1/vi); descriptive curve only</t>
  </si>
  <si>
    <t xml:space="preserve">multiverse cell 727/1260: coding=end_lag1, outlier=none, es_set=full, df_basis=dfE, estimator=UWLS3, rho=0.6 [DEC-045 S2]; weighted LS cell means (1/vi); descriptive curve only</t>
  </si>
  <si>
    <t xml:space="preserve">multiverse cell 728/1260: coding=end_lag2, outlier=none, es_set=full, df_basis=dfE, estimator=UWLS3, rho=0.6 [DEC-045 S2]; weighted LS cell means (1/vi); descriptive curve only</t>
  </si>
  <si>
    <t xml:space="preserve">multiverse cell 729/1260: coding=end_lag3, outlier=none, es_set=full, df_basis=dfE, estimator=UWLS3, rho=0.6 [DEC-045 S2]; weighted LS cell means (1/vi); descriptive curve only</t>
  </si>
  <si>
    <t xml:space="preserve">multiverse cell 730/1260: coding=clean_window, outlier=none, es_set=full, df_basis=dfE, estimator=UWLS3, rho=0.6 [DEC-045 S2]; weighted LS cell means (1/vi); descriptive curve only</t>
  </si>
  <si>
    <t xml:space="preserve">multiverse cell 731/1260: coding=paris_mid, outlier=rstudent, es_set=full, df_basis=dfE, estimator=UWLS3, rho=0.6 [DEC-045 S2]; weighted LS cell means (1/vi); descriptive curve only</t>
  </si>
  <si>
    <t xml:space="preserve">multiverse cell 732/1260: coding=tie_break_median, outlier=rstudent, es_set=full, df_basis=dfE, estimator=UWLS3, rho=0.6 [DEC-045 S2]; weighted LS cell means (1/vi); descriptive curve only</t>
  </si>
  <si>
    <t xml:space="preserve">multiverse cell 733/1260: coding=end_any_exposure, outlier=rstudent, es_set=full, df_basis=dfE, estimator=UWLS3, rho=0.6 [DEC-045 S2]; weighted LS cell means (1/vi); descriptive curve only</t>
  </si>
  <si>
    <t xml:space="preserve">multiverse cell 734/1260: coding=share_recut_2017, outlier=rstudent, es_set=full, df_basis=dfE, estimator=UWLS3, rho=0.6 [DEC-045 S2]; weighted LS cell means (1/vi); descriptive curve only</t>
  </si>
  <si>
    <t xml:space="preserve">multiverse cell 735/1260: coding=share_recut_2018, outlier=rstudent, es_set=full, df_basis=dfE, estimator=UWLS3, rho=0.6 [DEC-045 S2]; weighted LS cell means (1/vi); descriptive curve only</t>
  </si>
  <si>
    <t xml:space="preserve">multiverse cell 736/1260: coding=share_recut_2019, outlier=rstudent, es_set=full, df_basis=dfE, estimator=UWLS3, rho=0.6 [DEC-045 S2]; weighted LS cell means (1/vi); descriptive curve only</t>
  </si>
  <si>
    <t xml:space="preserve">multiverse cell 737/1260: coding=end_lag1, outlier=rstudent, es_set=full, df_basis=dfE, estimator=UWLS3, rho=0.6 [DEC-045 S2]; weighted LS cell means (1/vi); descriptive curve only</t>
  </si>
  <si>
    <t xml:space="preserve">multiverse cell 738/1260: coding=end_lag2, outlier=rstudent, es_set=full, df_basis=dfE, estimator=UWLS3, rho=0.6 [DEC-045 S2]; weighted LS cell means (1/vi); descriptive curve only</t>
  </si>
  <si>
    <t xml:space="preserve">multiverse cell 739/1260: coding=end_lag3, outlier=rstudent, es_set=full, df_basis=dfE, estimator=UWLS3, rho=0.6 [DEC-045 S2]; weighted LS cell means (1/vi); descriptive curve only</t>
  </si>
  <si>
    <t xml:space="preserve">multiverse cell 740/1260: coding=clean_window, outlier=rstudent, es_set=full, df_basis=dfE, estimator=UWLS3, rho=0.6 [DEC-045 S2]; weighted LS cell means (1/vi); descriptive curve only</t>
  </si>
  <si>
    <t xml:space="preserve">multiverse cell 741/1260: coding=paris_mid, outlier=winsor, es_set=full, df_basis=dfE, estimator=UWLS3, rho=0.6 [DEC-045 S2]; weighted LS cell means (1/vi); descriptive curve only</t>
  </si>
  <si>
    <t xml:space="preserve">multiverse cell 742/1260: coding=tie_break_median, outlier=winsor, es_set=full, df_basis=dfE, estimator=UWLS3, rho=0.6 [DEC-045 S2]; weighted LS cell means (1/vi); descriptive curve only</t>
  </si>
  <si>
    <t xml:space="preserve">multiverse cell 743/1260: coding=end_any_exposure, outlier=winsor, es_set=full, df_basis=dfE, estimator=UWLS3, rho=0.6 [DEC-045 S2]; weighted LS cell means (1/vi); descriptive curve only</t>
  </si>
  <si>
    <t xml:space="preserve">multiverse cell 744/1260: coding=share_recut_2017, outlier=winsor, es_set=full, df_basis=dfE, estimator=UWLS3, rho=0.6 [DEC-045 S2]; weighted LS cell means (1/vi); descriptive curve only</t>
  </si>
  <si>
    <t xml:space="preserve">multiverse cell 745/1260: coding=share_recut_2018, outlier=winsor, es_set=full, df_basis=dfE, estimator=UWLS3, rho=0.6 [DEC-045 S2]; weighted LS cell means (1/vi); descriptive curve only</t>
  </si>
  <si>
    <t xml:space="preserve">multiverse cell 746/1260: coding=share_recut_2019, outlier=winsor, es_set=full, df_basis=dfE, estimator=UWLS3, rho=0.6 [DEC-045 S2]; weighted LS cell means (1/vi); descriptive curve only</t>
  </si>
  <si>
    <t xml:space="preserve">multiverse cell 747/1260: coding=end_lag1, outlier=winsor, es_set=full, df_basis=dfE, estimator=UWLS3, rho=0.6 [DEC-045 S2]; weighted LS cell means (1/vi); descriptive curve only</t>
  </si>
  <si>
    <t xml:space="preserve">multiverse cell 748/1260: coding=end_lag2, outlier=winsor, es_set=full, df_basis=dfE, estimator=UWLS3, rho=0.6 [DEC-045 S2]; weighted LS cell means (1/vi); descriptive curve only</t>
  </si>
  <si>
    <t xml:space="preserve">multiverse cell 749/1260: coding=end_lag3, outlier=winsor, es_set=full, df_basis=dfE, estimator=UWLS3, rho=0.6 [DEC-045 S2]; weighted LS cell means (1/vi); descriptive curve only</t>
  </si>
  <si>
    <t xml:space="preserve">multiverse cell 750/1260: coding=clean_window, outlier=winsor, es_set=full, df_basis=dfE, estimator=UWLS3, rho=0.6 [DEC-045 S2]; weighted LS cell means (1/vi); descriptive curve only</t>
  </si>
  <si>
    <t xml:space="preserve">multiverse cell 751/1260: coding=paris_mid, outlier=none, es_set=no_starbound, df_basis=dfE, estimator=UWLS3, rho=0.6 [DEC-045 S2]; weighted LS cell means (1/vi); descriptive curve only</t>
  </si>
  <si>
    <t xml:space="preserve">multiverse cell 752/1260: coding=tie_break_median, outlier=none, es_set=no_starbound, df_basis=dfE, estimator=UWLS3, rho=0.6 [DEC-045 S2]; weighted LS cell means (1/vi); descriptive curve only</t>
  </si>
  <si>
    <t xml:space="preserve">multiverse cell 753/1260: coding=end_any_exposure, outlier=none, es_set=no_starbound, df_basis=dfE, estimator=UWLS3, rho=0.6 [DEC-045 S2]; weighted LS cell means (1/vi); descriptive curve only</t>
  </si>
  <si>
    <t xml:space="preserve">multiverse cell 754/1260: coding=share_recut_2017, outlier=none, es_set=no_starbound, df_basis=dfE, estimator=UWLS3, rho=0.6 [DEC-045 S2]; weighted LS cell means (1/vi); descriptive curve only</t>
  </si>
  <si>
    <t xml:space="preserve">multiverse cell 755/1260: coding=share_recut_2018, outlier=none, es_set=no_starbound, df_basis=dfE, estimator=UWLS3, rho=0.6 [DEC-045 S2]; weighted LS cell means (1/vi); descriptive curve only</t>
  </si>
  <si>
    <t xml:space="preserve">multiverse cell 756/1260: coding=share_recut_2019, outlier=none, es_set=no_starbound, df_basis=dfE, estimator=UWLS3, rho=0.6 [DEC-045 S2]; weighted LS cell means (1/vi); descriptive curve only</t>
  </si>
  <si>
    <t xml:space="preserve">multiverse cell 757/1260: coding=end_lag1, outlier=none, es_set=no_starbound, df_basis=dfE, estimator=UWLS3, rho=0.6 [DEC-045 S2]; weighted LS cell means (1/vi); descriptive curve only</t>
  </si>
  <si>
    <t xml:space="preserve">multiverse cell 758/1260: coding=end_lag2, outlier=none, es_set=no_starbound, df_basis=dfE, estimator=UWLS3, rho=0.6 [DEC-045 S2]; weighted LS cell means (1/vi); descriptive curve only</t>
  </si>
  <si>
    <t xml:space="preserve">multiverse cell 759/1260: coding=end_lag3, outlier=none, es_set=no_starbound, df_basis=dfE, estimator=UWLS3, rho=0.6 [DEC-045 S2]; weighted LS cell means (1/vi); descriptive curve only</t>
  </si>
  <si>
    <t xml:space="preserve">multiverse cell 760/1260: coding=clean_window, outlier=none, es_set=no_starbound, df_basis=dfE, estimator=UWLS3, rho=0.6 [DEC-045 S2]; weighted LS cell means (1/vi); descriptive curve only</t>
  </si>
  <si>
    <t xml:space="preserve">multiverse cell 761/1260: coding=paris_mid, outlier=rstudent, es_set=no_starbound, df_basis=dfE, estimator=UWLS3, rho=0.6 [DEC-045 S2]; weighted LS cell means (1/vi); descriptive curve only</t>
  </si>
  <si>
    <t xml:space="preserve">multiverse cell 762/1260: coding=tie_break_median, outlier=rstudent, es_set=no_starbound, df_basis=dfE, estimator=UWLS3, rho=0.6 [DEC-045 S2]; weighted LS cell means (1/vi); descriptive curve only</t>
  </si>
  <si>
    <t xml:space="preserve">multiverse cell 763/1260: coding=end_any_exposure, outlier=rstudent, es_set=no_starbound, df_basis=dfE, estimator=UWLS3, rho=0.6 [DEC-045 S2]; weighted LS cell means (1/vi); descriptive curve only</t>
  </si>
  <si>
    <t xml:space="preserve">multiverse cell 764/1260: coding=share_recut_2017, outlier=rstudent, es_set=no_starbound, df_basis=dfE, estimator=UWLS3, rho=0.6 [DEC-045 S2]; weighted LS cell means (1/vi); descriptive curve only</t>
  </si>
  <si>
    <t xml:space="preserve">multiverse cell 765/1260: coding=share_recut_2018, outlier=rstudent, es_set=no_starbound, df_basis=dfE, estimator=UWLS3, rho=0.6 [DEC-045 S2]; weighted LS cell means (1/vi); descriptive curve only</t>
  </si>
  <si>
    <t xml:space="preserve">multiverse cell 766/1260: coding=share_recut_2019, outlier=rstudent, es_set=no_starbound, df_basis=dfE, estimator=UWLS3, rho=0.6 [DEC-045 S2]; weighted LS cell means (1/vi); descriptive curve only</t>
  </si>
  <si>
    <t xml:space="preserve">multiverse cell 767/1260: coding=end_lag1, outlier=rstudent, es_set=no_starbound, df_basis=dfE, estimator=UWLS3, rho=0.6 [DEC-045 S2]; weighted LS cell means (1/vi); descriptive curve only</t>
  </si>
  <si>
    <t xml:space="preserve">multiverse cell 768/1260: coding=end_lag2, outlier=rstudent, es_set=no_starbound, df_basis=dfE, estimator=UWLS3, rho=0.6 [DEC-045 S2]; weighted LS cell means (1/vi); descriptive curve only</t>
  </si>
  <si>
    <t xml:space="preserve">multiverse cell 769/1260: coding=end_lag3, outlier=rstudent, es_set=no_starbound, df_basis=dfE, estimator=UWLS3, rho=0.6 [DEC-045 S2]; weighted LS cell means (1/vi); descriptive curve only</t>
  </si>
  <si>
    <t xml:space="preserve">multiverse cell 770/1260: coding=clean_window, outlier=rstudent, es_set=no_starbound, df_basis=dfE, estimator=UWLS3, rho=0.6 [DEC-045 S2]; weighted LS cell means (1/vi); descriptive curve only</t>
  </si>
  <si>
    <t xml:space="preserve">multiverse cell 771/1260: coding=paris_mid, outlier=winsor, es_set=no_starbound, df_basis=dfE, estimator=UWLS3, rho=0.6 [DEC-045 S2]; weighted LS cell means (1/vi); descriptive curve only</t>
  </si>
  <si>
    <t xml:space="preserve">multiverse cell 772/1260: coding=tie_break_median, outlier=winsor, es_set=no_starbound, df_basis=dfE, estimator=UWLS3, rho=0.6 [DEC-045 S2]; weighted LS cell means (1/vi); descriptive curve only</t>
  </si>
  <si>
    <t xml:space="preserve">multiverse cell 773/1260: coding=end_any_exposure, outlier=winsor, es_set=no_starbound, df_basis=dfE, estimator=UWLS3, rho=0.6 [DEC-045 S2]; weighted LS cell means (1/vi); descriptive curve only</t>
  </si>
  <si>
    <t xml:space="preserve">multiverse cell 774/1260: coding=share_recut_2017, outlier=winsor, es_set=no_starbound, df_basis=dfE, estimator=UWLS3, rho=0.6 [DEC-045 S2]; weighted LS cell means (1/vi); descriptive curve only</t>
  </si>
  <si>
    <t xml:space="preserve">multiverse cell 775/1260: coding=share_recut_2018, outlier=winsor, es_set=no_starbound, df_basis=dfE, estimator=UWLS3, rho=0.6 [DEC-045 S2]; weighted LS cell means (1/vi); descriptive curve only</t>
  </si>
  <si>
    <t xml:space="preserve">multiverse cell 776/1260: coding=share_recut_2019, outlier=winsor, es_set=no_starbound, df_basis=dfE, estimator=UWLS3, rho=0.6 [DEC-045 S2]; weighted LS cell means (1/vi); descriptive curve only</t>
  </si>
  <si>
    <t xml:space="preserve">multiverse cell 777/1260: coding=end_lag1, outlier=winsor, es_set=no_starbound, df_basis=dfE, estimator=UWLS3, rho=0.6 [DEC-045 S2]; weighted LS cell means (1/vi); descriptive curve only</t>
  </si>
  <si>
    <t xml:space="preserve">multiverse cell 778/1260: coding=end_lag2, outlier=winsor, es_set=no_starbound, df_basis=dfE, estimator=UWLS3, rho=0.6 [DEC-045 S2]; weighted LS cell means (1/vi); descriptive curve only</t>
  </si>
  <si>
    <t xml:space="preserve">multiverse cell 779/1260: coding=end_lag3, outlier=winsor, es_set=no_starbound, df_basis=dfE, estimator=UWLS3, rho=0.6 [DEC-045 S2]; weighted LS cell means (1/vi); descriptive curve only</t>
  </si>
  <si>
    <t xml:space="preserve">multiverse cell 780/1260: coding=clean_window, outlier=winsor, es_set=no_starbound, df_basis=dfE, estimator=UWLS3, rho=0.6 [DEC-045 S2]; weighted LS cell means (1/vi); descriptive curve only</t>
  </si>
  <si>
    <t xml:space="preserve">multiverse cell 781/1260: coding=paris_mid, outlier=none, es_set=full, df_basis=k10, estimator=UWLS3, rho=0.6 [DEC-045 S2]; weighted LS cell means (1/vi); descriptive curve only</t>
  </si>
  <si>
    <t xml:space="preserve">multiverse cell 782/1260: coding=tie_break_median, outlier=none, es_set=full, df_basis=k10, estimator=UWLS3, rho=0.6 [DEC-045 S2]; weighted LS cell means (1/vi); descriptive curve only</t>
  </si>
  <si>
    <t xml:space="preserve">multiverse cell 783/1260: coding=end_any_exposure, outlier=none, es_set=full, df_basis=k10, estimator=UWLS3, rho=0.6 [DEC-045 S2]; weighted LS cell means (1/vi); descriptive curve only</t>
  </si>
  <si>
    <t xml:space="preserve">multiverse cell 784/1260: coding=share_recut_2017, outlier=none, es_set=full, df_basis=k10, estimator=UWLS3, rho=0.6 [DEC-045 S2]; weighted LS cell means (1/vi); descriptive curve only</t>
  </si>
  <si>
    <t xml:space="preserve">multiverse cell 785/1260: coding=share_recut_2018, outlier=none, es_set=full, df_basis=k10, estimator=UWLS3, rho=0.6 [DEC-045 S2]; weighted LS cell means (1/vi); descriptive curve only</t>
  </si>
  <si>
    <t xml:space="preserve">multiverse cell 786/1260: coding=share_recut_2019, outlier=none, es_set=full, df_basis=k10, estimator=UWLS3, rho=0.6 [DEC-045 S2]; weighted LS cell means (1/vi); descriptive curve only</t>
  </si>
  <si>
    <t xml:space="preserve">multiverse cell 787/1260: coding=end_lag1, outlier=none, es_set=full, df_basis=k10, estimator=UWLS3, rho=0.6 [DEC-045 S2]; weighted LS cell means (1/vi); descriptive curve only</t>
  </si>
  <si>
    <t xml:space="preserve">multiverse cell 788/1260: coding=end_lag2, outlier=none, es_set=full, df_basis=k10, estimator=UWLS3, rho=0.6 [DEC-045 S2]; weighted LS cell means (1/vi); descriptive curve only</t>
  </si>
  <si>
    <t xml:space="preserve">multiverse cell 789/1260: coding=end_lag3, outlier=none, es_set=full, df_basis=k10, estimator=UWLS3, rho=0.6 [DEC-045 S2]; weighted LS cell means (1/vi); descriptive curve only</t>
  </si>
  <si>
    <t xml:space="preserve">multiverse cell 790/1260: coding=clean_window, outlier=none, es_set=full, df_basis=k10, estimator=UWLS3, rho=0.6 [DEC-045 S2]; weighted LS cell means (1/vi); descriptive curve only</t>
  </si>
  <si>
    <t xml:space="preserve">multiverse cell 791/1260: coding=paris_mid, outlier=rstudent, es_set=full, df_basis=k10, estimator=UWLS3, rho=0.6 [DEC-045 S2]; weighted LS cell means (1/vi); descriptive curve only</t>
  </si>
  <si>
    <t xml:space="preserve">multiverse cell 792/1260: coding=tie_break_median, outlier=rstudent, es_set=full, df_basis=k10, estimator=UWLS3, rho=0.6 [DEC-045 S2]; weighted LS cell means (1/vi); descriptive curve only</t>
  </si>
  <si>
    <t xml:space="preserve">multiverse cell 793/1260: coding=end_any_exposure, outlier=rstudent, es_set=full, df_basis=k10, estimator=UWLS3, rho=0.6 [DEC-045 S2]; weighted LS cell means (1/vi); descriptive curve only</t>
  </si>
  <si>
    <t xml:space="preserve">multiverse cell 794/1260: coding=share_recut_2017, outlier=rstudent, es_set=full, df_basis=k10, estimator=UWLS3, rho=0.6 [DEC-045 S2]; weighted LS cell means (1/vi); descriptive curve only</t>
  </si>
  <si>
    <t xml:space="preserve">multiverse cell 795/1260: coding=share_recut_2018, outlier=rstudent, es_set=full, df_basis=k10, estimator=UWLS3, rho=0.6 [DEC-045 S2]; weighted LS cell means (1/vi); descriptive curve only</t>
  </si>
  <si>
    <t xml:space="preserve">multiverse cell 796/1260: coding=share_recut_2019, outlier=rstudent, es_set=full, df_basis=k10, estimator=UWLS3, rho=0.6 [DEC-045 S2]; weighted LS cell means (1/vi); descriptive curve only</t>
  </si>
  <si>
    <t xml:space="preserve">multiverse cell 797/1260: coding=end_lag1, outlier=rstudent, es_set=full, df_basis=k10, estimator=UWLS3, rho=0.6 [DEC-045 S2]; weighted LS cell means (1/vi); descriptive curve only</t>
  </si>
  <si>
    <t xml:space="preserve">multiverse cell 798/1260: coding=end_lag2, outlier=rstudent, es_set=full, df_basis=k10, estimator=UWLS3, rho=0.6 [DEC-045 S2]; weighted LS cell means (1/vi); descriptive curve only</t>
  </si>
  <si>
    <t xml:space="preserve">multiverse cell 799/1260: coding=end_lag3, outlier=rstudent, es_set=full, df_basis=k10, estimator=UWLS3, rho=0.6 [DEC-045 S2]; weighted LS cell means (1/vi); descriptive curve only</t>
  </si>
  <si>
    <t xml:space="preserve">multiverse cell 800/1260: coding=clean_window, outlier=rstudent, es_set=full, df_basis=k10, estimator=UWLS3, rho=0.6 [DEC-045 S2]; weighted LS cell means (1/vi); descriptive curve only</t>
  </si>
  <si>
    <t xml:space="preserve">multiverse cell 801/1260: coding=paris_mid, outlier=winsor, es_set=full, df_basis=k10, estimator=UWLS3, rho=0.6 [DEC-045 S2]; weighted LS cell means (1/vi); descriptive curve only</t>
  </si>
  <si>
    <t xml:space="preserve">multiverse cell 802/1260: coding=tie_break_median, outlier=winsor, es_set=full, df_basis=k10, estimator=UWLS3, rho=0.6 [DEC-045 S2]; weighted LS cell means (1/vi); descriptive curve only</t>
  </si>
  <si>
    <t xml:space="preserve">multiverse cell 803/1260: coding=end_any_exposure, outlier=winsor, es_set=full, df_basis=k10, estimator=UWLS3, rho=0.6 [DEC-045 S2]; weighted LS cell means (1/vi); descriptive curve only</t>
  </si>
  <si>
    <t xml:space="preserve">multiverse cell 804/1260: coding=share_recut_2017, outlier=winsor, es_set=full, df_basis=k10, estimator=UWLS3, rho=0.6 [DEC-045 S2]; weighted LS cell means (1/vi); descriptive curve only</t>
  </si>
  <si>
    <t xml:space="preserve">multiverse cell 805/1260: coding=share_recut_2018, outlier=winsor, es_set=full, df_basis=k10, estimator=UWLS3, rho=0.6 [DEC-045 S2]; weighted LS cell means (1/vi); descriptive curve only</t>
  </si>
  <si>
    <t xml:space="preserve">multiverse cell 806/1260: coding=share_recut_2019, outlier=winsor, es_set=full, df_basis=k10, estimator=UWLS3, rho=0.6 [DEC-045 S2]; weighted LS cell means (1/vi); descriptive curve only</t>
  </si>
  <si>
    <t xml:space="preserve">multiverse cell 807/1260: coding=end_lag1, outlier=winsor, es_set=full, df_basis=k10, estimator=UWLS3, rho=0.6 [DEC-045 S2]; weighted LS cell means (1/vi); descriptive curve only</t>
  </si>
  <si>
    <t xml:space="preserve">multiverse cell 808/1260: coding=end_lag2, outlier=winsor, es_set=full, df_basis=k10, estimator=UWLS3, rho=0.6 [DEC-045 S2]; weighted LS cell means (1/vi); descriptive curve only</t>
  </si>
  <si>
    <t xml:space="preserve">multiverse cell 809/1260: coding=end_lag3, outlier=winsor, es_set=full, df_basis=k10, estimator=UWLS3, rho=0.6 [DEC-045 S2]; weighted LS cell means (1/vi); descriptive curve only</t>
  </si>
  <si>
    <t xml:space="preserve">multiverse cell 810/1260: coding=clean_window, outlier=winsor, es_set=full, df_basis=k10, estimator=UWLS3, rho=0.6 [DEC-045 S2]; weighted LS cell means (1/vi); descriptive curve only</t>
  </si>
  <si>
    <t xml:space="preserve">multiverse cell 811/1260: coding=paris_mid, outlier=none, es_set=no_starbound, df_basis=k10, estimator=UWLS3, rho=0.6 [DEC-045 S2]; weighted LS cell means (1/vi); descriptive curve only</t>
  </si>
  <si>
    <t xml:space="preserve">multiverse cell 812/1260: coding=tie_break_median, outlier=none, es_set=no_starbound, df_basis=k10, estimator=UWLS3, rho=0.6 [DEC-045 S2]; weighted LS cell means (1/vi); descriptive curve only</t>
  </si>
  <si>
    <t xml:space="preserve">multiverse cell 813/1260: coding=end_any_exposure, outlier=none, es_set=no_starbound, df_basis=k10, estimator=UWLS3, rho=0.6 [DEC-045 S2]; weighted LS cell means (1/vi); descriptive curve only</t>
  </si>
  <si>
    <t xml:space="preserve">multiverse cell 814/1260: coding=share_recut_2017, outlier=none, es_set=no_starbound, df_basis=k10, estimator=UWLS3, rho=0.6 [DEC-045 S2]; weighted LS cell means (1/vi); descriptive curve only</t>
  </si>
  <si>
    <t xml:space="preserve">multiverse cell 815/1260: coding=share_recut_2018, outlier=none, es_set=no_starbound, df_basis=k10, estimator=UWLS3, rho=0.6 [DEC-045 S2]; weighted LS cell means (1/vi); descriptive curve only</t>
  </si>
  <si>
    <t xml:space="preserve">multiverse cell 816/1260: coding=share_recut_2019, outlier=none, es_set=no_starbound, df_basis=k10, estimator=UWLS3, rho=0.6 [DEC-045 S2]; weighted LS cell means (1/vi); descriptive curve only</t>
  </si>
  <si>
    <t xml:space="preserve">multiverse cell 817/1260: coding=end_lag1, outlier=none, es_set=no_starbound, df_basis=k10, estimator=UWLS3, rho=0.6 [DEC-045 S2]; weighted LS cell means (1/vi); descriptive curve only</t>
  </si>
  <si>
    <t xml:space="preserve">multiverse cell 818/1260: coding=end_lag2, outlier=none, es_set=no_starbound, df_basis=k10, estimator=UWLS3, rho=0.6 [DEC-045 S2]; weighted LS cell means (1/vi); descriptive curve only</t>
  </si>
  <si>
    <t xml:space="preserve">multiverse cell 819/1260: coding=end_lag3, outlier=none, es_set=no_starbound, df_basis=k10, estimator=UWLS3, rho=0.6 [DEC-045 S2]; weighted LS cell means (1/vi); descriptive curve only</t>
  </si>
  <si>
    <t xml:space="preserve">multiverse cell 820/1260: coding=clean_window, outlier=none, es_set=no_starbound, df_basis=k10, estimator=UWLS3, rho=0.6 [DEC-045 S2]; weighted LS cell means (1/vi); descriptive curve only</t>
  </si>
  <si>
    <t xml:space="preserve">multiverse cell 821/1260: coding=paris_mid, outlier=rstudent, es_set=no_starbound, df_basis=k10, estimator=UWLS3, rho=0.6 [DEC-045 S2]; weighted LS cell means (1/vi); descriptive curve only</t>
  </si>
  <si>
    <t xml:space="preserve">multiverse cell 822/1260: coding=tie_break_median, outlier=rstudent, es_set=no_starbound, df_basis=k10, estimator=UWLS3, rho=0.6 [DEC-045 S2]; weighted LS cell means (1/vi); descriptive curve only</t>
  </si>
  <si>
    <t xml:space="preserve">multiverse cell 823/1260: coding=end_any_exposure, outlier=rstudent, es_set=no_starbound, df_basis=k10, estimator=UWLS3, rho=0.6 [DEC-045 S2]; weighted LS cell means (1/vi); descriptive curve only</t>
  </si>
  <si>
    <t xml:space="preserve">multiverse cell 824/1260: coding=share_recut_2017, outlier=rstudent, es_set=no_starbound, df_basis=k10, estimator=UWLS3, rho=0.6 [DEC-045 S2]; weighted LS cell means (1/vi); descriptive curve only</t>
  </si>
  <si>
    <t xml:space="preserve">multiverse cell 825/1260: coding=share_recut_2018, outlier=rstudent, es_set=no_starbound, df_basis=k10, estimator=UWLS3, rho=0.6 [DEC-045 S2]; weighted LS cell means (1/vi); descriptive curve only</t>
  </si>
  <si>
    <t xml:space="preserve">multiverse cell 826/1260: coding=share_recut_2019, outlier=rstudent, es_set=no_starbound, df_basis=k10, estimator=UWLS3, rho=0.6 [DEC-045 S2]; weighted LS cell means (1/vi); descriptive curve only</t>
  </si>
  <si>
    <t xml:space="preserve">multiverse cell 827/1260: coding=end_lag1, outlier=rstudent, es_set=no_starbound, df_basis=k10, estimator=UWLS3, rho=0.6 [DEC-045 S2]; weighted LS cell means (1/vi); descriptive curve only</t>
  </si>
  <si>
    <t xml:space="preserve">multiverse cell 828/1260: coding=end_lag2, outlier=rstudent, es_set=no_starbound, df_basis=k10, estimator=UWLS3, rho=0.6 [DEC-045 S2]; weighted LS cell means (1/vi); descriptive curve only</t>
  </si>
  <si>
    <t xml:space="preserve">multiverse cell 829/1260: coding=end_lag3, outlier=rstudent, es_set=no_starbound, df_basis=k10, estimator=UWLS3, rho=0.6 [DEC-045 S2]; weighted LS cell means (1/vi); descriptive curve only</t>
  </si>
  <si>
    <t xml:space="preserve">multiverse cell 830/1260: coding=clean_window, outlier=rstudent, es_set=no_starbound, df_basis=k10, estimator=UWLS3, rho=0.6 [DEC-045 S2]; weighted LS cell means (1/vi); descriptive curve only</t>
  </si>
  <si>
    <t xml:space="preserve">multiverse cell 831/1260: coding=paris_mid, outlier=winsor, es_set=no_starbound, df_basis=k10, estimator=UWLS3, rho=0.6 [DEC-045 S2]; weighted LS cell means (1/vi); descriptive curve only</t>
  </si>
  <si>
    <t xml:space="preserve">multiverse cell 832/1260: coding=tie_break_median, outlier=winsor, es_set=no_starbound, df_basis=k10, estimator=UWLS3, rho=0.6 [DEC-045 S2]; weighted LS cell means (1/vi); descriptive curve only</t>
  </si>
  <si>
    <t xml:space="preserve">multiverse cell 833/1260: coding=end_any_exposure, outlier=winsor, es_set=no_starbound, df_basis=k10, estimator=UWLS3, rho=0.6 [DEC-045 S2]; weighted LS cell means (1/vi); descriptive curve only</t>
  </si>
  <si>
    <t xml:space="preserve">multiverse cell 834/1260: coding=share_recut_2017, outlier=winsor, es_set=no_starbound, df_basis=k10, estimator=UWLS3, rho=0.6 [DEC-045 S2]; weighted LS cell means (1/vi); descriptive curve only</t>
  </si>
  <si>
    <t xml:space="preserve">multiverse cell 835/1260: coding=share_recut_2018, outlier=winsor, es_set=no_starbound, df_basis=k10, estimator=UWLS3, rho=0.6 [DEC-045 S2]; weighted LS cell means (1/vi); descriptive curve only</t>
  </si>
  <si>
    <t xml:space="preserve">multiverse cell 836/1260: coding=share_recut_2019, outlier=winsor, es_set=no_starbound, df_basis=k10, estimator=UWLS3, rho=0.6 [DEC-045 S2]; weighted LS cell means (1/vi); descriptive curve only</t>
  </si>
  <si>
    <t xml:space="preserve">multiverse cell 837/1260: coding=end_lag1, outlier=winsor, es_set=no_starbound, df_basis=k10, estimator=UWLS3, rho=0.6 [DEC-045 S2]; weighted LS cell means (1/vi); descriptive curve only</t>
  </si>
  <si>
    <t xml:space="preserve">multiverse cell 838/1260: coding=end_lag2, outlier=winsor, es_set=no_starbound, df_basis=k10, estimator=UWLS3, rho=0.6 [DEC-045 S2]; weighted LS cell means (1/vi); descriptive curve only</t>
  </si>
  <si>
    <t xml:space="preserve">multiverse cell 839/1260: coding=end_lag3, outlier=winsor, es_set=no_starbound, df_basis=k10, estimator=UWLS3, rho=0.6 [DEC-045 S2]; weighted LS cell means (1/vi); descriptive curve only</t>
  </si>
  <si>
    <t xml:space="preserve">multiverse cell 840/1260: coding=clean_window, outlier=winsor, es_set=no_starbound, df_basis=k10, estimator=UWLS3, rho=0.6 [DEC-045 S2]; weighted LS cell means (1/vi); descriptive curve only</t>
  </si>
  <si>
    <t xml:space="preserve">multiverse cell 841/1260: coding=paris_mid, outlier=none, es_set=full, df_basis=k20, estimator=UWLS3, rho=0.6 [DEC-045 S2]; weighted LS cell means (1/vi); descriptive curve only</t>
  </si>
  <si>
    <t xml:space="preserve">multiverse cell 842/1260: coding=tie_break_median, outlier=none, es_set=full, df_basis=k20, estimator=UWLS3, rho=0.6 [DEC-045 S2]; weighted LS cell means (1/vi); descriptive curve only</t>
  </si>
  <si>
    <t xml:space="preserve">multiverse cell 843/1260: coding=end_any_exposure, outlier=none, es_set=full, df_basis=k20, estimator=UWLS3, rho=0.6 [DEC-045 S2]; weighted LS cell means (1/vi); descriptive curve only</t>
  </si>
  <si>
    <t xml:space="preserve">multiverse cell 844/1260: coding=share_recut_2017, outlier=none, es_set=full, df_basis=k20, estimator=UWLS3, rho=0.6 [DEC-045 S2]; weighted LS cell means (1/vi); descriptive curve only</t>
  </si>
  <si>
    <t xml:space="preserve">multiverse cell 845/1260: coding=share_recut_2018, outlier=none, es_set=full, df_basis=k20, estimator=UWLS3, rho=0.6 [DEC-045 S2]; weighted LS cell means (1/vi); descriptive curve only</t>
  </si>
  <si>
    <t xml:space="preserve">multiverse cell 846/1260: coding=share_recut_2019, outlier=none, es_set=full, df_basis=k20, estimator=UWLS3, rho=0.6 [DEC-045 S2]; weighted LS cell means (1/vi); descriptive curve only</t>
  </si>
  <si>
    <t xml:space="preserve">multiverse cell 847/1260: coding=end_lag1, outlier=none, es_set=full, df_basis=k20, estimator=UWLS3, rho=0.6 [DEC-045 S2]; weighted LS cell means (1/vi); descriptive curve only</t>
  </si>
  <si>
    <t xml:space="preserve">multiverse cell 848/1260: coding=end_lag2, outlier=none, es_set=full, df_basis=k20, estimator=UWLS3, rho=0.6 [DEC-045 S2]; weighted LS cell means (1/vi); descriptive curve only</t>
  </si>
  <si>
    <t xml:space="preserve">multiverse cell 849/1260: coding=end_lag3, outlier=none, es_set=full, df_basis=k20, estimator=UWLS3, rho=0.6 [DEC-045 S2]; weighted LS cell means (1/vi); descriptive curve only</t>
  </si>
  <si>
    <t xml:space="preserve">multiverse cell 850/1260: coding=clean_window, outlier=none, es_set=full, df_basis=k20, estimator=UWLS3, rho=0.6 [DEC-045 S2]; weighted LS cell means (1/vi); descriptive curve only</t>
  </si>
  <si>
    <t xml:space="preserve">multiverse cell 851/1260: coding=paris_mid, outlier=rstudent, es_set=full, df_basis=k20, estimator=UWLS3, rho=0.6 [DEC-045 S2]; weighted LS cell means (1/vi); descriptive curve only</t>
  </si>
  <si>
    <t xml:space="preserve">multiverse cell 852/1260: coding=tie_break_median, outlier=rstudent, es_set=full, df_basis=k20, estimator=UWLS3, rho=0.6 [DEC-045 S2]; weighted LS cell means (1/vi); descriptive curve only</t>
  </si>
  <si>
    <t xml:space="preserve">multiverse cell 853/1260: coding=end_any_exposure, outlier=rstudent, es_set=full, df_basis=k20, estimator=UWLS3, rho=0.6 [DEC-045 S2]; weighted LS cell means (1/vi); descriptive curve only</t>
  </si>
  <si>
    <t xml:space="preserve">multiverse cell 854/1260: coding=share_recut_2017, outlier=rstudent, es_set=full, df_basis=k20, estimator=UWLS3, rho=0.6 [DEC-045 S2]; weighted LS cell means (1/vi); descriptive curve only</t>
  </si>
  <si>
    <t xml:space="preserve">multiverse cell 855/1260: coding=share_recut_2018, outlier=rstudent, es_set=full, df_basis=k20, estimator=UWLS3, rho=0.6 [DEC-045 S2]; weighted LS cell means (1/vi); descriptive curve only</t>
  </si>
  <si>
    <t xml:space="preserve">multiverse cell 856/1260: coding=share_recut_2019, outlier=rstudent, es_set=full, df_basis=k20, estimator=UWLS3, rho=0.6 [DEC-045 S2]; weighted LS cell means (1/vi); descriptive curve only</t>
  </si>
  <si>
    <t xml:space="preserve">multiverse cell 857/1260: coding=end_lag1, outlier=rstudent, es_set=full, df_basis=k20, estimator=UWLS3, rho=0.6 [DEC-045 S2]; weighted LS cell means (1/vi); descriptive curve only</t>
  </si>
  <si>
    <t xml:space="preserve">multiverse cell 858/1260: coding=end_lag2, outlier=rstudent, es_set=full, df_basis=k20, estimator=UWLS3, rho=0.6 [DEC-045 S2]; weighted LS cell means (1/vi); descriptive curve only</t>
  </si>
  <si>
    <t xml:space="preserve">multiverse cell 859/1260: coding=end_lag3, outlier=rstudent, es_set=full, df_basis=k20, estimator=UWLS3, rho=0.6 [DEC-045 S2]; weighted LS cell means (1/vi); descriptive curve only</t>
  </si>
  <si>
    <t xml:space="preserve">multiverse cell 860/1260: coding=clean_window, outlier=rstudent, es_set=full, df_basis=k20, estimator=UWLS3, rho=0.6 [DEC-045 S2]; weighted LS cell means (1/vi); descriptive curve only</t>
  </si>
  <si>
    <t xml:space="preserve">multiverse cell 861/1260: coding=paris_mid, outlier=winsor, es_set=full, df_basis=k20, estimator=UWLS3, rho=0.6 [DEC-045 S2]; weighted LS cell means (1/vi); descriptive curve only</t>
  </si>
  <si>
    <t xml:space="preserve">multiverse cell 862/1260: coding=tie_break_median, outlier=winsor, es_set=full, df_basis=k20, estimator=UWLS3, rho=0.6 [DEC-045 S2]; weighted LS cell means (1/vi); descriptive curve only</t>
  </si>
  <si>
    <t xml:space="preserve">multiverse cell 863/1260: coding=end_any_exposure, outlier=winsor, es_set=full, df_basis=k20, estimator=UWLS3, rho=0.6 [DEC-045 S2]; weighted LS cell means (1/vi); descriptive curve only</t>
  </si>
  <si>
    <t xml:space="preserve">multiverse cell 864/1260: coding=share_recut_2017, outlier=winsor, es_set=full, df_basis=k20, estimator=UWLS3, rho=0.6 [DEC-045 S2]; weighted LS cell means (1/vi); descriptive curve only</t>
  </si>
  <si>
    <t xml:space="preserve">multiverse cell 865/1260: coding=share_recut_2018, outlier=winsor, es_set=full, df_basis=k20, estimator=UWLS3, rho=0.6 [DEC-045 S2]; weighted LS cell means (1/vi); descriptive curve only</t>
  </si>
  <si>
    <t xml:space="preserve">multiverse cell 866/1260: coding=share_recut_2019, outlier=winsor, es_set=full, df_basis=k20, estimator=UWLS3, rho=0.6 [DEC-045 S2]; weighted LS cell means (1/vi); descriptive curve only</t>
  </si>
  <si>
    <t xml:space="preserve">multiverse cell 867/1260: coding=end_lag1, outlier=winsor, es_set=full, df_basis=k20, estimator=UWLS3, rho=0.6 [DEC-045 S2]; weighted LS cell means (1/vi); descriptive curve only</t>
  </si>
  <si>
    <t xml:space="preserve">multiverse cell 868/1260: coding=end_lag2, outlier=winsor, es_set=full, df_basis=k20, estimator=UWLS3, rho=0.6 [DEC-045 S2]; weighted LS cell means (1/vi); descriptive curve only</t>
  </si>
  <si>
    <t xml:space="preserve">multiverse cell 869/1260: coding=end_lag3, outlier=winsor, es_set=full, df_basis=k20, estimator=UWLS3, rho=0.6 [DEC-045 S2]; weighted LS cell means (1/vi); descriptive curve only</t>
  </si>
  <si>
    <t xml:space="preserve">multiverse cell 870/1260: coding=clean_window, outlier=winsor, es_set=full, df_basis=k20, estimator=UWLS3, rho=0.6 [DEC-045 S2]; weighted LS cell means (1/vi); descriptive curve only</t>
  </si>
  <si>
    <t xml:space="preserve">multiverse cell 871/1260: coding=paris_mid, outlier=none, es_set=no_starbound, df_basis=k20, estimator=UWLS3, rho=0.6 [DEC-045 S2]; weighted LS cell means (1/vi); descriptive curve only</t>
  </si>
  <si>
    <t xml:space="preserve">multiverse cell 872/1260: coding=tie_break_median, outlier=none, es_set=no_starbound, df_basis=k20, estimator=UWLS3, rho=0.6 [DEC-045 S2]; weighted LS cell means (1/vi); descriptive curve only</t>
  </si>
  <si>
    <t xml:space="preserve">multiverse cell 873/1260: coding=end_any_exposure, outlier=none, es_set=no_starbound, df_basis=k20, estimator=UWLS3, rho=0.6 [DEC-045 S2]; weighted LS cell means (1/vi); descriptive curve only</t>
  </si>
  <si>
    <t xml:space="preserve">multiverse cell 874/1260: coding=share_recut_2017, outlier=none, es_set=no_starbound, df_basis=k20, estimator=UWLS3, rho=0.6 [DEC-045 S2]; weighted LS cell means (1/vi); descriptive curve only</t>
  </si>
  <si>
    <t xml:space="preserve">multiverse cell 875/1260: coding=share_recut_2018, outlier=none, es_set=no_starbound, df_basis=k20, estimator=UWLS3, rho=0.6 [DEC-045 S2]; weighted LS cell means (1/vi); descriptive curve only</t>
  </si>
  <si>
    <t xml:space="preserve">multiverse cell 876/1260: coding=share_recut_2019, outlier=none, es_set=no_starbound, df_basis=k20, estimator=UWLS3, rho=0.6 [DEC-045 S2]; weighted LS cell means (1/vi); descriptive curve only</t>
  </si>
  <si>
    <t xml:space="preserve">multiverse cell 877/1260: coding=end_lag1, outlier=none, es_set=no_starbound, df_basis=k20, estimator=UWLS3, rho=0.6 [DEC-045 S2]; weighted LS cell means (1/vi); descriptive curve only</t>
  </si>
  <si>
    <t xml:space="preserve">multiverse cell 878/1260: coding=end_lag2, outlier=none, es_set=no_starbound, df_basis=k20, estimator=UWLS3, rho=0.6 [DEC-045 S2]; weighted LS cell means (1/vi); descriptive curve only</t>
  </si>
  <si>
    <t xml:space="preserve">multiverse cell 879/1260: coding=end_lag3, outlier=none, es_set=no_starbound, df_basis=k20, estimator=UWLS3, rho=0.6 [DEC-045 S2]; weighted LS cell means (1/vi); descriptive curve only</t>
  </si>
  <si>
    <t xml:space="preserve">multiverse cell 880/1260: coding=clean_window, outlier=none, es_set=no_starbound, df_basis=k20, estimator=UWLS3, rho=0.6 [DEC-045 S2]; weighted LS cell means (1/vi); descriptive curve only</t>
  </si>
  <si>
    <t xml:space="preserve">multiverse cell 881/1260: coding=paris_mid, outlier=rstudent, es_set=no_starbound, df_basis=k20, estimator=UWLS3, rho=0.6 [DEC-045 S2]; weighted LS cell means (1/vi); descriptive curve only</t>
  </si>
  <si>
    <t xml:space="preserve">multiverse cell 882/1260: coding=tie_break_median, outlier=rstudent, es_set=no_starbound, df_basis=k20, estimator=UWLS3, rho=0.6 [DEC-045 S2]; weighted LS cell means (1/vi); descriptive curve only</t>
  </si>
  <si>
    <t xml:space="preserve">multiverse cell 883/1260: coding=end_any_exposure, outlier=rstudent, es_set=no_starbound, df_basis=k20, estimator=UWLS3, rho=0.6 [DEC-045 S2]; weighted LS cell means (1/vi); descriptive curve only</t>
  </si>
  <si>
    <t xml:space="preserve">multiverse cell 884/1260: coding=share_recut_2017, outlier=rstudent, es_set=no_starbound, df_basis=k20, estimator=UWLS3, rho=0.6 [DEC-045 S2]; weighted LS cell means (1/vi); descriptive curve only</t>
  </si>
  <si>
    <t xml:space="preserve">multiverse cell 885/1260: coding=share_recut_2018, outlier=rstudent, es_set=no_starbound, df_basis=k20, estimator=UWLS3, rho=0.6 [DEC-045 S2]; weighted LS cell means (1/vi); descriptive curve only</t>
  </si>
  <si>
    <t xml:space="preserve">multiverse cell 886/1260: coding=share_recut_2019, outlier=rstudent, es_set=no_starbound, df_basis=k20, estimator=UWLS3, rho=0.6 [DEC-045 S2]; weighted LS cell means (1/vi); descriptive curve only</t>
  </si>
  <si>
    <t xml:space="preserve">multiverse cell 887/1260: coding=end_lag1, outlier=rstudent, es_set=no_starbound, df_basis=k20, estimator=UWLS3, rho=0.6 [DEC-045 S2]; weighted LS cell means (1/vi); descriptive curve only</t>
  </si>
  <si>
    <t xml:space="preserve">multiverse cell 888/1260: coding=end_lag2, outlier=rstudent, es_set=no_starbound, df_basis=k20, estimator=UWLS3, rho=0.6 [DEC-045 S2]; weighted LS cell means (1/vi); descriptive curve only</t>
  </si>
  <si>
    <t xml:space="preserve">multiverse cell 889/1260: coding=end_lag3, outlier=rstudent, es_set=no_starbound, df_basis=k20, estimator=UWLS3, rho=0.6 [DEC-045 S2]; weighted LS cell means (1/vi); descriptive curve only</t>
  </si>
  <si>
    <t xml:space="preserve">multiverse cell 890/1260: coding=clean_window, outlier=rstudent, es_set=no_starbound, df_basis=k20, estimator=UWLS3, rho=0.6 [DEC-045 S2]; weighted LS cell means (1/vi); descriptive curve only</t>
  </si>
  <si>
    <t xml:space="preserve">multiverse cell 891/1260: coding=paris_mid, outlier=winsor, es_set=no_starbound, df_basis=k20, estimator=UWLS3, rho=0.6 [DEC-045 S2]; weighted LS cell means (1/vi); descriptive curve only</t>
  </si>
  <si>
    <t xml:space="preserve">multiverse cell 892/1260: coding=tie_break_median, outlier=winsor, es_set=no_starbound, df_basis=k20, estimator=UWLS3, rho=0.6 [DEC-045 S2]; weighted LS cell means (1/vi); descriptive curve only</t>
  </si>
  <si>
    <t xml:space="preserve">multiverse cell 893/1260: coding=end_any_exposure, outlier=winsor, es_set=no_starbound, df_basis=k20, estimator=UWLS3, rho=0.6 [DEC-045 S2]; weighted LS cell means (1/vi); descriptive curve only</t>
  </si>
  <si>
    <t xml:space="preserve">multiverse cell 894/1260: coding=share_recut_2017, outlier=winsor, es_set=no_starbound, df_basis=k20, estimator=UWLS3, rho=0.6 [DEC-045 S2]; weighted LS cell means (1/vi); descriptive curve only</t>
  </si>
  <si>
    <t xml:space="preserve">multiverse cell 895/1260: coding=share_recut_2018, outlier=winsor, es_set=no_starbound, df_basis=k20, estimator=UWLS3, rho=0.6 [DEC-045 S2]; weighted LS cell means (1/vi); descriptive curve only</t>
  </si>
  <si>
    <t xml:space="preserve">multiverse cell 896/1260: coding=share_recut_2019, outlier=winsor, es_set=no_starbound, df_basis=k20, estimator=UWLS3, rho=0.6 [DEC-045 S2]; weighted LS cell means (1/vi); descriptive curve only</t>
  </si>
  <si>
    <t xml:space="preserve">multiverse cell 897/1260: coding=end_lag1, outlier=winsor, es_set=no_starbound, df_basis=k20, estimator=UWLS3, rho=0.6 [DEC-045 S2]; weighted LS cell means (1/vi); descriptive curve only</t>
  </si>
  <si>
    <t xml:space="preserve">multiverse cell 898/1260: coding=end_lag2, outlier=winsor, es_set=no_starbound, df_basis=k20, estimator=UWLS3, rho=0.6 [DEC-045 S2]; weighted LS cell means (1/vi); descriptive curve only</t>
  </si>
  <si>
    <t xml:space="preserve">multiverse cell 899/1260: coding=end_lag3, outlier=winsor, es_set=no_starbound, df_basis=k20, estimator=UWLS3, rho=0.6 [DEC-045 S2]; weighted LS cell means (1/vi); descriptive curve only</t>
  </si>
  <si>
    <t xml:space="preserve">multiverse cell 900/1260: coding=clean_window, outlier=winsor, es_set=no_starbound, df_basis=k20, estimator=UWLS3, rho=0.6 [DEC-045 S2]; weighted LS cell means (1/vi); descriptive curve only</t>
  </si>
  <si>
    <t xml:space="preserve">3LMA-RVE_CR2|r0.8</t>
  </si>
  <si>
    <t xml:space="preserve">multiverse cell 901/1260: coding=paris_mid, outlier=none, es_set=full, df_basis=dfE, estimator=3LMA-RVE_CR2, rho=0.8 [DEC-045 S2]; descriptive curve cell</t>
  </si>
  <si>
    <t xml:space="preserve">multiverse cell 902/1260: coding=tie_break_median, outlier=none, es_set=full, df_basis=dfE, estimator=3LMA-RVE_CR2, rho=0.8 [DEC-045 S2]; descriptive curve cell</t>
  </si>
  <si>
    <t xml:space="preserve">multiverse cell 903/1260: coding=end_any_exposure, outlier=none, es_set=full, df_basis=dfE, estimator=3LMA-RVE_CR2, rho=0.8 [DEC-045 S2]; descriptive curve cell</t>
  </si>
  <si>
    <t xml:space="preserve">multiverse cell 904/1260: coding=share_recut_2017, outlier=none, es_set=full, df_basis=dfE, estimator=3LMA-RVE_CR2, rho=0.8 [DEC-045 S2]; descriptive curve cell</t>
  </si>
  <si>
    <t xml:space="preserve">multiverse cell 905/1260: coding=share_recut_2018, outlier=none, es_set=full, df_basis=dfE, estimator=3LMA-RVE_CR2, rho=0.8 [DEC-045 S2]; descriptive curve cell</t>
  </si>
  <si>
    <t xml:space="preserve">multiverse cell 906/1260: coding=share_recut_2019, outlier=none, es_set=full, df_basis=dfE, estimator=3LMA-RVE_CR2, rho=0.8 [DEC-045 S2]; descriptive curve cell</t>
  </si>
  <si>
    <t xml:space="preserve">multiverse cell 907/1260: coding=end_lag1, outlier=none, es_set=full, df_basis=dfE, estimator=3LMA-RVE_CR2, rho=0.8 [DEC-045 S2]; descriptive curve cell</t>
  </si>
  <si>
    <t xml:space="preserve">multiverse cell 908/1260: coding=end_lag2, outlier=none, es_set=full, df_basis=dfE, estimator=3LMA-RVE_CR2, rho=0.8 [DEC-045 S2]; descriptive curve cell</t>
  </si>
  <si>
    <t xml:space="preserve">multiverse cell 909/1260: coding=end_lag3, outlier=none, es_set=full, df_basis=dfE, estimator=3LMA-RVE_CR2, rho=0.8 [DEC-045 S2]; descriptive curve cell</t>
  </si>
  <si>
    <t xml:space="preserve">multiverse cell 910/1260: coding=clean_window, outlier=none, es_set=full, df_basis=dfE, estimator=3LMA-RVE_CR2, rho=0.8 [DEC-045 S2]; descriptive curve cell</t>
  </si>
  <si>
    <t xml:space="preserve">multiverse cell 911/1260: coding=paris_mid, outlier=rstudent, es_set=full, df_basis=dfE, estimator=3LMA-RVE_CR2, rho=0.8 [DEC-045 S2]; descriptive curve cell</t>
  </si>
  <si>
    <t xml:space="preserve">multiverse cell 912/1260: coding=tie_break_median, outlier=rstudent, es_set=full, df_basis=dfE, estimator=3LMA-RVE_CR2, rho=0.8 [DEC-045 S2]; descriptive curve cell</t>
  </si>
  <si>
    <t xml:space="preserve">multiverse cell 913/1260: coding=end_any_exposure, outlier=rstudent, es_set=full, df_basis=dfE, estimator=3LMA-RVE_CR2, rho=0.8 [DEC-045 S2]; descriptive curve cell</t>
  </si>
  <si>
    <t xml:space="preserve">multiverse cell 914/1260: coding=share_recut_2017, outlier=rstudent, es_set=full, df_basis=dfE, estimator=3LMA-RVE_CR2, rho=0.8 [DEC-045 S2]; descriptive curve cell</t>
  </si>
  <si>
    <t xml:space="preserve">multiverse cell 915/1260: coding=share_recut_2018, outlier=rstudent, es_set=full, df_basis=dfE, estimator=3LMA-RVE_CR2, rho=0.8 [DEC-045 S2]; descriptive curve cell</t>
  </si>
  <si>
    <t xml:space="preserve">multiverse cell 916/1260: coding=share_recut_2019, outlier=rstudent, es_set=full, df_basis=dfE, estimator=3LMA-RVE_CR2, rho=0.8 [DEC-045 S2]; descriptive curve cell</t>
  </si>
  <si>
    <t xml:space="preserve">multiverse cell 917/1260: coding=end_lag1, outlier=rstudent, es_set=full, df_basis=dfE, estimator=3LMA-RVE_CR2, rho=0.8 [DEC-045 S2]; descriptive curve cell</t>
  </si>
  <si>
    <t xml:space="preserve">multiverse cell 918/1260: coding=end_lag2, outlier=rstudent, es_set=full, df_basis=dfE, estimator=3LMA-RVE_CR2, rho=0.8 [DEC-045 S2]; descriptive curve cell</t>
  </si>
  <si>
    <t xml:space="preserve">multiverse cell 919/1260: coding=end_lag3, outlier=rstudent, es_set=full, df_basis=dfE, estimator=3LMA-RVE_CR2, rho=0.8 [DEC-045 S2]; descriptive curve cell</t>
  </si>
  <si>
    <t xml:space="preserve">multiverse cell 920/1260: coding=clean_window, outlier=rstudent, es_set=full, df_basis=dfE, estimator=3LMA-RVE_CR2, rho=0.8 [DEC-045 S2]; descriptive curve cell</t>
  </si>
  <si>
    <t xml:space="preserve">multiverse cell 921/1260: coding=paris_mid, outlier=winsor, es_set=full, df_basis=dfE, estimator=3LMA-RVE_CR2, rho=0.8 [DEC-045 S2]; descriptive curve cell</t>
  </si>
  <si>
    <t xml:space="preserve">multiverse cell 922/1260: coding=tie_break_median, outlier=winsor, es_set=full, df_basis=dfE, estimator=3LMA-RVE_CR2, rho=0.8 [DEC-045 S2]; descriptive curve cell</t>
  </si>
  <si>
    <t xml:space="preserve">multiverse cell 923/1260: coding=end_any_exposure, outlier=winsor, es_set=full, df_basis=dfE, estimator=3LMA-RVE_CR2, rho=0.8 [DEC-045 S2]; descriptive curve cell</t>
  </si>
  <si>
    <t xml:space="preserve">multiverse cell 924/1260: coding=share_recut_2017, outlier=winsor, es_set=full, df_basis=dfE, estimator=3LMA-RVE_CR2, rho=0.8 [DEC-045 S2]; descriptive curve cell</t>
  </si>
  <si>
    <t xml:space="preserve">multiverse cell 925/1260: coding=share_recut_2018, outlier=winsor, es_set=full, df_basis=dfE, estimator=3LMA-RVE_CR2, rho=0.8 [DEC-045 S2]; descriptive curve cell</t>
  </si>
  <si>
    <t xml:space="preserve">multiverse cell 926/1260: coding=share_recut_2019, outlier=winsor, es_set=full, df_basis=dfE, estimator=3LMA-RVE_CR2, rho=0.8 [DEC-045 S2]; descriptive curve cell</t>
  </si>
  <si>
    <t xml:space="preserve">multiverse cell 927/1260: coding=end_lag1, outlier=winsor, es_set=full, df_basis=dfE, estimator=3LMA-RVE_CR2, rho=0.8 [DEC-045 S2]; descriptive curve cell</t>
  </si>
  <si>
    <t xml:space="preserve">multiverse cell 928/1260: coding=end_lag2, outlier=winsor, es_set=full, df_basis=dfE, estimator=3LMA-RVE_CR2, rho=0.8 [DEC-045 S2]; descriptive curve cell</t>
  </si>
  <si>
    <t xml:space="preserve">multiverse cell 929/1260: coding=end_lag3, outlier=winsor, es_set=full, df_basis=dfE, estimator=3LMA-RVE_CR2, rho=0.8 [DEC-045 S2]; descriptive curve cell</t>
  </si>
  <si>
    <t xml:space="preserve">multiverse cell 930/1260: coding=clean_window, outlier=winsor, es_set=full, df_basis=dfE, estimator=3LMA-RVE_CR2, rho=0.8 [DEC-045 S2]; descriptive curve cell</t>
  </si>
  <si>
    <t xml:space="preserve">multiverse cell 931/1260: coding=paris_mid, outlier=none, es_set=no_starbound, df_basis=dfE, estimator=3LMA-RVE_CR2, rho=0.8 [DEC-045 S2]; descriptive curve cell</t>
  </si>
  <si>
    <t xml:space="preserve">multiverse cell 932/1260: coding=tie_break_median, outlier=none, es_set=no_starbound, df_basis=dfE, estimator=3LMA-RVE_CR2, rho=0.8 [DEC-045 S2]; descriptive curve cell</t>
  </si>
  <si>
    <t xml:space="preserve">multiverse cell 933/1260: coding=end_any_exposure, outlier=none, es_set=no_starbound, df_basis=dfE, estimator=3LMA-RVE_CR2, rho=0.8 [DEC-045 S2]; descriptive curve cell</t>
  </si>
  <si>
    <t xml:space="preserve">multiverse cell 934/1260: coding=share_recut_2017, outlier=none, es_set=no_starbound, df_basis=dfE, estimator=3LMA-RVE_CR2, rho=0.8 [DEC-045 S2]; descriptive curve cell</t>
  </si>
  <si>
    <t xml:space="preserve">multiverse cell 935/1260: coding=share_recut_2018, outlier=none, es_set=no_starbound, df_basis=dfE, estimator=3LMA-RVE_CR2, rho=0.8 [DEC-045 S2]; descriptive curve cell</t>
  </si>
  <si>
    <t xml:space="preserve">multiverse cell 936/1260: coding=share_recut_2019, outlier=none, es_set=no_starbound, df_basis=dfE, estimator=3LMA-RVE_CR2, rho=0.8 [DEC-045 S2]; descriptive curve cell</t>
  </si>
  <si>
    <t xml:space="preserve">multiverse cell 937/1260: coding=end_lag1, outlier=none, es_set=no_starbound, df_basis=dfE, estimator=3LMA-RVE_CR2, rho=0.8 [DEC-045 S2]; descriptive curve cell</t>
  </si>
  <si>
    <t xml:space="preserve">multiverse cell 938/1260: coding=end_lag2, outlier=none, es_set=no_starbound, df_basis=dfE, estimator=3LMA-RVE_CR2, rho=0.8 [DEC-045 S2]; descriptive curve cell</t>
  </si>
  <si>
    <t xml:space="preserve">multiverse cell 939/1260: coding=end_lag3, outlier=none, es_set=no_starbound, df_basis=dfE, estimator=3LMA-RVE_CR2, rho=0.8 [DEC-045 S2]; descriptive curve cell</t>
  </si>
  <si>
    <t xml:space="preserve">multiverse cell 940/1260: coding=clean_window, outlier=none, es_set=no_starbound, df_basis=dfE, estimator=3LMA-RVE_CR2, rho=0.8 [DEC-045 S2]; descriptive curve cell</t>
  </si>
  <si>
    <t xml:space="preserve">multiverse cell 941/1260: coding=paris_mid, outlier=rstudent, es_set=no_starbound, df_basis=dfE, estimator=3LMA-RVE_CR2, rho=0.8 [DEC-045 S2]; descriptive curve cell</t>
  </si>
  <si>
    <t xml:space="preserve">multiverse cell 942/1260: coding=tie_break_median, outlier=rstudent, es_set=no_starbound, df_basis=dfE, estimator=3LMA-RVE_CR2, rho=0.8 [DEC-045 S2]; descriptive curve cell</t>
  </si>
  <si>
    <t xml:space="preserve">multiverse cell 943/1260: coding=end_any_exposure, outlier=rstudent, es_set=no_starbound, df_basis=dfE, estimator=3LMA-RVE_CR2, rho=0.8 [DEC-045 S2]; descriptive curve cell</t>
  </si>
  <si>
    <t xml:space="preserve">multiverse cell 944/1260: coding=share_recut_2017, outlier=rstudent, es_set=no_starbound, df_basis=dfE, estimator=3LMA-RVE_CR2, rho=0.8 [DEC-045 S2]; descriptive curve cell</t>
  </si>
  <si>
    <t xml:space="preserve">multiverse cell 945/1260: coding=share_recut_2018, outlier=rstudent, es_set=no_starbound, df_basis=dfE, estimator=3LMA-RVE_CR2, rho=0.8 [DEC-045 S2]; descriptive curve cell</t>
  </si>
  <si>
    <t xml:space="preserve">multiverse cell 946/1260: coding=share_recut_2019, outlier=rstudent, es_set=no_starbound, df_basis=dfE, estimator=3LMA-RVE_CR2, rho=0.8 [DEC-045 S2]; descriptive curve cell</t>
  </si>
  <si>
    <t xml:space="preserve">multiverse cell 947/1260: coding=end_lag1, outlier=rstudent, es_set=no_starbound, df_basis=dfE, estimator=3LMA-RVE_CR2, rho=0.8 [DEC-045 S2]; descriptive curve cell</t>
  </si>
  <si>
    <t xml:space="preserve">multiverse cell 948/1260: coding=end_lag2, outlier=rstudent, es_set=no_starbound, df_basis=dfE, estimator=3LMA-RVE_CR2, rho=0.8 [DEC-045 S2]; descriptive curve cell</t>
  </si>
  <si>
    <t xml:space="preserve">multiverse cell 949/1260: coding=end_lag3, outlier=rstudent, es_set=no_starbound, df_basis=dfE, estimator=3LMA-RVE_CR2, rho=0.8 [DEC-045 S2]; descriptive curve cell</t>
  </si>
  <si>
    <t xml:space="preserve">multiverse cell 950/1260: coding=clean_window, outlier=rstudent, es_set=no_starbound, df_basis=dfE, estimator=3LMA-RVE_CR2, rho=0.8 [DEC-045 S2]; descriptive curve cell</t>
  </si>
  <si>
    <t xml:space="preserve">multiverse cell 951/1260: coding=paris_mid, outlier=winsor, es_set=no_starbound, df_basis=dfE, estimator=3LMA-RVE_CR2, rho=0.8 [DEC-045 S2]; descriptive curve cell</t>
  </si>
  <si>
    <t xml:space="preserve">multiverse cell 952/1260: coding=tie_break_median, outlier=winsor, es_set=no_starbound, df_basis=dfE, estimator=3LMA-RVE_CR2, rho=0.8 [DEC-045 S2]; descriptive curve cell</t>
  </si>
  <si>
    <t xml:space="preserve">multiverse cell 953/1260: coding=end_any_exposure, outlier=winsor, es_set=no_starbound, df_basis=dfE, estimator=3LMA-RVE_CR2, rho=0.8 [DEC-045 S2]; descriptive curve cell</t>
  </si>
  <si>
    <t xml:space="preserve">multiverse cell 954/1260: coding=share_recut_2017, outlier=winsor, es_set=no_starbound, df_basis=dfE, estimator=3LMA-RVE_CR2, rho=0.8 [DEC-045 S2]; descriptive curve cell</t>
  </si>
  <si>
    <t xml:space="preserve">multiverse cell 955/1260: coding=share_recut_2018, outlier=winsor, es_set=no_starbound, df_basis=dfE, estimator=3LMA-RVE_CR2, rho=0.8 [DEC-045 S2]; descriptive curve cell</t>
  </si>
  <si>
    <t xml:space="preserve">multiverse cell 956/1260: coding=share_recut_2019, outlier=winsor, es_set=no_starbound, df_basis=dfE, estimator=3LMA-RVE_CR2, rho=0.8 [DEC-045 S2]; descriptive curve cell</t>
  </si>
  <si>
    <t xml:space="preserve">multiverse cell 957/1260: coding=end_lag1, outlier=winsor, es_set=no_starbound, df_basis=dfE, estimator=3LMA-RVE_CR2, rho=0.8 [DEC-045 S2]; descriptive curve cell</t>
  </si>
  <si>
    <t xml:space="preserve">multiverse cell 958/1260: coding=end_lag2, outlier=winsor, es_set=no_starbound, df_basis=dfE, estimator=3LMA-RVE_CR2, rho=0.8 [DEC-045 S2]; descriptive curve cell</t>
  </si>
  <si>
    <t xml:space="preserve">multiverse cell 959/1260: coding=end_lag3, outlier=winsor, es_set=no_starbound, df_basis=dfE, estimator=3LMA-RVE_CR2, rho=0.8 [DEC-045 S2]; descriptive curve cell</t>
  </si>
  <si>
    <t xml:space="preserve">multiverse cell 960/1260: coding=clean_window, outlier=winsor, es_set=no_starbound, df_basis=dfE, estimator=3LMA-RVE_CR2, rho=0.8 [DEC-045 S2]; descriptive curve cell</t>
  </si>
  <si>
    <t xml:space="preserve">multiverse cell 961/1260: coding=paris_mid, outlier=none, es_set=full, df_basis=k10, estimator=3LMA-RVE_CR2, rho=0.8 [DEC-045 S2]; descriptive curve cell</t>
  </si>
  <si>
    <t xml:space="preserve">multiverse cell 962/1260: coding=tie_break_median, outlier=none, es_set=full, df_basis=k10, estimator=3LMA-RVE_CR2, rho=0.8 [DEC-045 S2]; descriptive curve cell</t>
  </si>
  <si>
    <t xml:space="preserve">multiverse cell 963/1260: coding=end_any_exposure, outlier=none, es_set=full, df_basis=k10, estimator=3LMA-RVE_CR2, rho=0.8 [DEC-045 S2]; descriptive curve cell</t>
  </si>
  <si>
    <t xml:space="preserve">multiverse cell 964/1260: coding=share_recut_2017, outlier=none, es_set=full, df_basis=k10, estimator=3LMA-RVE_CR2, rho=0.8 [DEC-045 S2]; descriptive curve cell</t>
  </si>
  <si>
    <t xml:space="preserve">multiverse cell 965/1260: coding=share_recut_2018, outlier=none, es_set=full, df_basis=k10, estimator=3LMA-RVE_CR2, rho=0.8 [DEC-045 S2]; descriptive curve cell</t>
  </si>
  <si>
    <t xml:space="preserve">multiverse cell 966/1260: coding=share_recut_2019, outlier=none, es_set=full, df_basis=k10, estimator=3LMA-RVE_CR2, rho=0.8 [DEC-045 S2]; descriptive curve cell</t>
  </si>
  <si>
    <t xml:space="preserve">multiverse cell 967/1260: coding=end_lag1, outlier=none, es_set=full, df_basis=k10, estimator=3LMA-RVE_CR2, rho=0.8 [DEC-045 S2]; descriptive curve cell</t>
  </si>
  <si>
    <t xml:space="preserve">multiverse cell 968/1260: coding=end_lag2, outlier=none, es_set=full, df_basis=k10, estimator=3LMA-RVE_CR2, rho=0.8 [DEC-045 S2]; descriptive curve cell</t>
  </si>
  <si>
    <t xml:space="preserve">multiverse cell 969/1260: coding=end_lag3, outlier=none, es_set=full, df_basis=k10, estimator=3LMA-RVE_CR2, rho=0.8 [DEC-045 S2]; descriptive curve cell</t>
  </si>
  <si>
    <t xml:space="preserve">multiverse cell 970/1260: coding=clean_window, outlier=none, es_set=full, df_basis=k10, estimator=3LMA-RVE_CR2, rho=0.8 [DEC-045 S2]; descriptive curve cell</t>
  </si>
  <si>
    <t xml:space="preserve">multiverse cell 971/1260: coding=paris_mid, outlier=rstudent, es_set=full, df_basis=k10, estimator=3LMA-RVE_CR2, rho=0.8 [DEC-045 S2]; descriptive curve cell</t>
  </si>
  <si>
    <t xml:space="preserve">multiverse cell 972/1260: coding=tie_break_median, outlier=rstudent, es_set=full, df_basis=k10, estimator=3LMA-RVE_CR2, rho=0.8 [DEC-045 S2]; descriptive curve cell</t>
  </si>
  <si>
    <t xml:space="preserve">multiverse cell 973/1260: coding=end_any_exposure, outlier=rstudent, es_set=full, df_basis=k10, estimator=3LMA-RVE_CR2, rho=0.8 [DEC-045 S2]; descriptive curve cell</t>
  </si>
  <si>
    <t xml:space="preserve">multiverse cell 974/1260: coding=share_recut_2017, outlier=rstudent, es_set=full, df_basis=k10, estimator=3LMA-RVE_CR2, rho=0.8 [DEC-045 S2]; descriptive curve cell</t>
  </si>
  <si>
    <t xml:space="preserve">multiverse cell 975/1260: coding=share_recut_2018, outlier=rstudent, es_set=full, df_basis=k10, estimator=3LMA-RVE_CR2, rho=0.8 [DEC-045 S2]; descriptive curve cell</t>
  </si>
  <si>
    <t xml:space="preserve">multiverse cell 976/1260: coding=share_recut_2019, outlier=rstudent, es_set=full, df_basis=k10, estimator=3LMA-RVE_CR2, rho=0.8 [DEC-045 S2]; descriptive curve cell</t>
  </si>
  <si>
    <t xml:space="preserve">multiverse cell 977/1260: coding=end_lag1, outlier=rstudent, es_set=full, df_basis=k10, estimator=3LMA-RVE_CR2, rho=0.8 [DEC-045 S2]; descriptive curve cell</t>
  </si>
  <si>
    <t xml:space="preserve">multiverse cell 978/1260: coding=end_lag2, outlier=rstudent, es_set=full, df_basis=k10, estimator=3LMA-RVE_CR2, rho=0.8 [DEC-045 S2]; descriptive curve cell</t>
  </si>
  <si>
    <t xml:space="preserve">multiverse cell 979/1260: coding=end_lag3, outlier=rstudent, es_set=full, df_basis=k10, estimator=3LMA-RVE_CR2, rho=0.8 [DEC-045 S2]; descriptive curve cell</t>
  </si>
  <si>
    <t xml:space="preserve">multiverse cell 980/1260: coding=clean_window, outlier=rstudent, es_set=full, df_basis=k10, estimator=3LMA-RVE_CR2, rho=0.8 [DEC-045 S2]; descriptive curve cell</t>
  </si>
  <si>
    <t xml:space="preserve">multiverse cell 981/1260: coding=paris_mid, outlier=winsor, es_set=full, df_basis=k10, estimator=3LMA-RVE_CR2, rho=0.8 [DEC-045 S2]; descriptive curve cell</t>
  </si>
  <si>
    <t xml:space="preserve">multiverse cell 982/1260: coding=tie_break_median, outlier=winsor, es_set=full, df_basis=k10, estimator=3LMA-RVE_CR2, rho=0.8 [DEC-045 S2]; descriptive curve cell</t>
  </si>
  <si>
    <t xml:space="preserve">multiverse cell 983/1260: coding=end_any_exposure, outlier=winsor, es_set=full, df_basis=k10, estimator=3LMA-RVE_CR2, rho=0.8 [DEC-045 S2]; descriptive curve cell</t>
  </si>
  <si>
    <t xml:space="preserve">multiverse cell 984/1260: coding=share_recut_2017, outlier=winsor, es_set=full, df_basis=k10, estimator=3LMA-RVE_CR2, rho=0.8 [DEC-045 S2]; descriptive curve cell</t>
  </si>
  <si>
    <t xml:space="preserve">multiverse cell 985/1260: coding=share_recut_2018, outlier=winsor, es_set=full, df_basis=k10, estimator=3LMA-RVE_CR2, rho=0.8 [DEC-045 S2]; descriptive curve cell</t>
  </si>
  <si>
    <t xml:space="preserve">multiverse cell 986/1260: coding=share_recut_2019, outlier=winsor, es_set=full, df_basis=k10, estimator=3LMA-RVE_CR2, rho=0.8 [DEC-045 S2]; descriptive curve cell</t>
  </si>
  <si>
    <t xml:space="preserve">multiverse cell 987/1260: coding=end_lag1, outlier=winsor, es_set=full, df_basis=k10, estimator=3LMA-RVE_CR2, rho=0.8 [DEC-045 S2]; descriptive curve cell</t>
  </si>
  <si>
    <t xml:space="preserve">multiverse cell 988/1260: coding=end_lag2, outlier=winsor, es_set=full, df_basis=k10, estimator=3LMA-RVE_CR2, rho=0.8 [DEC-045 S2]; descriptive curve cell</t>
  </si>
  <si>
    <t xml:space="preserve">multiverse cell 989/1260: coding=end_lag3, outlier=winsor, es_set=full, df_basis=k10, estimator=3LMA-RVE_CR2, rho=0.8 [DEC-045 S2]; descriptive curve cell</t>
  </si>
  <si>
    <t xml:space="preserve">multiverse cell 990/1260: coding=clean_window, outlier=winsor, es_set=full, df_basis=k10, estimator=3LMA-RVE_CR2, rho=0.8 [DEC-045 S2]; descriptive curve cell</t>
  </si>
  <si>
    <t xml:space="preserve">multiverse cell 991/1260: coding=paris_mid, outlier=none, es_set=no_starbound, df_basis=k10, estimator=3LMA-RVE_CR2, rho=0.8 [DEC-045 S2]; descriptive curve cell</t>
  </si>
  <si>
    <t xml:space="preserve">multiverse cell 992/1260: coding=tie_break_median, outlier=none, es_set=no_starbound, df_basis=k10, estimator=3LMA-RVE_CR2, rho=0.8 [DEC-045 S2]; descriptive curve cell</t>
  </si>
  <si>
    <t xml:space="preserve">multiverse cell 993/1260: coding=end_any_exposure, outlier=none, es_set=no_starbound, df_basis=k10, estimator=3LMA-RVE_CR2, rho=0.8 [DEC-045 S2]; descriptive curve cell</t>
  </si>
  <si>
    <t xml:space="preserve">multiverse cell 994/1260: coding=share_recut_2017, outlier=none, es_set=no_starbound, df_basis=k10, estimator=3LMA-RVE_CR2, rho=0.8 [DEC-045 S2]; descriptive curve cell</t>
  </si>
  <si>
    <t xml:space="preserve">multiverse cell 995/1260: coding=share_recut_2018, outlier=none, es_set=no_starbound, df_basis=k10, estimator=3LMA-RVE_CR2, rho=0.8 [DEC-045 S2]; descriptive curve cell</t>
  </si>
  <si>
    <t xml:space="preserve">multiverse cell 996/1260: coding=share_recut_2019, outlier=none, es_set=no_starbound, df_basis=k10, estimator=3LMA-RVE_CR2, rho=0.8 [DEC-045 S2]; descriptive curve cell</t>
  </si>
  <si>
    <t xml:space="preserve">multiverse cell 997/1260: coding=end_lag1, outlier=none, es_set=no_starbound, df_basis=k10, estimator=3LMA-RVE_CR2, rho=0.8 [DEC-045 S2]; descriptive curve cell</t>
  </si>
  <si>
    <t xml:space="preserve">multiverse cell 998/1260: coding=end_lag2, outlier=none, es_set=no_starbound, df_basis=k10, estimator=3LMA-RVE_CR2, rho=0.8 [DEC-045 S2]; descriptive curve cell</t>
  </si>
  <si>
    <t xml:space="preserve">multiverse cell 999/1260: coding=end_lag3, outlier=none, es_set=no_starbound, df_basis=k10, estimator=3LMA-RVE_CR2, rho=0.8 [DEC-045 S2]; descriptive curve cell</t>
  </si>
  <si>
    <t xml:space="preserve">multiverse cell 1000/1260: coding=clean_window, outlier=none, es_set=no_starbound, df_basis=k10, estimator=3LMA-RVE_CR2, rho=0.8 [DEC-045 S2]; descriptive curve cell</t>
  </si>
  <si>
    <t xml:space="preserve">multiverse cell 1001/1260: coding=paris_mid, outlier=rstudent, es_set=no_starbound, df_basis=k10, estimator=3LMA-RVE_CR2, rho=0.8 [DEC-045 S2]; descriptive curve cell</t>
  </si>
  <si>
    <t xml:space="preserve">multiverse cell 1002/1260: coding=tie_break_median, outlier=rstudent, es_set=no_starbound, df_basis=k10, estimator=3LMA-RVE_CR2, rho=0.8 [DEC-045 S2]; descriptive curve cell</t>
  </si>
  <si>
    <t xml:space="preserve">multiverse cell 1003/1260: coding=end_any_exposure, outlier=rstudent, es_set=no_starbound, df_basis=k10, estimator=3LMA-RVE_CR2, rho=0.8 [DEC-045 S2]; descriptive curve cell</t>
  </si>
  <si>
    <t xml:space="preserve">multiverse cell 1004/1260: coding=share_recut_2017, outlier=rstudent, es_set=no_starbound, df_basis=k10, estimator=3LMA-RVE_CR2, rho=0.8 [DEC-045 S2]; descriptive curve cell</t>
  </si>
  <si>
    <t xml:space="preserve">multiverse cell 1005/1260: coding=share_recut_2018, outlier=rstudent, es_set=no_starbound, df_basis=k10, estimator=3LMA-RVE_CR2, rho=0.8 [DEC-045 S2]; descriptive curve cell</t>
  </si>
  <si>
    <t xml:space="preserve">multiverse cell 1006/1260: coding=share_recut_2019, outlier=rstudent, es_set=no_starbound, df_basis=k10, estimator=3LMA-RVE_CR2, rho=0.8 [DEC-045 S2]; descriptive curve cell</t>
  </si>
  <si>
    <t xml:space="preserve">multiverse cell 1007/1260: coding=end_lag1, outlier=rstudent, es_set=no_starbound, df_basis=k10, estimator=3LMA-RVE_CR2, rho=0.8 [DEC-045 S2]; descriptive curve cell</t>
  </si>
  <si>
    <t xml:space="preserve">multiverse cell 1008/1260: coding=end_lag2, outlier=rstudent, es_set=no_starbound, df_basis=k10, estimator=3LMA-RVE_CR2, rho=0.8 [DEC-045 S2]; descriptive curve cell</t>
  </si>
  <si>
    <t xml:space="preserve">multiverse cell 1009/1260: coding=end_lag3, outlier=rstudent, es_set=no_starbound, df_basis=k10, estimator=3LMA-RVE_CR2, rho=0.8 [DEC-045 S2]; descriptive curve cell</t>
  </si>
  <si>
    <t xml:space="preserve">multiverse cell 1010/1260: coding=clean_window, outlier=rstudent, es_set=no_starbound, df_basis=k10, estimator=3LMA-RVE_CR2, rho=0.8 [DEC-045 S2]; descriptive curve cell</t>
  </si>
  <si>
    <t xml:space="preserve">multiverse cell 1011/1260: coding=paris_mid, outlier=winsor, es_set=no_starbound, df_basis=k10, estimator=3LMA-RVE_CR2, rho=0.8 [DEC-045 S2]; descriptive curve cell</t>
  </si>
  <si>
    <t xml:space="preserve">multiverse cell 1012/1260: coding=tie_break_median, outlier=winsor, es_set=no_starbound, df_basis=k10, estimator=3LMA-RVE_CR2, rho=0.8 [DEC-045 S2]; descriptive curve cell</t>
  </si>
  <si>
    <t xml:space="preserve">multiverse cell 1013/1260: coding=end_any_exposure, outlier=winsor, es_set=no_starbound, df_basis=k10, estimator=3LMA-RVE_CR2, rho=0.8 [DEC-045 S2]; descriptive curve cell</t>
  </si>
  <si>
    <t xml:space="preserve">multiverse cell 1014/1260: coding=share_recut_2017, outlier=winsor, es_set=no_starbound, df_basis=k10, estimator=3LMA-RVE_CR2, rho=0.8 [DEC-045 S2]; descriptive curve cell</t>
  </si>
  <si>
    <t xml:space="preserve">multiverse cell 1015/1260: coding=share_recut_2018, outlier=winsor, es_set=no_starbound, df_basis=k10, estimator=3LMA-RVE_CR2, rho=0.8 [DEC-045 S2]; descriptive curve cell</t>
  </si>
  <si>
    <t xml:space="preserve">multiverse cell 1016/1260: coding=share_recut_2019, outlier=winsor, es_set=no_starbound, df_basis=k10, estimator=3LMA-RVE_CR2, rho=0.8 [DEC-045 S2]; descriptive curve cell</t>
  </si>
  <si>
    <t xml:space="preserve">multiverse cell 1017/1260: coding=end_lag1, outlier=winsor, es_set=no_starbound, df_basis=k10, estimator=3LMA-RVE_CR2, rho=0.8 [DEC-045 S2]; descriptive curve cell</t>
  </si>
  <si>
    <t xml:space="preserve">multiverse cell 1018/1260: coding=end_lag2, outlier=winsor, es_set=no_starbound, df_basis=k10, estimator=3LMA-RVE_CR2, rho=0.8 [DEC-045 S2]; descriptive curve cell</t>
  </si>
  <si>
    <t xml:space="preserve">multiverse cell 1019/1260: coding=end_lag3, outlier=winsor, es_set=no_starbound, df_basis=k10, estimator=3LMA-RVE_CR2, rho=0.8 [DEC-045 S2]; descriptive curve cell</t>
  </si>
  <si>
    <t xml:space="preserve">multiverse cell 1020/1260: coding=clean_window, outlier=winsor, es_set=no_starbound, df_basis=k10, estimator=3LMA-RVE_CR2, rho=0.8 [DEC-045 S2]; descriptive curve cell</t>
  </si>
  <si>
    <t xml:space="preserve">multiverse cell 1021/1260: coding=paris_mid, outlier=none, es_set=full, df_basis=k20, estimator=3LMA-RVE_CR2, rho=0.8 [DEC-045 S2]; descriptive curve cell</t>
  </si>
  <si>
    <t xml:space="preserve">multiverse cell 1022/1260: coding=tie_break_median, outlier=none, es_set=full, df_basis=k20, estimator=3LMA-RVE_CR2, rho=0.8 [DEC-045 S2]; descriptive curve cell</t>
  </si>
  <si>
    <t xml:space="preserve">multiverse cell 1023/1260: coding=end_any_exposure, outlier=none, es_set=full, df_basis=k20, estimator=3LMA-RVE_CR2, rho=0.8 [DEC-045 S2]; descriptive curve cell</t>
  </si>
  <si>
    <t xml:space="preserve">multiverse cell 1024/1260: coding=share_recut_2017, outlier=none, es_set=full, df_basis=k20, estimator=3LMA-RVE_CR2, rho=0.8 [DEC-045 S2]; descriptive curve cell</t>
  </si>
  <si>
    <t xml:space="preserve">multiverse cell 1025/1260: coding=share_recut_2018, outlier=none, es_set=full, df_basis=k20, estimator=3LMA-RVE_CR2, rho=0.8 [DEC-045 S2]; descriptive curve cell</t>
  </si>
  <si>
    <t xml:space="preserve">multiverse cell 1026/1260: coding=share_recut_2019, outlier=none, es_set=full, df_basis=k20, estimator=3LMA-RVE_CR2, rho=0.8 [DEC-045 S2]; descriptive curve cell</t>
  </si>
  <si>
    <t xml:space="preserve">multiverse cell 1027/1260: coding=end_lag1, outlier=none, es_set=full, df_basis=k20, estimator=3LMA-RVE_CR2, rho=0.8 [DEC-045 S2]; descriptive curve cell</t>
  </si>
  <si>
    <t xml:space="preserve">multiverse cell 1028/1260: coding=end_lag2, outlier=none, es_set=full, df_basis=k20, estimator=3LMA-RVE_CR2, rho=0.8 [DEC-045 S2]; descriptive curve cell</t>
  </si>
  <si>
    <t xml:space="preserve">multiverse cell 1029/1260: coding=end_lag3, outlier=none, es_set=full, df_basis=k20, estimator=3LMA-RVE_CR2, rho=0.8 [DEC-045 S2]; descriptive curve cell</t>
  </si>
  <si>
    <t xml:space="preserve">multiverse cell 1030/1260: coding=clean_window, outlier=none, es_set=full, df_basis=k20, estimator=3LMA-RVE_CR2, rho=0.8 [DEC-045 S2]; descriptive curve cell</t>
  </si>
  <si>
    <t xml:space="preserve">multiverse cell 1031/1260: coding=paris_mid, outlier=rstudent, es_set=full, df_basis=k20, estimator=3LMA-RVE_CR2, rho=0.8 [DEC-045 S2]; descriptive curve cell</t>
  </si>
  <si>
    <t xml:space="preserve">multiverse cell 1032/1260: coding=tie_break_median, outlier=rstudent, es_set=full, df_basis=k20, estimator=3LMA-RVE_CR2, rho=0.8 [DEC-045 S2]; descriptive curve cell</t>
  </si>
  <si>
    <t xml:space="preserve">multiverse cell 1033/1260: coding=end_any_exposure, outlier=rstudent, es_set=full, df_basis=k20, estimator=3LMA-RVE_CR2, rho=0.8 [DEC-045 S2]; descriptive curve cell</t>
  </si>
  <si>
    <t xml:space="preserve">multiverse cell 1034/1260: coding=share_recut_2017, outlier=rstudent, es_set=full, df_basis=k20, estimator=3LMA-RVE_CR2, rho=0.8 [DEC-045 S2]; descriptive curve cell</t>
  </si>
  <si>
    <t xml:space="preserve">multiverse cell 1035/1260: coding=share_recut_2018, outlier=rstudent, es_set=full, df_basis=k20, estimator=3LMA-RVE_CR2, rho=0.8 [DEC-045 S2]; descriptive curve cell</t>
  </si>
  <si>
    <t xml:space="preserve">multiverse cell 1036/1260: coding=share_recut_2019, outlier=rstudent, es_set=full, df_basis=k20, estimator=3LMA-RVE_CR2, rho=0.8 [DEC-045 S2]; descriptive curve cell</t>
  </si>
  <si>
    <t xml:space="preserve">multiverse cell 1037/1260: coding=end_lag1, outlier=rstudent, es_set=full, df_basis=k20, estimator=3LMA-RVE_CR2, rho=0.8 [DEC-045 S2]; descriptive curve cell</t>
  </si>
  <si>
    <t xml:space="preserve">multiverse cell 1038/1260: coding=end_lag2, outlier=rstudent, es_set=full, df_basis=k20, estimator=3LMA-RVE_CR2, rho=0.8 [DEC-045 S2]; descriptive curve cell</t>
  </si>
  <si>
    <t xml:space="preserve">multiverse cell 1039/1260: coding=end_lag3, outlier=rstudent, es_set=full, df_basis=k20, estimator=3LMA-RVE_CR2, rho=0.8 [DEC-045 S2]; descriptive curve cell</t>
  </si>
  <si>
    <t xml:space="preserve">multiverse cell 1040/1260: coding=clean_window, outlier=rstudent, es_set=full, df_basis=k20, estimator=3LMA-RVE_CR2, rho=0.8 [DEC-045 S2]; descriptive curve cell</t>
  </si>
  <si>
    <t xml:space="preserve">multiverse cell 1041/1260: coding=paris_mid, outlier=winsor, es_set=full, df_basis=k20, estimator=3LMA-RVE_CR2, rho=0.8 [DEC-045 S2]; descriptive curve cell</t>
  </si>
  <si>
    <t xml:space="preserve">multiverse cell 1042/1260: coding=tie_break_median, outlier=winsor, es_set=full, df_basis=k20, estimator=3LMA-RVE_CR2, rho=0.8 [DEC-045 S2]; descriptive curve cell</t>
  </si>
  <si>
    <t xml:space="preserve">multiverse cell 1043/1260: coding=end_any_exposure, outlier=winsor, es_set=full, df_basis=k20, estimator=3LMA-RVE_CR2, rho=0.8 [DEC-045 S2]; descriptive curve cell</t>
  </si>
  <si>
    <t xml:space="preserve">multiverse cell 1044/1260: coding=share_recut_2017, outlier=winsor, es_set=full, df_basis=k20, estimator=3LMA-RVE_CR2, rho=0.8 [DEC-045 S2]; descriptive curve cell</t>
  </si>
  <si>
    <t xml:space="preserve">multiverse cell 1045/1260: coding=share_recut_2018, outlier=winsor, es_set=full, df_basis=k20, estimator=3LMA-RVE_CR2, rho=0.8 [DEC-045 S2]; descriptive curve cell</t>
  </si>
  <si>
    <t xml:space="preserve">multiverse cell 1046/1260: coding=share_recut_2019, outlier=winsor, es_set=full, df_basis=k20, estimator=3LMA-RVE_CR2, rho=0.8 [DEC-045 S2]; descriptive curve cell</t>
  </si>
  <si>
    <t xml:space="preserve">multiverse cell 1047/1260: coding=end_lag1, outlier=winsor, es_set=full, df_basis=k20, estimator=3LMA-RVE_CR2, rho=0.8 [DEC-045 S2]; descriptive curve cell</t>
  </si>
  <si>
    <t xml:space="preserve">multiverse cell 1048/1260: coding=end_lag2, outlier=winsor, es_set=full, df_basis=k20, estimator=3LMA-RVE_CR2, rho=0.8 [DEC-045 S2]; descriptive curve cell</t>
  </si>
  <si>
    <t xml:space="preserve">multiverse cell 1049/1260: coding=end_lag3, outlier=winsor, es_set=full, df_basis=k20, estimator=3LMA-RVE_CR2, rho=0.8 [DEC-045 S2]; descriptive curve cell</t>
  </si>
  <si>
    <t xml:space="preserve">multiverse cell 1050/1260: coding=clean_window, outlier=winsor, es_set=full, df_basis=k20, estimator=3LMA-RVE_CR2, rho=0.8 [DEC-045 S2]; descriptive curve cell</t>
  </si>
  <si>
    <t xml:space="preserve">multiverse cell 1051/1260: coding=paris_mid, outlier=none, es_set=no_starbound, df_basis=k20, estimator=3LMA-RVE_CR2, rho=0.8 [DEC-045 S2]; descriptive curve cell</t>
  </si>
  <si>
    <t xml:space="preserve">multiverse cell 1052/1260: coding=tie_break_median, outlier=none, es_set=no_starbound, df_basis=k20, estimator=3LMA-RVE_CR2, rho=0.8 [DEC-045 S2]; descriptive curve cell</t>
  </si>
  <si>
    <t xml:space="preserve">multiverse cell 1053/1260: coding=end_any_exposure, outlier=none, es_set=no_starbound, df_basis=k20, estimator=3LMA-RVE_CR2, rho=0.8 [DEC-045 S2]; descriptive curve cell</t>
  </si>
  <si>
    <t xml:space="preserve">multiverse cell 1054/1260: coding=share_recut_2017, outlier=none, es_set=no_starbound, df_basis=k20, estimator=3LMA-RVE_CR2, rho=0.8 [DEC-045 S2]; descriptive curve cell</t>
  </si>
  <si>
    <t xml:space="preserve">multiverse cell 1055/1260: coding=share_recut_2018, outlier=none, es_set=no_starbound, df_basis=k20, estimator=3LMA-RVE_CR2, rho=0.8 [DEC-045 S2]; descriptive curve cell</t>
  </si>
  <si>
    <t xml:space="preserve">multiverse cell 1056/1260: coding=share_recut_2019, outlier=none, es_set=no_starbound, df_basis=k20, estimator=3LMA-RVE_CR2, rho=0.8 [DEC-045 S2]; descriptive curve cell</t>
  </si>
  <si>
    <t xml:space="preserve">multiverse cell 1057/1260: coding=end_lag1, outlier=none, es_set=no_starbound, df_basis=k20, estimator=3LMA-RVE_CR2, rho=0.8 [DEC-045 S2]; descriptive curve cell</t>
  </si>
  <si>
    <t xml:space="preserve">multiverse cell 1058/1260: coding=end_lag2, outlier=none, es_set=no_starbound, df_basis=k20, estimator=3LMA-RVE_CR2, rho=0.8 [DEC-045 S2]; descriptive curve cell</t>
  </si>
  <si>
    <t xml:space="preserve">multiverse cell 1059/1260: coding=end_lag3, outlier=none, es_set=no_starbound, df_basis=k20, estimator=3LMA-RVE_CR2, rho=0.8 [DEC-045 S2]; descriptive curve cell</t>
  </si>
  <si>
    <t xml:space="preserve">multiverse cell 1060/1260: coding=clean_window, outlier=none, es_set=no_starbound, df_basis=k20, estimator=3LMA-RVE_CR2, rho=0.8 [DEC-045 S2]; descriptive curve cell</t>
  </si>
  <si>
    <t xml:space="preserve">multiverse cell 1061/1260: coding=paris_mid, outlier=rstudent, es_set=no_starbound, df_basis=k20, estimator=3LMA-RVE_CR2, rho=0.8 [DEC-045 S2]; descriptive curve cell</t>
  </si>
  <si>
    <t xml:space="preserve">multiverse cell 1062/1260: coding=tie_break_median, outlier=rstudent, es_set=no_starbound, df_basis=k20, estimator=3LMA-RVE_CR2, rho=0.8 [DEC-045 S2]; descriptive curve cell</t>
  </si>
  <si>
    <t xml:space="preserve">multiverse cell 1063/1260: coding=end_any_exposure, outlier=rstudent, es_set=no_starbound, df_basis=k20, estimator=3LMA-RVE_CR2, rho=0.8 [DEC-045 S2]; descriptive curve cell</t>
  </si>
  <si>
    <t xml:space="preserve">multiverse cell 1064/1260: coding=share_recut_2017, outlier=rstudent, es_set=no_starbound, df_basis=k20, estimator=3LMA-RVE_CR2, rho=0.8 [DEC-045 S2]; descriptive curve cell</t>
  </si>
  <si>
    <t xml:space="preserve">multiverse cell 1065/1260: coding=share_recut_2018, outlier=rstudent, es_set=no_starbound, df_basis=k20, estimator=3LMA-RVE_CR2, rho=0.8 [DEC-045 S2]; descriptive curve cell</t>
  </si>
  <si>
    <t xml:space="preserve">multiverse cell 1066/1260: coding=share_recut_2019, outlier=rstudent, es_set=no_starbound, df_basis=k20, estimator=3LMA-RVE_CR2, rho=0.8 [DEC-045 S2]; descriptive curve cell</t>
  </si>
  <si>
    <t xml:space="preserve">multiverse cell 1067/1260: coding=end_lag1, outlier=rstudent, es_set=no_starbound, df_basis=k20, estimator=3LMA-RVE_CR2, rho=0.8 [DEC-045 S2]; descriptive curve cell</t>
  </si>
  <si>
    <t xml:space="preserve">multiverse cell 1068/1260: coding=end_lag2, outlier=rstudent, es_set=no_starbound, df_basis=k20, estimator=3LMA-RVE_CR2, rho=0.8 [DEC-045 S2]; descriptive curve cell</t>
  </si>
  <si>
    <t xml:space="preserve">multiverse cell 1069/1260: coding=end_lag3, outlier=rstudent, es_set=no_starbound, df_basis=k20, estimator=3LMA-RVE_CR2, rho=0.8 [DEC-045 S2]; descriptive curve cell</t>
  </si>
  <si>
    <t xml:space="preserve">multiverse cell 1070/1260: coding=clean_window, outlier=rstudent, es_set=no_starbound, df_basis=k20, estimator=3LMA-RVE_CR2, rho=0.8 [DEC-045 S2]; descriptive curve cell</t>
  </si>
  <si>
    <t xml:space="preserve">multiverse cell 1071/1260: coding=paris_mid, outlier=winsor, es_set=no_starbound, df_basis=k20, estimator=3LMA-RVE_CR2, rho=0.8 [DEC-045 S2]; descriptive curve cell</t>
  </si>
  <si>
    <t xml:space="preserve">multiverse cell 1072/1260: coding=tie_break_median, outlier=winsor, es_set=no_starbound, df_basis=k20, estimator=3LMA-RVE_CR2, rho=0.8 [DEC-045 S2]; descriptive curve cell</t>
  </si>
  <si>
    <t xml:space="preserve">multiverse cell 1073/1260: coding=end_any_exposure, outlier=winsor, es_set=no_starbound, df_basis=k20, estimator=3LMA-RVE_CR2, rho=0.8 [DEC-045 S2]; descriptive curve cell</t>
  </si>
  <si>
    <t xml:space="preserve">multiverse cell 1074/1260: coding=share_recut_2017, outlier=winsor, es_set=no_starbound, df_basis=k20, estimator=3LMA-RVE_CR2, rho=0.8 [DEC-045 S2]; descriptive curve cell</t>
  </si>
  <si>
    <t xml:space="preserve">multiverse cell 1075/1260: coding=share_recut_2018, outlier=winsor, es_set=no_starbound, df_basis=k20, estimator=3LMA-RVE_CR2, rho=0.8 [DEC-045 S2]; descriptive curve cell</t>
  </si>
  <si>
    <t xml:space="preserve">multiverse cell 1076/1260: coding=share_recut_2019, outlier=winsor, es_set=no_starbound, df_basis=k20, estimator=3LMA-RVE_CR2, rho=0.8 [DEC-045 S2]; descriptive curve cell</t>
  </si>
  <si>
    <t xml:space="preserve">multiverse cell 1077/1260: coding=end_lag1, outlier=winsor, es_set=no_starbound, df_basis=k20, estimator=3LMA-RVE_CR2, rho=0.8 [DEC-045 S2]; descriptive curve cell</t>
  </si>
  <si>
    <t xml:space="preserve">multiverse cell 1078/1260: coding=end_lag2, outlier=winsor, es_set=no_starbound, df_basis=k20, estimator=3LMA-RVE_CR2, rho=0.8 [DEC-045 S2]; descriptive curve cell</t>
  </si>
  <si>
    <t xml:space="preserve">multiverse cell 1079/1260: coding=end_lag3, outlier=winsor, es_set=no_starbound, df_basis=k20, estimator=3LMA-RVE_CR2, rho=0.8 [DEC-045 S2]; descriptive curve cell</t>
  </si>
  <si>
    <t xml:space="preserve">multiverse cell 1080/1260: coding=clean_window, outlier=winsor, es_set=no_starbound, df_basis=k20, estimator=3LMA-RVE_CR2, rho=0.8 [DEC-045 S2]; descriptive curve cell</t>
  </si>
  <si>
    <t xml:space="preserve">one_per_cluster|r0.8</t>
  </si>
  <si>
    <t xml:space="preserve">multiverse cell 1081/1260: coding=paris_mid, outlier=none, es_set=full, df_basis=dfE, estimator=one_per_cluster, rho=0.8 [DEC-045 S2]; cluster x cell aggregates (D2/H2b convention)</t>
  </si>
  <si>
    <t xml:space="preserve">multiverse cell 1082/1260: coding=tie_break_median, outlier=none, es_set=full, df_basis=dfE, estimator=one_per_cluster, rho=0.8 [DEC-045 S2]; cluster x cell aggregates (D2/H2b convention)</t>
  </si>
  <si>
    <t xml:space="preserve">multiverse cell 1083/1260: coding=end_any_exposure, outlier=none, es_set=full, df_basis=dfE, estimator=one_per_cluster, rho=0.8 [DEC-045 S2]; cluster x cell aggregates (D2/H2b convention)</t>
  </si>
  <si>
    <t xml:space="preserve">multiverse cell 1084/1260: coding=share_recut_2017, outlier=none, es_set=full, df_basis=dfE, estimator=one_per_cluster, rho=0.8 [DEC-045 S2]; cluster x cell aggregates (D2/H2b convention)</t>
  </si>
  <si>
    <t xml:space="preserve">multiverse cell 1085/1260: coding=share_recut_2018, outlier=none, es_set=full, df_basis=dfE, estimator=one_per_cluster, rho=0.8 [DEC-045 S2]; cluster x cell aggregates (D2/H2b convention)</t>
  </si>
  <si>
    <t xml:space="preserve">multiverse cell 1086/1260: coding=share_recut_2019, outlier=none, es_set=full, df_basis=dfE, estimator=one_per_cluster, rho=0.8 [DEC-045 S2]; cluster x cell aggregates (D2/H2b convention)</t>
  </si>
  <si>
    <t xml:space="preserve">multiverse cell 1087/1260: coding=end_lag1, outlier=none, es_set=full, df_basis=dfE, estimator=one_per_cluster, rho=0.8 [DEC-045 S2]; cluster x cell aggregates (D2/H2b convention)</t>
  </si>
  <si>
    <t xml:space="preserve">multiverse cell 1088/1260: coding=end_lag2, outlier=none, es_set=full, df_basis=dfE, estimator=one_per_cluster, rho=0.8 [DEC-045 S2]; cluster x cell aggregates (D2/H2b convention)</t>
  </si>
  <si>
    <t xml:space="preserve">multiverse cell 1089/1260: coding=end_lag3, outlier=none, es_set=full, df_basis=dfE, estimator=one_per_cluster, rho=0.8 [DEC-045 S2]; cluster x cell aggregates (D2/H2b convention)</t>
  </si>
  <si>
    <t xml:space="preserve">multiverse cell 1090/1260: coding=clean_window, outlier=none, es_set=full, df_basis=dfE, estimator=one_per_cluster, rho=0.8 [DEC-045 S2]; cluster x cell aggregates (D2/H2b convention)</t>
  </si>
  <si>
    <t xml:space="preserve">multiverse cell 1091/1260: coding=paris_mid, outlier=rstudent, es_set=full, df_basis=dfE, estimator=one_per_cluster, rho=0.8 [DEC-045 S2]; cluster x cell aggregates (D2/H2b convention)</t>
  </si>
  <si>
    <t xml:space="preserve">multiverse cell 1092/1260: coding=tie_break_median, outlier=rstudent, es_set=full, df_basis=dfE, estimator=one_per_cluster, rho=0.8 [DEC-045 S2]; cluster x cell aggregates (D2/H2b convention)</t>
  </si>
  <si>
    <t xml:space="preserve">multiverse cell 1093/1260: coding=end_any_exposure, outlier=rstudent, es_set=full, df_basis=dfE, estimator=one_per_cluster, rho=0.8 [DEC-045 S2]; cluster x cell aggregates (D2/H2b convention)</t>
  </si>
  <si>
    <t xml:space="preserve">multiverse cell 1094/1260: coding=share_recut_2017, outlier=rstudent, es_set=full, df_basis=dfE, estimator=one_per_cluster, rho=0.8 [DEC-045 S2]; cluster x cell aggregates (D2/H2b convention)</t>
  </si>
  <si>
    <t xml:space="preserve">multiverse cell 1095/1260: coding=share_recut_2018, outlier=rstudent, es_set=full, df_basis=dfE, estimator=one_per_cluster, rho=0.8 [DEC-045 S2]; cluster x cell aggregates (D2/H2b convention)</t>
  </si>
  <si>
    <t xml:space="preserve">multiverse cell 1096/1260: coding=share_recut_2019, outlier=rstudent, es_set=full, df_basis=dfE, estimator=one_per_cluster, rho=0.8 [DEC-045 S2]; cluster x cell aggregates (D2/H2b convention)</t>
  </si>
  <si>
    <t xml:space="preserve">multiverse cell 1097/1260: coding=end_lag1, outlier=rstudent, es_set=full, df_basis=dfE, estimator=one_per_cluster, rho=0.8 [DEC-045 S2]; cluster x cell aggregates (D2/H2b convention)</t>
  </si>
  <si>
    <t xml:space="preserve">multiverse cell 1098/1260: coding=end_lag2, outlier=rstudent, es_set=full, df_basis=dfE, estimator=one_per_cluster, rho=0.8 [DEC-045 S2]; cluster x cell aggregates (D2/H2b convention)</t>
  </si>
  <si>
    <t xml:space="preserve">multiverse cell 1099/1260: coding=end_lag3, outlier=rstudent, es_set=full, df_basis=dfE, estimator=one_per_cluster, rho=0.8 [DEC-045 S2]; cluster x cell aggregates (D2/H2b convention)</t>
  </si>
  <si>
    <t xml:space="preserve">multiverse cell 1100/1260: coding=clean_window, outlier=rstudent, es_set=full, df_basis=dfE, estimator=one_per_cluster, rho=0.8 [DEC-045 S2]; cluster x cell aggregates (D2/H2b convention)</t>
  </si>
  <si>
    <t xml:space="preserve">multiverse cell 1101/1260: coding=paris_mid, outlier=winsor, es_set=full, df_basis=dfE, estimator=one_per_cluster, rho=0.8 [DEC-045 S2]; cluster x cell aggregates (D2/H2b convention)</t>
  </si>
  <si>
    <t xml:space="preserve">multiverse cell 1102/1260: coding=tie_break_median, outlier=winsor, es_set=full, df_basis=dfE, estimator=one_per_cluster, rho=0.8 [DEC-045 S2]; cluster x cell aggregates (D2/H2b convention)</t>
  </si>
  <si>
    <t xml:space="preserve">multiverse cell 1103/1260: coding=end_any_exposure, outlier=winsor, es_set=full, df_basis=dfE, estimator=one_per_cluster, rho=0.8 [DEC-045 S2]; cluster x cell aggregates (D2/H2b convention)</t>
  </si>
  <si>
    <t xml:space="preserve">multiverse cell 1104/1260: coding=share_recut_2017, outlier=winsor, es_set=full, df_basis=dfE, estimator=one_per_cluster, rho=0.8 [DEC-045 S2]; cluster x cell aggregates (D2/H2b convention)</t>
  </si>
  <si>
    <t xml:space="preserve">multiverse cell 1105/1260: coding=share_recut_2018, outlier=winsor, es_set=full, df_basis=dfE, estimator=one_per_cluster, rho=0.8 [DEC-045 S2]; cluster x cell aggregates (D2/H2b convention)</t>
  </si>
  <si>
    <t xml:space="preserve">multiverse cell 1106/1260: coding=share_recut_2019, outlier=winsor, es_set=full, df_basis=dfE, estimator=one_per_cluster, rho=0.8 [DEC-045 S2]; cluster x cell aggregates (D2/H2b convention)</t>
  </si>
  <si>
    <t xml:space="preserve">multiverse cell 1107/1260: coding=end_lag1, outlier=winsor, es_set=full, df_basis=dfE, estimator=one_per_cluster, rho=0.8 [DEC-045 S2]; cluster x cell aggregates (D2/H2b convention)</t>
  </si>
  <si>
    <t xml:space="preserve">multiverse cell 1108/1260: coding=end_lag2, outlier=winsor, es_set=full, df_basis=dfE, estimator=one_per_cluster, rho=0.8 [DEC-045 S2]; cluster x cell aggregates (D2/H2b convention)</t>
  </si>
  <si>
    <t xml:space="preserve">multiverse cell 1109/1260: coding=end_lag3, outlier=winsor, es_set=full, df_basis=dfE, estimator=one_per_cluster, rho=0.8 [DEC-045 S2]; cluster x cell aggregates (D2/H2b convention)</t>
  </si>
  <si>
    <t xml:space="preserve">multiverse cell 1110/1260: coding=clean_window, outlier=winsor, es_set=full, df_basis=dfE, estimator=one_per_cluster, rho=0.8 [DEC-045 S2]; cluster x cell aggregates (D2/H2b convention)</t>
  </si>
  <si>
    <t xml:space="preserve">multiverse cell 1111/1260: coding=paris_mid, outlier=none, es_set=no_starbound, df_basis=dfE, estimator=one_per_cluster, rho=0.8 [DEC-045 S2]; cluster x cell aggregates (D2/H2b convention)</t>
  </si>
  <si>
    <t xml:space="preserve">multiverse cell 1112/1260: coding=tie_break_median, outlier=none, es_set=no_starbound, df_basis=dfE, estimator=one_per_cluster, rho=0.8 [DEC-045 S2]; cluster x cell aggregates (D2/H2b convention)</t>
  </si>
  <si>
    <t xml:space="preserve">multiverse cell 1113/1260: coding=end_any_exposure, outlier=none, es_set=no_starbound, df_basis=dfE, estimator=one_per_cluster, rho=0.8 [DEC-045 S2]; cluster x cell aggregates (D2/H2b convention)</t>
  </si>
  <si>
    <t xml:space="preserve">multiverse cell 1114/1260: coding=share_recut_2017, outlier=none, es_set=no_starbound, df_basis=dfE, estimator=one_per_cluster, rho=0.8 [DEC-045 S2]; cluster x cell aggregates (D2/H2b convention)</t>
  </si>
  <si>
    <t xml:space="preserve">multiverse cell 1115/1260: coding=share_recut_2018, outlier=none, es_set=no_starbound, df_basis=dfE, estimator=one_per_cluster, rho=0.8 [DEC-045 S2]; cluster x cell aggregates (D2/H2b convention)</t>
  </si>
  <si>
    <t xml:space="preserve">multiverse cell 1116/1260: coding=share_recut_2019, outlier=none, es_set=no_starbound, df_basis=dfE, estimator=one_per_cluster, rho=0.8 [DEC-045 S2]; cluster x cell aggregates (D2/H2b convention)</t>
  </si>
  <si>
    <t xml:space="preserve">multiverse cell 1117/1260: coding=end_lag1, outlier=none, es_set=no_starbound, df_basis=dfE, estimator=one_per_cluster, rho=0.8 [DEC-045 S2]; cluster x cell aggregates (D2/H2b convention)</t>
  </si>
  <si>
    <t xml:space="preserve">multiverse cell 1118/1260: coding=end_lag2, outlier=none, es_set=no_starbound, df_basis=dfE, estimator=one_per_cluster, rho=0.8 [DEC-045 S2]; cluster x cell aggregates (D2/H2b convention)</t>
  </si>
  <si>
    <t xml:space="preserve">multiverse cell 1119/1260: coding=end_lag3, outlier=none, es_set=no_starbound, df_basis=dfE, estimator=one_per_cluster, rho=0.8 [DEC-045 S2]; cluster x cell aggregates (D2/H2b convention)</t>
  </si>
  <si>
    <t xml:space="preserve">multiverse cell 1120/1260: coding=clean_window, outlier=none, es_set=no_starbound, df_basis=dfE, estimator=one_per_cluster, rho=0.8 [DEC-045 S2]; cluster x cell aggregates (D2/H2b convention)</t>
  </si>
  <si>
    <t xml:space="preserve">multiverse cell 1121/1260: coding=paris_mid, outlier=rstudent, es_set=no_starbound, df_basis=dfE, estimator=one_per_cluster, rho=0.8 [DEC-045 S2]; cluster x cell aggregates (D2/H2b convention)</t>
  </si>
  <si>
    <t xml:space="preserve">multiverse cell 1122/1260: coding=tie_break_median, outlier=rstudent, es_set=no_starbound, df_basis=dfE, estimator=one_per_cluster, rho=0.8 [DEC-045 S2]; cluster x cell aggregates (D2/H2b convention)</t>
  </si>
  <si>
    <t xml:space="preserve">multiverse cell 1123/1260: coding=end_any_exposure, outlier=rstudent, es_set=no_starbound, df_basis=dfE, estimator=one_per_cluster, rho=0.8 [DEC-045 S2]; cluster x cell aggregates (D2/H2b convention)</t>
  </si>
  <si>
    <t xml:space="preserve">multiverse cell 1124/1260: coding=share_recut_2017, outlier=rstudent, es_set=no_starbound, df_basis=dfE, estimator=one_per_cluster, rho=0.8 [DEC-045 S2]; cluster x cell aggregates (D2/H2b convention)</t>
  </si>
  <si>
    <t xml:space="preserve">multiverse cell 1125/1260: coding=share_recut_2018, outlier=rstudent, es_set=no_starbound, df_basis=dfE, estimator=one_per_cluster, rho=0.8 [DEC-045 S2]; cluster x cell aggregates (D2/H2b convention)</t>
  </si>
  <si>
    <t xml:space="preserve">multiverse cell 1126/1260: coding=share_recut_2019, outlier=rstudent, es_set=no_starbound, df_basis=dfE, estimator=one_per_cluster, rho=0.8 [DEC-045 S2]; cluster x cell aggregates (D2/H2b convention)</t>
  </si>
  <si>
    <t xml:space="preserve">multiverse cell 1127/1260: coding=end_lag1, outlier=rstudent, es_set=no_starbound, df_basis=dfE, estimator=one_per_cluster, rho=0.8 [DEC-045 S2]; cluster x cell aggregates (D2/H2b convention)</t>
  </si>
  <si>
    <t xml:space="preserve">multiverse cell 1128/1260: coding=end_lag2, outlier=rstudent, es_set=no_starbound, df_basis=dfE, estimator=one_per_cluster, rho=0.8 [DEC-045 S2]; cluster x cell aggregates (D2/H2b convention)</t>
  </si>
  <si>
    <t xml:space="preserve">multiverse cell 1129/1260: coding=end_lag3, outlier=rstudent, es_set=no_starbound, df_basis=dfE, estimator=one_per_cluster, rho=0.8 [DEC-045 S2]; cluster x cell aggregates (D2/H2b convention)</t>
  </si>
  <si>
    <t xml:space="preserve">multiverse cell 1130/1260: coding=clean_window, outlier=rstudent, es_set=no_starbound, df_basis=dfE, estimator=one_per_cluster, rho=0.8 [DEC-045 S2]; cluster x cell aggregates (D2/H2b convention)</t>
  </si>
  <si>
    <t xml:space="preserve">multiverse cell 1131/1260: coding=paris_mid, outlier=winsor, es_set=no_starbound, df_basis=dfE, estimator=one_per_cluster, rho=0.8 [DEC-045 S2]; cluster x cell aggregates (D2/H2b convention)</t>
  </si>
  <si>
    <t xml:space="preserve">multiverse cell 1132/1260: coding=tie_break_median, outlier=winsor, es_set=no_starbound, df_basis=dfE, estimator=one_per_cluster, rho=0.8 [DEC-045 S2]; cluster x cell aggregates (D2/H2b convention)</t>
  </si>
  <si>
    <t xml:space="preserve">multiverse cell 1133/1260: coding=end_any_exposure, outlier=winsor, es_set=no_starbound, df_basis=dfE, estimator=one_per_cluster, rho=0.8 [DEC-045 S2]; cluster x cell aggregates (D2/H2b convention)</t>
  </si>
  <si>
    <t xml:space="preserve">multiverse cell 1134/1260: coding=share_recut_2017, outlier=winsor, es_set=no_starbound, df_basis=dfE, estimator=one_per_cluster, rho=0.8 [DEC-045 S2]; cluster x cell aggregates (D2/H2b convention)</t>
  </si>
  <si>
    <t xml:space="preserve">multiverse cell 1135/1260: coding=share_recut_2018, outlier=winsor, es_set=no_starbound, df_basis=dfE, estimator=one_per_cluster, rho=0.8 [DEC-045 S2]; cluster x cell aggregates (D2/H2b convention)</t>
  </si>
  <si>
    <t xml:space="preserve">multiverse cell 1136/1260: coding=share_recut_2019, outlier=winsor, es_set=no_starbound, df_basis=dfE, estimator=one_per_cluster, rho=0.8 [DEC-045 S2]; cluster x cell aggregates (D2/H2b convention)</t>
  </si>
  <si>
    <t xml:space="preserve">multiverse cell 1137/1260: coding=end_lag1, outlier=winsor, es_set=no_starbound, df_basis=dfE, estimator=one_per_cluster, rho=0.8 [DEC-045 S2]; cluster x cell aggregates (D2/H2b convention)</t>
  </si>
  <si>
    <t xml:space="preserve">multiverse cell 1138/1260: coding=end_lag2, outlier=winsor, es_set=no_starbound, df_basis=dfE, estimator=one_per_cluster, rho=0.8 [DEC-045 S2]; cluster x cell aggregates (D2/H2b convention)</t>
  </si>
  <si>
    <t xml:space="preserve">multiverse cell 1139/1260: coding=end_lag3, outlier=winsor, es_set=no_starbound, df_basis=dfE, estimator=one_per_cluster, rho=0.8 [DEC-045 S2]; cluster x cell aggregates (D2/H2b convention)</t>
  </si>
  <si>
    <t xml:space="preserve">multiverse cell 1140/1260: coding=clean_window, outlier=winsor, es_set=no_starbound, df_basis=dfE, estimator=one_per_cluster, rho=0.8 [DEC-045 S2]; cluster x cell aggregates (D2/H2b convention)</t>
  </si>
  <si>
    <t xml:space="preserve">multiverse cell 1141/1260: coding=paris_mid, outlier=none, es_set=full, df_basis=k10, estimator=one_per_cluster, rho=0.8 [DEC-045 S2]; cluster x cell aggregates (D2/H2b convention)</t>
  </si>
  <si>
    <t xml:space="preserve">multiverse cell 1142/1260: coding=tie_break_median, outlier=none, es_set=full, df_basis=k10, estimator=one_per_cluster, rho=0.8 [DEC-045 S2]; cluster x cell aggregates (D2/H2b convention)</t>
  </si>
  <si>
    <t xml:space="preserve">multiverse cell 1143/1260: coding=end_any_exposure, outlier=none, es_set=full, df_basis=k10, estimator=one_per_cluster, rho=0.8 [DEC-045 S2]; cluster x cell aggregates (D2/H2b convention)</t>
  </si>
  <si>
    <t xml:space="preserve">multiverse cell 1144/1260: coding=share_recut_2017, outlier=none, es_set=full, df_basis=k10, estimator=one_per_cluster, rho=0.8 [DEC-045 S2]; cluster x cell aggregates (D2/H2b convention)</t>
  </si>
  <si>
    <t xml:space="preserve">multiverse cell 1145/1260: coding=share_recut_2018, outlier=none, es_set=full, df_basis=k10, estimator=one_per_cluster, rho=0.8 [DEC-045 S2]; cluster x cell aggregates (D2/H2b convention)</t>
  </si>
  <si>
    <t xml:space="preserve">multiverse cell 1146/1260: coding=share_recut_2019, outlier=none, es_set=full, df_basis=k10, estimator=one_per_cluster, rho=0.8 [DEC-045 S2]; cluster x cell aggregates (D2/H2b convention)</t>
  </si>
  <si>
    <t xml:space="preserve">multiverse cell 1147/1260: coding=end_lag1, outlier=none, es_set=full, df_basis=k10, estimator=one_per_cluster, rho=0.8 [DEC-045 S2]; cluster x cell aggregates (D2/H2b convention)</t>
  </si>
  <si>
    <t xml:space="preserve">multiverse cell 1148/1260: coding=end_lag2, outlier=none, es_set=full, df_basis=k10, estimator=one_per_cluster, rho=0.8 [DEC-045 S2]; cluster x cell aggregates (D2/H2b convention)</t>
  </si>
  <si>
    <t xml:space="preserve">multiverse cell 1149/1260: coding=end_lag3, outlier=none, es_set=full, df_basis=k10, estimator=one_per_cluster, rho=0.8 [DEC-045 S2]; cluster x cell aggregates (D2/H2b convention)</t>
  </si>
  <si>
    <t xml:space="preserve">multiverse cell 1150/1260: coding=clean_window, outlier=none, es_set=full, df_basis=k10, estimator=one_per_cluster, rho=0.8 [DEC-045 S2]; cluster x cell aggregates (D2/H2b convention)</t>
  </si>
  <si>
    <t xml:space="preserve">multiverse cell 1151/1260: coding=paris_mid, outlier=rstudent, es_set=full, df_basis=k10, estimator=one_per_cluster, rho=0.8 [DEC-045 S2]; cluster x cell aggregates (D2/H2b convention)</t>
  </si>
  <si>
    <t xml:space="preserve">multiverse cell 1152/1260: coding=tie_break_median, outlier=rstudent, es_set=full, df_basis=k10, estimator=one_per_cluster, rho=0.8 [DEC-045 S2]; cluster x cell aggregates (D2/H2b convention)</t>
  </si>
  <si>
    <t xml:space="preserve">multiverse cell 1153/1260: coding=end_any_exposure, outlier=rstudent, es_set=full, df_basis=k10, estimator=one_per_cluster, rho=0.8 [DEC-045 S2]; cluster x cell aggregates (D2/H2b convention)</t>
  </si>
  <si>
    <t xml:space="preserve">multiverse cell 1154/1260: coding=share_recut_2017, outlier=rstudent, es_set=full, df_basis=k10, estimator=one_per_cluster, rho=0.8 [DEC-045 S2]; cluster x cell aggregates (D2/H2b convention)</t>
  </si>
  <si>
    <t xml:space="preserve">multiverse cell 1155/1260: coding=share_recut_2018, outlier=rstudent, es_set=full, df_basis=k10, estimator=one_per_cluster, rho=0.8 [DEC-045 S2]; cluster x cell aggregates (D2/H2b convention)</t>
  </si>
  <si>
    <t xml:space="preserve">multiverse cell 1156/1260: coding=share_recut_2019, outlier=rstudent, es_set=full, df_basis=k10, estimator=one_per_cluster, rho=0.8 [DEC-045 S2]; cluster x cell aggregates (D2/H2b convention)</t>
  </si>
  <si>
    <t xml:space="preserve">multiverse cell 1157/1260: coding=end_lag1, outlier=rstudent, es_set=full, df_basis=k10, estimator=one_per_cluster, rho=0.8 [DEC-045 S2]; cluster x cell aggregates (D2/H2b convention)</t>
  </si>
  <si>
    <t xml:space="preserve">multiverse cell 1158/1260: coding=end_lag2, outlier=rstudent, es_set=full, df_basis=k10, estimator=one_per_cluster, rho=0.8 [DEC-045 S2]; cluster x cell aggregates (D2/H2b convention)</t>
  </si>
  <si>
    <t xml:space="preserve">multiverse cell 1159/1260: coding=end_lag3, outlier=rstudent, es_set=full, df_basis=k10, estimator=one_per_cluster, rho=0.8 [DEC-045 S2]; cluster x cell aggregates (D2/H2b convention)</t>
  </si>
  <si>
    <t xml:space="preserve">multiverse cell 1160/1260: coding=clean_window, outlier=rstudent, es_set=full, df_basis=k10, estimator=one_per_cluster, rho=0.8 [DEC-045 S2]; cluster x cell aggregates (D2/H2b convention)</t>
  </si>
  <si>
    <t xml:space="preserve">multiverse cell 1161/1260: coding=paris_mid, outlier=winsor, es_set=full, df_basis=k10, estimator=one_per_cluster, rho=0.8 [DEC-045 S2]; cluster x cell aggregates (D2/H2b convention)</t>
  </si>
  <si>
    <t xml:space="preserve">multiverse cell 1162/1260: coding=tie_break_median, outlier=winsor, es_set=full, df_basis=k10, estimator=one_per_cluster, rho=0.8 [DEC-045 S2]; cluster x cell aggregates (D2/H2b convention)</t>
  </si>
  <si>
    <t xml:space="preserve">multiverse cell 1163/1260: coding=end_any_exposure, outlier=winsor, es_set=full, df_basis=k10, estimator=one_per_cluster, rho=0.8 [DEC-045 S2]; cluster x cell aggregates (D2/H2b convention)</t>
  </si>
  <si>
    <t xml:space="preserve">multiverse cell 1164/1260: coding=share_recut_2017, outlier=winsor, es_set=full, df_basis=k10, estimator=one_per_cluster, rho=0.8 [DEC-045 S2]; cluster x cell aggregates (D2/H2b convention)</t>
  </si>
  <si>
    <t xml:space="preserve">multiverse cell 1165/1260: coding=share_recut_2018, outlier=winsor, es_set=full, df_basis=k10, estimator=one_per_cluster, rho=0.8 [DEC-045 S2]; cluster x cell aggregates (D2/H2b convention)</t>
  </si>
  <si>
    <t xml:space="preserve">multiverse cell 1166/1260: coding=share_recut_2019, outlier=winsor, es_set=full, df_basis=k10, estimator=one_per_cluster, rho=0.8 [DEC-045 S2]; cluster x cell aggregates (D2/H2b convention)</t>
  </si>
  <si>
    <t xml:space="preserve">multiverse cell 1167/1260: coding=end_lag1, outlier=winsor, es_set=full, df_basis=k10, estimator=one_per_cluster, rho=0.8 [DEC-045 S2]; cluster x cell aggregates (D2/H2b convention)</t>
  </si>
  <si>
    <t xml:space="preserve">multiverse cell 1168/1260: coding=end_lag2, outlier=winsor, es_set=full, df_basis=k10, estimator=one_per_cluster, rho=0.8 [DEC-045 S2]; cluster x cell aggregates (D2/H2b convention)</t>
  </si>
  <si>
    <t xml:space="preserve">multiverse cell 1169/1260: coding=end_lag3, outlier=winsor, es_set=full, df_basis=k10, estimator=one_per_cluster, rho=0.8 [DEC-045 S2]; cluster x cell aggregates (D2/H2b convention)</t>
  </si>
  <si>
    <t xml:space="preserve">multiverse cell 1170/1260: coding=clean_window, outlier=winsor, es_set=full, df_basis=k10, estimator=one_per_cluster, rho=0.8 [DEC-045 S2]; cluster x cell aggregates (D2/H2b convention)</t>
  </si>
  <si>
    <t xml:space="preserve">multiverse cell 1171/1260: coding=paris_mid, outlier=none, es_set=no_starbound, df_basis=k10, estimator=one_per_cluster, rho=0.8 [DEC-045 S2]; cluster x cell aggregates (D2/H2b convention)</t>
  </si>
  <si>
    <t xml:space="preserve">multiverse cell 1172/1260: coding=tie_break_median, outlier=none, es_set=no_starbound, df_basis=k10, estimator=one_per_cluster, rho=0.8 [DEC-045 S2]; cluster x cell aggregates (D2/H2b convention)</t>
  </si>
  <si>
    <t xml:space="preserve">multiverse cell 1173/1260: coding=end_any_exposure, outlier=none, es_set=no_starbound, df_basis=k10, estimator=one_per_cluster, rho=0.8 [DEC-045 S2]; cluster x cell aggregates (D2/H2b convention)</t>
  </si>
  <si>
    <t xml:space="preserve">multiverse cell 1174/1260: coding=share_recut_2017, outlier=none, es_set=no_starbound, df_basis=k10, estimator=one_per_cluster, rho=0.8 [DEC-045 S2]; cluster x cell aggregates (D2/H2b convention)</t>
  </si>
  <si>
    <t xml:space="preserve">multiverse cell 1175/1260: coding=share_recut_2018, outlier=none, es_set=no_starbound, df_basis=k10, estimator=one_per_cluster, rho=0.8 [DEC-045 S2]; cluster x cell aggregates (D2/H2b convention)</t>
  </si>
  <si>
    <t xml:space="preserve">multiverse cell 1176/1260: coding=share_recut_2019, outlier=none, es_set=no_starbound, df_basis=k10, estimator=one_per_cluster, rho=0.8 [DEC-045 S2]; cluster x cell aggregates (D2/H2b convention)</t>
  </si>
  <si>
    <t xml:space="preserve">multiverse cell 1177/1260: coding=end_lag1, outlier=none, es_set=no_starbound, df_basis=k10, estimator=one_per_cluster, rho=0.8 [DEC-045 S2]; cluster x cell aggregates (D2/H2b convention)</t>
  </si>
  <si>
    <t xml:space="preserve">multiverse cell 1178/1260: coding=end_lag2, outlier=none, es_set=no_starbound, df_basis=k10, estimator=one_per_cluster, rho=0.8 [DEC-045 S2]; cluster x cell aggregates (D2/H2b convention)</t>
  </si>
  <si>
    <t xml:space="preserve">multiverse cell 1179/1260: coding=end_lag3, outlier=none, es_set=no_starbound, df_basis=k10, estimator=one_per_cluster, rho=0.8 [DEC-045 S2]; cluster x cell aggregates (D2/H2b convention)</t>
  </si>
  <si>
    <t xml:space="preserve">multiverse cell 1180/1260: coding=clean_window, outlier=none, es_set=no_starbound, df_basis=k10, estimator=one_per_cluster, rho=0.8 [DEC-045 S2]; cluster x cell aggregates (D2/H2b convention)</t>
  </si>
  <si>
    <t xml:space="preserve">multiverse cell 1181/1260: coding=paris_mid, outlier=rstudent, es_set=no_starbound, df_basis=k10, estimator=one_per_cluster, rho=0.8 [DEC-045 S2]; cluster x cell aggregates (D2/H2b convention)</t>
  </si>
  <si>
    <t xml:space="preserve">multiverse cell 1182/1260: coding=tie_break_median, outlier=rstudent, es_set=no_starbound, df_basis=k10, estimator=one_per_cluster, rho=0.8 [DEC-045 S2]; cluster x cell aggregates (D2/H2b convention)</t>
  </si>
  <si>
    <t xml:space="preserve">multiverse cell 1183/1260: coding=end_any_exposure, outlier=rstudent, es_set=no_starbound, df_basis=k10, estimator=one_per_cluster, rho=0.8 [DEC-045 S2]; cluster x cell aggregates (D2/H2b convention)</t>
  </si>
  <si>
    <t xml:space="preserve">multiverse cell 1184/1260: coding=share_recut_2017, outlier=rstudent, es_set=no_starbound, df_basis=k10, estimator=one_per_cluster, rho=0.8 [DEC-045 S2]; cluster x cell aggregates (D2/H2b convention)</t>
  </si>
  <si>
    <t xml:space="preserve">multiverse cell 1185/1260: coding=share_recut_2018, outlier=rstudent, es_set=no_starbound, df_basis=k10, estimator=one_per_cluster, rho=0.8 [DEC-045 S2]; cluster x cell aggregates (D2/H2b convention)</t>
  </si>
  <si>
    <t xml:space="preserve">multiverse cell 1186/1260: coding=share_recut_2019, outlier=rstudent, es_set=no_starbound, df_basis=k10, estimator=one_per_cluster, rho=0.8 [DEC-045 S2]; cluster x cell aggregates (D2/H2b convention)</t>
  </si>
  <si>
    <t xml:space="preserve">multiverse cell 1187/1260: coding=end_lag1, outlier=rstudent, es_set=no_starbound, df_basis=k10, estimator=one_per_cluster, rho=0.8 [DEC-045 S2]; cluster x cell aggregates (D2/H2b convention)</t>
  </si>
  <si>
    <t xml:space="preserve">multiverse cell 1188/1260: coding=end_lag2, outlier=rstudent, es_set=no_starbound, df_basis=k10, estimator=one_per_cluster, rho=0.8 [DEC-045 S2]; cluster x cell aggregates (D2/H2b convention)</t>
  </si>
  <si>
    <t xml:space="preserve">multiverse cell 1189/1260: coding=end_lag3, outlier=rstudent, es_set=no_starbound, df_basis=k10, estimator=one_per_cluster, rho=0.8 [DEC-045 S2]; cluster x cell aggregates (D2/H2b convention)</t>
  </si>
  <si>
    <t xml:space="preserve">multiverse cell 1190/1260: coding=clean_window, outlier=rstudent, es_set=no_starbound, df_basis=k10, estimator=one_per_cluster, rho=0.8 [DEC-045 S2]; cluster x cell aggregates (D2/H2b convention)</t>
  </si>
  <si>
    <t xml:space="preserve">multiverse cell 1191/1260: coding=paris_mid, outlier=winsor, es_set=no_starbound, df_basis=k10, estimator=one_per_cluster, rho=0.8 [DEC-045 S2]; cluster x cell aggregates (D2/H2b convention)</t>
  </si>
  <si>
    <t xml:space="preserve">multiverse cell 1192/1260: coding=tie_break_median, outlier=winsor, es_set=no_starbound, df_basis=k10, estimator=one_per_cluster, rho=0.8 [DEC-045 S2]; cluster x cell aggregates (D2/H2b convention)</t>
  </si>
  <si>
    <t xml:space="preserve">multiverse cell 1193/1260: coding=end_any_exposure, outlier=winsor, es_set=no_starbound, df_basis=k10, estimator=one_per_cluster, rho=0.8 [DEC-045 S2]; cluster x cell aggregates (D2/H2b convention)</t>
  </si>
  <si>
    <t xml:space="preserve">multiverse cell 1194/1260: coding=share_recut_2017, outlier=winsor, es_set=no_starbound, df_basis=k10, estimator=one_per_cluster, rho=0.8 [DEC-045 S2]; cluster x cell aggregates (D2/H2b convention)</t>
  </si>
  <si>
    <t xml:space="preserve">multiverse cell 1195/1260: coding=share_recut_2018, outlier=winsor, es_set=no_starbound, df_basis=k10, estimator=one_per_cluster, rho=0.8 [DEC-045 S2]; cluster x cell aggregates (D2/H2b convention)</t>
  </si>
  <si>
    <t xml:space="preserve">multiverse cell 1196/1260: coding=share_recut_2019, outlier=winsor, es_set=no_starbound, df_basis=k10, estimator=one_per_cluster, rho=0.8 [DEC-045 S2]; cluster x cell aggregates (D2/H2b convention)</t>
  </si>
  <si>
    <t xml:space="preserve">multiverse cell 1197/1260: coding=end_lag1, outlier=winsor, es_set=no_starbound, df_basis=k10, estimator=one_per_cluster, rho=0.8 [DEC-045 S2]; cluster x cell aggregates (D2/H2b convention)</t>
  </si>
  <si>
    <t xml:space="preserve">multiverse cell 1198/1260: coding=end_lag2, outlier=winsor, es_set=no_starbound, df_basis=k10, estimator=one_per_cluster, rho=0.8 [DEC-045 S2]; cluster x cell aggregates (D2/H2b convention)</t>
  </si>
  <si>
    <t xml:space="preserve">multiverse cell 1199/1260: coding=end_lag3, outlier=winsor, es_set=no_starbound, df_basis=k10, estimator=one_per_cluster, rho=0.8 [DEC-045 S2]; cluster x cell aggregates (D2/H2b convention)</t>
  </si>
  <si>
    <t xml:space="preserve">multiverse cell 1200/1260: coding=clean_window, outlier=winsor, es_set=no_starbound, df_basis=k10, estimator=one_per_cluster, rho=0.8 [DEC-045 S2]; cluster x cell aggregates (D2/H2b convention)</t>
  </si>
  <si>
    <t xml:space="preserve">multiverse cell 1201/1260: coding=paris_mid, outlier=none, es_set=full, df_basis=k20, estimator=one_per_cluster, rho=0.8 [DEC-045 S2]; cluster x cell aggregates (D2/H2b convention)</t>
  </si>
  <si>
    <t xml:space="preserve">multiverse cell 1202/1260: coding=tie_break_median, outlier=none, es_set=full, df_basis=k20, estimator=one_per_cluster, rho=0.8 [DEC-045 S2]; cluster x cell aggregates (D2/H2b convention)</t>
  </si>
  <si>
    <t xml:space="preserve">multiverse cell 1203/1260: coding=end_any_exposure, outlier=none, es_set=full, df_basis=k20, estimator=one_per_cluster, rho=0.8 [DEC-045 S2]; cluster x cell aggregates (D2/H2b convention)</t>
  </si>
  <si>
    <t xml:space="preserve">multiverse cell 1204/1260: coding=share_recut_2017, outlier=none, es_set=full, df_basis=k20, estimator=one_per_cluster, rho=0.8 [DEC-045 S2]; cluster x cell aggregates (D2/H2b convention)</t>
  </si>
  <si>
    <t xml:space="preserve">multiverse cell 1205/1260: coding=share_recut_2018, outlier=none, es_set=full, df_basis=k20, estimator=one_per_cluster, rho=0.8 [DEC-045 S2]; cluster x cell aggregates (D2/H2b convention)</t>
  </si>
  <si>
    <t xml:space="preserve">multiverse cell 1206/1260: coding=share_recut_2019, outlier=none, es_set=full, df_basis=k20, estimator=one_per_cluster, rho=0.8 [DEC-045 S2]; cluster x cell aggregates (D2/H2b convention)</t>
  </si>
  <si>
    <t xml:space="preserve">multiverse cell 1207/1260: coding=end_lag1, outlier=none, es_set=full, df_basis=k20, estimator=one_per_cluster, rho=0.8 [DEC-045 S2]; cluster x cell aggregates (D2/H2b convention)</t>
  </si>
  <si>
    <t xml:space="preserve">multiverse cell 1208/1260: coding=end_lag2, outlier=none, es_set=full, df_basis=k20, estimator=one_per_cluster, rho=0.8 [DEC-045 S2]; cluster x cell aggregates (D2/H2b convention)</t>
  </si>
  <si>
    <t xml:space="preserve">multiverse cell 1209/1260: coding=end_lag3, outlier=none, es_set=full, df_basis=k20, estimator=one_per_cluster, rho=0.8 [DEC-045 S2]; cluster x cell aggregates (D2/H2b convention)</t>
  </si>
  <si>
    <t xml:space="preserve">multiverse cell 1210/1260: coding=clean_window, outlier=none, es_set=full, df_basis=k20, estimator=one_per_cluster, rho=0.8 [DEC-045 S2]; cluster x cell aggregates (D2/H2b convention)</t>
  </si>
  <si>
    <t xml:space="preserve">multiverse cell 1211/1260: coding=paris_mid, outlier=rstudent, es_set=full, df_basis=k20, estimator=one_per_cluster, rho=0.8 [DEC-045 S2]; cluster x cell aggregates (D2/H2b convention)</t>
  </si>
  <si>
    <t xml:space="preserve">multiverse cell 1212/1260: coding=tie_break_median, outlier=rstudent, es_set=full, df_basis=k20, estimator=one_per_cluster, rho=0.8 [DEC-045 S2]; cluster x cell aggregates (D2/H2b convention)</t>
  </si>
  <si>
    <t xml:space="preserve">multiverse cell 1213/1260: coding=end_any_exposure, outlier=rstudent, es_set=full, df_basis=k20, estimator=one_per_cluster, rho=0.8 [DEC-045 S2]; cluster x cell aggregates (D2/H2b convention)</t>
  </si>
  <si>
    <t xml:space="preserve">multiverse cell 1214/1260: coding=share_recut_2017, outlier=rstudent, es_set=full, df_basis=k20, estimator=one_per_cluster, rho=0.8 [DEC-045 S2]; cluster x cell aggregates (D2/H2b convention)</t>
  </si>
  <si>
    <t xml:space="preserve">multiverse cell 1215/1260: coding=share_recut_2018, outlier=rstudent, es_set=full, df_basis=k20, estimator=one_per_cluster, rho=0.8 [DEC-045 S2]; cluster x cell aggregates (D2/H2b convention)</t>
  </si>
  <si>
    <t xml:space="preserve">multiverse cell 1216/1260: coding=share_recut_2019, outlier=rstudent, es_set=full, df_basis=k20, estimator=one_per_cluster, rho=0.8 [DEC-045 S2]; cluster x cell aggregates (D2/H2b convention)</t>
  </si>
  <si>
    <t xml:space="preserve">multiverse cell 1217/1260: coding=end_lag1, outlier=rstudent, es_set=full, df_basis=k20, estimator=one_per_cluster, rho=0.8 [DEC-045 S2]; cluster x cell aggregates (D2/H2b convention)</t>
  </si>
  <si>
    <t xml:space="preserve">multiverse cell 1218/1260: coding=end_lag2, outlier=rstudent, es_set=full, df_basis=k20, estimator=one_per_cluster, rho=0.8 [DEC-045 S2]; cluster x cell aggregates (D2/H2b convention)</t>
  </si>
  <si>
    <t xml:space="preserve">multiverse cell 1219/1260: coding=end_lag3, outlier=rstudent, es_set=full, df_basis=k20, estimator=one_per_cluster, rho=0.8 [DEC-045 S2]; cluster x cell aggregates (D2/H2b convention)</t>
  </si>
  <si>
    <t xml:space="preserve">multiverse cell 1220/1260: coding=clean_window, outlier=rstudent, es_set=full, df_basis=k20, estimator=one_per_cluster, rho=0.8 [DEC-045 S2]; cluster x cell aggregates (D2/H2b convention)</t>
  </si>
  <si>
    <t xml:space="preserve">multiverse cell 1221/1260: coding=paris_mid, outlier=winsor, es_set=full, df_basis=k20, estimator=one_per_cluster, rho=0.8 [DEC-045 S2]; cluster x cell aggregates (D2/H2b convention)</t>
  </si>
  <si>
    <t xml:space="preserve">multiverse cell 1222/1260: coding=tie_break_median, outlier=winsor, es_set=full, df_basis=k20, estimator=one_per_cluster, rho=0.8 [DEC-045 S2]; cluster x cell aggregates (D2/H2b convention)</t>
  </si>
  <si>
    <t xml:space="preserve">multiverse cell 1223/1260: coding=end_any_exposure, outlier=winsor, es_set=full, df_basis=k20, estimator=one_per_cluster, rho=0.8 [DEC-045 S2]; cluster x cell aggregates (D2/H2b convention)</t>
  </si>
  <si>
    <t xml:space="preserve">multiverse cell 1224/1260: coding=share_recut_2017, outlier=winsor, es_set=full, df_basis=k20, estimator=one_per_cluster, rho=0.8 [DEC-045 S2]; cluster x cell aggregates (D2/H2b convention)</t>
  </si>
  <si>
    <t xml:space="preserve">multiverse cell 1225/1260: coding=share_recut_2018, outlier=winsor, es_set=full, df_basis=k20, estimator=one_per_cluster, rho=0.8 [DEC-045 S2]; cluster x cell aggregates (D2/H2b convention)</t>
  </si>
  <si>
    <t xml:space="preserve">multiverse cell 1226/1260: coding=share_recut_2019, outlier=winsor, es_set=full, df_basis=k20, estimator=one_per_cluster, rho=0.8 [DEC-045 S2]; cluster x cell aggregates (D2/H2b convention)</t>
  </si>
  <si>
    <t xml:space="preserve">multiverse cell 1227/1260: coding=end_lag1, outlier=winsor, es_set=full, df_basis=k20, estimator=one_per_cluster, rho=0.8 [DEC-045 S2]; cluster x cell aggregates (D2/H2b convention)</t>
  </si>
  <si>
    <t xml:space="preserve">multiverse cell 1228/1260: coding=end_lag2, outlier=winsor, es_set=full, df_basis=k20, estimator=one_per_cluster, rho=0.8 [DEC-045 S2]; cluster x cell aggregates (D2/H2b convention)</t>
  </si>
  <si>
    <t xml:space="preserve">multiverse cell 1229/1260: coding=end_lag3, outlier=winsor, es_set=full, df_basis=k20, estimator=one_per_cluster, rho=0.8 [DEC-045 S2]; cluster x cell aggregates (D2/H2b convention)</t>
  </si>
  <si>
    <t xml:space="preserve">multiverse cell 1230/1260: coding=clean_window, outlier=winsor, es_set=full, df_basis=k20, estimator=one_per_cluster, rho=0.8 [DEC-045 S2]; cluster x cell aggregates (D2/H2b convention)</t>
  </si>
  <si>
    <t xml:space="preserve">multiverse cell 1231/1260: coding=paris_mid, outlier=none, es_set=no_starbound, df_basis=k20, estimator=one_per_cluster, rho=0.8 [DEC-045 S2]; cluster x cell aggregates (D2/H2b convention)</t>
  </si>
  <si>
    <t xml:space="preserve">multiverse cell 1232/1260: coding=tie_break_median, outlier=none, es_set=no_starbound, df_basis=k20, estimator=one_per_cluster, rho=0.8 [DEC-045 S2]; cluster x cell aggregates (D2/H2b convention)</t>
  </si>
  <si>
    <t xml:space="preserve">multiverse cell 1233/1260: coding=end_any_exposure, outlier=none, es_set=no_starbound, df_basis=k20, estimator=one_per_cluster, rho=0.8 [DEC-045 S2]; cluster x cell aggregates (D2/H2b convention)</t>
  </si>
  <si>
    <t xml:space="preserve">multiverse cell 1234/1260: coding=share_recut_2017, outlier=none, es_set=no_starbound, df_basis=k20, estimator=one_per_cluster, rho=0.8 [DEC-045 S2]; cluster x cell aggregates (D2/H2b convention)</t>
  </si>
  <si>
    <t xml:space="preserve">multiverse cell 1235/1260: coding=share_recut_2018, outlier=none, es_set=no_starbound, df_basis=k20, estimator=one_per_cluster, rho=0.8 [DEC-045 S2]; cluster x cell aggregates (D2/H2b convention)</t>
  </si>
  <si>
    <t xml:space="preserve">multiverse cell 1236/1260: coding=share_recut_2019, outlier=none, es_set=no_starbound, df_basis=k20, estimator=one_per_cluster, rho=0.8 [DEC-045 S2]; cluster x cell aggregates (D2/H2b convention)</t>
  </si>
  <si>
    <t xml:space="preserve">multiverse cell 1237/1260: coding=end_lag1, outlier=none, es_set=no_starbound, df_basis=k20, estimator=one_per_cluster, rho=0.8 [DEC-045 S2]; cluster x cell aggregates (D2/H2b convention)</t>
  </si>
  <si>
    <t xml:space="preserve">multiverse cell 1238/1260: coding=end_lag2, outlier=none, es_set=no_starbound, df_basis=k20, estimator=one_per_cluster, rho=0.8 [DEC-045 S2]; cluster x cell aggregates (D2/H2b convention)</t>
  </si>
  <si>
    <t xml:space="preserve">multiverse cell 1239/1260: coding=end_lag3, outlier=none, es_set=no_starbound, df_basis=k20, estimator=one_per_cluster, rho=0.8 [DEC-045 S2]; cluster x cell aggregates (D2/H2b convention)</t>
  </si>
  <si>
    <t xml:space="preserve">multiverse cell 1240/1260: coding=clean_window, outlier=none, es_set=no_starbound, df_basis=k20, estimator=one_per_cluster, rho=0.8 [DEC-045 S2]; cluster x cell aggregates (D2/H2b convention)</t>
  </si>
  <si>
    <t xml:space="preserve">multiverse cell 1241/1260: coding=paris_mid, outlier=rstudent, es_set=no_starbound, df_basis=k20, estimator=one_per_cluster, rho=0.8 [DEC-045 S2]; cluster x cell aggregates (D2/H2b convention)</t>
  </si>
  <si>
    <t xml:space="preserve">multiverse cell 1242/1260: coding=tie_break_median, outlier=rstudent, es_set=no_starbound, df_basis=k20, estimator=one_per_cluster, rho=0.8 [DEC-045 S2]; cluster x cell aggregates (D2/H2b convention)</t>
  </si>
  <si>
    <t xml:space="preserve">multiverse cell 1243/1260: coding=end_any_exposure, outlier=rstudent, es_set=no_starbound, df_basis=k20, estimator=one_per_cluster, rho=0.8 [DEC-045 S2]; cluster x cell aggregates (D2/H2b convention)</t>
  </si>
  <si>
    <t xml:space="preserve">multiverse cell 1244/1260: coding=share_recut_2017, outlier=rstudent, es_set=no_starbound, df_basis=k20, estimator=one_per_cluster, rho=0.8 [DEC-045 S2]; cluster x cell aggregates (D2/H2b convention)</t>
  </si>
  <si>
    <t xml:space="preserve">multiverse cell 1245/1260: coding=share_recut_2018, outlier=rstudent, es_set=no_starbound, df_basis=k20, estimator=one_per_cluster, rho=0.8 [DEC-045 S2]; cluster x cell aggregates (D2/H2b convention)</t>
  </si>
  <si>
    <t xml:space="preserve">multiverse cell 1246/1260: coding=share_recut_2019, outlier=rstudent, es_set=no_starbound, df_basis=k20, estimator=one_per_cluster, rho=0.8 [DEC-045 S2]; cluster x cell aggregates (D2/H2b convention)</t>
  </si>
  <si>
    <t xml:space="preserve">multiverse cell 1247/1260: coding=end_lag1, outlier=rstudent, es_set=no_starbound, df_basis=k20, estimator=one_per_cluster, rho=0.8 [DEC-045 S2]; cluster x cell aggregates (D2/H2b convention)</t>
  </si>
  <si>
    <t xml:space="preserve">multiverse cell 1248/1260: coding=end_lag2, outlier=rstudent, es_set=no_starbound, df_basis=k20, estimator=one_per_cluster, rho=0.8 [DEC-045 S2]; cluster x cell aggregates (D2/H2b convention)</t>
  </si>
  <si>
    <t xml:space="preserve">multiverse cell 1249/1260: coding=end_lag3, outlier=rstudent, es_set=no_starbound, df_basis=k20, estimator=one_per_cluster, rho=0.8 [DEC-045 S2]; cluster x cell aggregates (D2/H2b convention)</t>
  </si>
  <si>
    <t xml:space="preserve">multiverse cell 1250/1260: coding=clean_window, outlier=rstudent, es_set=no_starbound, df_basis=k20, estimator=one_per_cluster, rho=0.8 [DEC-045 S2]; cluster x cell aggregates (D2/H2b convention)</t>
  </si>
  <si>
    <t xml:space="preserve">multiverse cell 1251/1260: coding=paris_mid, outlier=winsor, es_set=no_starbound, df_basis=k20, estimator=one_per_cluster, rho=0.8 [DEC-045 S2]; cluster x cell aggregates (D2/H2b convention)</t>
  </si>
  <si>
    <t xml:space="preserve">multiverse cell 1252/1260: coding=tie_break_median, outlier=winsor, es_set=no_starbound, df_basis=k20, estimator=one_per_cluster, rho=0.8 [DEC-045 S2]; cluster x cell aggregates (D2/H2b convention)</t>
  </si>
  <si>
    <t xml:space="preserve">multiverse cell 1253/1260: coding=end_any_exposure, outlier=winsor, es_set=no_starbound, df_basis=k20, estimator=one_per_cluster, rho=0.8 [DEC-045 S2]; cluster x cell aggregates (D2/H2b convention)</t>
  </si>
  <si>
    <t xml:space="preserve">multiverse cell 1254/1260: coding=share_recut_2017, outlier=winsor, es_set=no_starbound, df_basis=k20, estimator=one_per_cluster, rho=0.8 [DEC-045 S2]; cluster x cell aggregates (D2/H2b convention)</t>
  </si>
  <si>
    <t xml:space="preserve">multiverse cell 1255/1260: coding=share_recut_2018, outlier=winsor, es_set=no_starbound, df_basis=k20, estimator=one_per_cluster, rho=0.8 [DEC-045 S2]; cluster x cell aggregates (D2/H2b convention)</t>
  </si>
  <si>
    <t xml:space="preserve">multiverse cell 1256/1260: coding=share_recut_2019, outlier=winsor, es_set=no_starbound, df_basis=k20, estimator=one_per_cluster, rho=0.8 [DEC-045 S2]; cluster x cell aggregates (D2/H2b convention)</t>
  </si>
  <si>
    <t xml:space="preserve">multiverse cell 1257/1260: coding=end_lag1, outlier=winsor, es_set=no_starbound, df_basis=k20, estimator=one_per_cluster, rho=0.8 [DEC-045 S2]; cluster x cell aggregates (D2/H2b convention)</t>
  </si>
  <si>
    <t xml:space="preserve">multiverse cell 1258/1260: coding=end_lag2, outlier=winsor, es_set=no_starbound, df_basis=k20, estimator=one_per_cluster, rho=0.8 [DEC-045 S2]; cluster x cell aggregates (D2/H2b convention)</t>
  </si>
  <si>
    <t xml:space="preserve">multiverse cell 1259/1260: coding=end_lag3, outlier=winsor, es_set=no_starbound, df_basis=k20, estimator=one_per_cluster, rho=0.8 [DEC-045 S2]; cluster x cell aggregates (D2/H2b convention)</t>
  </si>
  <si>
    <t xml:space="preserve">multiverse cell 1260/1260: coding=clean_window, outlier=winsor, es_set=no_starbound, df_basis=k20, estimator=one_per_cluster, rho=0.8 [DEC-045 S2]; cluster x cell aggregates (D2/H2b convention)</t>
  </si>
  <si>
    <t xml:space="preserve">perm_list</t>
  </si>
  <si>
    <t xml:space="preserve">descriptive</t>
  </si>
  <si>
    <t xml:space="preserve">output/TH_c_perms.rds: 112 x 500 cluster permutations, generated FIRST under seed 20260710; md5 = 077d689b2dee2931467650585089888a; workers receive indices (scheduling-invariant)</t>
  </si>
  <si>
    <t xml:space="preserve">execution_order</t>
  </si>
  <si>
    <t xml:space="preserve">pinned: PERMS -&gt; masks -&gt; H1 stream -&gt; H1 calibration -&gt; permutation pass (H5+H4+H3 core, ONE pass, 23 fits/replicate) -&gt; H3 curve [DEC-045]</t>
  </si>
  <si>
    <t xml:space="preserve">blas_note</t>
  </si>
  <si>
    <t xml:space="preserve">Windows CRAN reference BLAS is single-threaded; OMP/OPENBLAS/MKL thread env guards additionally set per worker [determinism pin]</t>
  </si>
  <si>
    <t xml:space="preserve">center_sample_mid</t>
  </si>
  <si>
    <t xml:space="preserve">year</t>
  </si>
  <si>
    <t xml:space="preserve">derived in-script (constancy asserted); race consistency with R/08</t>
  </si>
  <si>
    <t xml:space="preserve">F65 gates PASSED: committed T8 B4/race/pp_mid_lag0 matched embedded constants at 1e-9; observed refit identity at 1e-6; |t_race_obs| = 1.052421</t>
  </si>
  <si>
    <t xml:space="preserve">read from TH_a_results.csv design row and membership-verified: 2008, 2009, 2010, 2011, 2012, 2013, 2014, 2015, 2016, 2017, 2018, 2019; recomputation identity via the observed permutation-pass machinery</t>
  </si>
  <si>
    <t xml:space="preserve">rstudent_mask</t>
  </si>
  <si>
    <t xml:space="preserve">|standardized marginal residual| &gt; 3 from the full-set intercept spine (mu = -0.058647, sum sigma2 = 0.031629), computed ONCE, fixed across cells and replicates [DEC-045 amendment]</t>
  </si>
  <si>
    <t xml:space="preserve">winsor_bounds</t>
  </si>
  <si>
    <t xml:space="preserve">zi winsorized at empirical P1/P99 of the full estimation set: [-0.380770, 0.184715], computed once</t>
  </si>
  <si>
    <t xml:space="preserve">vi_k_identity</t>
  </si>
  <si>
    <t xml:space="preserve">load assert PASSED: vi_k10 = 1/(1/vi - 10) and vi_k20 = 1/(1/vi - 20) on PCC rows (1e-9; algebraically identical to 1/(n-13), 1/(n-23) under the F21 base convention vi = 1/(n-3)); bivariate rows carry base vi in the k-columns; the raw n_obs extraction column is NOT consumed; k20 basis excludes 1 row(s) with nonpositive/NA vi_k20 (tiny-n edge, n &lt;= 23) from all k20 cells -- disclosed [DEC-045 amendment; author ruling 2026-07-24]</t>
  </si>
  <si>
    <t xml:space="preserve">core cell keys: paris_mid|none|full|dfE; tie_break_median|none|full|dfE; end_any_exposure|none|full|dfE; share_recut_2017|none|full|dfE; share_recut_2018|none|full|dfE; share_recut_2019|none|full|dfE; end_lag1|none|full|dfE; end_lag2|none|full|dfE; end_lag3|none|full|dfE; clean_window|none|full|dfE</t>
  </si>
  <si>
    <t xml:space="preserve">TH-c (simulation &amp; permutation family) · Manuscript Inputs (ms_input = TRUE rows; every cell formula-derived from Results_Long)</t>
  </si>
  <si>
    <t xml:space="preserve">Paste-ready strings via locale-neutral digit arithmetic (no TEXT format codes, no CONCAT) - pinned convention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</si>
  <si>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</si>
  <si>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</si>
  <si>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</si>
  <si>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</si>
  <si>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</si>
  <si>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Paste-ready string (formula-derived)</t>
  </si>
  <si>
    <t xml:space="preserve">Source pointer</t>
  </si>
  <si>
    <t xml:space="preserve">H1 primary MDE (own x1.0): MDE80 or NA + power@0.08 + df_Satt</t>
  </si>
  <si>
    <t xml:space="preserve">TH_c_results.csv H1 own_x1.0</t>
  </si>
  <si>
    <t xml:space="preserve">H3 joint permutation: share stat + both p_perm + B_eff</t>
  </si>
  <si>
    <t xml:space="preserve">TH_c_results.csv H3 core_curve</t>
  </si>
  <si>
    <t xml:space="preserve">H3 core cell paris_mid (diff, df, t, p)</t>
  </si>
  <si>
    <t xml:space="preserve">TH_c_results.csv H3 paris_mid|none|full|dfE (core)</t>
  </si>
  <si>
    <t xml:space="preserve">H3 core cell tie_break_median (diff, df, t, p)</t>
  </si>
  <si>
    <t xml:space="preserve">TH_c_results.csv H3 tie_break_median|none|full|dfE (core)</t>
  </si>
  <si>
    <t xml:space="preserve">H3 core cell end_any_exposure (diff, df, t, p)</t>
  </si>
  <si>
    <t xml:space="preserve">TH_c_results.csv H3 end_any_exposure|none|full|dfE (core)</t>
  </si>
  <si>
    <t xml:space="preserve">H3 core cell share_recut_2017 (diff, df, t, p)</t>
  </si>
  <si>
    <t xml:space="preserve">TH_c_results.csv H3 share_recut_2017|none|full|dfE (core)</t>
  </si>
  <si>
    <t xml:space="preserve">H3 core cell share_recut_2018 (diff, df, t, p)</t>
  </si>
  <si>
    <t xml:space="preserve">TH_c_results.csv H3 share_recut_2018|none|full|dfE (core)</t>
  </si>
  <si>
    <t xml:space="preserve">H3 core cell share_recut_2019 (diff, df, t, p)</t>
  </si>
  <si>
    <t xml:space="preserve">TH_c_results.csv H3 share_recut_2019|none|full|dfE (core)</t>
  </si>
  <si>
    <t xml:space="preserve">H3 core cell end_lag1 (diff, df, t, p)</t>
  </si>
  <si>
    <t xml:space="preserve">TH_c_results.csv H3 end_lag1|none|full|dfE (core)</t>
  </si>
  <si>
    <t xml:space="preserve">H3 core cell end_lag2 (diff, df, t, p)</t>
  </si>
  <si>
    <t xml:space="preserve">TH_c_results.csv H3 end_lag2|none|full|dfE (core)</t>
  </si>
  <si>
    <t xml:space="preserve">H3 core cell end_lag3 (diff, df, t, p)</t>
  </si>
  <si>
    <t xml:space="preserve">TH_c_results.csv H3 end_lag3|none|full|dfE (core)</t>
  </si>
  <si>
    <t xml:space="preserve">H3 core cell clean_window (diff, df, t, p)</t>
  </si>
  <si>
    <t xml:space="preserve">TH_c_results.csv H3 clean_window|none|full|dfE (core)</t>
  </si>
  <si>
    <t xml:space="preserve">H4 permutation p + B_eff</t>
  </si>
  <si>
    <t xml:space="preserve">TH_c_results.csv H4 perm_sup</t>
  </si>
  <si>
    <t xml:space="preserve">H5 permutation p + B_eff</t>
  </si>
  <si>
    <t xml:space="preserve">TH_c_results.csv H5 perm_race</t>
  </si>
  <si>
    <t xml:space="preserve">TH-c (simulation &amp; permutation family) · Manuscript Text Blocks (TB-nn continue across runs; T1=TB-01..12, T2=TB-13..19, ..., this run: TB-46..TB-51)</t>
  </si>
  <si>
    <t xml:space="preserve">Numbers hardcoded WITH provenance: source = output/TH_c_results.csv (this workbook's Results_Long); REGENERATE ON ANY RE-RUN. Prose framing-neutral pending DEC-044 gate resolution.</t>
  </si>
  <si>
    <t xml:space="preserve">ID</t>
  </si>
  <si>
    <t xml:space="preserve">Target section</t>
  </si>
  <si>
    <t xml:space="preserve">Status</t>
  </si>
  <si>
    <t xml:space="preserve">Text (EN)</t>
  </si>
  <si>
    <t xml:space="preserve">Source pointers</t>
  </si>
  <si>
    <t xml:space="preserve">Note</t>
  </si>
  <si>
    <t xml:space="preserve">TB-46</t>
  </si>
  <si>
    <t xml:space="preserve">Results/Discussion - design sensitivity (H1)</t>
  </si>
  <si>
    <t xml:space="preserve">DRAFT</t>
  </si>
  <si>
    <t xml:space="preserve">Design-based sensitivity: with variance components fixed at the observed T1 magnitudes, the minimum detectable Paris contrast at 80% power exceeds the pre-registered delta-grid ceiling of 0.08 z under the x1.0 and x2.0 heterogeneity scenarios (power at delta = 0.08: 0.730 and 0.448); under the half-heterogeneity scenario, MDE80 = 0.063. Under the equity-companion lower-bound mapping [S4], MDE80 ranges from 0.010 to 0.018 - the observed between-cluster heterogeneity, not the number of studies, is the binding constraint.</t>
  </si>
  <si>
    <t xml:space="preserve">[TH_c xlsx Tab 6]; [DEC-045/H-Q14]</t>
  </si>
  <si>
    <t xml:space="preserve">Embedding sentence set at gate resolution; companion tau2 caveat applies.</t>
  </si>
  <si>
    <t xml:space="preserve">TB-47</t>
  </si>
  <si>
    <t xml:space="preserve">Methods/Appendix - calibration (H1)</t>
  </si>
  <si>
    <t xml:space="preserve">READY</t>
  </si>
  <si>
    <t xml:space="preserve">A 200-replicate full-REML calibration of the analytic power stream at the grid ceiling (delta = 0.08, primary scenario) yields a rejection rate of 0.765 against the 0.80 target (optimism +0.035; fits/fallback/fail = 200/2/0), supporting the y-free precompute as mildly conservative-to-accurate.</t>
  </si>
  <si>
    <t xml:space="preserve">[TH_c xlsx Tab 6]</t>
  </si>
  <si>
    <t xml:space="preserve">TB-48</t>
  </si>
  <si>
    <t xml:space="preserve">Results - specification curve (H3)</t>
  </si>
  <si>
    <t xml:space="preserve">BLOCKED - DEC-044</t>
  </si>
  <si>
    <t xml:space="preserve">Across all 1,260 specification cells (10 Paris codings x 3 outlier treatments x 2 effect-size sets x 3 df bases x 7 estimator/rho variants), exactly one contrast is significant at alpha = .05 (end_lag2 | winsor | full set | dfE, 3LMA-RVE rho = 0.4: diff_z = +0.018, p = .049) - against roughly 63 cells expected under a global null at this alpha. None of the 10 pre-registered core cells is significant (observed share 0/10); the joint cluster-time-translation permutation yields p_perm(share) = 1.000 and p_perm(median |t|) = 0.854 (B_eff = 500).</t>
  </si>
  <si>
    <t xml:space="preserve">[TH_c xlsx Tabs 7-8]; [DEC-045 S2/S3]</t>
  </si>
  <si>
    <t xml:space="preserve">Share hardcoded from Results_Long - regenerate on re-run.</t>
  </si>
  <si>
    <t xml:space="preserve">TB-49</t>
  </si>
  <si>
    <t xml:space="preserve">Results - core coding family (H3)</t>
  </si>
  <si>
    <t xml:space="preserve">Within the pre-registered core family, contrasts range from -0.019 (end_any_exposure) to +0.040 (end_lag2), with the smallest p-value at 0.142 (end_lag2); the clean-window cell rests on 929 effect sizes from 40 clusters by design.</t>
  </si>
  <si>
    <t xml:space="preserve">[TH_c xlsx Tab 8]</t>
  </si>
  <si>
    <t xml:space="preserve">Range/min-p hardcoded from Results_Long - regenerate on re-run.</t>
  </si>
  <si>
    <t xml:space="preserve">TB-50</t>
  </si>
  <si>
    <t xml:space="preserve">Results - structural-break inference (H4)</t>
  </si>
  <si>
    <t xml:space="preserve">The permutation reference distribution for the supremum break statistic (cluster time translation, identical permutation list as H5, admissible years fixed at the observed design) yields p_perm = 0.341 (B_eff = 500).</t>
  </si>
  <si>
    <t xml:space="preserve">[TH_c xlsx Tab 9]; [H-Q16/H-Q20]</t>
  </si>
  <si>
    <t xml:space="preserve">Pairs with TB-39 (TH-a observed grid).</t>
  </si>
  <si>
    <t xml:space="preserve">TB-51</t>
  </si>
  <si>
    <t xml:space="preserve">Results - permutation inference (H5)</t>
  </si>
  <si>
    <t xml:space="preserve">The pre-registered permutation test of the trend-vs-break race statistic yields p_perm = 0.401 (B_eff = 500; observed |t_race| = 1.052, whose point estimate and CR2 p-value are reported once in the identification battery).</t>
  </si>
  <si>
    <t xml:space="preserve">[TH_c xlsx Tab 10]; [T8 single-home 4a]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</si>
</sst>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00"/>
    <numFmt numFmtId="167" formatCode="0.00"/>
    <numFmt numFmtId="168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864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10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23.85" hidden="false" customHeight="false" outlineLevel="0" collapsed="false">
      <c r="A7" s="4" t="s">
        <v>7</v>
      </c>
      <c r="B7" s="5" t="s">
        <v>8</v>
      </c>
    </row>
    <row r="8" customFormat="false" ht="23.85" hidden="false" customHeight="false" outlineLevel="0" collapsed="false">
      <c r="A8" s="4" t="s">
        <v>9</v>
      </c>
      <c r="B8" s="5" t="s">
        <v>10</v>
      </c>
    </row>
    <row r="9" customFormat="false" ht="15" hidden="false" customHeight="false" outlineLevel="0" collapsed="false">
      <c r="A9" s="4" t="s">
        <v>11</v>
      </c>
      <c r="B9" s="5" t="s">
        <v>12</v>
      </c>
    </row>
    <row r="10" customFormat="false" ht="15" hidden="false" customHeight="false" outlineLevel="0" collapsed="false">
      <c r="A10" s="4" t="s">
        <v>13</v>
      </c>
      <c r="B10" s="5" t="s">
        <v>14</v>
      </c>
    </row>
    <row r="11" customFormat="false" ht="15" hidden="false" customHeight="false" outlineLevel="0" collapsed="false">
      <c r="A11" s="4" t="s">
        <v>15</v>
      </c>
      <c r="B11" s="5" t="s">
        <v>16</v>
      </c>
    </row>
    <row r="12" customFormat="false" ht="23.85" hidden="false" customHeight="false" outlineLevel="0" collapsed="false">
      <c r="A12" s="4" t="s">
        <v>17</v>
      </c>
      <c r="B12" s="5" t="s">
        <v>18</v>
      </c>
    </row>
    <row r="13" customFormat="false" ht="23.85" hidden="false" customHeight="false" outlineLevel="0" collapsed="false">
      <c r="A13" s="4" t="s">
        <v>19</v>
      </c>
      <c r="B13" s="5" t="s">
        <v>20</v>
      </c>
    </row>
    <row r="14" customFormat="false" ht="23.85" hidden="false" customHeight="false" outlineLevel="0" collapsed="false">
      <c r="A14" s="4" t="s">
        <v>21</v>
      </c>
      <c r="B14" s="5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  <col collapsed="false" customWidth="true" hidden="false" outlineLevel="0" max="3" min="3" style="0" width="34"/>
  </cols>
  <sheetData>
    <row r="1" customFormat="false" ht="15" hidden="false" customHeight="false" outlineLevel="0" collapsed="false">
      <c r="A1" s="1" t="s">
        <v>23</v>
      </c>
    </row>
    <row r="2" customFormat="false" ht="15" hidden="false" customHeight="false" outlineLevel="0" collapsed="false">
      <c r="A2" s="2" t="s">
        <v>24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25</v>
      </c>
      <c r="B5" s="3" t="s">
        <v>26</v>
      </c>
      <c r="C5" s="3" t="s">
        <v>27</v>
      </c>
    </row>
    <row r="6" customFormat="false" ht="35.05" hidden="false" customHeight="false" outlineLevel="0" collapsed="false">
      <c r="A6" s="5" t="s">
        <v>28</v>
      </c>
      <c r="B6" s="5" t="s">
        <v>29</v>
      </c>
      <c r="C6" s="5" t="s">
        <v>30</v>
      </c>
    </row>
    <row r="7" customFormat="false" ht="23.85" hidden="false" customHeight="false" outlineLevel="0" collapsed="false">
      <c r="A7" s="5" t="s">
        <v>31</v>
      </c>
      <c r="B7" s="5" t="s">
        <v>32</v>
      </c>
      <c r="C7" s="5" t="s">
        <v>33</v>
      </c>
    </row>
    <row r="8" customFormat="false" ht="35.05" hidden="false" customHeight="false" outlineLevel="0" collapsed="false">
      <c r="A8" s="5" t="s">
        <v>34</v>
      </c>
      <c r="B8" s="5" t="s">
        <v>35</v>
      </c>
      <c r="C8" s="5" t="s">
        <v>36</v>
      </c>
    </row>
    <row r="9" customFormat="false" ht="23.85" hidden="false" customHeight="false" outlineLevel="0" collapsed="false">
      <c r="A9" s="5" t="s">
        <v>37</v>
      </c>
      <c r="B9" s="5" t="s">
        <v>38</v>
      </c>
      <c r="C9" s="5" t="s">
        <v>39</v>
      </c>
    </row>
    <row r="10" customFormat="false" ht="35.05" hidden="false" customHeight="false" outlineLevel="0" collapsed="false">
      <c r="A10" s="5" t="s">
        <v>40</v>
      </c>
      <c r="B10" s="5" t="s">
        <v>41</v>
      </c>
      <c r="C10" s="5" t="s">
        <v>42</v>
      </c>
    </row>
    <row r="11" customFormat="false" ht="23.85" hidden="false" customHeight="false" outlineLevel="0" collapsed="false">
      <c r="A11" s="5" t="s">
        <v>43</v>
      </c>
      <c r="B11" s="5" t="s">
        <v>44</v>
      </c>
      <c r="C11" s="5" t="s">
        <v>45</v>
      </c>
    </row>
    <row r="12" customFormat="false" ht="35.05" hidden="false" customHeight="false" outlineLevel="0" collapsed="false">
      <c r="A12" s="5" t="s">
        <v>46</v>
      </c>
      <c r="B12" s="5" t="s">
        <v>47</v>
      </c>
      <c r="C12" s="5" t="s">
        <v>48</v>
      </c>
    </row>
    <row r="13" customFormat="false" ht="23.85" hidden="false" customHeight="false" outlineLevel="0" collapsed="false">
      <c r="A13" s="5" t="s">
        <v>49</v>
      </c>
      <c r="B13" s="5" t="s">
        <v>50</v>
      </c>
      <c r="C13" s="5" t="s">
        <v>51</v>
      </c>
    </row>
    <row r="14" customFormat="false" ht="35.05" hidden="false" customHeight="false" outlineLevel="0" collapsed="false">
      <c r="A14" s="5" t="s">
        <v>52</v>
      </c>
      <c r="B14" s="5" t="s">
        <v>53</v>
      </c>
      <c r="C14" s="5" t="s">
        <v>54</v>
      </c>
    </row>
    <row r="15" customFormat="false" ht="23.85" hidden="false" customHeight="false" outlineLevel="0" collapsed="false">
      <c r="A15" s="5" t="s">
        <v>55</v>
      </c>
      <c r="B15" s="5" t="s">
        <v>56</v>
      </c>
      <c r="C15" s="5" t="s">
        <v>57</v>
      </c>
    </row>
    <row r="16" customFormat="false" ht="35.05" hidden="false" customHeight="false" outlineLevel="0" collapsed="false">
      <c r="A16" s="5" t="s">
        <v>58</v>
      </c>
      <c r="B16" s="5" t="s">
        <v>59</v>
      </c>
      <c r="C16" s="5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0"/>
    <col collapsed="false" customWidth="true" hidden="false" outlineLevel="0" max="3" min="3" style="0" width="55"/>
  </cols>
  <sheetData>
    <row r="1" customFormat="false" ht="15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3" customFormat="false" ht="15" hidden="false" customHeight="false" outlineLevel="0" collapsed="false">
      <c r="A3" s="2" t="s">
        <v>20</v>
      </c>
    </row>
    <row r="5" customFormat="false" ht="15" hidden="false" customHeight="false" outlineLevel="0" collapsed="false">
      <c r="A5" s="3" t="s">
        <v>25</v>
      </c>
      <c r="B5" s="3" t="s">
        <v>63</v>
      </c>
      <c r="C5" s="3" t="s">
        <v>64</v>
      </c>
    </row>
    <row r="6" customFormat="false" ht="35.05" hidden="false" customHeight="false" outlineLevel="0" collapsed="false">
      <c r="A6" s="5" t="s">
        <v>65</v>
      </c>
      <c r="B6" s="5" t="s">
        <v>66</v>
      </c>
      <c r="C6" s="5" t="s">
        <v>67</v>
      </c>
    </row>
    <row r="7" customFormat="false" ht="23.85" hidden="false" customHeight="false" outlineLevel="0" collapsed="false">
      <c r="A7" s="5" t="s">
        <v>68</v>
      </c>
      <c r="B7" s="5" t="s">
        <v>69</v>
      </c>
      <c r="C7" s="5" t="s">
        <v>70</v>
      </c>
    </row>
    <row r="8" customFormat="false" ht="23.85" hidden="false" customHeight="false" outlineLevel="0" collapsed="false">
      <c r="A8" s="5" t="s">
        <v>71</v>
      </c>
      <c r="B8" s="5" t="s">
        <v>72</v>
      </c>
      <c r="C8" s="5" t="s">
        <v>73</v>
      </c>
    </row>
    <row r="9" customFormat="false" ht="15" hidden="false" customHeight="false" outlineLevel="0" collapsed="false">
      <c r="A9" s="5" t="s">
        <v>74</v>
      </c>
      <c r="B9" s="5" t="s">
        <v>75</v>
      </c>
      <c r="C9" s="5" t="s">
        <v>76</v>
      </c>
    </row>
    <row r="10" customFormat="false" ht="23.85" hidden="false" customHeight="false" outlineLevel="0" collapsed="false">
      <c r="A10" s="5" t="s">
        <v>77</v>
      </c>
      <c r="B10" s="5" t="s">
        <v>78</v>
      </c>
      <c r="C10" s="5" t="s">
        <v>79</v>
      </c>
    </row>
    <row r="11" customFormat="false" ht="23.85" hidden="false" customHeight="false" outlineLevel="0" collapsed="false">
      <c r="A11" s="5" t="s">
        <v>80</v>
      </c>
      <c r="B11" s="5" t="s">
        <v>81</v>
      </c>
      <c r="C11" s="5" t="s">
        <v>82</v>
      </c>
    </row>
    <row r="12" customFormat="false" ht="23.85" hidden="false" customHeight="false" outlineLevel="0" collapsed="false">
      <c r="A12" s="5" t="s">
        <v>83</v>
      </c>
      <c r="B12" s="5" t="s">
        <v>84</v>
      </c>
      <c r="C12" s="5" t="s">
        <v>85</v>
      </c>
    </row>
    <row r="13" customFormat="false" ht="35.05" hidden="false" customHeight="false" outlineLevel="0" collapsed="false">
      <c r="A13" s="5" t="s">
        <v>19</v>
      </c>
      <c r="B13" s="5" t="s">
        <v>20</v>
      </c>
      <c r="C13" s="5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  <col collapsed="false" customWidth="true" hidden="false" outlineLevel="0" max="3" min="3" style="0" width="30"/>
  </cols>
  <sheetData>
    <row r="1" customFormat="false" ht="15" hidden="false" customHeight="false" outlineLevel="0" collapsed="false">
      <c r="A1" s="1" t="s">
        <v>87</v>
      </c>
    </row>
    <row r="2" customFormat="false" ht="15" hidden="false" customHeight="false" outlineLevel="0" collapsed="false">
      <c r="A2" s="2" t="s">
        <v>88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25</v>
      </c>
      <c r="B5" s="3" t="s">
        <v>89</v>
      </c>
      <c r="C5" s="3" t="s">
        <v>90</v>
      </c>
    </row>
    <row r="6" customFormat="false" ht="23.85" hidden="false" customHeight="false" outlineLevel="0" collapsed="false">
      <c r="A6" s="5" t="s">
        <v>91</v>
      </c>
      <c r="B6" s="5" t="s">
        <v>92</v>
      </c>
      <c r="C6" s="5" t="s">
        <v>93</v>
      </c>
    </row>
    <row r="7" customFormat="false" ht="15" hidden="false" customHeight="false" outlineLevel="0" collapsed="false">
      <c r="A7" s="5" t="s">
        <v>94</v>
      </c>
      <c r="B7" s="5" t="s">
        <v>95</v>
      </c>
      <c r="C7" s="5" t="s">
        <v>96</v>
      </c>
    </row>
    <row r="8" customFormat="false" ht="23.85" hidden="false" customHeight="false" outlineLevel="0" collapsed="false">
      <c r="A8" s="5" t="s">
        <v>97</v>
      </c>
      <c r="B8" s="5" t="s">
        <v>98</v>
      </c>
      <c r="C8" s="5" t="s">
        <v>99</v>
      </c>
    </row>
    <row r="9" customFormat="false" ht="23.85" hidden="false" customHeight="false" outlineLevel="0" collapsed="false">
      <c r="A9" s="5" t="s">
        <v>100</v>
      </c>
      <c r="B9" s="5" t="s">
        <v>101</v>
      </c>
      <c r="C9" s="5" t="s">
        <v>102</v>
      </c>
    </row>
    <row r="10" customFormat="false" ht="15" hidden="false" customHeight="false" outlineLevel="0" collapsed="false">
      <c r="A10" s="5" t="s">
        <v>103</v>
      </c>
      <c r="B10" s="5" t="s">
        <v>104</v>
      </c>
      <c r="C10" s="5" t="s">
        <v>105</v>
      </c>
    </row>
    <row r="11" customFormat="false" ht="15" hidden="false" customHeight="false" outlineLevel="0" collapsed="false">
      <c r="A11" s="5" t="s">
        <v>106</v>
      </c>
      <c r="B11" s="5" t="s">
        <v>107</v>
      </c>
      <c r="C11" s="5" t="s">
        <v>108</v>
      </c>
    </row>
    <row r="12" customFormat="false" ht="15" hidden="false" customHeight="false" outlineLevel="0" collapsed="false">
      <c r="A12" s="5" t="s">
        <v>109</v>
      </c>
      <c r="B12" s="5" t="s">
        <v>110</v>
      </c>
      <c r="C12" s="5" t="s">
        <v>111</v>
      </c>
    </row>
    <row r="13" customFormat="false" ht="15" hidden="false" customHeight="false" outlineLevel="0" collapsed="false">
      <c r="A13" s="5" t="s">
        <v>112</v>
      </c>
      <c r="B13" s="5" t="s">
        <v>113</v>
      </c>
      <c r="C13" s="5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0"/>
    <col collapsed="false" customWidth="true" hidden="false" outlineLevel="0" max="3" min="3" style="0" width="34"/>
  </cols>
  <sheetData>
    <row r="1" customFormat="false" ht="15" hidden="false" customHeight="false" outlineLevel="0" collapsed="false">
      <c r="A1" s="1" t="s">
        <v>115</v>
      </c>
    </row>
    <row r="2" customFormat="false" ht="15" hidden="false" customHeight="false" outlineLevel="0" collapsed="false">
      <c r="A2" s="2" t="s">
        <v>116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117</v>
      </c>
    </row>
    <row r="6" customFormat="false" ht="15" hidden="false" customHeight="false" outlineLevel="0" collapsed="false">
      <c r="A6" s="5" t="s">
        <v>118</v>
      </c>
      <c r="B6" s="5" t="s">
        <v>119</v>
      </c>
      <c r="C6" s="5" t="s">
        <v>120</v>
      </c>
    </row>
    <row r="7" customFormat="false" ht="15" hidden="false" customHeight="false" outlineLevel="0" collapsed="false">
      <c r="A7" s="5" t="s">
        <v>121</v>
      </c>
      <c r="B7" s="5" t="s">
        <v>122</v>
      </c>
      <c r="C7" s="5" t="s">
        <v>123</v>
      </c>
    </row>
    <row r="8" customFormat="false" ht="35.05" hidden="false" customHeight="false" outlineLevel="0" collapsed="false">
      <c r="A8" s="5" t="s">
        <v>124</v>
      </c>
      <c r="B8" s="5" t="s">
        <v>125</v>
      </c>
      <c r="C8" s="5" t="s">
        <v>126</v>
      </c>
    </row>
    <row r="9" customFormat="false" ht="35.05" hidden="false" customHeight="false" outlineLevel="0" collapsed="false">
      <c r="A9" s="5" t="s">
        <v>127</v>
      </c>
      <c r="B9" s="5" t="s">
        <v>128</v>
      </c>
      <c r="C9" s="5" t="s">
        <v>129</v>
      </c>
    </row>
    <row r="10" customFormat="false" ht="23.85" hidden="false" customHeight="false" outlineLevel="0" collapsed="false">
      <c r="A10" s="5" t="s">
        <v>130</v>
      </c>
      <c r="B10" s="5" t="s">
        <v>131</v>
      </c>
      <c r="C10" s="5" t="s">
        <v>132</v>
      </c>
    </row>
    <row r="11" customFormat="false" ht="35.05" hidden="false" customHeight="false" outlineLevel="0" collapsed="false">
      <c r="A11" s="5" t="s">
        <v>133</v>
      </c>
      <c r="B11" s="5" t="s">
        <v>134</v>
      </c>
      <c r="C11" s="5" t="s">
        <v>135</v>
      </c>
    </row>
    <row r="12" customFormat="false" ht="23.85" hidden="false" customHeight="false" outlineLevel="0" collapsed="false">
      <c r="A12" s="5" t="s">
        <v>136</v>
      </c>
      <c r="B12" s="5" t="s">
        <v>137</v>
      </c>
      <c r="C12" s="5" t="s">
        <v>138</v>
      </c>
    </row>
    <row r="13" customFormat="false" ht="23.85" hidden="false" customHeight="false" outlineLevel="0" collapsed="false">
      <c r="A13" s="5" t="s">
        <v>139</v>
      </c>
      <c r="B13" s="5" t="s">
        <v>140</v>
      </c>
      <c r="C13" s="5" t="s">
        <v>141</v>
      </c>
    </row>
    <row r="14" customFormat="false" ht="35.05" hidden="false" customHeight="false" outlineLevel="0" collapsed="false">
      <c r="A14" s="5" t="s">
        <v>142</v>
      </c>
      <c r="B14" s="5" t="s">
        <v>143</v>
      </c>
      <c r="C14" s="5" t="s">
        <v>144</v>
      </c>
    </row>
    <row r="15" customFormat="false" ht="23.85" hidden="false" customHeight="false" outlineLevel="0" collapsed="false">
      <c r="A15" s="5" t="s">
        <v>145</v>
      </c>
      <c r="B15" s="5" t="s">
        <v>146</v>
      </c>
      <c r="C15" s="5" t="s">
        <v>147</v>
      </c>
    </row>
    <row r="16" customFormat="false" ht="23.85" hidden="false" customHeight="false" outlineLevel="0" collapsed="false">
      <c r="A16" s="5" t="s">
        <v>148</v>
      </c>
      <c r="B16" s="5" t="s">
        <v>149</v>
      </c>
      <c r="C16" s="5" t="s">
        <v>150</v>
      </c>
    </row>
    <row r="17" customFormat="false" ht="23.85" hidden="false" customHeight="false" outlineLevel="0" collapsed="false">
      <c r="A17" s="5" t="s">
        <v>151</v>
      </c>
      <c r="B17" s="5" t="s">
        <v>152</v>
      </c>
      <c r="C17" s="5" t="s">
        <v>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10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8"/>
    <col collapsed="false" customWidth="true" hidden="false" outlineLevel="0" max="9" min="7" style="0" width="9"/>
    <col collapsed="false" customWidth="true" hidden="false" outlineLevel="0" max="10" min="10" style="0" width="60"/>
  </cols>
  <sheetData>
    <row r="1" customFormat="false" ht="15" hidden="false" customHeight="false" outlineLevel="0" collapsed="false">
      <c r="A1" s="1" t="s">
        <v>154</v>
      </c>
    </row>
    <row r="2" customFormat="false" ht="15" hidden="false" customHeight="false" outlineLevel="0" collapsed="false">
      <c r="A2" s="2" t="s">
        <v>155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156</v>
      </c>
      <c r="B5" s="3" t="s">
        <v>157</v>
      </c>
      <c r="C5" s="3" t="s">
        <v>158</v>
      </c>
      <c r="D5" s="3" t="s">
        <v>159</v>
      </c>
      <c r="E5" s="3" t="s">
        <v>160</v>
      </c>
      <c r="F5" s="3" t="s">
        <v>161</v>
      </c>
      <c r="G5" s="3" t="s">
        <v>162</v>
      </c>
      <c r="H5" s="3" t="s">
        <v>163</v>
      </c>
      <c r="I5" s="3" t="s">
        <v>164</v>
      </c>
      <c r="J5" s="3" t="s">
        <v>165</v>
      </c>
    </row>
    <row r="6" customFormat="false" ht="46.25" hidden="false" customHeight="false" outlineLevel="0" collapsed="false">
      <c r="A6" s="6" t="s">
        <v>166</v>
      </c>
      <c r="B6" s="7" t="s">
        <v>167</v>
      </c>
      <c r="C6" s="7" t="s">
        <v>168</v>
      </c>
      <c r="D6" s="7" t="s">
        <v>169</v>
      </c>
      <c r="E6" s="7" t="s">
        <v>170</v>
      </c>
      <c r="F6" s="8" t="n">
        <f aca="false">SUMPRODUCT((Results_Long!$A$2:$A$1348=$B6)*(Results_Long!$B$2:$B$1348=$C6)*(Results_Long!$C$2:$C$1348=$D6)*(Results_Long!$D$2:$D$1348=$E6)*ROW(Results_Long!$A$2:$A$1348))</f>
        <v>68</v>
      </c>
      <c r="G6" s="9" t="n">
        <f aca="false">IF(INDEX(Results_Long!$H:$H,$F6)="","NA",INDEX(Results_Long!$H:$H,$F6))</f>
        <v>2705</v>
      </c>
      <c r="H6" s="9" t="n">
        <f aca="false">IF(INDEX(Results_Long!$J:$J,$F6)="","NA",INDEX(Results_Long!$J:$J,$F6))</f>
        <v>112</v>
      </c>
      <c r="I6" s="6" t="n">
        <f aca="false">IF(INDEX(Results_Long!$AG:$AG,$F6)="","NA",INDEX(Results_Long!$AG:$AG,$F6))</f>
        <v>0.765</v>
      </c>
      <c r="J6" s="5" t="str">
        <f aca="false">IF(INDEX(Results_Long!$AJ:$AJ,$F6)="","NA",INDEX(Results_Long!$AJ:$AJ,$F6))</f>
        <v>calibration subset [H-Q14]: 200 full REML (ladder) + CR2/Satt refits at delta = 0.080000 (primary scenario; MDE above grid ceiling -&gt; calibrated at 0.08 (disclosed)); optimism = 0.80 - rejection rate (positive = stream optimistic); n effective = 200/200</v>
      </c>
    </row>
    <row r="7" customFormat="false" ht="46.25" hidden="false" customHeight="false" outlineLevel="0" collapsed="false">
      <c r="A7" s="6" t="s">
        <v>171</v>
      </c>
      <c r="B7" s="7" t="s">
        <v>167</v>
      </c>
      <c r="C7" s="7" t="s">
        <v>168</v>
      </c>
      <c r="D7" s="7" t="s">
        <v>169</v>
      </c>
      <c r="E7" s="7" t="s">
        <v>172</v>
      </c>
      <c r="F7" s="8" t="n">
        <f aca="false">SUMPRODUCT((Results_Long!$A$2:$A$1348=$B7)*(Results_Long!$B$2:$B$1348=$C7)*(Results_Long!$C$2:$C$1348=$D7)*(Results_Long!$D$2:$D$1348=$E7)*ROW(Results_Long!$A$2:$A$1348))</f>
        <v>69</v>
      </c>
      <c r="G7" s="9" t="str">
        <f aca="false">IF(INDEX(Results_Long!$H:$H,$F7)="","NA",INDEX(Results_Long!$H:$H,$F7))</f>
        <v>NA</v>
      </c>
      <c r="H7" s="9" t="str">
        <f aca="false">IF(INDEX(Results_Long!$J:$J,$F7)="","NA",INDEX(Results_Long!$J:$J,$F7))</f>
        <v>NA</v>
      </c>
      <c r="I7" s="6" t="n">
        <f aca="false">IF(INDEX(Results_Long!$AG:$AG,$F7)="","NA",INDEX(Results_Long!$AG:$AG,$F7))</f>
        <v>0.035</v>
      </c>
      <c r="J7" s="5" t="str">
        <f aca="false">IF(INDEX(Results_Long!$AJ:$AJ,$F7)="","NA",INDEX(Results_Long!$AJ:$AJ,$F7))</f>
        <v>calibration subset [H-Q14]: 200 full REML (ladder) + CR2/Satt refits at delta = 0.080000 (primary scenario; MDE above grid ceiling -&gt; calibrated at 0.08 (disclosed)); optimism = 0.80 - rejection rate (positive = stream optimistic); reported as a design row [DEC-045]</v>
      </c>
    </row>
    <row r="9" customFormat="false" ht="15" hidden="false" customHeight="false" outlineLevel="0" collapsed="false">
      <c r="A9" s="3" t="s">
        <v>156</v>
      </c>
      <c r="B9" s="3" t="s">
        <v>157</v>
      </c>
      <c r="C9" s="3" t="s">
        <v>158</v>
      </c>
      <c r="D9" s="3" t="s">
        <v>159</v>
      </c>
      <c r="E9" s="3" t="s">
        <v>160</v>
      </c>
      <c r="F9" s="3" t="s">
        <v>161</v>
      </c>
      <c r="G9" s="3" t="s">
        <v>173</v>
      </c>
      <c r="H9" s="3" t="s">
        <v>164</v>
      </c>
    </row>
    <row r="10" customFormat="false" ht="15" hidden="false" customHeight="false" outlineLevel="0" collapsed="false">
      <c r="A10" s="6" t="s">
        <v>174</v>
      </c>
      <c r="B10" s="7" t="s">
        <v>167</v>
      </c>
      <c r="C10" s="7" t="s">
        <v>175</v>
      </c>
      <c r="D10" s="7" t="s">
        <v>169</v>
      </c>
      <c r="E10" s="7" t="s">
        <v>176</v>
      </c>
      <c r="F10" s="8" t="n">
        <f aca="false">SUMPRODUCT((Results_Long!$A$2:$A$1348=$B10)*(Results_Long!$B$2:$B$1348=$C10)*(Results_Long!$C$2:$C$1348=$D10)*(Results_Long!$D$2:$D$1348=$E10)*ROW(Results_Long!$A$2:$A$1348))</f>
        <v>2</v>
      </c>
      <c r="G10" s="10" t="n">
        <f aca="false">IF(INDEX(Results_Long!$N:$N,$F10)="","NA",INDEX(Results_Long!$N:$N,$F10))</f>
        <v>11.5762593997269</v>
      </c>
      <c r="H10" s="6" t="n">
        <f aca="false">IF(INDEX(Results_Long!$AG:$AG,$F10)="","NA",INDEX(Results_Long!$AG:$AG,$F10))</f>
        <v>0.032</v>
      </c>
    </row>
    <row r="11" customFormat="false" ht="15" hidden="false" customHeight="false" outlineLevel="0" collapsed="false">
      <c r="A11" s="6" t="s">
        <v>177</v>
      </c>
      <c r="B11" s="7" t="s">
        <v>167</v>
      </c>
      <c r="C11" s="7" t="s">
        <v>175</v>
      </c>
      <c r="D11" s="7" t="s">
        <v>169</v>
      </c>
      <c r="E11" s="7" t="s">
        <v>178</v>
      </c>
      <c r="F11" s="8" t="n">
        <f aca="false">SUMPRODUCT((Results_Long!$A$2:$A$1348=$B11)*(Results_Long!$B$2:$B$1348=$C11)*(Results_Long!$C$2:$C$1348=$D11)*(Results_Long!$D$2:$D$1348=$E11)*ROW(Results_Long!$A$2:$A$1348))</f>
        <v>3</v>
      </c>
      <c r="G11" s="10" t="n">
        <f aca="false">IF(INDEX(Results_Long!$N:$N,$F11)="","NA",INDEX(Results_Long!$N:$N,$F11))</f>
        <v>11.5762593997269</v>
      </c>
      <c r="H11" s="6" t="n">
        <f aca="false">IF(INDEX(Results_Long!$AG:$AG,$F11)="","NA",INDEX(Results_Long!$AG:$AG,$F11))</f>
        <v>0.052</v>
      </c>
    </row>
    <row r="12" customFormat="false" ht="15" hidden="false" customHeight="false" outlineLevel="0" collapsed="false">
      <c r="A12" s="6" t="s">
        <v>179</v>
      </c>
      <c r="B12" s="7" t="s">
        <v>167</v>
      </c>
      <c r="C12" s="7" t="s">
        <v>175</v>
      </c>
      <c r="D12" s="7" t="s">
        <v>169</v>
      </c>
      <c r="E12" s="7" t="s">
        <v>180</v>
      </c>
      <c r="F12" s="8" t="n">
        <f aca="false">SUMPRODUCT((Results_Long!$A$2:$A$1348=$B12)*(Results_Long!$B$2:$B$1348=$C12)*(Results_Long!$C$2:$C$1348=$D12)*(Results_Long!$D$2:$D$1348=$E12)*ROW(Results_Long!$A$2:$A$1348))</f>
        <v>4</v>
      </c>
      <c r="G12" s="10" t="n">
        <f aca="false">IF(INDEX(Results_Long!$N:$N,$F12)="","NA",INDEX(Results_Long!$N:$N,$F12))</f>
        <v>11.5762593997269</v>
      </c>
      <c r="H12" s="6" t="n">
        <f aca="false">IF(INDEX(Results_Long!$AG:$AG,$F12)="","NA",INDEX(Results_Long!$AG:$AG,$F12))</f>
        <v>0.1142</v>
      </c>
    </row>
    <row r="13" customFormat="false" ht="15" hidden="false" customHeight="false" outlineLevel="0" collapsed="false">
      <c r="A13" s="6" t="s">
        <v>181</v>
      </c>
      <c r="B13" s="7" t="s">
        <v>167</v>
      </c>
      <c r="C13" s="7" t="s">
        <v>175</v>
      </c>
      <c r="D13" s="7" t="s">
        <v>169</v>
      </c>
      <c r="E13" s="7" t="s">
        <v>182</v>
      </c>
      <c r="F13" s="8" t="n">
        <f aca="false">SUMPRODUCT((Results_Long!$A$2:$A$1348=$B13)*(Results_Long!$B$2:$B$1348=$C13)*(Results_Long!$C$2:$C$1348=$D13)*(Results_Long!$D$2:$D$1348=$E13)*ROW(Results_Long!$A$2:$A$1348))</f>
        <v>5</v>
      </c>
      <c r="G13" s="10" t="n">
        <f aca="false">IF(INDEX(Results_Long!$N:$N,$F13)="","NA",INDEX(Results_Long!$N:$N,$F13))</f>
        <v>11.5762593997269</v>
      </c>
      <c r="H13" s="6" t="n">
        <f aca="false">IF(INDEX(Results_Long!$AG:$AG,$F13)="","NA",INDEX(Results_Long!$AG:$AG,$F13))</f>
        <v>0.238</v>
      </c>
    </row>
    <row r="14" customFormat="false" ht="15" hidden="false" customHeight="false" outlineLevel="0" collapsed="false">
      <c r="A14" s="6" t="s">
        <v>183</v>
      </c>
      <c r="B14" s="7" t="s">
        <v>167</v>
      </c>
      <c r="C14" s="7" t="s">
        <v>175</v>
      </c>
      <c r="D14" s="7" t="s">
        <v>169</v>
      </c>
      <c r="E14" s="7" t="s">
        <v>184</v>
      </c>
      <c r="F14" s="8" t="n">
        <f aca="false">SUMPRODUCT((Results_Long!$A$2:$A$1348=$B14)*(Results_Long!$B$2:$B$1348=$C14)*(Results_Long!$C$2:$C$1348=$D14)*(Results_Long!$D$2:$D$1348=$E14)*ROW(Results_Long!$A$2:$A$1348))</f>
        <v>6</v>
      </c>
      <c r="G14" s="10" t="n">
        <f aca="false">IF(INDEX(Results_Long!$N:$N,$F14)="","NA",INDEX(Results_Long!$N:$N,$F14))</f>
        <v>11.5762593997269</v>
      </c>
      <c r="H14" s="6" t="n">
        <f aca="false">IF(INDEX(Results_Long!$AG:$AG,$F14)="","NA",INDEX(Results_Long!$AG:$AG,$F14))</f>
        <v>0.4132</v>
      </c>
    </row>
    <row r="15" customFormat="false" ht="15" hidden="false" customHeight="false" outlineLevel="0" collapsed="false">
      <c r="A15" s="6" t="s">
        <v>185</v>
      </c>
      <c r="B15" s="7" t="s">
        <v>167</v>
      </c>
      <c r="C15" s="7" t="s">
        <v>175</v>
      </c>
      <c r="D15" s="7" t="s">
        <v>169</v>
      </c>
      <c r="E15" s="7" t="s">
        <v>186</v>
      </c>
      <c r="F15" s="8" t="n">
        <f aca="false">SUMPRODUCT((Results_Long!$A$2:$A$1348=$B15)*(Results_Long!$B$2:$B$1348=$C15)*(Results_Long!$C$2:$C$1348=$D15)*(Results_Long!$D$2:$D$1348=$E15)*ROW(Results_Long!$A$2:$A$1348))</f>
        <v>7</v>
      </c>
      <c r="G15" s="10" t="n">
        <f aca="false">IF(INDEX(Results_Long!$N:$N,$F15)="","NA",INDEX(Results_Long!$N:$N,$F15))</f>
        <v>11.5762593997269</v>
      </c>
      <c r="H15" s="6" t="n">
        <f aca="false">IF(INDEX(Results_Long!$AG:$AG,$F15)="","NA",INDEX(Results_Long!$AG:$AG,$F15))</f>
        <v>0.6004</v>
      </c>
    </row>
    <row r="16" customFormat="false" ht="15" hidden="false" customHeight="false" outlineLevel="0" collapsed="false">
      <c r="A16" s="6" t="s">
        <v>187</v>
      </c>
      <c r="B16" s="7" t="s">
        <v>167</v>
      </c>
      <c r="C16" s="7" t="s">
        <v>175</v>
      </c>
      <c r="D16" s="7" t="s">
        <v>169</v>
      </c>
      <c r="E16" s="7" t="s">
        <v>188</v>
      </c>
      <c r="F16" s="8" t="n">
        <f aca="false">SUMPRODUCT((Results_Long!$A$2:$A$1348=$B16)*(Results_Long!$B$2:$B$1348=$C16)*(Results_Long!$C$2:$C$1348=$D16)*(Results_Long!$D$2:$D$1348=$E16)*ROW(Results_Long!$A$2:$A$1348))</f>
        <v>8</v>
      </c>
      <c r="G16" s="10" t="n">
        <f aca="false">IF(INDEX(Results_Long!$N:$N,$F16)="","NA",INDEX(Results_Long!$N:$N,$F16))</f>
        <v>11.5762593997269</v>
      </c>
      <c r="H16" s="6" t="n">
        <f aca="false">IF(INDEX(Results_Long!$AG:$AG,$F16)="","NA",INDEX(Results_Long!$AG:$AG,$F16))</f>
        <v>0.7684</v>
      </c>
    </row>
    <row r="17" customFormat="false" ht="15" hidden="false" customHeight="false" outlineLevel="0" collapsed="false">
      <c r="A17" s="6" t="s">
        <v>189</v>
      </c>
      <c r="B17" s="7" t="s">
        <v>167</v>
      </c>
      <c r="C17" s="7" t="s">
        <v>175</v>
      </c>
      <c r="D17" s="7" t="s">
        <v>169</v>
      </c>
      <c r="E17" s="7" t="s">
        <v>190</v>
      </c>
      <c r="F17" s="8" t="n">
        <f aca="false">SUMPRODUCT((Results_Long!$A$2:$A$1348=$B17)*(Results_Long!$B$2:$B$1348=$C17)*(Results_Long!$C$2:$C$1348=$D17)*(Results_Long!$D$2:$D$1348=$E17)*ROW(Results_Long!$A$2:$A$1348))</f>
        <v>9</v>
      </c>
      <c r="G17" s="10" t="n">
        <f aca="false">IF(INDEX(Results_Long!$N:$N,$F17)="","NA",INDEX(Results_Long!$N:$N,$F17))</f>
        <v>11.5762593997269</v>
      </c>
      <c r="H17" s="6" t="n">
        <f aca="false">IF(INDEX(Results_Long!$AG:$AG,$F17)="","NA",INDEX(Results_Long!$AG:$AG,$F17))</f>
        <v>0.8868</v>
      </c>
    </row>
    <row r="18" customFormat="false" ht="15" hidden="false" customHeight="false" outlineLevel="0" collapsed="false">
      <c r="A18" s="6" t="s">
        <v>191</v>
      </c>
      <c r="B18" s="7" t="s">
        <v>167</v>
      </c>
      <c r="C18" s="7" t="s">
        <v>175</v>
      </c>
      <c r="D18" s="7" t="s">
        <v>169</v>
      </c>
      <c r="E18" s="7" t="s">
        <v>192</v>
      </c>
      <c r="F18" s="8" t="n">
        <f aca="false">SUMPRODUCT((Results_Long!$A$2:$A$1348=$B18)*(Results_Long!$B$2:$B$1348=$C18)*(Results_Long!$C$2:$C$1348=$D18)*(Results_Long!$D$2:$D$1348=$E18)*ROW(Results_Long!$A$2:$A$1348))</f>
        <v>10</v>
      </c>
      <c r="G18" s="10" t="n">
        <f aca="false">IF(INDEX(Results_Long!$N:$N,$F18)="","NA",INDEX(Results_Long!$N:$N,$F18))</f>
        <v>11.5762593997269</v>
      </c>
      <c r="H18" s="6" t="n">
        <f aca="false">IF(INDEX(Results_Long!$AG:$AG,$F18)="","NA",INDEX(Results_Long!$AG:$AG,$F18))</f>
        <v>0.9526</v>
      </c>
    </row>
    <row r="19" customFormat="false" ht="15" hidden="false" customHeight="false" outlineLevel="0" collapsed="false">
      <c r="A19" s="6" t="s">
        <v>193</v>
      </c>
      <c r="B19" s="7" t="s">
        <v>167</v>
      </c>
      <c r="C19" s="7" t="s">
        <v>175</v>
      </c>
      <c r="D19" s="7" t="s">
        <v>169</v>
      </c>
      <c r="E19" s="7" t="s">
        <v>194</v>
      </c>
      <c r="F19" s="8" t="n">
        <f aca="false">SUMPRODUCT((Results_Long!$A$2:$A$1348=$B19)*(Results_Long!$B$2:$B$1348=$C19)*(Results_Long!$C$2:$C$1348=$D19)*(Results_Long!$D$2:$D$1348=$E19)*ROW(Results_Long!$A$2:$A$1348))</f>
        <v>11</v>
      </c>
      <c r="G19" s="10" t="n">
        <f aca="false">IF(INDEX(Results_Long!$N:$N,$F19)="","NA",INDEX(Results_Long!$N:$N,$F19))</f>
        <v>11.5762593997269</v>
      </c>
      <c r="H19" s="6" t="n">
        <f aca="false">IF(INDEX(Results_Long!$AG:$AG,$F19)="","NA",INDEX(Results_Long!$AG:$AG,$F19))</f>
        <v>0.0626689189189189</v>
      </c>
    </row>
    <row r="20" customFormat="false" ht="15" hidden="false" customHeight="false" outlineLevel="0" collapsed="false">
      <c r="A20" s="6" t="s">
        <v>195</v>
      </c>
      <c r="B20" s="7" t="s">
        <v>167</v>
      </c>
      <c r="C20" s="7" t="s">
        <v>175</v>
      </c>
      <c r="D20" s="7" t="s">
        <v>169</v>
      </c>
      <c r="E20" s="7" t="s">
        <v>196</v>
      </c>
      <c r="F20" s="8" t="n">
        <f aca="false">SUMPRODUCT((Results_Long!$A$2:$A$1348=$B20)*(Results_Long!$B$2:$B$1348=$C20)*(Results_Long!$C$2:$C$1348=$D20)*(Results_Long!$D$2:$D$1348=$E20)*ROW(Results_Long!$A$2:$A$1348))</f>
        <v>12</v>
      </c>
      <c r="G20" s="10" t="n">
        <f aca="false">IF(INDEX(Results_Long!$N:$N,$F20)="","NA",INDEX(Results_Long!$N:$N,$F20))</f>
        <v>11.5762593997269</v>
      </c>
      <c r="H20" s="6" t="n">
        <f aca="false">IF(INDEX(Results_Long!$AG:$AG,$F20)="","NA",INDEX(Results_Long!$AG:$AG,$F20))</f>
        <v>0.0720060790273556</v>
      </c>
    </row>
    <row r="21" customFormat="false" ht="15" hidden="false" customHeight="false" outlineLevel="0" collapsed="false">
      <c r="A21" s="6" t="s">
        <v>197</v>
      </c>
      <c r="B21" s="7" t="s">
        <v>167</v>
      </c>
      <c r="C21" s="7" t="s">
        <v>198</v>
      </c>
      <c r="D21" s="7" t="s">
        <v>169</v>
      </c>
      <c r="E21" s="7" t="s">
        <v>176</v>
      </c>
      <c r="F21" s="8" t="n">
        <f aca="false">SUMPRODUCT((Results_Long!$A$2:$A$1348=$B21)*(Results_Long!$B$2:$B$1348=$C21)*(Results_Long!$C$2:$C$1348=$D21)*(Results_Long!$D$2:$D$1348=$E21)*ROW(Results_Long!$A$2:$A$1348))</f>
        <v>13</v>
      </c>
      <c r="G21" s="10" t="n">
        <f aca="false">IF(INDEX(Results_Long!$N:$N,$F21)="","NA",INDEX(Results_Long!$N:$N,$F21))</f>
        <v>11.8193607570982</v>
      </c>
      <c r="H21" s="6" t="n">
        <f aca="false">IF(INDEX(Results_Long!$AG:$AG,$F21)="","NA",INDEX(Results_Long!$AG:$AG,$F21))</f>
        <v>0.0344</v>
      </c>
    </row>
    <row r="22" customFormat="false" ht="15" hidden="false" customHeight="false" outlineLevel="0" collapsed="false">
      <c r="A22" s="6" t="s">
        <v>199</v>
      </c>
      <c r="B22" s="7" t="s">
        <v>167</v>
      </c>
      <c r="C22" s="7" t="s">
        <v>198</v>
      </c>
      <c r="D22" s="7" t="s">
        <v>169</v>
      </c>
      <c r="E22" s="7" t="s">
        <v>178</v>
      </c>
      <c r="F22" s="8" t="n">
        <f aca="false">SUMPRODUCT((Results_Long!$A$2:$A$1348=$B22)*(Results_Long!$B$2:$B$1348=$C22)*(Results_Long!$C$2:$C$1348=$D22)*(Results_Long!$D$2:$D$1348=$E22)*ROW(Results_Long!$A$2:$A$1348))</f>
        <v>14</v>
      </c>
      <c r="G22" s="10" t="n">
        <f aca="false">IF(INDEX(Results_Long!$N:$N,$F22)="","NA",INDEX(Results_Long!$N:$N,$F22))</f>
        <v>11.8193607570982</v>
      </c>
      <c r="H22" s="6" t="n">
        <f aca="false">IF(INDEX(Results_Long!$AG:$AG,$F22)="","NA",INDEX(Results_Long!$AG:$AG,$F22))</f>
        <v>0.0502</v>
      </c>
    </row>
    <row r="23" customFormat="false" ht="15" hidden="false" customHeight="false" outlineLevel="0" collapsed="false">
      <c r="A23" s="6" t="s">
        <v>200</v>
      </c>
      <c r="B23" s="7" t="s">
        <v>167</v>
      </c>
      <c r="C23" s="7" t="s">
        <v>198</v>
      </c>
      <c r="D23" s="7" t="s">
        <v>169</v>
      </c>
      <c r="E23" s="7" t="s">
        <v>180</v>
      </c>
      <c r="F23" s="8" t="n">
        <f aca="false">SUMPRODUCT((Results_Long!$A$2:$A$1348=$B23)*(Results_Long!$B$2:$B$1348=$C23)*(Results_Long!$C$2:$C$1348=$D23)*(Results_Long!$D$2:$D$1348=$E23)*ROW(Results_Long!$A$2:$A$1348))</f>
        <v>15</v>
      </c>
      <c r="G23" s="10" t="n">
        <f aca="false">IF(INDEX(Results_Long!$N:$N,$F23)="","NA",INDEX(Results_Long!$N:$N,$F23))</f>
        <v>11.8193607570982</v>
      </c>
      <c r="H23" s="6" t="n">
        <f aca="false">IF(INDEX(Results_Long!$AG:$AG,$F23)="","NA",INDEX(Results_Long!$AG:$AG,$F23))</f>
        <v>0.085</v>
      </c>
    </row>
    <row r="24" customFormat="false" ht="15" hidden="false" customHeight="false" outlineLevel="0" collapsed="false">
      <c r="A24" s="6" t="s">
        <v>201</v>
      </c>
      <c r="B24" s="7" t="s">
        <v>167</v>
      </c>
      <c r="C24" s="7" t="s">
        <v>198</v>
      </c>
      <c r="D24" s="7" t="s">
        <v>169</v>
      </c>
      <c r="E24" s="7" t="s">
        <v>182</v>
      </c>
      <c r="F24" s="8" t="n">
        <f aca="false">SUMPRODUCT((Results_Long!$A$2:$A$1348=$B24)*(Results_Long!$B$2:$B$1348=$C24)*(Results_Long!$C$2:$C$1348=$D24)*(Results_Long!$D$2:$D$1348=$E24)*ROW(Results_Long!$A$2:$A$1348))</f>
        <v>16</v>
      </c>
      <c r="G24" s="10" t="n">
        <f aca="false">IF(INDEX(Results_Long!$N:$N,$F24)="","NA",INDEX(Results_Long!$N:$N,$F24))</f>
        <v>11.8193607570982</v>
      </c>
      <c r="H24" s="6" t="n">
        <f aca="false">IF(INDEX(Results_Long!$AG:$AG,$F24)="","NA",INDEX(Results_Long!$AG:$AG,$F24))</f>
        <v>0.1478</v>
      </c>
    </row>
    <row r="25" customFormat="false" ht="15" hidden="false" customHeight="false" outlineLevel="0" collapsed="false">
      <c r="A25" s="6" t="s">
        <v>202</v>
      </c>
      <c r="B25" s="7" t="s">
        <v>167</v>
      </c>
      <c r="C25" s="7" t="s">
        <v>198</v>
      </c>
      <c r="D25" s="7" t="s">
        <v>169</v>
      </c>
      <c r="E25" s="7" t="s">
        <v>184</v>
      </c>
      <c r="F25" s="8" t="n">
        <f aca="false">SUMPRODUCT((Results_Long!$A$2:$A$1348=$B25)*(Results_Long!$B$2:$B$1348=$C25)*(Results_Long!$C$2:$C$1348=$D25)*(Results_Long!$D$2:$D$1348=$E25)*ROW(Results_Long!$A$2:$A$1348))</f>
        <v>17</v>
      </c>
      <c r="G25" s="10" t="n">
        <f aca="false">IF(INDEX(Results_Long!$N:$N,$F25)="","NA",INDEX(Results_Long!$N:$N,$F25))</f>
        <v>11.8193607570982</v>
      </c>
      <c r="H25" s="6" t="n">
        <f aca="false">IF(INDEX(Results_Long!$AG:$AG,$F25)="","NA",INDEX(Results_Long!$AG:$AG,$F25))</f>
        <v>0.2384</v>
      </c>
    </row>
    <row r="26" customFormat="false" ht="15" hidden="false" customHeight="false" outlineLevel="0" collapsed="false">
      <c r="A26" s="6" t="s">
        <v>203</v>
      </c>
      <c r="B26" s="7" t="s">
        <v>167</v>
      </c>
      <c r="C26" s="7" t="s">
        <v>198</v>
      </c>
      <c r="D26" s="7" t="s">
        <v>169</v>
      </c>
      <c r="E26" s="7" t="s">
        <v>186</v>
      </c>
      <c r="F26" s="8" t="n">
        <f aca="false">SUMPRODUCT((Results_Long!$A$2:$A$1348=$B26)*(Results_Long!$B$2:$B$1348=$C26)*(Results_Long!$C$2:$C$1348=$D26)*(Results_Long!$D$2:$D$1348=$E26)*ROW(Results_Long!$A$2:$A$1348))</f>
        <v>18</v>
      </c>
      <c r="G26" s="10" t="n">
        <f aca="false">IF(INDEX(Results_Long!$N:$N,$F26)="","NA",INDEX(Results_Long!$N:$N,$F26))</f>
        <v>11.8193607570982</v>
      </c>
      <c r="H26" s="6" t="n">
        <f aca="false">IF(INDEX(Results_Long!$AG:$AG,$F26)="","NA",INDEX(Results_Long!$AG:$AG,$F26))</f>
        <v>0.3532</v>
      </c>
    </row>
    <row r="27" customFormat="false" ht="15" hidden="false" customHeight="false" outlineLevel="0" collapsed="false">
      <c r="A27" s="6" t="s">
        <v>204</v>
      </c>
      <c r="B27" s="7" t="s">
        <v>167</v>
      </c>
      <c r="C27" s="7" t="s">
        <v>198</v>
      </c>
      <c r="D27" s="7" t="s">
        <v>169</v>
      </c>
      <c r="E27" s="7" t="s">
        <v>188</v>
      </c>
      <c r="F27" s="8" t="n">
        <f aca="false">SUMPRODUCT((Results_Long!$A$2:$A$1348=$B27)*(Results_Long!$B$2:$B$1348=$C27)*(Results_Long!$C$2:$C$1348=$D27)*(Results_Long!$D$2:$D$1348=$E27)*ROW(Results_Long!$A$2:$A$1348))</f>
        <v>19</v>
      </c>
      <c r="G27" s="10" t="n">
        <f aca="false">IF(INDEX(Results_Long!$N:$N,$F27)="","NA",INDEX(Results_Long!$N:$N,$F27))</f>
        <v>11.8193607570982</v>
      </c>
      <c r="H27" s="6" t="n">
        <f aca="false">IF(INDEX(Results_Long!$AG:$AG,$F27)="","NA",INDEX(Results_Long!$AG:$AG,$F27))</f>
        <v>0.4792</v>
      </c>
    </row>
    <row r="28" customFormat="false" ht="15" hidden="false" customHeight="false" outlineLevel="0" collapsed="false">
      <c r="A28" s="6" t="s">
        <v>205</v>
      </c>
      <c r="B28" s="7" t="s">
        <v>167</v>
      </c>
      <c r="C28" s="7" t="s">
        <v>198</v>
      </c>
      <c r="D28" s="7" t="s">
        <v>169</v>
      </c>
      <c r="E28" s="7" t="s">
        <v>190</v>
      </c>
      <c r="F28" s="8" t="n">
        <f aca="false">SUMPRODUCT((Results_Long!$A$2:$A$1348=$B28)*(Results_Long!$B$2:$B$1348=$C28)*(Results_Long!$C$2:$C$1348=$D28)*(Results_Long!$D$2:$D$1348=$E28)*ROW(Results_Long!$A$2:$A$1348))</f>
        <v>20</v>
      </c>
      <c r="G28" s="10" t="n">
        <f aca="false">IF(INDEX(Results_Long!$N:$N,$F28)="","NA",INDEX(Results_Long!$N:$N,$F28))</f>
        <v>11.8193607570982</v>
      </c>
      <c r="H28" s="6" t="n">
        <f aca="false">IF(INDEX(Results_Long!$AG:$AG,$F28)="","NA",INDEX(Results_Long!$AG:$AG,$F28))</f>
        <v>0.6112</v>
      </c>
    </row>
    <row r="29" customFormat="false" ht="15" hidden="false" customHeight="false" outlineLevel="0" collapsed="false">
      <c r="A29" s="6" t="s">
        <v>206</v>
      </c>
      <c r="B29" s="7" t="s">
        <v>167</v>
      </c>
      <c r="C29" s="7" t="s">
        <v>198</v>
      </c>
      <c r="D29" s="7" t="s">
        <v>169</v>
      </c>
      <c r="E29" s="7" t="s">
        <v>192</v>
      </c>
      <c r="F29" s="8" t="n">
        <f aca="false">SUMPRODUCT((Results_Long!$A$2:$A$1348=$B29)*(Results_Long!$B$2:$B$1348=$C29)*(Results_Long!$C$2:$C$1348=$D29)*(Results_Long!$D$2:$D$1348=$E29)*ROW(Results_Long!$A$2:$A$1348))</f>
        <v>21</v>
      </c>
      <c r="G29" s="10" t="n">
        <f aca="false">IF(INDEX(Results_Long!$N:$N,$F29)="","NA",INDEX(Results_Long!$N:$N,$F29))</f>
        <v>11.8193607570982</v>
      </c>
      <c r="H29" s="6" t="n">
        <f aca="false">IF(INDEX(Results_Long!$AG:$AG,$F29)="","NA",INDEX(Results_Long!$AG:$AG,$F29))</f>
        <v>0.7304</v>
      </c>
    </row>
    <row r="30" customFormat="false" ht="15" hidden="false" customHeight="false" outlineLevel="0" collapsed="false">
      <c r="A30" s="6" t="s">
        <v>207</v>
      </c>
      <c r="B30" s="7" t="s">
        <v>167</v>
      </c>
      <c r="C30" s="7" t="s">
        <v>198</v>
      </c>
      <c r="D30" s="7" t="s">
        <v>169</v>
      </c>
      <c r="E30" s="7" t="s">
        <v>194</v>
      </c>
      <c r="F30" s="8" t="n">
        <f aca="false">SUMPRODUCT((Results_Long!$A$2:$A$1348=$B30)*(Results_Long!$B$2:$B$1348=$C30)*(Results_Long!$C$2:$C$1348=$D30)*(Results_Long!$D$2:$D$1348=$E30)*ROW(Results_Long!$A$2:$A$1348))</f>
        <v>22</v>
      </c>
      <c r="G30" s="10" t="n">
        <f aca="false">IF(INDEX(Results_Long!$N:$N,$F30)="","NA",INDEX(Results_Long!$N:$N,$F30))</f>
        <v>11.8193607570982</v>
      </c>
      <c r="H30" s="6" t="str">
        <f aca="false">IF(INDEX(Results_Long!$AG:$AG,$F30)="","NA",INDEX(Results_Long!$AG:$AG,$F30))</f>
        <v>NA</v>
      </c>
    </row>
    <row r="31" customFormat="false" ht="15" hidden="false" customHeight="false" outlineLevel="0" collapsed="false">
      <c r="A31" s="6" t="s">
        <v>208</v>
      </c>
      <c r="B31" s="7" t="s">
        <v>167</v>
      </c>
      <c r="C31" s="7" t="s">
        <v>198</v>
      </c>
      <c r="D31" s="7" t="s">
        <v>169</v>
      </c>
      <c r="E31" s="7" t="s">
        <v>196</v>
      </c>
      <c r="F31" s="8" t="n">
        <f aca="false">SUMPRODUCT((Results_Long!$A$2:$A$1348=$B31)*(Results_Long!$B$2:$B$1348=$C31)*(Results_Long!$C$2:$C$1348=$D31)*(Results_Long!$D$2:$D$1348=$E31)*ROW(Results_Long!$A$2:$A$1348))</f>
        <v>23</v>
      </c>
      <c r="G31" s="10" t="n">
        <f aca="false">IF(INDEX(Results_Long!$N:$N,$F31)="","NA",INDEX(Results_Long!$N:$N,$F31))</f>
        <v>11.8193607570982</v>
      </c>
      <c r="H31" s="6" t="str">
        <f aca="false">IF(INDEX(Results_Long!$AG:$AG,$F31)="","NA",INDEX(Results_Long!$AG:$AG,$F31))</f>
        <v>NA</v>
      </c>
    </row>
    <row r="32" customFormat="false" ht="15" hidden="false" customHeight="false" outlineLevel="0" collapsed="false">
      <c r="A32" s="6" t="s">
        <v>209</v>
      </c>
      <c r="B32" s="7" t="s">
        <v>167</v>
      </c>
      <c r="C32" s="7" t="s">
        <v>210</v>
      </c>
      <c r="D32" s="7" t="s">
        <v>169</v>
      </c>
      <c r="E32" s="7" t="s">
        <v>176</v>
      </c>
      <c r="F32" s="8" t="n">
        <f aca="false">SUMPRODUCT((Results_Long!$A$2:$A$1348=$B32)*(Results_Long!$B$2:$B$1348=$C32)*(Results_Long!$C$2:$C$1348=$D32)*(Results_Long!$D$2:$D$1348=$E32)*ROW(Results_Long!$A$2:$A$1348))</f>
        <v>24</v>
      </c>
      <c r="G32" s="10" t="n">
        <f aca="false">IF(INDEX(Results_Long!$N:$N,$F32)="","NA",INDEX(Results_Long!$N:$N,$F32))</f>
        <v>11.9756277743199</v>
      </c>
      <c r="H32" s="6" t="n">
        <f aca="false">IF(INDEX(Results_Long!$AG:$AG,$F32)="","NA",INDEX(Results_Long!$AG:$AG,$F32))</f>
        <v>0.0364</v>
      </c>
    </row>
    <row r="33" customFormat="false" ht="15" hidden="false" customHeight="false" outlineLevel="0" collapsed="false">
      <c r="A33" s="6" t="s">
        <v>211</v>
      </c>
      <c r="B33" s="7" t="s">
        <v>167</v>
      </c>
      <c r="C33" s="7" t="s">
        <v>210</v>
      </c>
      <c r="D33" s="7" t="s">
        <v>169</v>
      </c>
      <c r="E33" s="7" t="s">
        <v>178</v>
      </c>
      <c r="F33" s="8" t="n">
        <f aca="false">SUMPRODUCT((Results_Long!$A$2:$A$1348=$B33)*(Results_Long!$B$2:$B$1348=$C33)*(Results_Long!$C$2:$C$1348=$D33)*(Results_Long!$D$2:$D$1348=$E33)*ROW(Results_Long!$A$2:$A$1348))</f>
        <v>25</v>
      </c>
      <c r="G33" s="10" t="n">
        <f aca="false">IF(INDEX(Results_Long!$N:$N,$F33)="","NA",INDEX(Results_Long!$N:$N,$F33))</f>
        <v>11.9756277743199</v>
      </c>
      <c r="H33" s="6" t="n">
        <f aca="false">IF(INDEX(Results_Long!$AG:$AG,$F33)="","NA",INDEX(Results_Long!$AG:$AG,$F33))</f>
        <v>0.0426</v>
      </c>
    </row>
    <row r="34" customFormat="false" ht="15" hidden="false" customHeight="false" outlineLevel="0" collapsed="false">
      <c r="A34" s="6" t="s">
        <v>212</v>
      </c>
      <c r="B34" s="7" t="s">
        <v>167</v>
      </c>
      <c r="C34" s="7" t="s">
        <v>210</v>
      </c>
      <c r="D34" s="7" t="s">
        <v>169</v>
      </c>
      <c r="E34" s="7" t="s">
        <v>180</v>
      </c>
      <c r="F34" s="8" t="n">
        <f aca="false">SUMPRODUCT((Results_Long!$A$2:$A$1348=$B34)*(Results_Long!$B$2:$B$1348=$C34)*(Results_Long!$C$2:$C$1348=$D34)*(Results_Long!$D$2:$D$1348=$E34)*ROW(Results_Long!$A$2:$A$1348))</f>
        <v>26</v>
      </c>
      <c r="G34" s="10" t="n">
        <f aca="false">IF(INDEX(Results_Long!$N:$N,$F34)="","NA",INDEX(Results_Long!$N:$N,$F34))</f>
        <v>11.9756277743199</v>
      </c>
      <c r="H34" s="6" t="n">
        <f aca="false">IF(INDEX(Results_Long!$AG:$AG,$F34)="","NA",INDEX(Results_Long!$AG:$AG,$F34))</f>
        <v>0.0638</v>
      </c>
    </row>
    <row r="35" customFormat="false" ht="15" hidden="false" customHeight="false" outlineLevel="0" collapsed="false">
      <c r="A35" s="6" t="s">
        <v>213</v>
      </c>
      <c r="B35" s="7" t="s">
        <v>167</v>
      </c>
      <c r="C35" s="7" t="s">
        <v>210</v>
      </c>
      <c r="D35" s="7" t="s">
        <v>169</v>
      </c>
      <c r="E35" s="7" t="s">
        <v>182</v>
      </c>
      <c r="F35" s="8" t="n">
        <f aca="false">SUMPRODUCT((Results_Long!$A$2:$A$1348=$B35)*(Results_Long!$B$2:$B$1348=$C35)*(Results_Long!$C$2:$C$1348=$D35)*(Results_Long!$D$2:$D$1348=$E35)*ROW(Results_Long!$A$2:$A$1348))</f>
        <v>27</v>
      </c>
      <c r="G35" s="10" t="n">
        <f aca="false">IF(INDEX(Results_Long!$N:$N,$F35)="","NA",INDEX(Results_Long!$N:$N,$F35))</f>
        <v>11.9756277743199</v>
      </c>
      <c r="H35" s="6" t="n">
        <f aca="false">IF(INDEX(Results_Long!$AG:$AG,$F35)="","NA",INDEX(Results_Long!$AG:$AG,$F35))</f>
        <v>0.0936</v>
      </c>
    </row>
    <row r="36" customFormat="false" ht="15" hidden="false" customHeight="false" outlineLevel="0" collapsed="false">
      <c r="A36" s="6" t="s">
        <v>214</v>
      </c>
      <c r="B36" s="7" t="s">
        <v>167</v>
      </c>
      <c r="C36" s="7" t="s">
        <v>210</v>
      </c>
      <c r="D36" s="7" t="s">
        <v>169</v>
      </c>
      <c r="E36" s="7" t="s">
        <v>184</v>
      </c>
      <c r="F36" s="8" t="n">
        <f aca="false">SUMPRODUCT((Results_Long!$A$2:$A$1348=$B36)*(Results_Long!$B$2:$B$1348=$C36)*(Results_Long!$C$2:$C$1348=$D36)*(Results_Long!$D$2:$D$1348=$E36)*ROW(Results_Long!$A$2:$A$1348))</f>
        <v>28</v>
      </c>
      <c r="G36" s="10" t="n">
        <f aca="false">IF(INDEX(Results_Long!$N:$N,$F36)="","NA",INDEX(Results_Long!$N:$N,$F36))</f>
        <v>11.9756277743199</v>
      </c>
      <c r="H36" s="6" t="n">
        <f aca="false">IF(INDEX(Results_Long!$AG:$AG,$F36)="","NA",INDEX(Results_Long!$AG:$AG,$F36))</f>
        <v>0.1446</v>
      </c>
    </row>
    <row r="37" customFormat="false" ht="15" hidden="false" customHeight="false" outlineLevel="0" collapsed="false">
      <c r="A37" s="6" t="s">
        <v>215</v>
      </c>
      <c r="B37" s="7" t="s">
        <v>167</v>
      </c>
      <c r="C37" s="7" t="s">
        <v>210</v>
      </c>
      <c r="D37" s="7" t="s">
        <v>169</v>
      </c>
      <c r="E37" s="7" t="s">
        <v>186</v>
      </c>
      <c r="F37" s="8" t="n">
        <f aca="false">SUMPRODUCT((Results_Long!$A$2:$A$1348=$B37)*(Results_Long!$B$2:$B$1348=$C37)*(Results_Long!$C$2:$C$1348=$D37)*(Results_Long!$D$2:$D$1348=$E37)*ROW(Results_Long!$A$2:$A$1348))</f>
        <v>29</v>
      </c>
      <c r="G37" s="10" t="n">
        <f aca="false">IF(INDEX(Results_Long!$N:$N,$F37)="","NA",INDEX(Results_Long!$N:$N,$F37))</f>
        <v>11.9756277743199</v>
      </c>
      <c r="H37" s="6" t="n">
        <f aca="false">IF(INDEX(Results_Long!$AG:$AG,$F37)="","NA",INDEX(Results_Long!$AG:$AG,$F37))</f>
        <v>0.2014</v>
      </c>
    </row>
    <row r="38" customFormat="false" ht="15" hidden="false" customHeight="false" outlineLevel="0" collapsed="false">
      <c r="A38" s="6" t="s">
        <v>216</v>
      </c>
      <c r="B38" s="7" t="s">
        <v>167</v>
      </c>
      <c r="C38" s="7" t="s">
        <v>210</v>
      </c>
      <c r="D38" s="7" t="s">
        <v>169</v>
      </c>
      <c r="E38" s="7" t="s">
        <v>188</v>
      </c>
      <c r="F38" s="8" t="n">
        <f aca="false">SUMPRODUCT((Results_Long!$A$2:$A$1348=$B38)*(Results_Long!$B$2:$B$1348=$C38)*(Results_Long!$C$2:$C$1348=$D38)*(Results_Long!$D$2:$D$1348=$E38)*ROW(Results_Long!$A$2:$A$1348))</f>
        <v>30</v>
      </c>
      <c r="G38" s="10" t="n">
        <f aca="false">IF(INDEX(Results_Long!$N:$N,$F38)="","NA",INDEX(Results_Long!$N:$N,$F38))</f>
        <v>11.9756277743199</v>
      </c>
      <c r="H38" s="6" t="n">
        <f aca="false">IF(INDEX(Results_Long!$AG:$AG,$F38)="","NA",INDEX(Results_Long!$AG:$AG,$F38))</f>
        <v>0.278</v>
      </c>
    </row>
    <row r="39" customFormat="false" ht="15" hidden="false" customHeight="false" outlineLevel="0" collapsed="false">
      <c r="A39" s="6" t="s">
        <v>217</v>
      </c>
      <c r="B39" s="7" t="s">
        <v>167</v>
      </c>
      <c r="C39" s="7" t="s">
        <v>210</v>
      </c>
      <c r="D39" s="7" t="s">
        <v>169</v>
      </c>
      <c r="E39" s="7" t="s">
        <v>190</v>
      </c>
      <c r="F39" s="8" t="n">
        <f aca="false">SUMPRODUCT((Results_Long!$A$2:$A$1348=$B39)*(Results_Long!$B$2:$B$1348=$C39)*(Results_Long!$C$2:$C$1348=$D39)*(Results_Long!$D$2:$D$1348=$E39)*ROW(Results_Long!$A$2:$A$1348))</f>
        <v>31</v>
      </c>
      <c r="G39" s="10" t="n">
        <f aca="false">IF(INDEX(Results_Long!$N:$N,$F39)="","NA",INDEX(Results_Long!$N:$N,$F39))</f>
        <v>11.9756277743199</v>
      </c>
      <c r="H39" s="6" t="n">
        <f aca="false">IF(INDEX(Results_Long!$AG:$AG,$F39)="","NA",INDEX(Results_Long!$AG:$AG,$F39))</f>
        <v>0.358</v>
      </c>
    </row>
    <row r="40" customFormat="false" ht="15" hidden="false" customHeight="false" outlineLevel="0" collapsed="false">
      <c r="A40" s="6" t="s">
        <v>218</v>
      </c>
      <c r="B40" s="7" t="s">
        <v>167</v>
      </c>
      <c r="C40" s="7" t="s">
        <v>210</v>
      </c>
      <c r="D40" s="7" t="s">
        <v>169</v>
      </c>
      <c r="E40" s="7" t="s">
        <v>192</v>
      </c>
      <c r="F40" s="8" t="n">
        <f aca="false">SUMPRODUCT((Results_Long!$A$2:$A$1348=$B40)*(Results_Long!$B$2:$B$1348=$C40)*(Results_Long!$C$2:$C$1348=$D40)*(Results_Long!$D$2:$D$1348=$E40)*ROW(Results_Long!$A$2:$A$1348))</f>
        <v>32</v>
      </c>
      <c r="G40" s="10" t="n">
        <f aca="false">IF(INDEX(Results_Long!$N:$N,$F40)="","NA",INDEX(Results_Long!$N:$N,$F40))</f>
        <v>11.9756277743199</v>
      </c>
      <c r="H40" s="6" t="n">
        <f aca="false">IF(INDEX(Results_Long!$AG:$AG,$F40)="","NA",INDEX(Results_Long!$AG:$AG,$F40))</f>
        <v>0.4476</v>
      </c>
    </row>
    <row r="41" customFormat="false" ht="15" hidden="false" customHeight="false" outlineLevel="0" collapsed="false">
      <c r="A41" s="6" t="s">
        <v>219</v>
      </c>
      <c r="B41" s="7" t="s">
        <v>167</v>
      </c>
      <c r="C41" s="7" t="s">
        <v>210</v>
      </c>
      <c r="D41" s="7" t="s">
        <v>169</v>
      </c>
      <c r="E41" s="7" t="s">
        <v>194</v>
      </c>
      <c r="F41" s="8" t="n">
        <f aca="false">SUMPRODUCT((Results_Long!$A$2:$A$1348=$B41)*(Results_Long!$B$2:$B$1348=$C41)*(Results_Long!$C$2:$C$1348=$D41)*(Results_Long!$D$2:$D$1348=$E41)*ROW(Results_Long!$A$2:$A$1348))</f>
        <v>33</v>
      </c>
      <c r="G41" s="10" t="n">
        <f aca="false">IF(INDEX(Results_Long!$N:$N,$F41)="","NA",INDEX(Results_Long!$N:$N,$F41))</f>
        <v>11.9756277743199</v>
      </c>
      <c r="H41" s="6" t="str">
        <f aca="false">IF(INDEX(Results_Long!$AG:$AG,$F41)="","NA",INDEX(Results_Long!$AG:$AG,$F41))</f>
        <v>NA</v>
      </c>
    </row>
    <row r="42" customFormat="false" ht="15" hidden="false" customHeight="false" outlineLevel="0" collapsed="false">
      <c r="A42" s="6" t="s">
        <v>220</v>
      </c>
      <c r="B42" s="7" t="s">
        <v>167</v>
      </c>
      <c r="C42" s="7" t="s">
        <v>210</v>
      </c>
      <c r="D42" s="7" t="s">
        <v>169</v>
      </c>
      <c r="E42" s="7" t="s">
        <v>196</v>
      </c>
      <c r="F42" s="8" t="n">
        <f aca="false">SUMPRODUCT((Results_Long!$A$2:$A$1348=$B42)*(Results_Long!$B$2:$B$1348=$C42)*(Results_Long!$C$2:$C$1348=$D42)*(Results_Long!$D$2:$D$1348=$E42)*ROW(Results_Long!$A$2:$A$1348))</f>
        <v>34</v>
      </c>
      <c r="G42" s="10" t="n">
        <f aca="false">IF(INDEX(Results_Long!$N:$N,$F42)="","NA",INDEX(Results_Long!$N:$N,$F42))</f>
        <v>11.9756277743199</v>
      </c>
      <c r="H42" s="6" t="str">
        <f aca="false">IF(INDEX(Results_Long!$AG:$AG,$F42)="","NA",INDEX(Results_Long!$AG:$AG,$F42))</f>
        <v>NA</v>
      </c>
    </row>
    <row r="43" customFormat="false" ht="15" hidden="false" customHeight="false" outlineLevel="0" collapsed="false">
      <c r="A43" s="6" t="s">
        <v>221</v>
      </c>
      <c r="B43" s="7" t="s">
        <v>167</v>
      </c>
      <c r="C43" s="7" t="s">
        <v>222</v>
      </c>
      <c r="D43" s="7" t="s">
        <v>169</v>
      </c>
      <c r="E43" s="7" t="s">
        <v>176</v>
      </c>
      <c r="F43" s="8" t="n">
        <f aca="false">SUMPRODUCT((Results_Long!$A$2:$A$1348=$B43)*(Results_Long!$B$2:$B$1348=$C43)*(Results_Long!$C$2:$C$1348=$D43)*(Results_Long!$D$2:$D$1348=$E43)*ROW(Results_Long!$A$2:$A$1348))</f>
        <v>35</v>
      </c>
      <c r="G43" s="10" t="n">
        <f aca="false">IF(INDEX(Results_Long!$N:$N,$F43)="","NA",INDEX(Results_Long!$N:$N,$F43))</f>
        <v>12.7488548751876</v>
      </c>
      <c r="H43" s="6" t="n">
        <f aca="false">IF(INDEX(Results_Long!$AG:$AG,$F43)="","NA",INDEX(Results_Long!$AG:$AG,$F43))</f>
        <v>0.039</v>
      </c>
    </row>
    <row r="44" customFormat="false" ht="15" hidden="false" customHeight="false" outlineLevel="0" collapsed="false">
      <c r="A44" s="6" t="s">
        <v>223</v>
      </c>
      <c r="B44" s="7" t="s">
        <v>167</v>
      </c>
      <c r="C44" s="7" t="s">
        <v>222</v>
      </c>
      <c r="D44" s="7" t="s">
        <v>169</v>
      </c>
      <c r="E44" s="7" t="s">
        <v>178</v>
      </c>
      <c r="F44" s="8" t="n">
        <f aca="false">SUMPRODUCT((Results_Long!$A$2:$A$1348=$B44)*(Results_Long!$B$2:$B$1348=$C44)*(Results_Long!$C$2:$C$1348=$D44)*(Results_Long!$D$2:$D$1348=$E44)*ROW(Results_Long!$A$2:$A$1348))</f>
        <v>36</v>
      </c>
      <c r="G44" s="10" t="n">
        <f aca="false">IF(INDEX(Results_Long!$N:$N,$F44)="","NA",INDEX(Results_Long!$N:$N,$F44))</f>
        <v>12.7488548751876</v>
      </c>
      <c r="H44" s="6" t="n">
        <f aca="false">IF(INDEX(Results_Long!$AG:$AG,$F44)="","NA",INDEX(Results_Long!$AG:$AG,$F44))</f>
        <v>0.8244</v>
      </c>
    </row>
    <row r="45" customFormat="false" ht="15" hidden="false" customHeight="false" outlineLevel="0" collapsed="false">
      <c r="A45" s="6" t="s">
        <v>224</v>
      </c>
      <c r="B45" s="7" t="s">
        <v>167</v>
      </c>
      <c r="C45" s="7" t="s">
        <v>222</v>
      </c>
      <c r="D45" s="7" t="s">
        <v>169</v>
      </c>
      <c r="E45" s="7" t="s">
        <v>180</v>
      </c>
      <c r="F45" s="8" t="n">
        <f aca="false">SUMPRODUCT((Results_Long!$A$2:$A$1348=$B45)*(Results_Long!$B$2:$B$1348=$C45)*(Results_Long!$C$2:$C$1348=$D45)*(Results_Long!$D$2:$D$1348=$E45)*ROW(Results_Long!$A$2:$A$1348))</f>
        <v>37</v>
      </c>
      <c r="G45" s="10" t="n">
        <f aca="false">IF(INDEX(Results_Long!$N:$N,$F45)="","NA",INDEX(Results_Long!$N:$N,$F45))</f>
        <v>12.7488548751876</v>
      </c>
      <c r="H45" s="6" t="n">
        <f aca="false">IF(INDEX(Results_Long!$AG:$AG,$F45)="","NA",INDEX(Results_Long!$AG:$AG,$F45))</f>
        <v>1</v>
      </c>
    </row>
    <row r="46" customFormat="false" ht="15" hidden="false" customHeight="false" outlineLevel="0" collapsed="false">
      <c r="A46" s="6" t="s">
        <v>225</v>
      </c>
      <c r="B46" s="7" t="s">
        <v>167</v>
      </c>
      <c r="C46" s="7" t="s">
        <v>222</v>
      </c>
      <c r="D46" s="7" t="s">
        <v>169</v>
      </c>
      <c r="E46" s="7" t="s">
        <v>182</v>
      </c>
      <c r="F46" s="8" t="n">
        <f aca="false">SUMPRODUCT((Results_Long!$A$2:$A$1348=$B46)*(Results_Long!$B$2:$B$1348=$C46)*(Results_Long!$C$2:$C$1348=$D46)*(Results_Long!$D$2:$D$1348=$E46)*ROW(Results_Long!$A$2:$A$1348))</f>
        <v>38</v>
      </c>
      <c r="G46" s="10" t="n">
        <f aca="false">IF(INDEX(Results_Long!$N:$N,$F46)="","NA",INDEX(Results_Long!$N:$N,$F46))</f>
        <v>12.7488548751876</v>
      </c>
      <c r="H46" s="6" t="n">
        <f aca="false">IF(INDEX(Results_Long!$AG:$AG,$F46)="","NA",INDEX(Results_Long!$AG:$AG,$F46))</f>
        <v>1</v>
      </c>
    </row>
    <row r="47" customFormat="false" ht="15" hidden="false" customHeight="false" outlineLevel="0" collapsed="false">
      <c r="A47" s="6" t="s">
        <v>226</v>
      </c>
      <c r="B47" s="7" t="s">
        <v>167</v>
      </c>
      <c r="C47" s="7" t="s">
        <v>222</v>
      </c>
      <c r="D47" s="7" t="s">
        <v>169</v>
      </c>
      <c r="E47" s="7" t="s">
        <v>184</v>
      </c>
      <c r="F47" s="8" t="n">
        <f aca="false">SUMPRODUCT((Results_Long!$A$2:$A$1348=$B47)*(Results_Long!$B$2:$B$1348=$C47)*(Results_Long!$C$2:$C$1348=$D47)*(Results_Long!$D$2:$D$1348=$E47)*ROW(Results_Long!$A$2:$A$1348))</f>
        <v>39</v>
      </c>
      <c r="G47" s="10" t="n">
        <f aca="false">IF(INDEX(Results_Long!$N:$N,$F47)="","NA",INDEX(Results_Long!$N:$N,$F47))</f>
        <v>12.7488548751876</v>
      </c>
      <c r="H47" s="6" t="n">
        <f aca="false">IF(INDEX(Results_Long!$AG:$AG,$F47)="","NA",INDEX(Results_Long!$AG:$AG,$F47))</f>
        <v>1</v>
      </c>
    </row>
    <row r="48" customFormat="false" ht="15" hidden="false" customHeight="false" outlineLevel="0" collapsed="false">
      <c r="A48" s="6" t="s">
        <v>227</v>
      </c>
      <c r="B48" s="7" t="s">
        <v>167</v>
      </c>
      <c r="C48" s="7" t="s">
        <v>222</v>
      </c>
      <c r="D48" s="7" t="s">
        <v>169</v>
      </c>
      <c r="E48" s="7" t="s">
        <v>186</v>
      </c>
      <c r="F48" s="8" t="n">
        <f aca="false">SUMPRODUCT((Results_Long!$A$2:$A$1348=$B48)*(Results_Long!$B$2:$B$1348=$C48)*(Results_Long!$C$2:$C$1348=$D48)*(Results_Long!$D$2:$D$1348=$E48)*ROW(Results_Long!$A$2:$A$1348))</f>
        <v>40</v>
      </c>
      <c r="G48" s="10" t="n">
        <f aca="false">IF(INDEX(Results_Long!$N:$N,$F48)="","NA",INDEX(Results_Long!$N:$N,$F48))</f>
        <v>12.7488548751876</v>
      </c>
      <c r="H48" s="6" t="n">
        <f aca="false">IF(INDEX(Results_Long!$AG:$AG,$F48)="","NA",INDEX(Results_Long!$AG:$AG,$F48))</f>
        <v>1</v>
      </c>
    </row>
    <row r="49" customFormat="false" ht="15" hidden="false" customHeight="false" outlineLevel="0" collapsed="false">
      <c r="A49" s="6" t="s">
        <v>228</v>
      </c>
      <c r="B49" s="7" t="s">
        <v>167</v>
      </c>
      <c r="C49" s="7" t="s">
        <v>222</v>
      </c>
      <c r="D49" s="7" t="s">
        <v>169</v>
      </c>
      <c r="E49" s="7" t="s">
        <v>188</v>
      </c>
      <c r="F49" s="8" t="n">
        <f aca="false">SUMPRODUCT((Results_Long!$A$2:$A$1348=$B49)*(Results_Long!$B$2:$B$1348=$C49)*(Results_Long!$C$2:$C$1348=$D49)*(Results_Long!$D$2:$D$1348=$E49)*ROW(Results_Long!$A$2:$A$1348))</f>
        <v>41</v>
      </c>
      <c r="G49" s="10" t="n">
        <f aca="false">IF(INDEX(Results_Long!$N:$N,$F49)="","NA",INDEX(Results_Long!$N:$N,$F49))</f>
        <v>12.7488548751876</v>
      </c>
      <c r="H49" s="6" t="n">
        <f aca="false">IF(INDEX(Results_Long!$AG:$AG,$F49)="","NA",INDEX(Results_Long!$AG:$AG,$F49))</f>
        <v>1</v>
      </c>
    </row>
    <row r="50" customFormat="false" ht="15" hidden="false" customHeight="false" outlineLevel="0" collapsed="false">
      <c r="A50" s="6" t="s">
        <v>229</v>
      </c>
      <c r="B50" s="7" t="s">
        <v>167</v>
      </c>
      <c r="C50" s="7" t="s">
        <v>222</v>
      </c>
      <c r="D50" s="7" t="s">
        <v>169</v>
      </c>
      <c r="E50" s="7" t="s">
        <v>190</v>
      </c>
      <c r="F50" s="8" t="n">
        <f aca="false">SUMPRODUCT((Results_Long!$A$2:$A$1348=$B50)*(Results_Long!$B$2:$B$1348=$C50)*(Results_Long!$C$2:$C$1348=$D50)*(Results_Long!$D$2:$D$1348=$E50)*ROW(Results_Long!$A$2:$A$1348))</f>
        <v>42</v>
      </c>
      <c r="G50" s="10" t="n">
        <f aca="false">IF(INDEX(Results_Long!$N:$N,$F50)="","NA",INDEX(Results_Long!$N:$N,$F50))</f>
        <v>12.7488548751876</v>
      </c>
      <c r="H50" s="6" t="n">
        <f aca="false">IF(INDEX(Results_Long!$AG:$AG,$F50)="","NA",INDEX(Results_Long!$AG:$AG,$F50))</f>
        <v>1</v>
      </c>
    </row>
    <row r="51" customFormat="false" ht="15" hidden="false" customHeight="false" outlineLevel="0" collapsed="false">
      <c r="A51" s="6" t="s">
        <v>230</v>
      </c>
      <c r="B51" s="7" t="s">
        <v>167</v>
      </c>
      <c r="C51" s="7" t="s">
        <v>222</v>
      </c>
      <c r="D51" s="7" t="s">
        <v>169</v>
      </c>
      <c r="E51" s="7" t="s">
        <v>192</v>
      </c>
      <c r="F51" s="8" t="n">
        <f aca="false">SUMPRODUCT((Results_Long!$A$2:$A$1348=$B51)*(Results_Long!$B$2:$B$1348=$C51)*(Results_Long!$C$2:$C$1348=$D51)*(Results_Long!$D$2:$D$1348=$E51)*ROW(Results_Long!$A$2:$A$1348))</f>
        <v>43</v>
      </c>
      <c r="G51" s="10" t="n">
        <f aca="false">IF(INDEX(Results_Long!$N:$N,$F51)="","NA",INDEX(Results_Long!$N:$N,$F51))</f>
        <v>12.7488548751876</v>
      </c>
      <c r="H51" s="6" t="n">
        <f aca="false">IF(INDEX(Results_Long!$AG:$AG,$F51)="","NA",INDEX(Results_Long!$AG:$AG,$F51))</f>
        <v>1</v>
      </c>
    </row>
    <row r="52" customFormat="false" ht="15" hidden="false" customHeight="false" outlineLevel="0" collapsed="false">
      <c r="A52" s="6" t="s">
        <v>231</v>
      </c>
      <c r="B52" s="7" t="s">
        <v>167</v>
      </c>
      <c r="C52" s="7" t="s">
        <v>222</v>
      </c>
      <c r="D52" s="7" t="s">
        <v>169</v>
      </c>
      <c r="E52" s="7" t="s">
        <v>194</v>
      </c>
      <c r="F52" s="8" t="n">
        <f aca="false">SUMPRODUCT((Results_Long!$A$2:$A$1348=$B52)*(Results_Long!$B$2:$B$1348=$C52)*(Results_Long!$C$2:$C$1348=$D52)*(Results_Long!$D$2:$D$1348=$E52)*ROW(Results_Long!$A$2:$A$1348))</f>
        <v>44</v>
      </c>
      <c r="G52" s="10" t="n">
        <f aca="false">IF(INDEX(Results_Long!$N:$N,$F52)="","NA",INDEX(Results_Long!$N:$N,$F52))</f>
        <v>12.7488548751876</v>
      </c>
      <c r="H52" s="6" t="n">
        <f aca="false">IF(INDEX(Results_Long!$AG:$AG,$F52)="","NA",INDEX(Results_Long!$AG:$AG,$F52))</f>
        <v>0.00968933027756557</v>
      </c>
    </row>
    <row r="53" customFormat="false" ht="15" hidden="false" customHeight="false" outlineLevel="0" collapsed="false">
      <c r="A53" s="6" t="s">
        <v>232</v>
      </c>
      <c r="B53" s="7" t="s">
        <v>167</v>
      </c>
      <c r="C53" s="7" t="s">
        <v>222</v>
      </c>
      <c r="D53" s="7" t="s">
        <v>169</v>
      </c>
      <c r="E53" s="7" t="s">
        <v>196</v>
      </c>
      <c r="F53" s="8" t="n">
        <f aca="false">SUMPRODUCT((Results_Long!$A$2:$A$1348=$B53)*(Results_Long!$B$2:$B$1348=$C53)*(Results_Long!$C$2:$C$1348=$D53)*(Results_Long!$D$2:$D$1348=$E53)*ROW(Results_Long!$A$2:$A$1348))</f>
        <v>45</v>
      </c>
      <c r="G53" s="10" t="n">
        <f aca="false">IF(INDEX(Results_Long!$N:$N,$F53)="","NA",INDEX(Results_Long!$N:$N,$F53))</f>
        <v>12.7488548751876</v>
      </c>
      <c r="H53" s="6" t="n">
        <f aca="false">IF(INDEX(Results_Long!$AG:$AG,$F53)="","NA",INDEX(Results_Long!$AG:$AG,$F53))</f>
        <v>0.0143052391799544</v>
      </c>
    </row>
    <row r="54" customFormat="false" ht="15" hidden="false" customHeight="false" outlineLevel="0" collapsed="false">
      <c r="A54" s="6" t="s">
        <v>233</v>
      </c>
      <c r="B54" s="7" t="s">
        <v>167</v>
      </c>
      <c r="C54" s="7" t="s">
        <v>234</v>
      </c>
      <c r="D54" s="7" t="s">
        <v>169</v>
      </c>
      <c r="E54" s="7" t="s">
        <v>176</v>
      </c>
      <c r="F54" s="8" t="n">
        <f aca="false">SUMPRODUCT((Results_Long!$A$2:$A$1348=$B54)*(Results_Long!$B$2:$B$1348=$C54)*(Results_Long!$C$2:$C$1348=$D54)*(Results_Long!$D$2:$D$1348=$E54)*ROW(Results_Long!$A$2:$A$1348))</f>
        <v>46</v>
      </c>
      <c r="G54" s="10" t="n">
        <f aca="false">IF(INDEX(Results_Long!$N:$N,$F54)="","NA",INDEX(Results_Long!$N:$N,$F54))</f>
        <v>11.076163688948</v>
      </c>
      <c r="H54" s="6" t="n">
        <f aca="false">IF(INDEX(Results_Long!$AG:$AG,$F54)="","NA",INDEX(Results_Long!$AG:$AG,$F54))</f>
        <v>0.0332</v>
      </c>
    </row>
    <row r="55" customFormat="false" ht="15" hidden="false" customHeight="false" outlineLevel="0" collapsed="false">
      <c r="A55" s="6" t="s">
        <v>235</v>
      </c>
      <c r="B55" s="7" t="s">
        <v>167</v>
      </c>
      <c r="C55" s="7" t="s">
        <v>234</v>
      </c>
      <c r="D55" s="7" t="s">
        <v>169</v>
      </c>
      <c r="E55" s="7" t="s">
        <v>178</v>
      </c>
      <c r="F55" s="8" t="n">
        <f aca="false">SUMPRODUCT((Results_Long!$A$2:$A$1348=$B55)*(Results_Long!$B$2:$B$1348=$C55)*(Results_Long!$C$2:$C$1348=$D55)*(Results_Long!$D$2:$D$1348=$E55)*ROW(Results_Long!$A$2:$A$1348))</f>
        <v>47</v>
      </c>
      <c r="G55" s="10" t="n">
        <f aca="false">IF(INDEX(Results_Long!$N:$N,$F55)="","NA",INDEX(Results_Long!$N:$N,$F55))</f>
        <v>11.076163688948</v>
      </c>
      <c r="H55" s="6" t="n">
        <f aca="false">IF(INDEX(Results_Long!$AG:$AG,$F55)="","NA",INDEX(Results_Long!$AG:$AG,$F55))</f>
        <v>0.5816</v>
      </c>
    </row>
    <row r="56" customFormat="false" ht="15" hidden="false" customHeight="false" outlineLevel="0" collapsed="false">
      <c r="A56" s="6" t="s">
        <v>236</v>
      </c>
      <c r="B56" s="7" t="s">
        <v>167</v>
      </c>
      <c r="C56" s="7" t="s">
        <v>234</v>
      </c>
      <c r="D56" s="7" t="s">
        <v>169</v>
      </c>
      <c r="E56" s="7" t="s">
        <v>180</v>
      </c>
      <c r="F56" s="8" t="n">
        <f aca="false">SUMPRODUCT((Results_Long!$A$2:$A$1348=$B56)*(Results_Long!$B$2:$B$1348=$C56)*(Results_Long!$C$2:$C$1348=$D56)*(Results_Long!$D$2:$D$1348=$E56)*ROW(Results_Long!$A$2:$A$1348))</f>
        <v>48</v>
      </c>
      <c r="G56" s="10" t="n">
        <f aca="false">IF(INDEX(Results_Long!$N:$N,$F56)="","NA",INDEX(Results_Long!$N:$N,$F56))</f>
        <v>11.076163688948</v>
      </c>
      <c r="H56" s="6" t="n">
        <f aca="false">IF(INDEX(Results_Long!$AG:$AG,$F56)="","NA",INDEX(Results_Long!$AG:$AG,$F56))</f>
        <v>0.9906</v>
      </c>
    </row>
    <row r="57" customFormat="false" ht="15" hidden="false" customHeight="false" outlineLevel="0" collapsed="false">
      <c r="A57" s="6" t="s">
        <v>237</v>
      </c>
      <c r="B57" s="7" t="s">
        <v>167</v>
      </c>
      <c r="C57" s="7" t="s">
        <v>234</v>
      </c>
      <c r="D57" s="7" t="s">
        <v>169</v>
      </c>
      <c r="E57" s="7" t="s">
        <v>182</v>
      </c>
      <c r="F57" s="8" t="n">
        <f aca="false">SUMPRODUCT((Results_Long!$A$2:$A$1348=$B57)*(Results_Long!$B$2:$B$1348=$C57)*(Results_Long!$C$2:$C$1348=$D57)*(Results_Long!$D$2:$D$1348=$E57)*ROW(Results_Long!$A$2:$A$1348))</f>
        <v>49</v>
      </c>
      <c r="G57" s="10" t="n">
        <f aca="false">IF(INDEX(Results_Long!$N:$N,$F57)="","NA",INDEX(Results_Long!$N:$N,$F57))</f>
        <v>11.076163688948</v>
      </c>
      <c r="H57" s="6" t="n">
        <f aca="false">IF(INDEX(Results_Long!$AG:$AG,$F57)="","NA",INDEX(Results_Long!$AG:$AG,$F57))</f>
        <v>1</v>
      </c>
    </row>
    <row r="58" customFormat="false" ht="15" hidden="false" customHeight="false" outlineLevel="0" collapsed="false">
      <c r="A58" s="6" t="s">
        <v>238</v>
      </c>
      <c r="B58" s="7" t="s">
        <v>167</v>
      </c>
      <c r="C58" s="7" t="s">
        <v>234</v>
      </c>
      <c r="D58" s="7" t="s">
        <v>169</v>
      </c>
      <c r="E58" s="7" t="s">
        <v>184</v>
      </c>
      <c r="F58" s="8" t="n">
        <f aca="false">SUMPRODUCT((Results_Long!$A$2:$A$1348=$B58)*(Results_Long!$B$2:$B$1348=$C58)*(Results_Long!$C$2:$C$1348=$D58)*(Results_Long!$D$2:$D$1348=$E58)*ROW(Results_Long!$A$2:$A$1348))</f>
        <v>50</v>
      </c>
      <c r="G58" s="10" t="n">
        <f aca="false">IF(INDEX(Results_Long!$N:$N,$F58)="","NA",INDEX(Results_Long!$N:$N,$F58))</f>
        <v>11.076163688948</v>
      </c>
      <c r="H58" s="6" t="n">
        <f aca="false">IF(INDEX(Results_Long!$AG:$AG,$F58)="","NA",INDEX(Results_Long!$AG:$AG,$F58))</f>
        <v>1</v>
      </c>
    </row>
    <row r="59" customFormat="false" ht="15" hidden="false" customHeight="false" outlineLevel="0" collapsed="false">
      <c r="A59" s="6" t="s">
        <v>239</v>
      </c>
      <c r="B59" s="7" t="s">
        <v>167</v>
      </c>
      <c r="C59" s="7" t="s">
        <v>234</v>
      </c>
      <c r="D59" s="7" t="s">
        <v>169</v>
      </c>
      <c r="E59" s="7" t="s">
        <v>186</v>
      </c>
      <c r="F59" s="8" t="n">
        <f aca="false">SUMPRODUCT((Results_Long!$A$2:$A$1348=$B59)*(Results_Long!$B$2:$B$1348=$C59)*(Results_Long!$C$2:$C$1348=$D59)*(Results_Long!$D$2:$D$1348=$E59)*ROW(Results_Long!$A$2:$A$1348))</f>
        <v>51</v>
      </c>
      <c r="G59" s="10" t="n">
        <f aca="false">IF(INDEX(Results_Long!$N:$N,$F59)="","NA",INDEX(Results_Long!$N:$N,$F59))</f>
        <v>11.076163688948</v>
      </c>
      <c r="H59" s="6" t="n">
        <f aca="false">IF(INDEX(Results_Long!$AG:$AG,$F59)="","NA",INDEX(Results_Long!$AG:$AG,$F59))</f>
        <v>1</v>
      </c>
    </row>
    <row r="60" customFormat="false" ht="15" hidden="false" customHeight="false" outlineLevel="0" collapsed="false">
      <c r="A60" s="6" t="s">
        <v>240</v>
      </c>
      <c r="B60" s="7" t="s">
        <v>167</v>
      </c>
      <c r="C60" s="7" t="s">
        <v>234</v>
      </c>
      <c r="D60" s="7" t="s">
        <v>169</v>
      </c>
      <c r="E60" s="7" t="s">
        <v>188</v>
      </c>
      <c r="F60" s="8" t="n">
        <f aca="false">SUMPRODUCT((Results_Long!$A$2:$A$1348=$B60)*(Results_Long!$B$2:$B$1348=$C60)*(Results_Long!$C$2:$C$1348=$D60)*(Results_Long!$D$2:$D$1348=$E60)*ROW(Results_Long!$A$2:$A$1348))</f>
        <v>52</v>
      </c>
      <c r="G60" s="10" t="n">
        <f aca="false">IF(INDEX(Results_Long!$N:$N,$F60)="","NA",INDEX(Results_Long!$N:$N,$F60))</f>
        <v>11.076163688948</v>
      </c>
      <c r="H60" s="6" t="n">
        <f aca="false">IF(INDEX(Results_Long!$AG:$AG,$F60)="","NA",INDEX(Results_Long!$AG:$AG,$F60))</f>
        <v>1</v>
      </c>
    </row>
    <row r="61" customFormat="false" ht="15" hidden="false" customHeight="false" outlineLevel="0" collapsed="false">
      <c r="A61" s="6" t="s">
        <v>241</v>
      </c>
      <c r="B61" s="7" t="s">
        <v>167</v>
      </c>
      <c r="C61" s="7" t="s">
        <v>234</v>
      </c>
      <c r="D61" s="7" t="s">
        <v>169</v>
      </c>
      <c r="E61" s="7" t="s">
        <v>190</v>
      </c>
      <c r="F61" s="8" t="n">
        <f aca="false">SUMPRODUCT((Results_Long!$A$2:$A$1348=$B61)*(Results_Long!$B$2:$B$1348=$C61)*(Results_Long!$C$2:$C$1348=$D61)*(Results_Long!$D$2:$D$1348=$E61)*ROW(Results_Long!$A$2:$A$1348))</f>
        <v>53</v>
      </c>
      <c r="G61" s="10" t="n">
        <f aca="false">IF(INDEX(Results_Long!$N:$N,$F61)="","NA",INDEX(Results_Long!$N:$N,$F61))</f>
        <v>11.076163688948</v>
      </c>
      <c r="H61" s="6" t="n">
        <f aca="false">IF(INDEX(Results_Long!$AG:$AG,$F61)="","NA",INDEX(Results_Long!$AG:$AG,$F61))</f>
        <v>1</v>
      </c>
    </row>
    <row r="62" customFormat="false" ht="15" hidden="false" customHeight="false" outlineLevel="0" collapsed="false">
      <c r="A62" s="6" t="s">
        <v>242</v>
      </c>
      <c r="B62" s="7" t="s">
        <v>167</v>
      </c>
      <c r="C62" s="7" t="s">
        <v>234</v>
      </c>
      <c r="D62" s="7" t="s">
        <v>169</v>
      </c>
      <c r="E62" s="7" t="s">
        <v>192</v>
      </c>
      <c r="F62" s="8" t="n">
        <f aca="false">SUMPRODUCT((Results_Long!$A$2:$A$1348=$B62)*(Results_Long!$B$2:$B$1348=$C62)*(Results_Long!$C$2:$C$1348=$D62)*(Results_Long!$D$2:$D$1348=$E62)*ROW(Results_Long!$A$2:$A$1348))</f>
        <v>54</v>
      </c>
      <c r="G62" s="10" t="n">
        <f aca="false">IF(INDEX(Results_Long!$N:$N,$F62)="","NA",INDEX(Results_Long!$N:$N,$F62))</f>
        <v>11.076163688948</v>
      </c>
      <c r="H62" s="6" t="n">
        <f aca="false">IF(INDEX(Results_Long!$AG:$AG,$F62)="","NA",INDEX(Results_Long!$AG:$AG,$F62))</f>
        <v>1</v>
      </c>
    </row>
    <row r="63" customFormat="false" ht="15" hidden="false" customHeight="false" outlineLevel="0" collapsed="false">
      <c r="A63" s="6" t="s">
        <v>243</v>
      </c>
      <c r="B63" s="7" t="s">
        <v>167</v>
      </c>
      <c r="C63" s="7" t="s">
        <v>234</v>
      </c>
      <c r="D63" s="7" t="s">
        <v>169</v>
      </c>
      <c r="E63" s="7" t="s">
        <v>194</v>
      </c>
      <c r="F63" s="8" t="n">
        <f aca="false">SUMPRODUCT((Results_Long!$A$2:$A$1348=$B63)*(Results_Long!$B$2:$B$1348=$C63)*(Results_Long!$C$2:$C$1348=$D63)*(Results_Long!$D$2:$D$1348=$E63)*ROW(Results_Long!$A$2:$A$1348))</f>
        <v>55</v>
      </c>
      <c r="G63" s="10" t="n">
        <f aca="false">IF(INDEX(Results_Long!$N:$N,$F63)="","NA",INDEX(Results_Long!$N:$N,$F63))</f>
        <v>11.076163688948</v>
      </c>
      <c r="H63" s="6" t="n">
        <f aca="false">IF(INDEX(Results_Long!$AG:$AG,$F63)="","NA",INDEX(Results_Long!$AG:$AG,$F63))</f>
        <v>0.0153398533007335</v>
      </c>
    </row>
    <row r="64" customFormat="false" ht="15" hidden="false" customHeight="false" outlineLevel="0" collapsed="false">
      <c r="A64" s="6" t="s">
        <v>244</v>
      </c>
      <c r="B64" s="7" t="s">
        <v>167</v>
      </c>
      <c r="C64" s="7" t="s">
        <v>234</v>
      </c>
      <c r="D64" s="7" t="s">
        <v>169</v>
      </c>
      <c r="E64" s="7" t="s">
        <v>196</v>
      </c>
      <c r="F64" s="8" t="n">
        <f aca="false">SUMPRODUCT((Results_Long!$A$2:$A$1348=$B64)*(Results_Long!$B$2:$B$1348=$C64)*(Results_Long!$C$2:$C$1348=$D64)*(Results_Long!$D$2:$D$1348=$E64)*ROW(Results_Long!$A$2:$A$1348))</f>
        <v>56</v>
      </c>
      <c r="G64" s="10" t="n">
        <f aca="false">IF(INDEX(Results_Long!$N:$N,$F64)="","NA",INDEX(Results_Long!$N:$N,$F64))</f>
        <v>11.076163688948</v>
      </c>
      <c r="H64" s="6" t="n">
        <f aca="false">IF(INDEX(Results_Long!$AG:$AG,$F64)="","NA",INDEX(Results_Long!$AG:$AG,$F64))</f>
        <v>0.0177848410757946</v>
      </c>
    </row>
    <row r="65" customFormat="false" ht="15" hidden="false" customHeight="false" outlineLevel="0" collapsed="false">
      <c r="A65" s="6" t="s">
        <v>245</v>
      </c>
      <c r="B65" s="7" t="s">
        <v>167</v>
      </c>
      <c r="C65" s="7" t="s">
        <v>246</v>
      </c>
      <c r="D65" s="7" t="s">
        <v>169</v>
      </c>
      <c r="E65" s="7" t="s">
        <v>176</v>
      </c>
      <c r="F65" s="8" t="n">
        <f aca="false">SUMPRODUCT((Results_Long!$A$2:$A$1348=$B65)*(Results_Long!$B$2:$B$1348=$C65)*(Results_Long!$C$2:$C$1348=$D65)*(Results_Long!$D$2:$D$1348=$E65)*ROW(Results_Long!$A$2:$A$1348))</f>
        <v>57</v>
      </c>
      <c r="G65" s="10" t="n">
        <f aca="false">IF(INDEX(Results_Long!$N:$N,$F65)="","NA",INDEX(Results_Long!$N:$N,$F65))</f>
        <v>10.4584018401236</v>
      </c>
      <c r="H65" s="6" t="n">
        <f aca="false">IF(INDEX(Results_Long!$AG:$AG,$F65)="","NA",INDEX(Results_Long!$AG:$AG,$F65))</f>
        <v>0.0342</v>
      </c>
    </row>
    <row r="66" customFormat="false" ht="15" hidden="false" customHeight="false" outlineLevel="0" collapsed="false">
      <c r="A66" s="6" t="s">
        <v>247</v>
      </c>
      <c r="B66" s="7" t="s">
        <v>167</v>
      </c>
      <c r="C66" s="7" t="s">
        <v>246</v>
      </c>
      <c r="D66" s="7" t="s">
        <v>169</v>
      </c>
      <c r="E66" s="7" t="s">
        <v>178</v>
      </c>
      <c r="F66" s="8" t="n">
        <f aca="false">SUMPRODUCT((Results_Long!$A$2:$A$1348=$B66)*(Results_Long!$B$2:$B$1348=$C66)*(Results_Long!$C$2:$C$1348=$D66)*(Results_Long!$D$2:$D$1348=$E66)*ROW(Results_Long!$A$2:$A$1348))</f>
        <v>58</v>
      </c>
      <c r="G66" s="10" t="n">
        <f aca="false">IF(INDEX(Results_Long!$N:$N,$F66)="","NA",INDEX(Results_Long!$N:$N,$F66))</f>
        <v>10.4584018401236</v>
      </c>
      <c r="H66" s="6" t="n">
        <f aca="false">IF(INDEX(Results_Long!$AG:$AG,$F66)="","NA",INDEX(Results_Long!$AG:$AG,$F66))</f>
        <v>0.3634</v>
      </c>
    </row>
    <row r="67" customFormat="false" ht="15" hidden="false" customHeight="false" outlineLevel="0" collapsed="false">
      <c r="A67" s="6" t="s">
        <v>248</v>
      </c>
      <c r="B67" s="7" t="s">
        <v>167</v>
      </c>
      <c r="C67" s="7" t="s">
        <v>246</v>
      </c>
      <c r="D67" s="7" t="s">
        <v>169</v>
      </c>
      <c r="E67" s="7" t="s">
        <v>180</v>
      </c>
      <c r="F67" s="8" t="n">
        <f aca="false">SUMPRODUCT((Results_Long!$A$2:$A$1348=$B67)*(Results_Long!$B$2:$B$1348=$C67)*(Results_Long!$C$2:$C$1348=$D67)*(Results_Long!$D$2:$D$1348=$E67)*ROW(Results_Long!$A$2:$A$1348))</f>
        <v>59</v>
      </c>
      <c r="G67" s="10" t="n">
        <f aca="false">IF(INDEX(Results_Long!$N:$N,$F67)="","NA",INDEX(Results_Long!$N:$N,$F67))</f>
        <v>10.4584018401236</v>
      </c>
      <c r="H67" s="6" t="n">
        <f aca="false">IF(INDEX(Results_Long!$AG:$AG,$F67)="","NA",INDEX(Results_Long!$AG:$AG,$F67))</f>
        <v>0.9136</v>
      </c>
    </row>
    <row r="68" customFormat="false" ht="15" hidden="false" customHeight="false" outlineLevel="0" collapsed="false">
      <c r="A68" s="6" t="s">
        <v>249</v>
      </c>
      <c r="B68" s="7" t="s">
        <v>167</v>
      </c>
      <c r="C68" s="7" t="s">
        <v>246</v>
      </c>
      <c r="D68" s="7" t="s">
        <v>169</v>
      </c>
      <c r="E68" s="7" t="s">
        <v>182</v>
      </c>
      <c r="F68" s="8" t="n">
        <f aca="false">SUMPRODUCT((Results_Long!$A$2:$A$1348=$B68)*(Results_Long!$B$2:$B$1348=$C68)*(Results_Long!$C$2:$C$1348=$D68)*(Results_Long!$D$2:$D$1348=$E68)*ROW(Results_Long!$A$2:$A$1348))</f>
        <v>60</v>
      </c>
      <c r="G68" s="10" t="n">
        <f aca="false">IF(INDEX(Results_Long!$N:$N,$F68)="","NA",INDEX(Results_Long!$N:$N,$F68))</f>
        <v>10.4584018401236</v>
      </c>
      <c r="H68" s="6" t="n">
        <f aca="false">IF(INDEX(Results_Long!$AG:$AG,$F68)="","NA",INDEX(Results_Long!$AG:$AG,$F68))</f>
        <v>0.9984</v>
      </c>
    </row>
    <row r="69" customFormat="false" ht="15" hidden="false" customHeight="false" outlineLevel="0" collapsed="false">
      <c r="A69" s="6" t="s">
        <v>250</v>
      </c>
      <c r="B69" s="7" t="s">
        <v>167</v>
      </c>
      <c r="C69" s="7" t="s">
        <v>246</v>
      </c>
      <c r="D69" s="7" t="s">
        <v>169</v>
      </c>
      <c r="E69" s="7" t="s">
        <v>184</v>
      </c>
      <c r="F69" s="8" t="n">
        <f aca="false">SUMPRODUCT((Results_Long!$A$2:$A$1348=$B69)*(Results_Long!$B$2:$B$1348=$C69)*(Results_Long!$C$2:$C$1348=$D69)*(Results_Long!$D$2:$D$1348=$E69)*ROW(Results_Long!$A$2:$A$1348))</f>
        <v>61</v>
      </c>
      <c r="G69" s="10" t="n">
        <f aca="false">IF(INDEX(Results_Long!$N:$N,$F69)="","NA",INDEX(Results_Long!$N:$N,$F69))</f>
        <v>10.4584018401236</v>
      </c>
      <c r="H69" s="6" t="n">
        <f aca="false">IF(INDEX(Results_Long!$AG:$AG,$F69)="","NA",INDEX(Results_Long!$AG:$AG,$F69))</f>
        <v>1</v>
      </c>
    </row>
    <row r="70" customFormat="false" ht="15" hidden="false" customHeight="false" outlineLevel="0" collapsed="false">
      <c r="A70" s="6" t="s">
        <v>251</v>
      </c>
      <c r="B70" s="7" t="s">
        <v>167</v>
      </c>
      <c r="C70" s="7" t="s">
        <v>246</v>
      </c>
      <c r="D70" s="7" t="s">
        <v>169</v>
      </c>
      <c r="E70" s="7" t="s">
        <v>186</v>
      </c>
      <c r="F70" s="8" t="n">
        <f aca="false">SUMPRODUCT((Results_Long!$A$2:$A$1348=$B70)*(Results_Long!$B$2:$B$1348=$C70)*(Results_Long!$C$2:$C$1348=$D70)*(Results_Long!$D$2:$D$1348=$E70)*ROW(Results_Long!$A$2:$A$1348))</f>
        <v>62</v>
      </c>
      <c r="G70" s="10" t="n">
        <f aca="false">IF(INDEX(Results_Long!$N:$N,$F70)="","NA",INDEX(Results_Long!$N:$N,$F70))</f>
        <v>10.4584018401236</v>
      </c>
      <c r="H70" s="6" t="n">
        <f aca="false">IF(INDEX(Results_Long!$AG:$AG,$F70)="","NA",INDEX(Results_Long!$AG:$AG,$F70))</f>
        <v>1</v>
      </c>
    </row>
    <row r="71" customFormat="false" ht="15" hidden="false" customHeight="false" outlineLevel="0" collapsed="false">
      <c r="A71" s="6" t="s">
        <v>252</v>
      </c>
      <c r="B71" s="7" t="s">
        <v>167</v>
      </c>
      <c r="C71" s="7" t="s">
        <v>246</v>
      </c>
      <c r="D71" s="7" t="s">
        <v>169</v>
      </c>
      <c r="E71" s="7" t="s">
        <v>188</v>
      </c>
      <c r="F71" s="8" t="n">
        <f aca="false">SUMPRODUCT((Results_Long!$A$2:$A$1348=$B71)*(Results_Long!$B$2:$B$1348=$C71)*(Results_Long!$C$2:$C$1348=$D71)*(Results_Long!$D$2:$D$1348=$E71)*ROW(Results_Long!$A$2:$A$1348))</f>
        <v>63</v>
      </c>
      <c r="G71" s="10" t="n">
        <f aca="false">IF(INDEX(Results_Long!$N:$N,$F71)="","NA",INDEX(Results_Long!$N:$N,$F71))</f>
        <v>10.4584018401236</v>
      </c>
      <c r="H71" s="6" t="n">
        <f aca="false">IF(INDEX(Results_Long!$AG:$AG,$F71)="","NA",INDEX(Results_Long!$AG:$AG,$F71))</f>
        <v>1</v>
      </c>
    </row>
    <row r="72" customFormat="false" ht="15" hidden="false" customHeight="false" outlineLevel="0" collapsed="false">
      <c r="A72" s="6" t="s">
        <v>253</v>
      </c>
      <c r="B72" s="7" t="s">
        <v>167</v>
      </c>
      <c r="C72" s="7" t="s">
        <v>246</v>
      </c>
      <c r="D72" s="7" t="s">
        <v>169</v>
      </c>
      <c r="E72" s="7" t="s">
        <v>190</v>
      </c>
      <c r="F72" s="8" t="n">
        <f aca="false">SUMPRODUCT((Results_Long!$A$2:$A$1348=$B72)*(Results_Long!$B$2:$B$1348=$C72)*(Results_Long!$C$2:$C$1348=$D72)*(Results_Long!$D$2:$D$1348=$E72)*ROW(Results_Long!$A$2:$A$1348))</f>
        <v>64</v>
      </c>
      <c r="G72" s="10" t="n">
        <f aca="false">IF(INDEX(Results_Long!$N:$N,$F72)="","NA",INDEX(Results_Long!$N:$N,$F72))</f>
        <v>10.4584018401236</v>
      </c>
      <c r="H72" s="6" t="n">
        <f aca="false">IF(INDEX(Results_Long!$AG:$AG,$F72)="","NA",INDEX(Results_Long!$AG:$AG,$F72))</f>
        <v>1</v>
      </c>
    </row>
    <row r="73" customFormat="false" ht="15" hidden="false" customHeight="false" outlineLevel="0" collapsed="false">
      <c r="A73" s="6" t="s">
        <v>254</v>
      </c>
      <c r="B73" s="7" t="s">
        <v>167</v>
      </c>
      <c r="C73" s="7" t="s">
        <v>246</v>
      </c>
      <c r="D73" s="7" t="s">
        <v>169</v>
      </c>
      <c r="E73" s="7" t="s">
        <v>192</v>
      </c>
      <c r="F73" s="8" t="n">
        <f aca="false">SUMPRODUCT((Results_Long!$A$2:$A$1348=$B73)*(Results_Long!$B$2:$B$1348=$C73)*(Results_Long!$C$2:$C$1348=$D73)*(Results_Long!$D$2:$D$1348=$E73)*ROW(Results_Long!$A$2:$A$1348))</f>
        <v>65</v>
      </c>
      <c r="G73" s="10" t="n">
        <f aca="false">IF(INDEX(Results_Long!$N:$N,$F73)="","NA",INDEX(Results_Long!$N:$N,$F73))</f>
        <v>10.4584018401236</v>
      </c>
      <c r="H73" s="6" t="n">
        <f aca="false">IF(INDEX(Results_Long!$AG:$AG,$F73)="","NA",INDEX(Results_Long!$AG:$AG,$F73))</f>
        <v>1</v>
      </c>
    </row>
    <row r="74" customFormat="false" ht="15" hidden="false" customHeight="false" outlineLevel="0" collapsed="false">
      <c r="A74" s="6" t="s">
        <v>255</v>
      </c>
      <c r="B74" s="7" t="s">
        <v>167</v>
      </c>
      <c r="C74" s="7" t="s">
        <v>246</v>
      </c>
      <c r="D74" s="7" t="s">
        <v>169</v>
      </c>
      <c r="E74" s="7" t="s">
        <v>194</v>
      </c>
      <c r="F74" s="8" t="n">
        <f aca="false">SUMPRODUCT((Results_Long!$A$2:$A$1348=$B74)*(Results_Long!$B$2:$B$1348=$C74)*(Results_Long!$C$2:$C$1348=$D74)*(Results_Long!$D$2:$D$1348=$E74)*ROW(Results_Long!$A$2:$A$1348))</f>
        <v>66</v>
      </c>
      <c r="G74" s="10" t="n">
        <f aca="false">IF(INDEX(Results_Long!$N:$N,$F74)="","NA",INDEX(Results_Long!$N:$N,$F74))</f>
        <v>10.4584018401236</v>
      </c>
      <c r="H74" s="6" t="n">
        <f aca="false">IF(INDEX(Results_Long!$AG:$AG,$F74)="","NA",INDEX(Results_Long!$AG:$AG,$F74))</f>
        <v>0.0179352962559069</v>
      </c>
    </row>
    <row r="75" customFormat="false" ht="15" hidden="false" customHeight="false" outlineLevel="0" collapsed="false">
      <c r="A75" s="6" t="s">
        <v>256</v>
      </c>
      <c r="B75" s="7" t="s">
        <v>167</v>
      </c>
      <c r="C75" s="7" t="s">
        <v>246</v>
      </c>
      <c r="D75" s="7" t="s">
        <v>169</v>
      </c>
      <c r="E75" s="7" t="s">
        <v>196</v>
      </c>
      <c r="F75" s="8" t="n">
        <f aca="false">SUMPRODUCT((Results_Long!$A$2:$A$1348=$B75)*(Results_Long!$B$2:$B$1348=$C75)*(Results_Long!$C$2:$C$1348=$D75)*(Results_Long!$D$2:$D$1348=$E75)*ROW(Results_Long!$A$2:$A$1348))</f>
        <v>67</v>
      </c>
      <c r="G75" s="10" t="n">
        <f aca="false">IF(INDEX(Results_Long!$N:$N,$F75)="","NA",INDEX(Results_Long!$N:$N,$F75))</f>
        <v>10.4584018401236</v>
      </c>
      <c r="H75" s="6" t="n">
        <f aca="false">IF(INDEX(Results_Long!$AG:$AG,$F75)="","NA",INDEX(Results_Long!$AG:$AG,$F75))</f>
        <v>0.0197528171573973</v>
      </c>
    </row>
    <row r="77" customFormat="false" ht="15" hidden="false" customHeight="false" outlineLevel="0" collapsed="false">
      <c r="A77" s="11" t="s">
        <v>257</v>
      </c>
    </row>
    <row r="78" customFormat="false" ht="15" hidden="false" customHeight="true" outlineLevel="0" collapsed="false">
      <c r="A78" s="12" t="s">
        <v>258</v>
      </c>
      <c r="B78" s="12"/>
      <c r="C78" s="12"/>
      <c r="D78" s="12"/>
      <c r="E78" s="12"/>
      <c r="F78" s="12"/>
      <c r="G78" s="12"/>
      <c r="H78" s="12"/>
      <c r="I78" s="12"/>
      <c r="J78" s="12"/>
    </row>
    <row r="79" customFormat="false" ht="15" hidden="false" customHeight="true" outlineLevel="0" collapsed="false">
      <c r="A79" s="12" t="s">
        <v>259</v>
      </c>
      <c r="B79" s="12"/>
      <c r="C79" s="12"/>
      <c r="D79" s="12"/>
      <c r="E79" s="12"/>
      <c r="F79" s="12"/>
      <c r="G79" s="12"/>
      <c r="H79" s="12"/>
      <c r="I79" s="12"/>
      <c r="J79" s="12"/>
    </row>
    <row r="80" customFormat="false" ht="15" hidden="false" customHeight="true" outlineLevel="0" collapsed="false">
      <c r="A80" s="12" t="s">
        <v>260</v>
      </c>
      <c r="B80" s="12"/>
      <c r="C80" s="12"/>
      <c r="D80" s="12"/>
      <c r="E80" s="12"/>
      <c r="F80" s="12"/>
      <c r="G80" s="12"/>
      <c r="H80" s="12"/>
      <c r="I80" s="12"/>
      <c r="J80" s="12"/>
    </row>
    <row r="82" customFormat="false" ht="15" hidden="false" customHeight="false" outlineLevel="0" collapsed="false">
      <c r="A82" s="3" t="s">
        <v>261</v>
      </c>
      <c r="B82" s="3" t="s">
        <v>262</v>
      </c>
    </row>
    <row r="83" customFormat="false" ht="15" hidden="false" customHeight="true" outlineLevel="0" collapsed="false">
      <c r="A83" s="13" t="s">
        <v>263</v>
      </c>
      <c r="B83" s="12" t="s">
        <v>264</v>
      </c>
      <c r="C83" s="12"/>
      <c r="D83" s="12"/>
      <c r="E83" s="12"/>
      <c r="F83" s="12"/>
      <c r="G83" s="12"/>
      <c r="H83" s="12"/>
      <c r="I83" s="12"/>
      <c r="J83" s="12"/>
    </row>
    <row r="84" customFormat="false" ht="15" hidden="false" customHeight="true" outlineLevel="0" collapsed="false">
      <c r="A84" s="13" t="s">
        <v>265</v>
      </c>
      <c r="B84" s="12" t="s">
        <v>266</v>
      </c>
      <c r="C84" s="12"/>
      <c r="D84" s="12"/>
      <c r="E84" s="12"/>
      <c r="F84" s="12"/>
      <c r="G84" s="12"/>
      <c r="H84" s="12"/>
      <c r="I84" s="12"/>
      <c r="J84" s="12"/>
    </row>
    <row r="85" customFormat="false" ht="15" hidden="false" customHeight="true" outlineLevel="0" collapsed="false">
      <c r="A85" s="13" t="s">
        <v>267</v>
      </c>
      <c r="B85" s="12" t="s">
        <v>268</v>
      </c>
      <c r="C85" s="12"/>
      <c r="D85" s="12"/>
      <c r="E85" s="12"/>
      <c r="F85" s="12"/>
      <c r="G85" s="12"/>
      <c r="H85" s="12"/>
      <c r="I85" s="12"/>
      <c r="J85" s="12"/>
    </row>
    <row r="87" customFormat="false" ht="15" hidden="false" customHeight="true" outlineLevel="0" collapsed="false">
      <c r="A87" s="14" t="s">
        <v>269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</row>
  </sheetData>
  <mergeCells count="7">
    <mergeCell ref="A78:J78"/>
    <mergeCell ref="A79:J79"/>
    <mergeCell ref="A80:J80"/>
    <mergeCell ref="B83:J83"/>
    <mergeCell ref="B84:J84"/>
    <mergeCell ref="B85:J85"/>
    <mergeCell ref="A87:L8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10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8"/>
    <col collapsed="false" customWidth="true" hidden="false" outlineLevel="0" max="9" min="7" style="0" width="9"/>
    <col collapsed="false" customWidth="true" hidden="false" outlineLevel="0" max="10" min="10" style="0" width="60"/>
  </cols>
  <sheetData>
    <row r="1" customFormat="false" ht="15" hidden="false" customHeight="false" outlineLevel="0" collapsed="false">
      <c r="A1" s="1" t="s">
        <v>270</v>
      </c>
    </row>
    <row r="2" customFormat="false" ht="15" hidden="false" customHeight="false" outlineLevel="0" collapsed="false">
      <c r="A2" s="2" t="s">
        <v>271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156</v>
      </c>
      <c r="B5" s="3" t="s">
        <v>157</v>
      </c>
      <c r="C5" s="3" t="s">
        <v>158</v>
      </c>
      <c r="D5" s="3" t="s">
        <v>159</v>
      </c>
      <c r="E5" s="3" t="s">
        <v>160</v>
      </c>
      <c r="F5" s="3" t="s">
        <v>161</v>
      </c>
      <c r="G5" s="3" t="s">
        <v>162</v>
      </c>
      <c r="H5" s="3" t="s">
        <v>163</v>
      </c>
      <c r="I5" s="3" t="s">
        <v>164</v>
      </c>
      <c r="J5" s="3" t="s">
        <v>165</v>
      </c>
    </row>
    <row r="6" customFormat="false" ht="79.85" hidden="false" customHeight="false" outlineLevel="0" collapsed="false">
      <c r="A6" s="6" t="s">
        <v>272</v>
      </c>
      <c r="B6" s="7" t="s">
        <v>273</v>
      </c>
      <c r="C6" s="7" t="s">
        <v>274</v>
      </c>
      <c r="D6" s="7" t="s">
        <v>169</v>
      </c>
      <c r="E6" s="7" t="s">
        <v>275</v>
      </c>
      <c r="F6" s="8" t="n">
        <f aca="false">SUMPRODUCT((Results_Long!$A$2:$A$1348=$B6)*(Results_Long!$B$2:$B$1348=$C6)*(Results_Long!$C$2:$C$1348=$D6)*(Results_Long!$D$2:$D$1348=$E6)*ROW(Results_Long!$A$2:$A$1348))</f>
        <v>74</v>
      </c>
      <c r="G6" s="9" t="n">
        <f aca="false">IF(INDEX(Results_Long!$H:$H,$F6)="","NA",INDEX(Results_Long!$H:$H,$F6))</f>
        <v>2705</v>
      </c>
      <c r="H6" s="9" t="n">
        <f aca="false">IF(INDEX(Results_Long!$J:$J,$F6)="","NA",INDEX(Results_Long!$J:$J,$F6))</f>
        <v>112</v>
      </c>
      <c r="I6" s="6" t="n">
        <f aca="false">IF(INDEX(Results_Long!$AG:$AG,$F6)="","NA",INDEX(Results_Long!$AG:$AG,$F6))</f>
        <v>0</v>
      </c>
      <c r="J6" s="5" t="str">
        <f aca="false">IF(INDEX(Results_Long!$AJ:$AJ,$F6)="","NA",INDEX(Results_Long!$AJ:$AJ,$F6))</f>
        <v>Simonsohn whole-curve statistic 1: share of the 10 core cells with p &lt; .05 (observed); core = B3 coding family x 3LMA-RVE x rho .6 x dfE x outlier none x full set [S3]; per-cell |t|: paris_mid=0.5620, tie_break_median=0.5525, end_any_exposure=0.9270, share_recut_2017=0.4463, share_recut_2018=0.1404, share_recut_2019=0.1846, end_lag1=0.3087, end_lag2=1.5221, end_lag3=0.9796, clean_window=0.7455</v>
      </c>
    </row>
    <row r="7" customFormat="false" ht="23.85" hidden="false" customHeight="false" outlineLevel="0" collapsed="false">
      <c r="A7" s="6" t="s">
        <v>276</v>
      </c>
      <c r="B7" s="7" t="s">
        <v>273</v>
      </c>
      <c r="C7" s="7" t="s">
        <v>274</v>
      </c>
      <c r="D7" s="7" t="s">
        <v>169</v>
      </c>
      <c r="E7" s="7" t="s">
        <v>277</v>
      </c>
      <c r="F7" s="8" t="n">
        <f aca="false">SUMPRODUCT((Results_Long!$A$2:$A$1348=$B7)*(Results_Long!$B$2:$B$1348=$C7)*(Results_Long!$C$2:$C$1348=$D7)*(Results_Long!$D$2:$D$1348=$E7)*ROW(Results_Long!$A$2:$A$1348))</f>
        <v>75</v>
      </c>
      <c r="G7" s="9" t="n">
        <f aca="false">IF(INDEX(Results_Long!$H:$H,$F7)="","NA",INDEX(Results_Long!$H:$H,$F7))</f>
        <v>2705</v>
      </c>
      <c r="H7" s="9" t="n">
        <f aca="false">IF(INDEX(Results_Long!$J:$J,$F7)="","NA",INDEX(Results_Long!$J:$J,$F7))</f>
        <v>112</v>
      </c>
      <c r="I7" s="6" t="n">
        <f aca="false">IF(INDEX(Results_Long!$AG:$AG,$F7)="","NA",INDEX(Results_Long!$AG:$AG,$F7))</f>
        <v>0.557232458949382</v>
      </c>
      <c r="J7" s="5" t="str">
        <f aca="false">IF(INDEX(Results_Long!$AJ:$AJ,$F7)="","NA",INDEX(Results_Long!$AJ:$AJ,$F7))</f>
        <v>Simonsohn whole-curve statistic 2: median |t| over the 10 core cells (observed)</v>
      </c>
    </row>
    <row r="8" customFormat="false" ht="23.85" hidden="false" customHeight="false" outlineLevel="0" collapsed="false">
      <c r="A8" s="6" t="s">
        <v>278</v>
      </c>
      <c r="B8" s="7" t="s">
        <v>273</v>
      </c>
      <c r="C8" s="7" t="s">
        <v>274</v>
      </c>
      <c r="D8" s="7" t="s">
        <v>169</v>
      </c>
      <c r="E8" s="7" t="s">
        <v>279</v>
      </c>
      <c r="F8" s="8" t="n">
        <f aca="false">SUMPRODUCT((Results_Long!$A$2:$A$1348=$B8)*(Results_Long!$B$2:$B$1348=$C8)*(Results_Long!$C$2:$C$1348=$D8)*(Results_Long!$D$2:$D$1348=$E8)*ROW(Results_Long!$A$2:$A$1348))</f>
        <v>76</v>
      </c>
      <c r="G8" s="9" t="str">
        <f aca="false">IF(INDEX(Results_Long!$H:$H,$F8)="","NA",INDEX(Results_Long!$H:$H,$F8))</f>
        <v>NA</v>
      </c>
      <c r="H8" s="9" t="str">
        <f aca="false">IF(INDEX(Results_Long!$J:$J,$F8)="","NA",INDEX(Results_Long!$J:$J,$F8))</f>
        <v>NA</v>
      </c>
      <c r="I8" s="6" t="n">
        <f aca="false">IF(INDEX(Results_Long!$AG:$AG,$F8)="","NA",INDEX(Results_Long!$AG:$AG,$F8))</f>
        <v>1</v>
      </c>
      <c r="J8" s="5" t="str">
        <f aca="false">IF(INDEX(Results_Long!$AJ:$AJ,$F8)="","NA",INDEX(Results_Long!$AJ:$AJ,$F8))</f>
        <v>joint permutation [H-Q15/R3]: ONE cluster time-translation per replicate applied to all 10 core cells (codings re-derived); p = (1 + 500)/(500 + 1)</v>
      </c>
    </row>
    <row r="9" customFormat="false" ht="15" hidden="false" customHeight="false" outlineLevel="0" collapsed="false">
      <c r="A9" s="6" t="s">
        <v>280</v>
      </c>
      <c r="B9" s="7" t="s">
        <v>273</v>
      </c>
      <c r="C9" s="7" t="s">
        <v>274</v>
      </c>
      <c r="D9" s="7" t="s">
        <v>169</v>
      </c>
      <c r="E9" s="7" t="s">
        <v>281</v>
      </c>
      <c r="F9" s="8" t="n">
        <f aca="false">SUMPRODUCT((Results_Long!$A$2:$A$1348=$B9)*(Results_Long!$B$2:$B$1348=$C9)*(Results_Long!$C$2:$C$1348=$D9)*(Results_Long!$D$2:$D$1348=$E9)*ROW(Results_Long!$A$2:$A$1348))</f>
        <v>77</v>
      </c>
      <c r="G9" s="9" t="str">
        <f aca="false">IF(INDEX(Results_Long!$H:$H,$F9)="","NA",INDEX(Results_Long!$H:$H,$F9))</f>
        <v>NA</v>
      </c>
      <c r="H9" s="9" t="str">
        <f aca="false">IF(INDEX(Results_Long!$J:$J,$F9)="","NA",INDEX(Results_Long!$J:$J,$F9))</f>
        <v>NA</v>
      </c>
      <c r="I9" s="6" t="n">
        <f aca="false">IF(INDEX(Results_Long!$AG:$AG,$F9)="","NA",INDEX(Results_Long!$AG:$AG,$F9))</f>
        <v>0.854291417165669</v>
      </c>
      <c r="J9" s="5" t="str">
        <f aca="false">IF(INDEX(Results_Long!$AJ:$AJ,$F9)="","NA",INDEX(Results_Long!$AJ:$AJ,$F9))</f>
        <v>joint permutation, statistic 2; p = (1 + 427)/(500 + 1)</v>
      </c>
    </row>
    <row r="10" customFormat="false" ht="15" hidden="false" customHeight="false" outlineLevel="0" collapsed="false">
      <c r="A10" s="6" t="s">
        <v>282</v>
      </c>
      <c r="B10" s="7" t="s">
        <v>273</v>
      </c>
      <c r="C10" s="7" t="s">
        <v>274</v>
      </c>
      <c r="D10" s="7" t="s">
        <v>169</v>
      </c>
      <c r="E10" s="7" t="s">
        <v>74</v>
      </c>
      <c r="F10" s="8" t="n">
        <f aca="false">SUMPRODUCT((Results_Long!$A$2:$A$1348=$B10)*(Results_Long!$B$2:$B$1348=$C10)*(Results_Long!$C$2:$C$1348=$D10)*(Results_Long!$D$2:$D$1348=$E10)*ROW(Results_Long!$A$2:$A$1348))</f>
        <v>78</v>
      </c>
      <c r="G10" s="9" t="str">
        <f aca="false">IF(INDEX(Results_Long!$H:$H,$F10)="","NA",INDEX(Results_Long!$H:$H,$F10))</f>
        <v>NA</v>
      </c>
      <c r="H10" s="9" t="str">
        <f aca="false">IF(INDEX(Results_Long!$J:$J,$F10)="","NA",INDEX(Results_Long!$J:$J,$F10))</f>
        <v>NA</v>
      </c>
      <c r="I10" s="6" t="n">
        <f aca="false">IF(INDEX(Results_Long!$AG:$AG,$F10)="","NA",INDEX(Results_Long!$AG:$AG,$F10))</f>
        <v>500</v>
      </c>
      <c r="J10" s="5" t="str">
        <f aca="false">IF(INDEX(Results_Long!$AJ:$AJ,$F10)="","NA",INDEX(Results_Long!$AJ:$AJ,$F10))</f>
        <v>effective replicates of 500; mean estimable core cells per replicate = 10.00</v>
      </c>
    </row>
    <row r="12" customFormat="false" ht="15" hidden="false" customHeight="false" outlineLevel="0" collapsed="false">
      <c r="A12" s="11" t="s">
        <v>283</v>
      </c>
    </row>
    <row r="13" customFormat="false" ht="15" hidden="false" customHeight="false" outlineLevel="0" collapsed="false">
      <c r="A13" s="3" t="s">
        <v>25</v>
      </c>
      <c r="B13" s="3" t="s">
        <v>284</v>
      </c>
      <c r="C13" s="3" t="s">
        <v>285</v>
      </c>
    </row>
    <row r="14" customFormat="false" ht="15" hidden="false" customHeight="false" outlineLevel="0" collapsed="false">
      <c r="A14" s="6" t="s">
        <v>286</v>
      </c>
      <c r="B14" s="7" t="s">
        <v>287</v>
      </c>
      <c r="C14" s="9" t="n">
        <f aca="false">COUNTIFS(Results_Long!$A:$A,"H3",Results_Long!$D:$D,"diff")</f>
        <v>1260</v>
      </c>
    </row>
    <row r="15" customFormat="false" ht="15" hidden="false" customHeight="false" outlineLevel="0" collapsed="false">
      <c r="A15" s="6" t="s">
        <v>288</v>
      </c>
      <c r="B15" s="7" t="s">
        <v>289</v>
      </c>
      <c r="C15" s="9" t="n">
        <f aca="false">COUNTIFS(Results_Long!$A:$A,"H3",Results_Long!$D:$D,"diff",Results_Long!$O:$O,"&lt;0.05")</f>
        <v>1</v>
      </c>
    </row>
    <row r="16" customFormat="false" ht="15" hidden="false" customHeight="false" outlineLevel="0" collapsed="false">
      <c r="A16" s="6" t="s">
        <v>290</v>
      </c>
      <c r="B16" s="7" t="s">
        <v>289</v>
      </c>
      <c r="C16" s="10" t="n">
        <f aca="false">$C$15/$C$14</f>
        <v>0.000793650793650794</v>
      </c>
    </row>
    <row r="17" customFormat="false" ht="15" hidden="false" customHeight="false" outlineLevel="0" collapsed="false">
      <c r="A17" s="6" t="s">
        <v>291</v>
      </c>
      <c r="B17" s="7" t="s">
        <v>292</v>
      </c>
      <c r="C17" s="9" t="n">
        <f aca="false">COUNTIFS(Results_Long!$A:$A,"H3",Results_Long!$D:$D,"diff",Results_Long!$F:$F,"3LMA-RVE_CR2",Results_Long!$O:$O,"&lt;0.05")</f>
        <v>1</v>
      </c>
    </row>
    <row r="18" customFormat="false" ht="15" hidden="false" customHeight="false" outlineLevel="0" collapsed="false">
      <c r="A18" s="6" t="s">
        <v>293</v>
      </c>
      <c r="B18" s="7" t="s">
        <v>292</v>
      </c>
      <c r="C18" s="9" t="n">
        <f aca="false">COUNTIFS(Results_Long!$A:$A,"H3",Results_Long!$D:$D,"diff",Results_Long!$F:$F,"one_per_cluster",Results_Long!$O:$O,"&lt;0.05")</f>
        <v>0</v>
      </c>
    </row>
    <row r="19" customFormat="false" ht="15" hidden="false" customHeight="false" outlineLevel="0" collapsed="false">
      <c r="A19" s="6" t="s">
        <v>294</v>
      </c>
      <c r="B19" s="7" t="s">
        <v>292</v>
      </c>
      <c r="C19" s="9" t="n">
        <f aca="false">COUNTIFS(Results_Long!$A:$A,"H3",Results_Long!$D:$D,"diff",Results_Long!$F:$F,"UWLS3",Results_Long!$O:$O,"&lt;0.05")</f>
        <v>0</v>
      </c>
    </row>
    <row r="20" customFormat="false" ht="15" hidden="false" customHeight="false" outlineLevel="0" collapsed="false">
      <c r="A20" s="6" t="s">
        <v>295</v>
      </c>
      <c r="B20" s="7" t="s">
        <v>296</v>
      </c>
      <c r="C20" s="10" t="n">
        <f aca="false">_xlfn.MINIFS(Results_Long!$K:$K,Results_Long!$A:$A,"H3",Results_Long!$D:$D,"diff")</f>
        <v>-0.0770302707347653</v>
      </c>
    </row>
    <row r="21" customFormat="false" ht="15" hidden="false" customHeight="false" outlineLevel="0" collapsed="false">
      <c r="A21" s="6" t="s">
        <v>297</v>
      </c>
      <c r="B21" s="7" t="s">
        <v>296</v>
      </c>
      <c r="C21" s="10" t="n">
        <f aca="false">_xlfn.MAXIFS(Results_Long!$K:$K,Results_Long!$A:$A,"H3",Results_Long!$D:$D,"diff")</f>
        <v>0.0405016200298794</v>
      </c>
    </row>
    <row r="22" customFormat="false" ht="15" hidden="false" customHeight="false" outlineLevel="0" collapsed="false">
      <c r="A22" s="6" t="s">
        <v>298</v>
      </c>
      <c r="B22" s="7" t="s">
        <v>296</v>
      </c>
      <c r="C22" s="10" t="n">
        <f aca="false">_xlfn.MINIFS(Results_Long!$O:$O,Results_Long!$A:$A,"H3",Results_Long!$D:$D,"diff")</f>
        <v>0.0489034564429325</v>
      </c>
    </row>
    <row r="24" customFormat="false" ht="15" hidden="false" customHeight="false" outlineLevel="0" collapsed="false">
      <c r="A24" s="11" t="s">
        <v>257</v>
      </c>
    </row>
    <row r="25" customFormat="false" ht="15" hidden="false" customHeight="true" outlineLevel="0" collapsed="false">
      <c r="A25" s="12" t="s">
        <v>299</v>
      </c>
      <c r="B25" s="12"/>
      <c r="C25" s="12"/>
      <c r="D25" s="12"/>
      <c r="E25" s="12"/>
      <c r="F25" s="12"/>
      <c r="G25" s="12"/>
      <c r="H25" s="12"/>
      <c r="I25" s="12"/>
      <c r="J25" s="12"/>
    </row>
    <row r="26" customFormat="false" ht="15" hidden="false" customHeight="true" outlineLevel="0" collapsed="false">
      <c r="A26" s="12" t="s">
        <v>300</v>
      </c>
      <c r="B26" s="12"/>
      <c r="C26" s="12"/>
      <c r="D26" s="12"/>
      <c r="E26" s="12"/>
      <c r="F26" s="12"/>
      <c r="G26" s="12"/>
      <c r="H26" s="12"/>
      <c r="I26" s="12"/>
      <c r="J26" s="12"/>
    </row>
    <row r="27" customFormat="false" ht="15" hidden="false" customHeight="true" outlineLevel="0" collapsed="false">
      <c r="A27" s="12" t="s">
        <v>301</v>
      </c>
      <c r="B27" s="12"/>
      <c r="C27" s="12"/>
      <c r="D27" s="12"/>
      <c r="E27" s="12"/>
      <c r="F27" s="12"/>
      <c r="G27" s="12"/>
      <c r="H27" s="12"/>
      <c r="I27" s="12"/>
      <c r="J27" s="12"/>
    </row>
    <row r="28" customFormat="false" ht="15" hidden="false" customHeight="true" outlineLevel="0" collapsed="false">
      <c r="A28" s="12" t="s">
        <v>302</v>
      </c>
      <c r="B28" s="12"/>
      <c r="C28" s="12"/>
      <c r="D28" s="12"/>
      <c r="E28" s="12"/>
      <c r="F28" s="12"/>
      <c r="G28" s="12"/>
      <c r="H28" s="12"/>
      <c r="I28" s="12"/>
      <c r="J28" s="12"/>
    </row>
    <row r="30" customFormat="false" ht="15" hidden="false" customHeight="false" outlineLevel="0" collapsed="false">
      <c r="A30" s="3" t="s">
        <v>261</v>
      </c>
      <c r="B30" s="3" t="s">
        <v>262</v>
      </c>
    </row>
    <row r="31" customFormat="false" ht="15" hidden="false" customHeight="true" outlineLevel="0" collapsed="false">
      <c r="A31" s="13" t="s">
        <v>303</v>
      </c>
      <c r="B31" s="12" t="s">
        <v>304</v>
      </c>
      <c r="C31" s="12"/>
      <c r="D31" s="12"/>
      <c r="E31" s="12"/>
      <c r="F31" s="12"/>
      <c r="G31" s="12"/>
      <c r="H31" s="12"/>
      <c r="I31" s="12"/>
      <c r="J31" s="12"/>
    </row>
    <row r="32" customFormat="false" ht="15" hidden="false" customHeight="true" outlineLevel="0" collapsed="false">
      <c r="A32" s="13" t="s">
        <v>305</v>
      </c>
      <c r="B32" s="12" t="s">
        <v>306</v>
      </c>
      <c r="C32" s="12"/>
      <c r="D32" s="12"/>
      <c r="E32" s="12"/>
      <c r="F32" s="12"/>
      <c r="G32" s="12"/>
      <c r="H32" s="12"/>
      <c r="I32" s="12"/>
      <c r="J32" s="12"/>
    </row>
    <row r="34" customFormat="false" ht="15" hidden="false" customHeight="true" outlineLevel="0" collapsed="false">
      <c r="A34" s="14" t="s">
        <v>307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</sheetData>
  <mergeCells count="7">
    <mergeCell ref="A25:J25"/>
    <mergeCell ref="A26:J26"/>
    <mergeCell ref="A27:J27"/>
    <mergeCell ref="A28:J28"/>
    <mergeCell ref="B31:J31"/>
    <mergeCell ref="B32:J32"/>
    <mergeCell ref="A34:L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10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8"/>
    <col collapsed="false" customWidth="true" hidden="false" outlineLevel="0" max="8" min="7" style="0" width="9"/>
    <col collapsed="false" customWidth="true" hidden="false" outlineLevel="0" max="9" min="9" style="0" width="60"/>
    <col collapsed="false" customWidth="true" hidden="false" outlineLevel="0" max="20" min="10" style="0" width="9"/>
  </cols>
  <sheetData>
    <row r="1" customFormat="false" ht="15" hidden="false" customHeight="false" outlineLevel="0" collapsed="false">
      <c r="A1" s="1" t="s">
        <v>308</v>
      </c>
    </row>
    <row r="2" customFormat="false" ht="15" hidden="false" customHeight="false" outlineLevel="0" collapsed="false">
      <c r="A2" s="2" t="s">
        <v>309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156</v>
      </c>
      <c r="B5" s="3" t="s">
        <v>157</v>
      </c>
      <c r="C5" s="3" t="s">
        <v>158</v>
      </c>
      <c r="D5" s="3" t="s">
        <v>159</v>
      </c>
      <c r="E5" s="3" t="s">
        <v>160</v>
      </c>
      <c r="F5" s="3" t="s">
        <v>161</v>
      </c>
      <c r="G5" s="3" t="s">
        <v>162</v>
      </c>
      <c r="H5" s="3" t="s">
        <v>310</v>
      </c>
      <c r="I5" s="3" t="s">
        <v>163</v>
      </c>
      <c r="J5" s="3" t="s">
        <v>311</v>
      </c>
      <c r="K5" s="3" t="s">
        <v>312</v>
      </c>
      <c r="L5" s="3" t="s">
        <v>313</v>
      </c>
      <c r="M5" s="3" t="s">
        <v>314</v>
      </c>
      <c r="N5" s="3" t="s">
        <v>315</v>
      </c>
      <c r="O5" s="3" t="s">
        <v>316</v>
      </c>
      <c r="P5" s="3" t="s">
        <v>317</v>
      </c>
      <c r="Q5" s="3" t="s">
        <v>318</v>
      </c>
      <c r="R5" s="3" t="s">
        <v>319</v>
      </c>
      <c r="S5" s="3" t="s">
        <v>320</v>
      </c>
      <c r="T5" s="3" t="s">
        <v>164</v>
      </c>
    </row>
    <row r="6" customFormat="false" ht="15" hidden="false" customHeight="false" outlineLevel="0" collapsed="false">
      <c r="A6" s="6" t="s">
        <v>321</v>
      </c>
      <c r="B6" s="7" t="s">
        <v>273</v>
      </c>
      <c r="C6" s="7" t="s">
        <v>322</v>
      </c>
      <c r="D6" s="7" t="s">
        <v>323</v>
      </c>
      <c r="E6" s="7" t="s">
        <v>324</v>
      </c>
      <c r="F6" s="8" t="n">
        <f aca="false">SUMPRODUCT((Results_Long!$A$2:$A$1348=$B6)*(Results_Long!$B$2:$B$1348=$C6)*(Results_Long!$C$2:$C$1348=$D6)*(Results_Long!$D$2:$D$1348=$E6)*ROW(Results_Long!$A$2:$A$1348))</f>
        <v>439</v>
      </c>
      <c r="G6" s="9" t="n">
        <f aca="false">IF(INDEX(Results_Long!$H:$H,$F6)="","NA",INDEX(Results_Long!$H:$H,$F6))</f>
        <v>2705</v>
      </c>
      <c r="H6" s="9" t="n">
        <f aca="false">IF(INDEX(Results_Long!$I:$I,$F6)="","NA",INDEX(Results_Long!$I:$I,$F6))</f>
        <v>113</v>
      </c>
      <c r="I6" s="9" t="n">
        <f aca="false">IF(INDEX(Results_Long!$J:$J,$F6)="","NA",INDEX(Results_Long!$J:$J,$F6))</f>
        <v>112</v>
      </c>
      <c r="J6" s="10" t="n">
        <f aca="false">IF(INDEX(Results_Long!$K:$K,$F6)="","NA",INDEX(Results_Long!$K:$K,$F6))</f>
        <v>0.0101759067104026</v>
      </c>
      <c r="K6" s="10" t="str">
        <f aca="false">IF(INDEX(Results_Long!$P:$P,$F6)="","NA",INDEX(Results_Long!$P:$P,$F6))</f>
        <v>NA</v>
      </c>
      <c r="L6" s="10" t="str">
        <f aca="false">IF(INDEX(Results_Long!$Q:$Q,$F6)="","NA",INDEX(Results_Long!$Q:$Q,$F6))</f>
        <v>NA</v>
      </c>
      <c r="M6" s="10" t="str">
        <f aca="false">IF(INDEX(Results_Long!$T:$T,$F6)="","NA",INDEX(Results_Long!$T:$T,$F6))</f>
        <v>NA</v>
      </c>
      <c r="N6" s="10" t="str">
        <f aca="false">IF(INDEX(Results_Long!$U:$U,$F6)="","NA",INDEX(Results_Long!$U:$U,$F6))</f>
        <v>NA</v>
      </c>
      <c r="O6" s="10" t="str">
        <f aca="false">IF(INDEX(Results_Long!$V:$V,$F6)="","NA",INDEX(Results_Long!$V:$V,$F6))</f>
        <v>NA</v>
      </c>
      <c r="P6" s="10" t="n">
        <f aca="false">IF(INDEX(Results_Long!$L:$L,$F6)="","NA",INDEX(Results_Long!$L:$L,$F6))</f>
        <v>0.0181072824212575</v>
      </c>
      <c r="Q6" s="15" t="n">
        <f aca="false">IF(INDEX(Results_Long!$M:$M,$F6)="","NA",INDEX(Results_Long!$M:$M,$F6))</f>
        <v>0.561978682038798</v>
      </c>
      <c r="R6" s="16" t="n">
        <f aca="false">IF(INDEX(Results_Long!$N:$N,$F6)="","NA",INDEX(Results_Long!$N:$N,$F6))</f>
        <v>14.9920663728925</v>
      </c>
      <c r="S6" s="10" t="n">
        <f aca="false">IF(INDEX(Results_Long!$O:$O,$F6)="","NA",INDEX(Results_Long!$O:$O,$F6))</f>
        <v>0.582435725630516</v>
      </c>
      <c r="T6" s="6" t="str">
        <f aca="false">IF(INDEX(Results_Long!$AG:$AG,$F6)="","NA",INDEX(Results_Long!$AG:$AG,$F6))</f>
        <v>NA</v>
      </c>
    </row>
    <row r="7" customFormat="false" ht="15" hidden="false" customHeight="false" outlineLevel="0" collapsed="false">
      <c r="A7" s="6" t="s">
        <v>325</v>
      </c>
      <c r="B7" s="7" t="s">
        <v>273</v>
      </c>
      <c r="C7" s="7" t="s">
        <v>326</v>
      </c>
      <c r="D7" s="7" t="s">
        <v>323</v>
      </c>
      <c r="E7" s="7" t="s">
        <v>324</v>
      </c>
      <c r="F7" s="8" t="n">
        <f aca="false">SUMPRODUCT((Results_Long!$A$2:$A$1348=$B7)*(Results_Long!$B$2:$B$1348=$C7)*(Results_Long!$C$2:$C$1348=$D7)*(Results_Long!$D$2:$D$1348=$E7)*ROW(Results_Long!$A$2:$A$1348))</f>
        <v>440</v>
      </c>
      <c r="G7" s="9" t="n">
        <f aca="false">IF(INDEX(Results_Long!$H:$H,$F7)="","NA",INDEX(Results_Long!$H:$H,$F7))</f>
        <v>2705</v>
      </c>
      <c r="H7" s="9" t="n">
        <f aca="false">IF(INDEX(Results_Long!$I:$I,$F7)="","NA",INDEX(Results_Long!$I:$I,$F7))</f>
        <v>113</v>
      </c>
      <c r="I7" s="9" t="n">
        <f aca="false">IF(INDEX(Results_Long!$J:$J,$F7)="","NA",INDEX(Results_Long!$J:$J,$F7))</f>
        <v>112</v>
      </c>
      <c r="J7" s="10" t="n">
        <f aca="false">IF(INDEX(Results_Long!$K:$K,$F7)="","NA",INDEX(Results_Long!$K:$K,$F7))</f>
        <v>0.00980554090070676</v>
      </c>
      <c r="K7" s="10" t="str">
        <f aca="false">IF(INDEX(Results_Long!$P:$P,$F7)="","NA",INDEX(Results_Long!$P:$P,$F7))</f>
        <v>NA</v>
      </c>
      <c r="L7" s="10" t="str">
        <f aca="false">IF(INDEX(Results_Long!$Q:$Q,$F7)="","NA",INDEX(Results_Long!$Q:$Q,$F7))</f>
        <v>NA</v>
      </c>
      <c r="M7" s="10" t="str">
        <f aca="false">IF(INDEX(Results_Long!$T:$T,$F7)="","NA",INDEX(Results_Long!$T:$T,$F7))</f>
        <v>NA</v>
      </c>
      <c r="N7" s="10" t="str">
        <f aca="false">IF(INDEX(Results_Long!$U:$U,$F7)="","NA",INDEX(Results_Long!$U:$U,$F7))</f>
        <v>NA</v>
      </c>
      <c r="O7" s="10" t="str">
        <f aca="false">IF(INDEX(Results_Long!$V:$V,$F7)="","NA",INDEX(Results_Long!$V:$V,$F7))</f>
        <v>NA</v>
      </c>
      <c r="P7" s="10" t="n">
        <f aca="false">IF(INDEX(Results_Long!$L:$L,$F7)="","NA",INDEX(Results_Long!$L:$L,$F7))</f>
        <v>0.0177480274878596</v>
      </c>
      <c r="Q7" s="15" t="n">
        <f aca="false">IF(INDEX(Results_Long!$M:$M,$F7)="","NA",INDEX(Results_Long!$M:$M,$F7))</f>
        <v>0.552486235859967</v>
      </c>
      <c r="R7" s="16" t="n">
        <f aca="false">IF(INDEX(Results_Long!$N:$N,$F7)="","NA",INDEX(Results_Long!$N:$N,$F7))</f>
        <v>12.2637097789956</v>
      </c>
      <c r="S7" s="10" t="n">
        <f aca="false">IF(INDEX(Results_Long!$O:$O,$F7)="","NA",INDEX(Results_Long!$O:$O,$F7))</f>
        <v>0.59054305378376</v>
      </c>
      <c r="T7" s="6" t="str">
        <f aca="false">IF(INDEX(Results_Long!$AG:$AG,$F7)="","NA",INDEX(Results_Long!$AG:$AG,$F7))</f>
        <v>NA</v>
      </c>
    </row>
    <row r="8" customFormat="false" ht="15" hidden="false" customHeight="false" outlineLevel="0" collapsed="false">
      <c r="A8" s="6" t="s">
        <v>327</v>
      </c>
      <c r="B8" s="7" t="s">
        <v>273</v>
      </c>
      <c r="C8" s="7" t="s">
        <v>328</v>
      </c>
      <c r="D8" s="7" t="s">
        <v>323</v>
      </c>
      <c r="E8" s="7" t="s">
        <v>324</v>
      </c>
      <c r="F8" s="8" t="n">
        <f aca="false">SUMPRODUCT((Results_Long!$A$2:$A$1348=$B8)*(Results_Long!$B$2:$B$1348=$C8)*(Results_Long!$C$2:$C$1348=$D8)*(Results_Long!$D$2:$D$1348=$E8)*ROW(Results_Long!$A$2:$A$1348))</f>
        <v>441</v>
      </c>
      <c r="G8" s="9" t="n">
        <f aca="false">IF(INDEX(Results_Long!$H:$H,$F8)="","NA",INDEX(Results_Long!$H:$H,$F8))</f>
        <v>2705</v>
      </c>
      <c r="H8" s="9" t="n">
        <f aca="false">IF(INDEX(Results_Long!$I:$I,$F8)="","NA",INDEX(Results_Long!$I:$I,$F8))</f>
        <v>113</v>
      </c>
      <c r="I8" s="9" t="n">
        <f aca="false">IF(INDEX(Results_Long!$J:$J,$F8)="","NA",INDEX(Results_Long!$J:$J,$F8))</f>
        <v>112</v>
      </c>
      <c r="J8" s="10" t="n">
        <f aca="false">IF(INDEX(Results_Long!$K:$K,$F8)="","NA",INDEX(Results_Long!$K:$K,$F8))</f>
        <v>-0.0194034552449364</v>
      </c>
      <c r="K8" s="10" t="str">
        <f aca="false">IF(INDEX(Results_Long!$P:$P,$F8)="","NA",INDEX(Results_Long!$P:$P,$F8))</f>
        <v>NA</v>
      </c>
      <c r="L8" s="10" t="str">
        <f aca="false">IF(INDEX(Results_Long!$Q:$Q,$F8)="","NA",INDEX(Results_Long!$Q:$Q,$F8))</f>
        <v>NA</v>
      </c>
      <c r="M8" s="10" t="str">
        <f aca="false">IF(INDEX(Results_Long!$T:$T,$F8)="","NA",INDEX(Results_Long!$T:$T,$F8))</f>
        <v>NA</v>
      </c>
      <c r="N8" s="10" t="str">
        <f aca="false">IF(INDEX(Results_Long!$U:$U,$F8)="","NA",INDEX(Results_Long!$U:$U,$F8))</f>
        <v>NA</v>
      </c>
      <c r="O8" s="10" t="str">
        <f aca="false">IF(INDEX(Results_Long!$V:$V,$F8)="","NA",INDEX(Results_Long!$V:$V,$F8))</f>
        <v>NA</v>
      </c>
      <c r="P8" s="10" t="n">
        <f aca="false">IF(INDEX(Results_Long!$L:$L,$F8)="","NA",INDEX(Results_Long!$L:$L,$F8))</f>
        <v>0.0209317506949428</v>
      </c>
      <c r="Q8" s="15" t="n">
        <f aca="false">IF(INDEX(Results_Long!$M:$M,$F8)="","NA",INDEX(Results_Long!$M:$M,$F8))</f>
        <v>-0.926986735496728</v>
      </c>
      <c r="R8" s="16" t="n">
        <f aca="false">IF(INDEX(Results_Long!$N:$N,$F8)="","NA",INDEX(Results_Long!$N:$N,$F8))</f>
        <v>41.6029095187179</v>
      </c>
      <c r="S8" s="10" t="n">
        <f aca="false">IF(INDEX(Results_Long!$O:$O,$F8)="","NA",INDEX(Results_Long!$O:$O,$F8))</f>
        <v>0.359280212535771</v>
      </c>
      <c r="T8" s="6" t="str">
        <f aca="false">IF(INDEX(Results_Long!$AG:$AG,$F8)="","NA",INDEX(Results_Long!$AG:$AG,$F8))</f>
        <v>NA</v>
      </c>
    </row>
    <row r="9" customFormat="false" ht="15" hidden="false" customHeight="false" outlineLevel="0" collapsed="false">
      <c r="A9" s="6" t="s">
        <v>329</v>
      </c>
      <c r="B9" s="7" t="s">
        <v>273</v>
      </c>
      <c r="C9" s="7" t="s">
        <v>330</v>
      </c>
      <c r="D9" s="7" t="s">
        <v>323</v>
      </c>
      <c r="E9" s="7" t="s">
        <v>324</v>
      </c>
      <c r="F9" s="8" t="n">
        <f aca="false">SUMPRODUCT((Results_Long!$A$2:$A$1348=$B9)*(Results_Long!$B$2:$B$1348=$C9)*(Results_Long!$C$2:$C$1348=$D9)*(Results_Long!$D$2:$D$1348=$E9)*ROW(Results_Long!$A$2:$A$1348))</f>
        <v>442</v>
      </c>
      <c r="G9" s="9" t="n">
        <f aca="false">IF(INDEX(Results_Long!$H:$H,$F9)="","NA",INDEX(Results_Long!$H:$H,$F9))</f>
        <v>2705</v>
      </c>
      <c r="H9" s="9" t="n">
        <f aca="false">IF(INDEX(Results_Long!$I:$I,$F9)="","NA",INDEX(Results_Long!$I:$I,$F9))</f>
        <v>113</v>
      </c>
      <c r="I9" s="9" t="n">
        <f aca="false">IF(INDEX(Results_Long!$J:$J,$F9)="","NA",INDEX(Results_Long!$J:$J,$F9))</f>
        <v>112</v>
      </c>
      <c r="J9" s="10" t="n">
        <f aca="false">IF(INDEX(Results_Long!$K:$K,$F9)="","NA",INDEX(Results_Long!$K:$K,$F9))</f>
        <v>0.00803406938025233</v>
      </c>
      <c r="K9" s="10" t="str">
        <f aca="false">IF(INDEX(Results_Long!$P:$P,$F9)="","NA",INDEX(Results_Long!$P:$P,$F9))</f>
        <v>NA</v>
      </c>
      <c r="L9" s="10" t="str">
        <f aca="false">IF(INDEX(Results_Long!$Q:$Q,$F9)="","NA",INDEX(Results_Long!$Q:$Q,$F9))</f>
        <v>NA</v>
      </c>
      <c r="M9" s="10" t="str">
        <f aca="false">IF(INDEX(Results_Long!$T:$T,$F9)="","NA",INDEX(Results_Long!$T:$T,$F9))</f>
        <v>NA</v>
      </c>
      <c r="N9" s="10" t="str">
        <f aca="false">IF(INDEX(Results_Long!$U:$U,$F9)="","NA",INDEX(Results_Long!$U:$U,$F9))</f>
        <v>NA</v>
      </c>
      <c r="O9" s="10" t="str">
        <f aca="false">IF(INDEX(Results_Long!$V:$V,$F9)="","NA",INDEX(Results_Long!$V:$V,$F9))</f>
        <v>NA</v>
      </c>
      <c r="P9" s="10" t="n">
        <f aca="false">IF(INDEX(Results_Long!$L:$L,$F9)="","NA",INDEX(Results_Long!$L:$L,$F9))</f>
        <v>0.01800013275341</v>
      </c>
      <c r="Q9" s="15" t="n">
        <f aca="false">IF(INDEX(Results_Long!$M:$M,$F9)="","NA",INDEX(Results_Long!$M:$M,$F9))</f>
        <v>0.446333895994757</v>
      </c>
      <c r="R9" s="16" t="n">
        <f aca="false">IF(INDEX(Results_Long!$N:$N,$F9)="","NA",INDEX(Results_Long!$N:$N,$F9))</f>
        <v>10.8521828308988</v>
      </c>
      <c r="S9" s="10" t="n">
        <f aca="false">IF(INDEX(Results_Long!$O:$O,$F9)="","NA",INDEX(Results_Long!$O:$O,$F9))</f>
        <v>0.664130799693444</v>
      </c>
      <c r="T9" s="6" t="str">
        <f aca="false">IF(INDEX(Results_Long!$AG:$AG,$F9)="","NA",INDEX(Results_Long!$AG:$AG,$F9))</f>
        <v>NA</v>
      </c>
    </row>
    <row r="10" customFormat="false" ht="15" hidden="false" customHeight="false" outlineLevel="0" collapsed="false">
      <c r="A10" s="6" t="s">
        <v>331</v>
      </c>
      <c r="B10" s="7" t="s">
        <v>273</v>
      </c>
      <c r="C10" s="7" t="s">
        <v>332</v>
      </c>
      <c r="D10" s="7" t="s">
        <v>323</v>
      </c>
      <c r="E10" s="7" t="s">
        <v>324</v>
      </c>
      <c r="F10" s="8" t="n">
        <f aca="false">SUMPRODUCT((Results_Long!$A$2:$A$1348=$B10)*(Results_Long!$B$2:$B$1348=$C10)*(Results_Long!$C$2:$C$1348=$D10)*(Results_Long!$D$2:$D$1348=$E10)*ROW(Results_Long!$A$2:$A$1348))</f>
        <v>443</v>
      </c>
      <c r="G10" s="9" t="n">
        <f aca="false">IF(INDEX(Results_Long!$H:$H,$F10)="","NA",INDEX(Results_Long!$H:$H,$F10))</f>
        <v>2705</v>
      </c>
      <c r="H10" s="9" t="n">
        <f aca="false">IF(INDEX(Results_Long!$I:$I,$F10)="","NA",INDEX(Results_Long!$I:$I,$F10))</f>
        <v>113</v>
      </c>
      <c r="I10" s="9" t="n">
        <f aca="false">IF(INDEX(Results_Long!$J:$J,$F10)="","NA",INDEX(Results_Long!$J:$J,$F10))</f>
        <v>112</v>
      </c>
      <c r="J10" s="10" t="n">
        <f aca="false">IF(INDEX(Results_Long!$K:$K,$F10)="","NA",INDEX(Results_Long!$K:$K,$F10))</f>
        <v>0.00312304259512057</v>
      </c>
      <c r="K10" s="10" t="str">
        <f aca="false">IF(INDEX(Results_Long!$P:$P,$F10)="","NA",INDEX(Results_Long!$P:$P,$F10))</f>
        <v>NA</v>
      </c>
      <c r="L10" s="10" t="str">
        <f aca="false">IF(INDEX(Results_Long!$Q:$Q,$F10)="","NA",INDEX(Results_Long!$Q:$Q,$F10))</f>
        <v>NA</v>
      </c>
      <c r="M10" s="10" t="str">
        <f aca="false">IF(INDEX(Results_Long!$T:$T,$F10)="","NA",INDEX(Results_Long!$T:$T,$F10))</f>
        <v>NA</v>
      </c>
      <c r="N10" s="10" t="str">
        <f aca="false">IF(INDEX(Results_Long!$U:$U,$F10)="","NA",INDEX(Results_Long!$U:$U,$F10))</f>
        <v>NA</v>
      </c>
      <c r="O10" s="10" t="str">
        <f aca="false">IF(INDEX(Results_Long!$V:$V,$F10)="","NA",INDEX(Results_Long!$V:$V,$F10))</f>
        <v>NA</v>
      </c>
      <c r="P10" s="10" t="n">
        <f aca="false">IF(INDEX(Results_Long!$L:$L,$F10)="","NA",INDEX(Results_Long!$L:$L,$F10))</f>
        <v>0.0222382657452244</v>
      </c>
      <c r="Q10" s="15" t="n">
        <f aca="false">IF(INDEX(Results_Long!$M:$M,$F10)="","NA",INDEX(Results_Long!$M:$M,$F10))</f>
        <v>0.140435528152245</v>
      </c>
      <c r="R10" s="16" t="n">
        <f aca="false">IF(INDEX(Results_Long!$N:$N,$F10)="","NA",INDEX(Results_Long!$N:$N,$F10))</f>
        <v>18.7761441211637</v>
      </c>
      <c r="S10" s="10" t="n">
        <f aca="false">IF(INDEX(Results_Long!$O:$O,$F10)="","NA",INDEX(Results_Long!$O:$O,$F10))</f>
        <v>0.889811509138402</v>
      </c>
      <c r="T10" s="6" t="str">
        <f aca="false">IF(INDEX(Results_Long!$AG:$AG,$F10)="","NA",INDEX(Results_Long!$AG:$AG,$F10))</f>
        <v>NA</v>
      </c>
    </row>
    <row r="11" customFormat="false" ht="15" hidden="false" customHeight="false" outlineLevel="0" collapsed="false">
      <c r="A11" s="6" t="s">
        <v>333</v>
      </c>
      <c r="B11" s="7" t="s">
        <v>273</v>
      </c>
      <c r="C11" s="7" t="s">
        <v>334</v>
      </c>
      <c r="D11" s="7" t="s">
        <v>323</v>
      </c>
      <c r="E11" s="7" t="s">
        <v>324</v>
      </c>
      <c r="F11" s="8" t="n">
        <f aca="false">SUMPRODUCT((Results_Long!$A$2:$A$1348=$B11)*(Results_Long!$B$2:$B$1348=$C11)*(Results_Long!$C$2:$C$1348=$D11)*(Results_Long!$D$2:$D$1348=$E11)*ROW(Results_Long!$A$2:$A$1348))</f>
        <v>444</v>
      </c>
      <c r="G11" s="9" t="n">
        <f aca="false">IF(INDEX(Results_Long!$H:$H,$F11)="","NA",INDEX(Results_Long!$H:$H,$F11))</f>
        <v>2705</v>
      </c>
      <c r="H11" s="9" t="n">
        <f aca="false">IF(INDEX(Results_Long!$I:$I,$F11)="","NA",INDEX(Results_Long!$I:$I,$F11))</f>
        <v>113</v>
      </c>
      <c r="I11" s="9" t="n">
        <f aca="false">IF(INDEX(Results_Long!$J:$J,$F11)="","NA",INDEX(Results_Long!$J:$J,$F11))</f>
        <v>112</v>
      </c>
      <c r="J11" s="10" t="n">
        <f aca="false">IF(INDEX(Results_Long!$K:$K,$F11)="","NA",INDEX(Results_Long!$K:$K,$F11))</f>
        <v>0.0042056665621965</v>
      </c>
      <c r="K11" s="10" t="str">
        <f aca="false">IF(INDEX(Results_Long!$P:$P,$F11)="","NA",INDEX(Results_Long!$P:$P,$F11))</f>
        <v>NA</v>
      </c>
      <c r="L11" s="10" t="str">
        <f aca="false">IF(INDEX(Results_Long!$Q:$Q,$F11)="","NA",INDEX(Results_Long!$Q:$Q,$F11))</f>
        <v>NA</v>
      </c>
      <c r="M11" s="10" t="str">
        <f aca="false">IF(INDEX(Results_Long!$T:$T,$F11)="","NA",INDEX(Results_Long!$T:$T,$F11))</f>
        <v>NA</v>
      </c>
      <c r="N11" s="10" t="str">
        <f aca="false">IF(INDEX(Results_Long!$U:$U,$F11)="","NA",INDEX(Results_Long!$U:$U,$F11))</f>
        <v>NA</v>
      </c>
      <c r="O11" s="10" t="str">
        <f aca="false">IF(INDEX(Results_Long!$V:$V,$F11)="","NA",INDEX(Results_Long!$V:$V,$F11))</f>
        <v>NA</v>
      </c>
      <c r="P11" s="10" t="n">
        <f aca="false">IF(INDEX(Results_Long!$L:$L,$F11)="","NA",INDEX(Results_Long!$L:$L,$F11))</f>
        <v>0.0227844543571598</v>
      </c>
      <c r="Q11" s="15" t="n">
        <f aca="false">IF(INDEX(Results_Long!$M:$M,$F11)="","NA",INDEX(Results_Long!$M:$M,$F11))</f>
        <v>0.184584914620741</v>
      </c>
      <c r="R11" s="16" t="n">
        <f aca="false">IF(INDEX(Results_Long!$N:$N,$F11)="","NA",INDEX(Results_Long!$N:$N,$F11))</f>
        <v>15.4439041670781</v>
      </c>
      <c r="S11" s="10" t="n">
        <f aca="false">IF(INDEX(Results_Long!$O:$O,$F11)="","NA",INDEX(Results_Long!$O:$O,$F11))</f>
        <v>0.855956667967861</v>
      </c>
      <c r="T11" s="6" t="str">
        <f aca="false">IF(INDEX(Results_Long!$AG:$AG,$F11)="","NA",INDEX(Results_Long!$AG:$AG,$F11))</f>
        <v>NA</v>
      </c>
    </row>
    <row r="12" customFormat="false" ht="15" hidden="false" customHeight="false" outlineLevel="0" collapsed="false">
      <c r="A12" s="6" t="s">
        <v>335</v>
      </c>
      <c r="B12" s="7" t="s">
        <v>273</v>
      </c>
      <c r="C12" s="7" t="s">
        <v>336</v>
      </c>
      <c r="D12" s="7" t="s">
        <v>323</v>
      </c>
      <c r="E12" s="7" t="s">
        <v>324</v>
      </c>
      <c r="F12" s="8" t="n">
        <f aca="false">SUMPRODUCT((Results_Long!$A$2:$A$1348=$B12)*(Results_Long!$B$2:$B$1348=$C12)*(Results_Long!$C$2:$C$1348=$D12)*(Results_Long!$D$2:$D$1348=$E12)*ROW(Results_Long!$A$2:$A$1348))</f>
        <v>445</v>
      </c>
      <c r="G12" s="9" t="n">
        <f aca="false">IF(INDEX(Results_Long!$H:$H,$F12)="","NA",INDEX(Results_Long!$H:$H,$F12))</f>
        <v>2705</v>
      </c>
      <c r="H12" s="9" t="n">
        <f aca="false">IF(INDEX(Results_Long!$I:$I,$F12)="","NA",INDEX(Results_Long!$I:$I,$F12))</f>
        <v>113</v>
      </c>
      <c r="I12" s="9" t="n">
        <f aca="false">IF(INDEX(Results_Long!$J:$J,$F12)="","NA",INDEX(Results_Long!$J:$J,$F12))</f>
        <v>112</v>
      </c>
      <c r="J12" s="10" t="n">
        <f aca="false">IF(INDEX(Results_Long!$K:$K,$F12)="","NA",INDEX(Results_Long!$K:$K,$F12))</f>
        <v>-0.00636445665690057</v>
      </c>
      <c r="K12" s="10" t="str">
        <f aca="false">IF(INDEX(Results_Long!$P:$P,$F12)="","NA",INDEX(Results_Long!$P:$P,$F12))</f>
        <v>NA</v>
      </c>
      <c r="L12" s="10" t="str">
        <f aca="false">IF(INDEX(Results_Long!$Q:$Q,$F12)="","NA",INDEX(Results_Long!$Q:$Q,$F12))</f>
        <v>NA</v>
      </c>
      <c r="M12" s="10" t="str">
        <f aca="false">IF(INDEX(Results_Long!$T:$T,$F12)="","NA",INDEX(Results_Long!$T:$T,$F12))</f>
        <v>NA</v>
      </c>
      <c r="N12" s="10" t="str">
        <f aca="false">IF(INDEX(Results_Long!$U:$U,$F12)="","NA",INDEX(Results_Long!$U:$U,$F12))</f>
        <v>NA</v>
      </c>
      <c r="O12" s="10" t="str">
        <f aca="false">IF(INDEX(Results_Long!$V:$V,$F12)="","NA",INDEX(Results_Long!$V:$V,$F12))</f>
        <v>NA</v>
      </c>
      <c r="P12" s="10" t="n">
        <f aca="false">IF(INDEX(Results_Long!$L:$L,$F12)="","NA",INDEX(Results_Long!$L:$L,$F12))</f>
        <v>0.0206191866471172</v>
      </c>
      <c r="Q12" s="15" t="n">
        <f aca="false">IF(INDEX(Results_Long!$M:$M,$F12)="","NA",INDEX(Results_Long!$M:$M,$F12))</f>
        <v>-0.308666717355235</v>
      </c>
      <c r="R12" s="16" t="n">
        <f aca="false">IF(INDEX(Results_Long!$N:$N,$F12)="","NA",INDEX(Results_Long!$N:$N,$F12))</f>
        <v>17.7558878107286</v>
      </c>
      <c r="S12" s="10" t="n">
        <f aca="false">IF(INDEX(Results_Long!$O:$O,$F12)="","NA",INDEX(Results_Long!$O:$O,$F12))</f>
        <v>0.7611672683926</v>
      </c>
      <c r="T12" s="6" t="str">
        <f aca="false">IF(INDEX(Results_Long!$AG:$AG,$F12)="","NA",INDEX(Results_Long!$AG:$AG,$F12))</f>
        <v>NA</v>
      </c>
    </row>
    <row r="13" customFormat="false" ht="15" hidden="false" customHeight="false" outlineLevel="0" collapsed="false">
      <c r="A13" s="6" t="s">
        <v>337</v>
      </c>
      <c r="B13" s="7" t="s">
        <v>273</v>
      </c>
      <c r="C13" s="7" t="s">
        <v>338</v>
      </c>
      <c r="D13" s="7" t="s">
        <v>323</v>
      </c>
      <c r="E13" s="7" t="s">
        <v>324</v>
      </c>
      <c r="F13" s="8" t="n">
        <f aca="false">SUMPRODUCT((Results_Long!$A$2:$A$1348=$B13)*(Results_Long!$B$2:$B$1348=$C13)*(Results_Long!$C$2:$C$1348=$D13)*(Results_Long!$D$2:$D$1348=$E13)*ROW(Results_Long!$A$2:$A$1348))</f>
        <v>446</v>
      </c>
      <c r="G13" s="9" t="n">
        <f aca="false">IF(INDEX(Results_Long!$H:$H,$F13)="","NA",INDEX(Results_Long!$H:$H,$F13))</f>
        <v>2705</v>
      </c>
      <c r="H13" s="9" t="n">
        <f aca="false">IF(INDEX(Results_Long!$I:$I,$F13)="","NA",INDEX(Results_Long!$I:$I,$F13))</f>
        <v>113</v>
      </c>
      <c r="I13" s="9" t="n">
        <f aca="false">IF(INDEX(Results_Long!$J:$J,$F13)="","NA",INDEX(Results_Long!$J:$J,$F13))</f>
        <v>112</v>
      </c>
      <c r="J13" s="10" t="n">
        <f aca="false">IF(INDEX(Results_Long!$K:$K,$F13)="","NA",INDEX(Results_Long!$K:$K,$F13))</f>
        <v>0.0397895553527688</v>
      </c>
      <c r="K13" s="10" t="str">
        <f aca="false">IF(INDEX(Results_Long!$P:$P,$F13)="","NA",INDEX(Results_Long!$P:$P,$F13))</f>
        <v>NA</v>
      </c>
      <c r="L13" s="10" t="str">
        <f aca="false">IF(INDEX(Results_Long!$Q:$Q,$F13)="","NA",INDEX(Results_Long!$Q:$Q,$F13))</f>
        <v>NA</v>
      </c>
      <c r="M13" s="10" t="str">
        <f aca="false">IF(INDEX(Results_Long!$T:$T,$F13)="","NA",INDEX(Results_Long!$T:$T,$F13))</f>
        <v>NA</v>
      </c>
      <c r="N13" s="10" t="str">
        <f aca="false">IF(INDEX(Results_Long!$U:$U,$F13)="","NA",INDEX(Results_Long!$U:$U,$F13))</f>
        <v>NA</v>
      </c>
      <c r="O13" s="10" t="str">
        <f aca="false">IF(INDEX(Results_Long!$V:$V,$F13)="","NA",INDEX(Results_Long!$V:$V,$F13))</f>
        <v>NA</v>
      </c>
      <c r="P13" s="10" t="n">
        <f aca="false">IF(INDEX(Results_Long!$L:$L,$F13)="","NA",INDEX(Results_Long!$L:$L,$F13))</f>
        <v>0.0261407975073431</v>
      </c>
      <c r="Q13" s="15" t="n">
        <f aca="false">IF(INDEX(Results_Long!$M:$M,$F13)="","NA",INDEX(Results_Long!$M:$M,$F13))</f>
        <v>1.52212476844257</v>
      </c>
      <c r="R13" s="16" t="n">
        <f aca="false">IF(INDEX(Results_Long!$N:$N,$F13)="","NA",INDEX(Results_Long!$N:$N,$F13))</f>
        <v>22.0108300678987</v>
      </c>
      <c r="S13" s="10" t="n">
        <f aca="false">IF(INDEX(Results_Long!$O:$O,$F13)="","NA",INDEX(Results_Long!$O:$O,$F13))</f>
        <v>0.14221586082545</v>
      </c>
      <c r="T13" s="6" t="str">
        <f aca="false">IF(INDEX(Results_Long!$AG:$AG,$F13)="","NA",INDEX(Results_Long!$AG:$AG,$F13))</f>
        <v>NA</v>
      </c>
    </row>
    <row r="14" customFormat="false" ht="15" hidden="false" customHeight="false" outlineLevel="0" collapsed="false">
      <c r="A14" s="6" t="s">
        <v>339</v>
      </c>
      <c r="B14" s="7" t="s">
        <v>273</v>
      </c>
      <c r="C14" s="7" t="s">
        <v>340</v>
      </c>
      <c r="D14" s="7" t="s">
        <v>323</v>
      </c>
      <c r="E14" s="7" t="s">
        <v>324</v>
      </c>
      <c r="F14" s="8" t="n">
        <f aca="false">SUMPRODUCT((Results_Long!$A$2:$A$1348=$B14)*(Results_Long!$B$2:$B$1348=$C14)*(Results_Long!$C$2:$C$1348=$D14)*(Results_Long!$D$2:$D$1348=$E14)*ROW(Results_Long!$A$2:$A$1348))</f>
        <v>447</v>
      </c>
      <c r="G14" s="9" t="n">
        <f aca="false">IF(INDEX(Results_Long!$H:$H,$F14)="","NA",INDEX(Results_Long!$H:$H,$F14))</f>
        <v>2705</v>
      </c>
      <c r="H14" s="9" t="n">
        <f aca="false">IF(INDEX(Results_Long!$I:$I,$F14)="","NA",INDEX(Results_Long!$I:$I,$F14))</f>
        <v>113</v>
      </c>
      <c r="I14" s="9" t="n">
        <f aca="false">IF(INDEX(Results_Long!$J:$J,$F14)="","NA",INDEX(Results_Long!$J:$J,$F14))</f>
        <v>112</v>
      </c>
      <c r="J14" s="10" t="n">
        <f aca="false">IF(INDEX(Results_Long!$K:$K,$F14)="","NA",INDEX(Results_Long!$K:$K,$F14))</f>
        <v>0.0213188918890692</v>
      </c>
      <c r="K14" s="10" t="str">
        <f aca="false">IF(INDEX(Results_Long!$P:$P,$F14)="","NA",INDEX(Results_Long!$P:$P,$F14))</f>
        <v>NA</v>
      </c>
      <c r="L14" s="10" t="str">
        <f aca="false">IF(INDEX(Results_Long!$Q:$Q,$F14)="","NA",INDEX(Results_Long!$Q:$Q,$F14))</f>
        <v>NA</v>
      </c>
      <c r="M14" s="10" t="str">
        <f aca="false">IF(INDEX(Results_Long!$T:$T,$F14)="","NA",INDEX(Results_Long!$T:$T,$F14))</f>
        <v>NA</v>
      </c>
      <c r="N14" s="10" t="str">
        <f aca="false">IF(INDEX(Results_Long!$U:$U,$F14)="","NA",INDEX(Results_Long!$U:$U,$F14))</f>
        <v>NA</v>
      </c>
      <c r="O14" s="10" t="str">
        <f aca="false">IF(INDEX(Results_Long!$V:$V,$F14)="","NA",INDEX(Results_Long!$V:$V,$F14))</f>
        <v>NA</v>
      </c>
      <c r="P14" s="10" t="n">
        <f aca="false">IF(INDEX(Results_Long!$L:$L,$F14)="","NA",INDEX(Results_Long!$L:$L,$F14))</f>
        <v>0.0217628822200088</v>
      </c>
      <c r="Q14" s="15" t="n">
        <f aca="false">IF(INDEX(Results_Long!$M:$M,$F14)="","NA",INDEX(Results_Long!$M:$M,$F14))</f>
        <v>0.979598734834334</v>
      </c>
      <c r="R14" s="16" t="n">
        <f aca="false">IF(INDEX(Results_Long!$N:$N,$F14)="","NA",INDEX(Results_Long!$N:$N,$F14))</f>
        <v>22.3049715472071</v>
      </c>
      <c r="S14" s="10" t="n">
        <f aca="false">IF(INDEX(Results_Long!$O:$O,$F14)="","NA",INDEX(Results_Long!$O:$O,$F14))</f>
        <v>0.337790635985211</v>
      </c>
      <c r="T14" s="6" t="str">
        <f aca="false">IF(INDEX(Results_Long!$AG:$AG,$F14)="","NA",INDEX(Results_Long!$AG:$AG,$F14))</f>
        <v>NA</v>
      </c>
    </row>
    <row r="15" customFormat="false" ht="15" hidden="false" customHeight="false" outlineLevel="0" collapsed="false">
      <c r="A15" s="6" t="s">
        <v>341</v>
      </c>
      <c r="B15" s="7" t="s">
        <v>273</v>
      </c>
      <c r="C15" s="7" t="s">
        <v>342</v>
      </c>
      <c r="D15" s="7" t="s">
        <v>323</v>
      </c>
      <c r="E15" s="7" t="s">
        <v>324</v>
      </c>
      <c r="F15" s="8" t="n">
        <f aca="false">SUMPRODUCT((Results_Long!$A$2:$A$1348=$B15)*(Results_Long!$B$2:$B$1348=$C15)*(Results_Long!$C$2:$C$1348=$D15)*(Results_Long!$D$2:$D$1348=$E15)*ROW(Results_Long!$A$2:$A$1348))</f>
        <v>448</v>
      </c>
      <c r="G15" s="9" t="n">
        <f aca="false">IF(INDEX(Results_Long!$H:$H,$F15)="","NA",INDEX(Results_Long!$H:$H,$F15))</f>
        <v>929</v>
      </c>
      <c r="H15" s="9" t="n">
        <f aca="false">IF(INDEX(Results_Long!$I:$I,$F15)="","NA",INDEX(Results_Long!$I:$I,$F15))</f>
        <v>40</v>
      </c>
      <c r="I15" s="9" t="n">
        <f aca="false">IF(INDEX(Results_Long!$J:$J,$F15)="","NA",INDEX(Results_Long!$J:$J,$F15))</f>
        <v>40</v>
      </c>
      <c r="J15" s="10" t="n">
        <f aca="false">IF(INDEX(Results_Long!$K:$K,$F15)="","NA",INDEX(Results_Long!$K:$K,$F15))</f>
        <v>-0.0129210003638893</v>
      </c>
      <c r="K15" s="10" t="str">
        <f aca="false">IF(INDEX(Results_Long!$P:$P,$F15)="","NA",INDEX(Results_Long!$P:$P,$F15))</f>
        <v>NA</v>
      </c>
      <c r="L15" s="10" t="str">
        <f aca="false">IF(INDEX(Results_Long!$Q:$Q,$F15)="","NA",INDEX(Results_Long!$Q:$Q,$F15))</f>
        <v>NA</v>
      </c>
      <c r="M15" s="10" t="str">
        <f aca="false">IF(INDEX(Results_Long!$T:$T,$F15)="","NA",INDEX(Results_Long!$T:$T,$F15))</f>
        <v>NA</v>
      </c>
      <c r="N15" s="10" t="str">
        <f aca="false">IF(INDEX(Results_Long!$U:$U,$F15)="","NA",INDEX(Results_Long!$U:$U,$F15))</f>
        <v>NA</v>
      </c>
      <c r="O15" s="10" t="str">
        <f aca="false">IF(INDEX(Results_Long!$V:$V,$F15)="","NA",INDEX(Results_Long!$V:$V,$F15))</f>
        <v>NA</v>
      </c>
      <c r="P15" s="10" t="n">
        <f aca="false">IF(INDEX(Results_Long!$L:$L,$F15)="","NA",INDEX(Results_Long!$L:$L,$F15))</f>
        <v>0.0173319893452172</v>
      </c>
      <c r="Q15" s="15" t="n">
        <f aca="false">IF(INDEX(Results_Long!$M:$M,$F15)="","NA",INDEX(Results_Long!$M:$M,$F15))</f>
        <v>-0.7455001331082</v>
      </c>
      <c r="R15" s="16" t="n">
        <f aca="false">IF(INDEX(Results_Long!$N:$N,$F15)="","NA",INDEX(Results_Long!$N:$N,$F15))</f>
        <v>23.4744834169779</v>
      </c>
      <c r="S15" s="10" t="n">
        <f aca="false">IF(INDEX(Results_Long!$O:$O,$F15)="","NA",INDEX(Results_Long!$O:$O,$F15))</f>
        <v>0.463369367453051</v>
      </c>
      <c r="T15" s="6" t="str">
        <f aca="false">IF(INDEX(Results_Long!$AG:$AG,$F15)="","NA",INDEX(Results_Long!$AG:$AG,$F15))</f>
        <v>NA</v>
      </c>
    </row>
    <row r="17" customFormat="false" ht="15" hidden="false" customHeight="false" outlineLevel="0" collapsed="false">
      <c r="A17" s="3" t="s">
        <v>156</v>
      </c>
      <c r="B17" s="3" t="s">
        <v>157</v>
      </c>
      <c r="C17" s="3" t="s">
        <v>158</v>
      </c>
      <c r="D17" s="3" t="s">
        <v>159</v>
      </c>
      <c r="E17" s="3" t="s">
        <v>160</v>
      </c>
      <c r="F17" s="3" t="s">
        <v>161</v>
      </c>
      <c r="G17" s="3" t="s">
        <v>173</v>
      </c>
      <c r="H17" s="3" t="s">
        <v>164</v>
      </c>
      <c r="I17" s="3" t="s">
        <v>165</v>
      </c>
    </row>
    <row r="18" customFormat="false" ht="57.45" hidden="false" customHeight="false" outlineLevel="0" collapsed="false">
      <c r="A18" s="6" t="s">
        <v>343</v>
      </c>
      <c r="B18" s="7" t="s">
        <v>344</v>
      </c>
      <c r="C18" s="7" t="s">
        <v>345</v>
      </c>
      <c r="D18" s="7" t="s">
        <v>169</v>
      </c>
      <c r="E18" s="7" t="s">
        <v>346</v>
      </c>
      <c r="F18" s="8" t="n">
        <f aca="false">SUMPRODUCT((Results_Long!$A$2:$A$1348=$B18)*(Results_Long!$B$2:$B$1348=$C18)*(Results_Long!$C$2:$C$1348=$D18)*(Results_Long!$D$2:$D$1348=$E18)*ROW(Results_Long!$A$2:$A$1348))</f>
        <v>1348</v>
      </c>
      <c r="G18" s="10" t="str">
        <f aca="false">IF(INDEX(Results_Long!$N:$N,$F18)="","NA",INDEX(Results_Long!$N:$N,$F18))</f>
        <v>NA</v>
      </c>
      <c r="H18" s="6" t="n">
        <f aca="false">IF(INDEX(Results_Long!$AG:$AG,$F18)="","NA",INDEX(Results_Long!$AG:$AG,$F18))</f>
        <v>10</v>
      </c>
      <c r="I18" s="5" t="str">
        <f aca="false">IF(INDEX(Results_Long!$AJ:$AJ,$F18)="","NA",INDEX(Results_Long!$AJ:$AJ,$F18))</f>
        <v>core cell keys: paris_mid|none|full|dfE; tie_break_median|none|full|dfE; end_any_exposure|none|full|dfE; share_recut_2017|none|full|dfE; share_recut_2018|none|full|dfE; share_recut_2019|none|full|dfE; end_lag1|none|full|dfE; end_lag2|none|full|dfE; end_lag3|none|full|dfE; clean_window|none|full|dfE</v>
      </c>
    </row>
    <row r="20" customFormat="false" ht="15" hidden="false" customHeight="false" outlineLevel="0" collapsed="false">
      <c r="A20" s="11" t="s">
        <v>257</v>
      </c>
    </row>
    <row r="21" customFormat="false" ht="15" hidden="false" customHeight="true" outlineLevel="0" collapsed="false">
      <c r="A21" s="12" t="s">
        <v>347</v>
      </c>
      <c r="B21" s="12"/>
      <c r="C21" s="12"/>
      <c r="D21" s="12"/>
      <c r="E21" s="12"/>
      <c r="F21" s="12"/>
      <c r="G21" s="12"/>
      <c r="H21" s="12"/>
      <c r="I21" s="12"/>
      <c r="J21" s="12"/>
    </row>
    <row r="22" customFormat="false" ht="15" hidden="false" customHeight="true" outlineLevel="0" collapsed="false">
      <c r="A22" s="12" t="s">
        <v>348</v>
      </c>
      <c r="B22" s="12"/>
      <c r="C22" s="12"/>
      <c r="D22" s="12"/>
      <c r="E22" s="12"/>
      <c r="F22" s="12"/>
      <c r="G22" s="12"/>
      <c r="H22" s="12"/>
      <c r="I22" s="12"/>
      <c r="J22" s="12"/>
    </row>
    <row r="23" customFormat="false" ht="15" hidden="false" customHeight="true" outlineLevel="0" collapsed="false">
      <c r="A23" s="12" t="s">
        <v>349</v>
      </c>
      <c r="B23" s="12"/>
      <c r="C23" s="12"/>
      <c r="D23" s="12"/>
      <c r="E23" s="12"/>
      <c r="F23" s="12"/>
      <c r="G23" s="12"/>
      <c r="H23" s="12"/>
      <c r="I23" s="12"/>
      <c r="J23" s="12"/>
    </row>
    <row r="25" customFormat="false" ht="15" hidden="false" customHeight="false" outlineLevel="0" collapsed="false">
      <c r="A25" s="3" t="s">
        <v>261</v>
      </c>
      <c r="B25" s="3" t="s">
        <v>262</v>
      </c>
    </row>
    <row r="26" customFormat="false" ht="15" hidden="false" customHeight="true" outlineLevel="0" collapsed="false">
      <c r="A26" s="13" t="s">
        <v>350</v>
      </c>
      <c r="B26" s="12" t="s">
        <v>351</v>
      </c>
      <c r="C26" s="12"/>
      <c r="D26" s="12"/>
      <c r="E26" s="12"/>
      <c r="F26" s="12"/>
      <c r="G26" s="12"/>
      <c r="H26" s="12"/>
      <c r="I26" s="12"/>
      <c r="J26" s="12"/>
    </row>
    <row r="27" customFormat="false" ht="15" hidden="false" customHeight="true" outlineLevel="0" collapsed="false">
      <c r="A27" s="13" t="s">
        <v>352</v>
      </c>
      <c r="B27" s="12" t="s">
        <v>353</v>
      </c>
      <c r="C27" s="12"/>
      <c r="D27" s="12"/>
      <c r="E27" s="12"/>
      <c r="F27" s="12"/>
      <c r="G27" s="12"/>
      <c r="H27" s="12"/>
      <c r="I27" s="12"/>
      <c r="J27" s="12"/>
    </row>
    <row r="29" customFormat="false" ht="15" hidden="false" customHeight="true" outlineLevel="0" collapsed="false">
      <c r="A29" s="14" t="s">
        <v>354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</row>
  </sheetData>
  <mergeCells count="6">
    <mergeCell ref="A21:J21"/>
    <mergeCell ref="A22:J22"/>
    <mergeCell ref="A23:J23"/>
    <mergeCell ref="B26:J26"/>
    <mergeCell ref="B27:J27"/>
    <mergeCell ref="A29:L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10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8"/>
    <col collapsed="false" customWidth="true" hidden="false" outlineLevel="0" max="8" min="7" style="0" width="9"/>
    <col collapsed="false" customWidth="true" hidden="false" outlineLevel="0" max="10" min="9" style="0" width="60"/>
  </cols>
  <sheetData>
    <row r="1" customFormat="false" ht="15" hidden="false" customHeight="false" outlineLevel="0" collapsed="false">
      <c r="A1" s="1" t="s">
        <v>355</v>
      </c>
    </row>
    <row r="2" customFormat="false" ht="15" hidden="false" customHeight="false" outlineLevel="0" collapsed="false">
      <c r="A2" s="2" t="s">
        <v>356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156</v>
      </c>
      <c r="B5" s="3" t="s">
        <v>157</v>
      </c>
      <c r="C5" s="3" t="s">
        <v>158</v>
      </c>
      <c r="D5" s="3" t="s">
        <v>159</v>
      </c>
      <c r="E5" s="3" t="s">
        <v>160</v>
      </c>
      <c r="F5" s="3" t="s">
        <v>161</v>
      </c>
      <c r="G5" s="3" t="s">
        <v>162</v>
      </c>
      <c r="H5" s="3" t="s">
        <v>163</v>
      </c>
      <c r="I5" s="3" t="s">
        <v>164</v>
      </c>
      <c r="J5" s="3" t="s">
        <v>165</v>
      </c>
    </row>
    <row r="6" customFormat="false" ht="57.45" hidden="false" customHeight="false" outlineLevel="0" collapsed="false">
      <c r="A6" s="6" t="s">
        <v>357</v>
      </c>
      <c r="B6" s="7" t="s">
        <v>358</v>
      </c>
      <c r="C6" s="7" t="s">
        <v>359</v>
      </c>
      <c r="D6" s="7" t="s">
        <v>169</v>
      </c>
      <c r="E6" s="7" t="s">
        <v>65</v>
      </c>
      <c r="F6" s="8" t="n">
        <f aca="false">SUMPRODUCT((Results_Long!$A$2:$A$1348=$B6)*(Results_Long!$B$2:$B$1348=$C6)*(Results_Long!$C$2:$C$1348=$D6)*(Results_Long!$D$2:$D$1348=$E6)*ROW(Results_Long!$A$2:$A$1348))</f>
        <v>72</v>
      </c>
      <c r="G6" s="9" t="n">
        <f aca="false">IF(INDEX(Results_Long!$H:$H,$F6)="","NA",INDEX(Results_Long!$H:$H,$F6))</f>
        <v>2705</v>
      </c>
      <c r="H6" s="9" t="n">
        <f aca="false">IF(INDEX(Results_Long!$J:$J,$F6)="","NA",INDEX(Results_Long!$J:$J,$F6))</f>
        <v>112</v>
      </c>
      <c r="I6" s="6" t="n">
        <f aca="false">IF(INDEX(Results_Long!$AG:$AG,$F6)="","NA",INDEX(Results_Long!$AG:$AG,$F6))</f>
        <v>0.341317365269461</v>
      </c>
      <c r="J6" s="5" t="str">
        <f aca="false">IF(INDEX(Results_Long!$AJ:$AJ,$F6)="","NA",INDEX(Results_Long!$AJ:$AJ,$F6))</f>
        <v>time-translation permutation, identical list as H5 [H-Q16/H-Q20]: p = (1 + 170) / (500 + 1); observed sup |t| = 2.122533 (from TH_a_results.csv observed_sup); admissible years fixed at the observed design: 2008, 2009, 2010, 2011, 2012, 2013, 2014, 2015, 2016, 2017, 2018, 2019; exceed count = 170 of 500 effective</v>
      </c>
    </row>
    <row r="7" customFormat="false" ht="15" hidden="false" customHeight="false" outlineLevel="0" collapsed="false">
      <c r="A7" s="6" t="s">
        <v>282</v>
      </c>
      <c r="B7" s="7" t="s">
        <v>358</v>
      </c>
      <c r="C7" s="7" t="s">
        <v>359</v>
      </c>
      <c r="D7" s="7" t="s">
        <v>169</v>
      </c>
      <c r="E7" s="7" t="s">
        <v>74</v>
      </c>
      <c r="F7" s="8" t="n">
        <f aca="false">SUMPRODUCT((Results_Long!$A$2:$A$1348=$B7)*(Results_Long!$B$2:$B$1348=$C7)*(Results_Long!$C$2:$C$1348=$D7)*(Results_Long!$D$2:$D$1348=$E7)*ROW(Results_Long!$A$2:$A$1348))</f>
        <v>73</v>
      </c>
      <c r="G7" s="9" t="str">
        <f aca="false">IF(INDEX(Results_Long!$H:$H,$F7)="","NA",INDEX(Results_Long!$H:$H,$F7))</f>
        <v>NA</v>
      </c>
      <c r="H7" s="9" t="str">
        <f aca="false">IF(INDEX(Results_Long!$J:$J,$F7)="","NA",INDEX(Results_Long!$J:$J,$F7))</f>
        <v>NA</v>
      </c>
      <c r="I7" s="6" t="n">
        <f aca="false">IF(INDEX(Results_Long!$AG:$AG,$F7)="","NA",INDEX(Results_Long!$AG:$AG,$F7))</f>
        <v>500</v>
      </c>
      <c r="J7" s="5" t="str">
        <f aca="false">IF(INDEX(Results_Long!$AJ:$AJ,$F7)="","NA",INDEX(Results_Long!$AJ:$AJ,$F7))</f>
        <v>effective replicates (finite sup statistic) of 500</v>
      </c>
    </row>
    <row r="9" customFormat="false" ht="15" hidden="false" customHeight="false" outlineLevel="0" collapsed="false">
      <c r="A9" s="3" t="s">
        <v>156</v>
      </c>
      <c r="B9" s="3" t="s">
        <v>157</v>
      </c>
      <c r="C9" s="3" t="s">
        <v>158</v>
      </c>
      <c r="D9" s="3" t="s">
        <v>159</v>
      </c>
      <c r="E9" s="3" t="s">
        <v>160</v>
      </c>
      <c r="F9" s="3" t="s">
        <v>161</v>
      </c>
      <c r="G9" s="3" t="s">
        <v>173</v>
      </c>
      <c r="H9" s="3" t="s">
        <v>164</v>
      </c>
      <c r="I9" s="3" t="s">
        <v>165</v>
      </c>
    </row>
    <row r="10" customFormat="false" ht="35.05" hidden="false" customHeight="false" outlineLevel="0" collapsed="false">
      <c r="A10" s="6" t="s">
        <v>360</v>
      </c>
      <c r="B10" s="7" t="s">
        <v>344</v>
      </c>
      <c r="C10" s="7" t="s">
        <v>345</v>
      </c>
      <c r="D10" s="7" t="s">
        <v>169</v>
      </c>
      <c r="E10" s="7" t="s">
        <v>361</v>
      </c>
      <c r="F10" s="8" t="n">
        <f aca="false">SUMPRODUCT((Results_Long!$A$2:$A$1348=$B10)*(Results_Long!$B$2:$B$1348=$C10)*(Results_Long!$C$2:$C$1348=$D10)*(Results_Long!$D$2:$D$1348=$E10)*ROW(Results_Long!$A$2:$A$1348))</f>
        <v>1344</v>
      </c>
      <c r="G10" s="10" t="str">
        <f aca="false">IF(INDEX(Results_Long!$N:$N,$F10)="","NA",INDEX(Results_Long!$N:$N,$F10))</f>
        <v>NA</v>
      </c>
      <c r="H10" s="6" t="n">
        <f aca="false">IF(INDEX(Results_Long!$AG:$AG,$F10)="","NA",INDEX(Results_Long!$AG:$AG,$F10))</f>
        <v>12</v>
      </c>
      <c r="I10" s="5" t="str">
        <f aca="false">IF(INDEX(Results_Long!$AJ:$AJ,$F10)="","NA",INDEX(Results_Long!$AJ:$AJ,$F10))</f>
        <v>read from TH_a_results.csv design row and membership-verified: 2008, 2009, 2010, 2011, 2012, 2013, 2014, 2015, 2016, 2017, 2018, 2019; recomputation identity via the observed permutation-pass machinery</v>
      </c>
    </row>
    <row r="12" customFormat="false" ht="15" hidden="false" customHeight="false" outlineLevel="0" collapsed="false">
      <c r="A12" s="11" t="s">
        <v>257</v>
      </c>
    </row>
    <row r="13" customFormat="false" ht="15" hidden="false" customHeight="true" outlineLevel="0" collapsed="false">
      <c r="A13" s="12" t="s">
        <v>362</v>
      </c>
      <c r="B13" s="12"/>
      <c r="C13" s="12"/>
      <c r="D13" s="12"/>
      <c r="E13" s="12"/>
      <c r="F13" s="12"/>
      <c r="G13" s="12"/>
      <c r="H13" s="12"/>
      <c r="I13" s="12"/>
      <c r="J13" s="12"/>
    </row>
    <row r="14" customFormat="false" ht="15" hidden="false" customHeight="true" outlineLevel="0" collapsed="false">
      <c r="A14" s="12" t="s">
        <v>363</v>
      </c>
      <c r="B14" s="12"/>
      <c r="C14" s="12"/>
      <c r="D14" s="12"/>
      <c r="E14" s="12"/>
      <c r="F14" s="12"/>
      <c r="G14" s="12"/>
      <c r="H14" s="12"/>
      <c r="I14" s="12"/>
      <c r="J14" s="12"/>
    </row>
    <row r="16" customFormat="false" ht="15" hidden="false" customHeight="false" outlineLevel="0" collapsed="false">
      <c r="A16" s="3" t="s">
        <v>261</v>
      </c>
      <c r="B16" s="3" t="s">
        <v>262</v>
      </c>
    </row>
    <row r="17" customFormat="false" ht="15" hidden="false" customHeight="true" outlineLevel="0" collapsed="false">
      <c r="A17" s="13" t="s">
        <v>364</v>
      </c>
      <c r="B17" s="12" t="s">
        <v>365</v>
      </c>
      <c r="C17" s="12"/>
      <c r="D17" s="12"/>
      <c r="E17" s="12"/>
      <c r="F17" s="12"/>
      <c r="G17" s="12"/>
      <c r="H17" s="12"/>
      <c r="I17" s="12"/>
      <c r="J17" s="12"/>
    </row>
    <row r="19" customFormat="false" ht="15" hidden="false" customHeight="true" outlineLevel="0" collapsed="false">
      <c r="A19" s="14" t="s">
        <v>366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</row>
  </sheetData>
  <mergeCells count="4">
    <mergeCell ref="A13:J13"/>
    <mergeCell ref="A14:J14"/>
    <mergeCell ref="B17:J17"/>
    <mergeCell ref="A19:L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10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8"/>
    <col collapsed="false" customWidth="true" hidden="false" outlineLevel="0" max="8" min="7" style="0" width="9"/>
    <col collapsed="false" customWidth="true" hidden="false" outlineLevel="0" max="10" min="9" style="0" width="60"/>
  </cols>
  <sheetData>
    <row r="1" customFormat="false" ht="15" hidden="false" customHeight="false" outlineLevel="0" collapsed="false">
      <c r="A1" s="1" t="s">
        <v>367</v>
      </c>
    </row>
    <row r="2" customFormat="false" ht="15" hidden="false" customHeight="false" outlineLevel="0" collapsed="false">
      <c r="A2" s="2" t="s">
        <v>368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156</v>
      </c>
      <c r="B5" s="3" t="s">
        <v>157</v>
      </c>
      <c r="C5" s="3" t="s">
        <v>158</v>
      </c>
      <c r="D5" s="3" t="s">
        <v>159</v>
      </c>
      <c r="E5" s="3" t="s">
        <v>160</v>
      </c>
      <c r="F5" s="3" t="s">
        <v>161</v>
      </c>
      <c r="G5" s="3" t="s">
        <v>162</v>
      </c>
      <c r="H5" s="3" t="s">
        <v>163</v>
      </c>
      <c r="I5" s="3" t="s">
        <v>164</v>
      </c>
      <c r="J5" s="3" t="s">
        <v>165</v>
      </c>
    </row>
    <row r="6" customFormat="false" ht="46.25" hidden="false" customHeight="false" outlineLevel="0" collapsed="false">
      <c r="A6" s="6" t="s">
        <v>369</v>
      </c>
      <c r="B6" s="7" t="s">
        <v>370</v>
      </c>
      <c r="C6" s="7" t="s">
        <v>371</v>
      </c>
      <c r="D6" s="7" t="s">
        <v>169</v>
      </c>
      <c r="E6" s="7" t="s">
        <v>65</v>
      </c>
      <c r="F6" s="8" t="n">
        <f aca="false">SUMPRODUCT((Results_Long!$A$2:$A$1348=$B6)*(Results_Long!$B$2:$B$1348=$C6)*(Results_Long!$C$2:$C$1348=$D6)*(Results_Long!$D$2:$D$1348=$E6)*ROW(Results_Long!$A$2:$A$1348))</f>
        <v>70</v>
      </c>
      <c r="G6" s="9" t="n">
        <f aca="false">IF(INDEX(Results_Long!$H:$H,$F6)="","NA",INDEX(Results_Long!$H:$H,$F6))</f>
        <v>2705</v>
      </c>
      <c r="H6" s="9" t="n">
        <f aca="false">IF(INDEX(Results_Long!$J:$J,$F6)="","NA",INDEX(Results_Long!$J:$J,$F6))</f>
        <v>112</v>
      </c>
      <c r="I6" s="6" t="n">
        <f aca="false">IF(INDEX(Results_Long!$AG:$AG,$F6)="","NA",INDEX(Results_Long!$AG:$AG,$F6))</f>
        <v>0.401197604790419</v>
      </c>
      <c r="J6" s="5" t="str">
        <f aca="false">IF(INDEX(Results_Long!$AJ:$AJ,$F6)="","NA",INDEX(Results_Long!$AJ:$AJ,$F6))</f>
        <v>time-translation permutation [H-Q20]: p = (1 + 200) / (500 + 1); observed |t_race| = 1.052421 (pp_mid coefficient of the T8 race model; point estimate/p_CR2 live in T8 — single-home [4a]); B = 500, exceed count = 200 of 500 effective</v>
      </c>
    </row>
    <row r="7" customFormat="false" ht="23.85" hidden="false" customHeight="false" outlineLevel="0" collapsed="false">
      <c r="A7" s="6" t="s">
        <v>282</v>
      </c>
      <c r="B7" s="7" t="s">
        <v>370</v>
      </c>
      <c r="C7" s="7" t="s">
        <v>371</v>
      </c>
      <c r="D7" s="7" t="s">
        <v>169</v>
      </c>
      <c r="E7" s="7" t="s">
        <v>74</v>
      </c>
      <c r="F7" s="8" t="n">
        <f aca="false">SUMPRODUCT((Results_Long!$A$2:$A$1348=$B7)*(Results_Long!$B$2:$B$1348=$C7)*(Results_Long!$C$2:$C$1348=$D7)*(Results_Long!$D$2:$D$1348=$E7)*ROW(Results_Long!$A$2:$A$1348))</f>
        <v>71</v>
      </c>
      <c r="G7" s="9" t="str">
        <f aca="false">IF(INDEX(Results_Long!$H:$H,$F7)="","NA",INDEX(Results_Long!$H:$H,$F7))</f>
        <v>NA</v>
      </c>
      <c r="H7" s="9" t="str">
        <f aca="false">IF(INDEX(Results_Long!$J:$J,$F7)="","NA",INDEX(Results_Long!$J:$J,$F7))</f>
        <v>NA</v>
      </c>
      <c r="I7" s="6" t="n">
        <f aca="false">IF(INDEX(Results_Long!$AG:$AG,$F7)="","NA",INDEX(Results_Long!$AG:$AG,$F7))</f>
        <v>500</v>
      </c>
      <c r="J7" s="5" t="str">
        <f aca="false">IF(INDEX(Results_Long!$AJ:$AJ,$F7)="","NA",INDEX(Results_Long!$AJ:$AJ,$F7))</f>
        <v>effective replicates (finite race statistic) of 500; failed replicates dropped from the denominator, share &lt;= 0.01 enforced</v>
      </c>
    </row>
    <row r="9" customFormat="false" ht="15" hidden="false" customHeight="false" outlineLevel="0" collapsed="false">
      <c r="A9" s="3" t="s">
        <v>156</v>
      </c>
      <c r="B9" s="3" t="s">
        <v>157</v>
      </c>
      <c r="C9" s="3" t="s">
        <v>158</v>
      </c>
      <c r="D9" s="3" t="s">
        <v>159</v>
      </c>
      <c r="E9" s="3" t="s">
        <v>160</v>
      </c>
      <c r="F9" s="3" t="s">
        <v>161</v>
      </c>
      <c r="G9" s="3" t="s">
        <v>173</v>
      </c>
      <c r="H9" s="3" t="s">
        <v>164</v>
      </c>
      <c r="I9" s="3" t="s">
        <v>165</v>
      </c>
    </row>
    <row r="10" customFormat="false" ht="35.05" hidden="false" customHeight="false" outlineLevel="0" collapsed="false">
      <c r="A10" s="6" t="s">
        <v>372</v>
      </c>
      <c r="B10" s="7" t="s">
        <v>344</v>
      </c>
      <c r="C10" s="7" t="s">
        <v>345</v>
      </c>
      <c r="D10" s="7" t="s">
        <v>169</v>
      </c>
      <c r="E10" s="7" t="s">
        <v>373</v>
      </c>
      <c r="F10" s="8" t="n">
        <f aca="false">SUMPRODUCT((Results_Long!$A$2:$A$1348=$B10)*(Results_Long!$B$2:$B$1348=$C10)*(Results_Long!$C$2:$C$1348=$D10)*(Results_Long!$D$2:$D$1348=$E10)*ROW(Results_Long!$A$2:$A$1348))</f>
        <v>1343</v>
      </c>
      <c r="G10" s="10" t="str">
        <f aca="false">IF(INDEX(Results_Long!$N:$N,$F10)="","NA",INDEX(Results_Long!$N:$N,$F10))</f>
        <v>NA</v>
      </c>
      <c r="H10" s="6" t="str">
        <f aca="false">IF(INDEX(Results_Long!$AG:$AG,$F10)="","NA",INDEX(Results_Long!$AG:$AG,$F10))</f>
        <v>NA</v>
      </c>
      <c r="I10" s="5" t="str">
        <f aca="false">IF(INDEX(Results_Long!$AJ:$AJ,$F10)="","NA",INDEX(Results_Long!$AJ:$AJ,$F10))</f>
        <v>F65 gates PASSED: committed T8 B4/race/pp_mid_lag0 matched embedded constants at 1e-9; observed refit identity at 1e-6; |t_race_obs| = 1.052421</v>
      </c>
    </row>
    <row r="12" customFormat="false" ht="15" hidden="false" customHeight="false" outlineLevel="0" collapsed="false">
      <c r="A12" s="11" t="s">
        <v>257</v>
      </c>
    </row>
    <row r="13" customFormat="false" ht="15" hidden="false" customHeight="true" outlineLevel="0" collapsed="false">
      <c r="A13" s="12" t="s">
        <v>374</v>
      </c>
      <c r="B13" s="12"/>
      <c r="C13" s="12"/>
      <c r="D13" s="12"/>
      <c r="E13" s="12"/>
      <c r="F13" s="12"/>
      <c r="G13" s="12"/>
      <c r="H13" s="12"/>
      <c r="I13" s="12"/>
      <c r="J13" s="12"/>
    </row>
    <row r="14" customFormat="false" ht="15" hidden="false" customHeight="true" outlineLevel="0" collapsed="false">
      <c r="A14" s="12" t="s">
        <v>375</v>
      </c>
      <c r="B14" s="12"/>
      <c r="C14" s="12"/>
      <c r="D14" s="12"/>
      <c r="E14" s="12"/>
      <c r="F14" s="12"/>
      <c r="G14" s="12"/>
      <c r="H14" s="12"/>
      <c r="I14" s="12"/>
      <c r="J14" s="12"/>
    </row>
    <row r="16" customFormat="false" ht="15" hidden="false" customHeight="false" outlineLevel="0" collapsed="false">
      <c r="A16" s="3" t="s">
        <v>261</v>
      </c>
      <c r="B16" s="3" t="s">
        <v>262</v>
      </c>
    </row>
    <row r="17" customFormat="false" ht="15" hidden="false" customHeight="true" outlineLevel="0" collapsed="false">
      <c r="A17" s="13" t="s">
        <v>376</v>
      </c>
      <c r="B17" s="12" t="s">
        <v>377</v>
      </c>
      <c r="C17" s="12"/>
      <c r="D17" s="12"/>
      <c r="E17" s="12"/>
      <c r="F17" s="12"/>
      <c r="G17" s="12"/>
      <c r="H17" s="12"/>
      <c r="I17" s="12"/>
      <c r="J17" s="12"/>
    </row>
    <row r="19" customFormat="false" ht="15" hidden="false" customHeight="true" outlineLevel="0" collapsed="false">
      <c r="A19" s="14" t="s">
        <v>378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</row>
  </sheetData>
  <mergeCells count="4">
    <mergeCell ref="A13:J13"/>
    <mergeCell ref="A14:J14"/>
    <mergeCell ref="B17:J17"/>
    <mergeCell ref="A19:L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3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5" min="1" style="0" width="13"/>
    <col collapsed="false" customWidth="true" hidden="false" outlineLevel="0" max="36" min="36" style="0" width="60"/>
  </cols>
  <sheetData>
    <row r="1" customFormat="false" ht="15" hidden="false" customHeight="false" outlineLevel="0" collapsed="false">
      <c r="A1" s="17" t="s">
        <v>157</v>
      </c>
      <c r="B1" s="17" t="s">
        <v>158</v>
      </c>
      <c r="C1" s="17" t="s">
        <v>159</v>
      </c>
      <c r="D1" s="17" t="s">
        <v>160</v>
      </c>
      <c r="E1" s="17" t="s">
        <v>379</v>
      </c>
      <c r="F1" s="17" t="s">
        <v>380</v>
      </c>
      <c r="G1" s="17" t="s">
        <v>381</v>
      </c>
      <c r="H1" s="17" t="s">
        <v>162</v>
      </c>
      <c r="I1" s="17" t="s">
        <v>382</v>
      </c>
      <c r="J1" s="17" t="s">
        <v>383</v>
      </c>
      <c r="K1" s="17" t="s">
        <v>311</v>
      </c>
      <c r="L1" s="17" t="s">
        <v>317</v>
      </c>
      <c r="M1" s="17" t="s">
        <v>384</v>
      </c>
      <c r="N1" s="17" t="s">
        <v>319</v>
      </c>
      <c r="O1" s="17" t="s">
        <v>320</v>
      </c>
      <c r="P1" s="17" t="s">
        <v>312</v>
      </c>
      <c r="Q1" s="17" t="s">
        <v>313</v>
      </c>
      <c r="R1" s="17" t="s">
        <v>385</v>
      </c>
      <c r="S1" s="17" t="s">
        <v>386</v>
      </c>
      <c r="T1" s="17" t="s">
        <v>314</v>
      </c>
      <c r="U1" s="17" t="s">
        <v>315</v>
      </c>
      <c r="V1" s="17" t="s">
        <v>316</v>
      </c>
      <c r="W1" s="17" t="s">
        <v>387</v>
      </c>
      <c r="X1" s="17" t="s">
        <v>388</v>
      </c>
      <c r="Y1" s="17" t="s">
        <v>389</v>
      </c>
      <c r="Z1" s="17" t="s">
        <v>390</v>
      </c>
      <c r="AA1" s="17" t="s">
        <v>391</v>
      </c>
      <c r="AB1" s="17" t="s">
        <v>392</v>
      </c>
      <c r="AC1" s="17" t="s">
        <v>393</v>
      </c>
      <c r="AD1" s="17" t="s">
        <v>394</v>
      </c>
      <c r="AE1" s="17" t="s">
        <v>395</v>
      </c>
      <c r="AF1" s="17" t="s">
        <v>396</v>
      </c>
      <c r="AG1" s="17" t="s">
        <v>164</v>
      </c>
      <c r="AH1" s="17" t="s">
        <v>397</v>
      </c>
      <c r="AI1" s="17" t="s">
        <v>398</v>
      </c>
      <c r="AJ1" s="17" t="s">
        <v>399</v>
      </c>
    </row>
    <row r="2" customFormat="false" ht="15" hidden="false" customHeight="false" outlineLevel="0" collapsed="false">
      <c r="A2" s="18" t="s">
        <v>167</v>
      </c>
      <c r="B2" s="18" t="s">
        <v>175</v>
      </c>
      <c r="C2" s="18" t="s">
        <v>169</v>
      </c>
      <c r="D2" s="18" t="s">
        <v>176</v>
      </c>
      <c r="E2" s="18" t="s">
        <v>400</v>
      </c>
      <c r="F2" s="18" t="s">
        <v>401</v>
      </c>
      <c r="G2" s="18" t="n">
        <v>0.6</v>
      </c>
      <c r="H2" s="18" t="n">
        <v>2705</v>
      </c>
      <c r="I2" s="18"/>
      <c r="J2" s="18" t="n">
        <v>112</v>
      </c>
      <c r="K2" s="18"/>
      <c r="L2" s="18"/>
      <c r="M2" s="18"/>
      <c r="N2" s="18" t="n">
        <v>11.5762593997269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 t="n">
        <v>0.032</v>
      </c>
      <c r="AH2" s="18" t="s">
        <v>402</v>
      </c>
      <c r="AI2" s="18"/>
      <c r="AJ2" s="18" t="s">
        <v>403</v>
      </c>
    </row>
    <row r="3" customFormat="false" ht="15" hidden="false" customHeight="false" outlineLevel="0" collapsed="false">
      <c r="A3" s="18" t="s">
        <v>167</v>
      </c>
      <c r="B3" s="18" t="s">
        <v>175</v>
      </c>
      <c r="C3" s="18" t="s">
        <v>169</v>
      </c>
      <c r="D3" s="18" t="s">
        <v>178</v>
      </c>
      <c r="E3" s="18" t="s">
        <v>400</v>
      </c>
      <c r="F3" s="18" t="s">
        <v>401</v>
      </c>
      <c r="G3" s="18" t="n">
        <v>0.6</v>
      </c>
      <c r="H3" s="18" t="n">
        <v>2705</v>
      </c>
      <c r="I3" s="18"/>
      <c r="J3" s="18" t="n">
        <v>112</v>
      </c>
      <c r="K3" s="18"/>
      <c r="L3" s="18"/>
      <c r="M3" s="18"/>
      <c r="N3" s="18" t="n">
        <v>11.5762593997269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 t="n">
        <v>0.052</v>
      </c>
      <c r="AH3" s="18" t="s">
        <v>402</v>
      </c>
      <c r="AI3" s="18"/>
      <c r="AJ3" s="18" t="s">
        <v>403</v>
      </c>
    </row>
    <row r="4" customFormat="false" ht="15" hidden="false" customHeight="false" outlineLevel="0" collapsed="false">
      <c r="A4" s="18" t="s">
        <v>167</v>
      </c>
      <c r="B4" s="18" t="s">
        <v>175</v>
      </c>
      <c r="C4" s="18" t="s">
        <v>169</v>
      </c>
      <c r="D4" s="18" t="s">
        <v>180</v>
      </c>
      <c r="E4" s="18" t="s">
        <v>400</v>
      </c>
      <c r="F4" s="18" t="s">
        <v>401</v>
      </c>
      <c r="G4" s="18" t="n">
        <v>0.6</v>
      </c>
      <c r="H4" s="18" t="n">
        <v>2705</v>
      </c>
      <c r="I4" s="18"/>
      <c r="J4" s="18" t="n">
        <v>112</v>
      </c>
      <c r="K4" s="18"/>
      <c r="L4" s="18"/>
      <c r="M4" s="18"/>
      <c r="N4" s="18" t="n">
        <v>11.5762593997269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 t="n">
        <v>0.1142</v>
      </c>
      <c r="AH4" s="18" t="s">
        <v>402</v>
      </c>
      <c r="AI4" s="18"/>
      <c r="AJ4" s="18" t="s">
        <v>403</v>
      </c>
    </row>
    <row r="5" customFormat="false" ht="15" hidden="false" customHeight="false" outlineLevel="0" collapsed="false">
      <c r="A5" s="18" t="s">
        <v>167</v>
      </c>
      <c r="B5" s="18" t="s">
        <v>175</v>
      </c>
      <c r="C5" s="18" t="s">
        <v>169</v>
      </c>
      <c r="D5" s="18" t="s">
        <v>182</v>
      </c>
      <c r="E5" s="18" t="s">
        <v>400</v>
      </c>
      <c r="F5" s="18" t="s">
        <v>401</v>
      </c>
      <c r="G5" s="18" t="n">
        <v>0.6</v>
      </c>
      <c r="H5" s="18" t="n">
        <v>2705</v>
      </c>
      <c r="I5" s="18"/>
      <c r="J5" s="18" t="n">
        <v>112</v>
      </c>
      <c r="K5" s="18"/>
      <c r="L5" s="18"/>
      <c r="M5" s="18"/>
      <c r="N5" s="18" t="n">
        <v>11.5762593997269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 t="n">
        <v>0.238</v>
      </c>
      <c r="AH5" s="18" t="s">
        <v>402</v>
      </c>
      <c r="AI5" s="18"/>
      <c r="AJ5" s="18" t="s">
        <v>403</v>
      </c>
    </row>
    <row r="6" customFormat="false" ht="15" hidden="false" customHeight="false" outlineLevel="0" collapsed="false">
      <c r="A6" s="18" t="s">
        <v>167</v>
      </c>
      <c r="B6" s="18" t="s">
        <v>175</v>
      </c>
      <c r="C6" s="18" t="s">
        <v>169</v>
      </c>
      <c r="D6" s="18" t="s">
        <v>184</v>
      </c>
      <c r="E6" s="18" t="s">
        <v>400</v>
      </c>
      <c r="F6" s="18" t="s">
        <v>401</v>
      </c>
      <c r="G6" s="18" t="n">
        <v>0.6</v>
      </c>
      <c r="H6" s="18" t="n">
        <v>2705</v>
      </c>
      <c r="I6" s="18"/>
      <c r="J6" s="18" t="n">
        <v>112</v>
      </c>
      <c r="K6" s="18"/>
      <c r="L6" s="18"/>
      <c r="M6" s="18"/>
      <c r="N6" s="18" t="n">
        <v>11.5762593997269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 t="n">
        <v>0.4132</v>
      </c>
      <c r="AH6" s="18" t="s">
        <v>402</v>
      </c>
      <c r="AI6" s="18"/>
      <c r="AJ6" s="18" t="s">
        <v>403</v>
      </c>
    </row>
    <row r="7" customFormat="false" ht="15" hidden="false" customHeight="false" outlineLevel="0" collapsed="false">
      <c r="A7" s="18" t="s">
        <v>167</v>
      </c>
      <c r="B7" s="18" t="s">
        <v>175</v>
      </c>
      <c r="C7" s="18" t="s">
        <v>169</v>
      </c>
      <c r="D7" s="18" t="s">
        <v>186</v>
      </c>
      <c r="E7" s="18" t="s">
        <v>400</v>
      </c>
      <c r="F7" s="18" t="s">
        <v>401</v>
      </c>
      <c r="G7" s="18" t="n">
        <v>0.6</v>
      </c>
      <c r="H7" s="18" t="n">
        <v>2705</v>
      </c>
      <c r="I7" s="18"/>
      <c r="J7" s="18" t="n">
        <v>112</v>
      </c>
      <c r="K7" s="18"/>
      <c r="L7" s="18"/>
      <c r="M7" s="18"/>
      <c r="N7" s="18" t="n">
        <v>11.5762593997269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 t="n">
        <v>0.6004</v>
      </c>
      <c r="AH7" s="18" t="s">
        <v>402</v>
      </c>
      <c r="AI7" s="18"/>
      <c r="AJ7" s="18" t="s">
        <v>403</v>
      </c>
    </row>
    <row r="8" customFormat="false" ht="15" hidden="false" customHeight="false" outlineLevel="0" collapsed="false">
      <c r="A8" s="18" t="s">
        <v>167</v>
      </c>
      <c r="B8" s="18" t="s">
        <v>175</v>
      </c>
      <c r="C8" s="18" t="s">
        <v>169</v>
      </c>
      <c r="D8" s="18" t="s">
        <v>188</v>
      </c>
      <c r="E8" s="18" t="s">
        <v>400</v>
      </c>
      <c r="F8" s="18" t="s">
        <v>401</v>
      </c>
      <c r="G8" s="18" t="n">
        <v>0.6</v>
      </c>
      <c r="H8" s="18" t="n">
        <v>2705</v>
      </c>
      <c r="I8" s="18"/>
      <c r="J8" s="18" t="n">
        <v>112</v>
      </c>
      <c r="K8" s="18"/>
      <c r="L8" s="18"/>
      <c r="M8" s="18"/>
      <c r="N8" s="18" t="n">
        <v>11.5762593997269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 t="n">
        <v>0.7684</v>
      </c>
      <c r="AH8" s="18" t="s">
        <v>402</v>
      </c>
      <c r="AI8" s="18"/>
      <c r="AJ8" s="18" t="s">
        <v>403</v>
      </c>
    </row>
    <row r="9" customFormat="false" ht="15" hidden="false" customHeight="false" outlineLevel="0" collapsed="false">
      <c r="A9" s="18" t="s">
        <v>167</v>
      </c>
      <c r="B9" s="18" t="s">
        <v>175</v>
      </c>
      <c r="C9" s="18" t="s">
        <v>169</v>
      </c>
      <c r="D9" s="18" t="s">
        <v>190</v>
      </c>
      <c r="E9" s="18" t="s">
        <v>400</v>
      </c>
      <c r="F9" s="18" t="s">
        <v>401</v>
      </c>
      <c r="G9" s="18" t="n">
        <v>0.6</v>
      </c>
      <c r="H9" s="18" t="n">
        <v>2705</v>
      </c>
      <c r="I9" s="18"/>
      <c r="J9" s="18" t="n">
        <v>112</v>
      </c>
      <c r="K9" s="18"/>
      <c r="L9" s="18"/>
      <c r="M9" s="18"/>
      <c r="N9" s="18" t="n">
        <v>11.5762593997269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 t="n">
        <v>0.8868</v>
      </c>
      <c r="AH9" s="18" t="s">
        <v>402</v>
      </c>
      <c r="AI9" s="18"/>
      <c r="AJ9" s="18" t="s">
        <v>403</v>
      </c>
    </row>
    <row r="10" customFormat="false" ht="15" hidden="false" customHeight="false" outlineLevel="0" collapsed="false">
      <c r="A10" s="18" t="s">
        <v>167</v>
      </c>
      <c r="B10" s="18" t="s">
        <v>175</v>
      </c>
      <c r="C10" s="18" t="s">
        <v>169</v>
      </c>
      <c r="D10" s="18" t="s">
        <v>192</v>
      </c>
      <c r="E10" s="18" t="s">
        <v>400</v>
      </c>
      <c r="F10" s="18" t="s">
        <v>401</v>
      </c>
      <c r="G10" s="18" t="n">
        <v>0.6</v>
      </c>
      <c r="H10" s="18" t="n">
        <v>2705</v>
      </c>
      <c r="I10" s="18"/>
      <c r="J10" s="18" t="n">
        <v>112</v>
      </c>
      <c r="K10" s="18"/>
      <c r="L10" s="18"/>
      <c r="M10" s="18"/>
      <c r="N10" s="18" t="n">
        <v>11.5762593997269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 t="n">
        <v>0.9526</v>
      </c>
      <c r="AH10" s="18" t="s">
        <v>402</v>
      </c>
      <c r="AI10" s="18"/>
      <c r="AJ10" s="18" t="s">
        <v>403</v>
      </c>
    </row>
    <row r="11" customFormat="false" ht="15" hidden="false" customHeight="false" outlineLevel="0" collapsed="false">
      <c r="A11" s="18" t="s">
        <v>167</v>
      </c>
      <c r="B11" s="18" t="s">
        <v>175</v>
      </c>
      <c r="C11" s="18" t="s">
        <v>169</v>
      </c>
      <c r="D11" s="18" t="s">
        <v>194</v>
      </c>
      <c r="E11" s="18" t="s">
        <v>404</v>
      </c>
      <c r="F11" s="18" t="s">
        <v>401</v>
      </c>
      <c r="G11" s="18" t="n">
        <v>0.6</v>
      </c>
      <c r="H11" s="18" t="n">
        <v>2705</v>
      </c>
      <c r="I11" s="18"/>
      <c r="J11" s="18" t="n">
        <v>112</v>
      </c>
      <c r="K11" s="18"/>
      <c r="L11" s="18"/>
      <c r="M11" s="18"/>
      <c r="N11" s="18" t="n">
        <v>11.5762593997269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 t="n">
        <v>0.0626689189189189</v>
      </c>
      <c r="AH11" s="18" t="s">
        <v>402</v>
      </c>
      <c r="AI11" s="18"/>
      <c r="AJ11" s="18" t="s">
        <v>405</v>
      </c>
    </row>
    <row r="12" customFormat="false" ht="15" hidden="false" customHeight="false" outlineLevel="0" collapsed="false">
      <c r="A12" s="18" t="s">
        <v>167</v>
      </c>
      <c r="B12" s="18" t="s">
        <v>175</v>
      </c>
      <c r="C12" s="18" t="s">
        <v>169</v>
      </c>
      <c r="D12" s="18" t="s">
        <v>196</v>
      </c>
      <c r="E12" s="18" t="s">
        <v>404</v>
      </c>
      <c r="F12" s="18" t="s">
        <v>401</v>
      </c>
      <c r="G12" s="18" t="n">
        <v>0.6</v>
      </c>
      <c r="H12" s="18" t="n">
        <v>2705</v>
      </c>
      <c r="I12" s="18"/>
      <c r="J12" s="18" t="n">
        <v>112</v>
      </c>
      <c r="K12" s="18"/>
      <c r="L12" s="18"/>
      <c r="M12" s="18"/>
      <c r="N12" s="18" t="n">
        <v>11.5762593997269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 t="n">
        <v>0.0720060790273556</v>
      </c>
      <c r="AH12" s="18" t="s">
        <v>402</v>
      </c>
      <c r="AI12" s="18"/>
      <c r="AJ12" s="18" t="s">
        <v>406</v>
      </c>
    </row>
    <row r="13" customFormat="false" ht="15" hidden="false" customHeight="false" outlineLevel="0" collapsed="false">
      <c r="A13" s="18" t="s">
        <v>167</v>
      </c>
      <c r="B13" s="18" t="s">
        <v>198</v>
      </c>
      <c r="C13" s="18" t="s">
        <v>169</v>
      </c>
      <c r="D13" s="18" t="s">
        <v>176</v>
      </c>
      <c r="E13" s="18" t="s">
        <v>400</v>
      </c>
      <c r="F13" s="18" t="s">
        <v>401</v>
      </c>
      <c r="G13" s="18" t="n">
        <v>0.6</v>
      </c>
      <c r="H13" s="18" t="n">
        <v>2705</v>
      </c>
      <c r="I13" s="18"/>
      <c r="J13" s="18" t="n">
        <v>112</v>
      </c>
      <c r="K13" s="18"/>
      <c r="L13" s="18"/>
      <c r="M13" s="18"/>
      <c r="N13" s="18" t="n">
        <v>11.8193607570982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 t="n">
        <v>0.0344</v>
      </c>
      <c r="AH13" s="18" t="s">
        <v>402</v>
      </c>
      <c r="AI13" s="18"/>
      <c r="AJ13" s="18" t="s">
        <v>407</v>
      </c>
    </row>
    <row r="14" customFormat="false" ht="15" hidden="false" customHeight="false" outlineLevel="0" collapsed="false">
      <c r="A14" s="18" t="s">
        <v>167</v>
      </c>
      <c r="B14" s="18" t="s">
        <v>198</v>
      </c>
      <c r="C14" s="18" t="s">
        <v>169</v>
      </c>
      <c r="D14" s="18" t="s">
        <v>178</v>
      </c>
      <c r="E14" s="18" t="s">
        <v>400</v>
      </c>
      <c r="F14" s="18" t="s">
        <v>401</v>
      </c>
      <c r="G14" s="18" t="n">
        <v>0.6</v>
      </c>
      <c r="H14" s="18" t="n">
        <v>2705</v>
      </c>
      <c r="I14" s="18"/>
      <c r="J14" s="18" t="n">
        <v>112</v>
      </c>
      <c r="K14" s="18"/>
      <c r="L14" s="18"/>
      <c r="M14" s="18"/>
      <c r="N14" s="18" t="n">
        <v>11.8193607570982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 t="n">
        <v>0.0502</v>
      </c>
      <c r="AH14" s="18" t="s">
        <v>402</v>
      </c>
      <c r="AI14" s="18"/>
      <c r="AJ14" s="18" t="s">
        <v>407</v>
      </c>
    </row>
    <row r="15" customFormat="false" ht="15" hidden="false" customHeight="false" outlineLevel="0" collapsed="false">
      <c r="A15" s="18" t="s">
        <v>167</v>
      </c>
      <c r="B15" s="18" t="s">
        <v>198</v>
      </c>
      <c r="C15" s="18" t="s">
        <v>169</v>
      </c>
      <c r="D15" s="18" t="s">
        <v>180</v>
      </c>
      <c r="E15" s="18" t="s">
        <v>400</v>
      </c>
      <c r="F15" s="18" t="s">
        <v>401</v>
      </c>
      <c r="G15" s="18" t="n">
        <v>0.6</v>
      </c>
      <c r="H15" s="18" t="n">
        <v>2705</v>
      </c>
      <c r="I15" s="18"/>
      <c r="J15" s="18" t="n">
        <v>112</v>
      </c>
      <c r="K15" s="18"/>
      <c r="L15" s="18"/>
      <c r="M15" s="18"/>
      <c r="N15" s="18" t="n">
        <v>11.8193607570982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 t="n">
        <v>0.085</v>
      </c>
      <c r="AH15" s="18" t="s">
        <v>402</v>
      </c>
      <c r="AI15" s="18"/>
      <c r="AJ15" s="18" t="s">
        <v>407</v>
      </c>
    </row>
    <row r="16" customFormat="false" ht="15" hidden="false" customHeight="false" outlineLevel="0" collapsed="false">
      <c r="A16" s="18" t="s">
        <v>167</v>
      </c>
      <c r="B16" s="18" t="s">
        <v>198</v>
      </c>
      <c r="C16" s="18" t="s">
        <v>169</v>
      </c>
      <c r="D16" s="18" t="s">
        <v>182</v>
      </c>
      <c r="E16" s="18" t="s">
        <v>400</v>
      </c>
      <c r="F16" s="18" t="s">
        <v>401</v>
      </c>
      <c r="G16" s="18" t="n">
        <v>0.6</v>
      </c>
      <c r="H16" s="18" t="n">
        <v>2705</v>
      </c>
      <c r="I16" s="18"/>
      <c r="J16" s="18" t="n">
        <v>112</v>
      </c>
      <c r="K16" s="18"/>
      <c r="L16" s="18"/>
      <c r="M16" s="18"/>
      <c r="N16" s="18" t="n">
        <v>11.8193607570982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 t="n">
        <v>0.1478</v>
      </c>
      <c r="AH16" s="18" t="s">
        <v>402</v>
      </c>
      <c r="AI16" s="18"/>
      <c r="AJ16" s="18" t="s">
        <v>407</v>
      </c>
    </row>
    <row r="17" customFormat="false" ht="15" hidden="false" customHeight="false" outlineLevel="0" collapsed="false">
      <c r="A17" s="18" t="s">
        <v>167</v>
      </c>
      <c r="B17" s="18" t="s">
        <v>198</v>
      </c>
      <c r="C17" s="18" t="s">
        <v>169</v>
      </c>
      <c r="D17" s="18" t="s">
        <v>184</v>
      </c>
      <c r="E17" s="18" t="s">
        <v>400</v>
      </c>
      <c r="F17" s="18" t="s">
        <v>401</v>
      </c>
      <c r="G17" s="18" t="n">
        <v>0.6</v>
      </c>
      <c r="H17" s="18" t="n">
        <v>2705</v>
      </c>
      <c r="I17" s="18"/>
      <c r="J17" s="18" t="n">
        <v>112</v>
      </c>
      <c r="K17" s="18"/>
      <c r="L17" s="18"/>
      <c r="M17" s="18"/>
      <c r="N17" s="18" t="n">
        <v>11.8193607570982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 t="n">
        <v>0.2384</v>
      </c>
      <c r="AH17" s="18" t="s">
        <v>402</v>
      </c>
      <c r="AI17" s="18"/>
      <c r="AJ17" s="18" t="s">
        <v>407</v>
      </c>
    </row>
    <row r="18" customFormat="false" ht="15" hidden="false" customHeight="false" outlineLevel="0" collapsed="false">
      <c r="A18" s="18" t="s">
        <v>167</v>
      </c>
      <c r="B18" s="18" t="s">
        <v>198</v>
      </c>
      <c r="C18" s="18" t="s">
        <v>169</v>
      </c>
      <c r="D18" s="18" t="s">
        <v>186</v>
      </c>
      <c r="E18" s="18" t="s">
        <v>400</v>
      </c>
      <c r="F18" s="18" t="s">
        <v>401</v>
      </c>
      <c r="G18" s="18" t="n">
        <v>0.6</v>
      </c>
      <c r="H18" s="18" t="n">
        <v>2705</v>
      </c>
      <c r="I18" s="18"/>
      <c r="J18" s="18" t="n">
        <v>112</v>
      </c>
      <c r="K18" s="18"/>
      <c r="L18" s="18"/>
      <c r="M18" s="18"/>
      <c r="N18" s="18" t="n">
        <v>11.8193607570982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 t="n">
        <v>0.3532</v>
      </c>
      <c r="AH18" s="18" t="s">
        <v>402</v>
      </c>
      <c r="AI18" s="18"/>
      <c r="AJ18" s="18" t="s">
        <v>407</v>
      </c>
    </row>
    <row r="19" customFormat="false" ht="15" hidden="false" customHeight="false" outlineLevel="0" collapsed="false">
      <c r="A19" s="18" t="s">
        <v>167</v>
      </c>
      <c r="B19" s="18" t="s">
        <v>198</v>
      </c>
      <c r="C19" s="18" t="s">
        <v>169</v>
      </c>
      <c r="D19" s="18" t="s">
        <v>188</v>
      </c>
      <c r="E19" s="18" t="s">
        <v>400</v>
      </c>
      <c r="F19" s="18" t="s">
        <v>401</v>
      </c>
      <c r="G19" s="18" t="n">
        <v>0.6</v>
      </c>
      <c r="H19" s="18" t="n">
        <v>2705</v>
      </c>
      <c r="I19" s="18"/>
      <c r="J19" s="18" t="n">
        <v>112</v>
      </c>
      <c r="K19" s="18"/>
      <c r="L19" s="18"/>
      <c r="M19" s="18"/>
      <c r="N19" s="18" t="n">
        <v>11.8193607570982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 t="n">
        <v>0.4792</v>
      </c>
      <c r="AH19" s="18" t="s">
        <v>402</v>
      </c>
      <c r="AI19" s="18"/>
      <c r="AJ19" s="18" t="s">
        <v>407</v>
      </c>
    </row>
    <row r="20" customFormat="false" ht="15" hidden="false" customHeight="false" outlineLevel="0" collapsed="false">
      <c r="A20" s="18" t="s">
        <v>167</v>
      </c>
      <c r="B20" s="18" t="s">
        <v>198</v>
      </c>
      <c r="C20" s="18" t="s">
        <v>169</v>
      </c>
      <c r="D20" s="18" t="s">
        <v>190</v>
      </c>
      <c r="E20" s="18" t="s">
        <v>400</v>
      </c>
      <c r="F20" s="18" t="s">
        <v>401</v>
      </c>
      <c r="G20" s="18" t="n">
        <v>0.6</v>
      </c>
      <c r="H20" s="18" t="n">
        <v>2705</v>
      </c>
      <c r="I20" s="18"/>
      <c r="J20" s="18" t="n">
        <v>112</v>
      </c>
      <c r="K20" s="18"/>
      <c r="L20" s="18"/>
      <c r="M20" s="18"/>
      <c r="N20" s="18" t="n">
        <v>11.8193607570982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 t="n">
        <v>0.6112</v>
      </c>
      <c r="AH20" s="18" t="s">
        <v>402</v>
      </c>
      <c r="AI20" s="18"/>
      <c r="AJ20" s="18" t="s">
        <v>407</v>
      </c>
    </row>
    <row r="21" customFormat="false" ht="15" hidden="false" customHeight="false" outlineLevel="0" collapsed="false">
      <c r="A21" s="18" t="s">
        <v>167</v>
      </c>
      <c r="B21" s="18" t="s">
        <v>198</v>
      </c>
      <c r="C21" s="18" t="s">
        <v>169</v>
      </c>
      <c r="D21" s="18" t="s">
        <v>192</v>
      </c>
      <c r="E21" s="18" t="s">
        <v>400</v>
      </c>
      <c r="F21" s="18" t="s">
        <v>401</v>
      </c>
      <c r="G21" s="18" t="n">
        <v>0.6</v>
      </c>
      <c r="H21" s="18" t="n">
        <v>2705</v>
      </c>
      <c r="I21" s="18"/>
      <c r="J21" s="18" t="n">
        <v>112</v>
      </c>
      <c r="K21" s="18"/>
      <c r="L21" s="18"/>
      <c r="M21" s="18"/>
      <c r="N21" s="18" t="n">
        <v>11.8193607570982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 t="n">
        <v>0.7304</v>
      </c>
      <c r="AH21" s="18" t="s">
        <v>402</v>
      </c>
      <c r="AI21" s="18"/>
      <c r="AJ21" s="18" t="s">
        <v>407</v>
      </c>
    </row>
    <row r="22" customFormat="false" ht="15" hidden="false" customHeight="false" outlineLevel="0" collapsed="false">
      <c r="A22" s="18" t="s">
        <v>167</v>
      </c>
      <c r="B22" s="18" t="s">
        <v>198</v>
      </c>
      <c r="C22" s="18" t="s">
        <v>169</v>
      </c>
      <c r="D22" s="18" t="s">
        <v>194</v>
      </c>
      <c r="E22" s="18" t="s">
        <v>404</v>
      </c>
      <c r="F22" s="18" t="s">
        <v>401</v>
      </c>
      <c r="G22" s="18" t="n">
        <v>0.6</v>
      </c>
      <c r="H22" s="18" t="n">
        <v>2705</v>
      </c>
      <c r="I22" s="18"/>
      <c r="J22" s="18" t="n">
        <v>112</v>
      </c>
      <c r="K22" s="18"/>
      <c r="L22" s="18"/>
      <c r="M22" s="18"/>
      <c r="N22" s="18" t="n">
        <v>11.8193607570982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 t="s">
        <v>408</v>
      </c>
      <c r="AI22" s="18" t="s">
        <v>409</v>
      </c>
      <c r="AJ22" s="18" t="s">
        <v>410</v>
      </c>
    </row>
    <row r="23" customFormat="false" ht="15" hidden="false" customHeight="false" outlineLevel="0" collapsed="false">
      <c r="A23" s="18" t="s">
        <v>167</v>
      </c>
      <c r="B23" s="18" t="s">
        <v>198</v>
      </c>
      <c r="C23" s="18" t="s">
        <v>169</v>
      </c>
      <c r="D23" s="18" t="s">
        <v>196</v>
      </c>
      <c r="E23" s="18" t="s">
        <v>404</v>
      </c>
      <c r="F23" s="18" t="s">
        <v>401</v>
      </c>
      <c r="G23" s="18" t="n">
        <v>0.6</v>
      </c>
      <c r="H23" s="18" t="n">
        <v>2705</v>
      </c>
      <c r="I23" s="18"/>
      <c r="J23" s="18" t="n">
        <v>112</v>
      </c>
      <c r="K23" s="18"/>
      <c r="L23" s="18"/>
      <c r="M23" s="18"/>
      <c r="N23" s="18" t="n">
        <v>11.8193607570982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 t="s">
        <v>402</v>
      </c>
      <c r="AI23" s="18"/>
      <c r="AJ23" s="18" t="s">
        <v>411</v>
      </c>
    </row>
    <row r="24" customFormat="false" ht="15" hidden="false" customHeight="false" outlineLevel="0" collapsed="false">
      <c r="A24" s="18" t="s">
        <v>167</v>
      </c>
      <c r="B24" s="18" t="s">
        <v>210</v>
      </c>
      <c r="C24" s="18" t="s">
        <v>169</v>
      </c>
      <c r="D24" s="18" t="s">
        <v>176</v>
      </c>
      <c r="E24" s="18" t="s">
        <v>400</v>
      </c>
      <c r="F24" s="18" t="s">
        <v>401</v>
      </c>
      <c r="G24" s="18" t="n">
        <v>0.6</v>
      </c>
      <c r="H24" s="18" t="n">
        <v>2705</v>
      </c>
      <c r="I24" s="18"/>
      <c r="J24" s="18" t="n">
        <v>112</v>
      </c>
      <c r="K24" s="18"/>
      <c r="L24" s="18"/>
      <c r="M24" s="18"/>
      <c r="N24" s="18" t="n">
        <v>11.9756277743199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 t="n">
        <v>0.0364</v>
      </c>
      <c r="AH24" s="18" t="s">
        <v>402</v>
      </c>
      <c r="AI24" s="18"/>
      <c r="AJ24" s="18" t="s">
        <v>412</v>
      </c>
    </row>
    <row r="25" customFormat="false" ht="15" hidden="false" customHeight="false" outlineLevel="0" collapsed="false">
      <c r="A25" s="18" t="s">
        <v>167</v>
      </c>
      <c r="B25" s="18" t="s">
        <v>210</v>
      </c>
      <c r="C25" s="18" t="s">
        <v>169</v>
      </c>
      <c r="D25" s="18" t="s">
        <v>178</v>
      </c>
      <c r="E25" s="18" t="s">
        <v>400</v>
      </c>
      <c r="F25" s="18" t="s">
        <v>401</v>
      </c>
      <c r="G25" s="18" t="n">
        <v>0.6</v>
      </c>
      <c r="H25" s="18" t="n">
        <v>2705</v>
      </c>
      <c r="I25" s="18"/>
      <c r="J25" s="18" t="n">
        <v>112</v>
      </c>
      <c r="K25" s="18"/>
      <c r="L25" s="18"/>
      <c r="M25" s="18"/>
      <c r="N25" s="18" t="n">
        <v>11.9756277743199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 t="n">
        <v>0.0426</v>
      </c>
      <c r="AH25" s="18" t="s">
        <v>402</v>
      </c>
      <c r="AI25" s="18"/>
      <c r="AJ25" s="18" t="s">
        <v>412</v>
      </c>
    </row>
    <row r="26" customFormat="false" ht="15" hidden="false" customHeight="false" outlineLevel="0" collapsed="false">
      <c r="A26" s="18" t="s">
        <v>167</v>
      </c>
      <c r="B26" s="18" t="s">
        <v>210</v>
      </c>
      <c r="C26" s="18" t="s">
        <v>169</v>
      </c>
      <c r="D26" s="18" t="s">
        <v>180</v>
      </c>
      <c r="E26" s="18" t="s">
        <v>400</v>
      </c>
      <c r="F26" s="18" t="s">
        <v>401</v>
      </c>
      <c r="G26" s="18" t="n">
        <v>0.6</v>
      </c>
      <c r="H26" s="18" t="n">
        <v>2705</v>
      </c>
      <c r="I26" s="18"/>
      <c r="J26" s="18" t="n">
        <v>112</v>
      </c>
      <c r="K26" s="18"/>
      <c r="L26" s="18"/>
      <c r="M26" s="18"/>
      <c r="N26" s="18" t="n">
        <v>11.9756277743199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 t="n">
        <v>0.0638</v>
      </c>
      <c r="AH26" s="18" t="s">
        <v>402</v>
      </c>
      <c r="AI26" s="18"/>
      <c r="AJ26" s="18" t="s">
        <v>412</v>
      </c>
    </row>
    <row r="27" customFormat="false" ht="15" hidden="false" customHeight="false" outlineLevel="0" collapsed="false">
      <c r="A27" s="18" t="s">
        <v>167</v>
      </c>
      <c r="B27" s="18" t="s">
        <v>210</v>
      </c>
      <c r="C27" s="18" t="s">
        <v>169</v>
      </c>
      <c r="D27" s="18" t="s">
        <v>182</v>
      </c>
      <c r="E27" s="18" t="s">
        <v>400</v>
      </c>
      <c r="F27" s="18" t="s">
        <v>401</v>
      </c>
      <c r="G27" s="18" t="n">
        <v>0.6</v>
      </c>
      <c r="H27" s="18" t="n">
        <v>2705</v>
      </c>
      <c r="I27" s="18"/>
      <c r="J27" s="18" t="n">
        <v>112</v>
      </c>
      <c r="K27" s="18"/>
      <c r="L27" s="18"/>
      <c r="M27" s="18"/>
      <c r="N27" s="18" t="n">
        <v>11.9756277743199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 t="n">
        <v>0.0936</v>
      </c>
      <c r="AH27" s="18" t="s">
        <v>402</v>
      </c>
      <c r="AI27" s="18"/>
      <c r="AJ27" s="18" t="s">
        <v>412</v>
      </c>
    </row>
    <row r="28" customFormat="false" ht="15" hidden="false" customHeight="false" outlineLevel="0" collapsed="false">
      <c r="A28" s="18" t="s">
        <v>167</v>
      </c>
      <c r="B28" s="18" t="s">
        <v>210</v>
      </c>
      <c r="C28" s="18" t="s">
        <v>169</v>
      </c>
      <c r="D28" s="18" t="s">
        <v>184</v>
      </c>
      <c r="E28" s="18" t="s">
        <v>400</v>
      </c>
      <c r="F28" s="18" t="s">
        <v>401</v>
      </c>
      <c r="G28" s="18" t="n">
        <v>0.6</v>
      </c>
      <c r="H28" s="18" t="n">
        <v>2705</v>
      </c>
      <c r="I28" s="18"/>
      <c r="J28" s="18" t="n">
        <v>112</v>
      </c>
      <c r="K28" s="18"/>
      <c r="L28" s="18"/>
      <c r="M28" s="18"/>
      <c r="N28" s="18" t="n">
        <v>11.9756277743199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 t="n">
        <v>0.1446</v>
      </c>
      <c r="AH28" s="18" t="s">
        <v>402</v>
      </c>
      <c r="AI28" s="18"/>
      <c r="AJ28" s="18" t="s">
        <v>412</v>
      </c>
    </row>
    <row r="29" customFormat="false" ht="15" hidden="false" customHeight="false" outlineLevel="0" collapsed="false">
      <c r="A29" s="18" t="s">
        <v>167</v>
      </c>
      <c r="B29" s="18" t="s">
        <v>210</v>
      </c>
      <c r="C29" s="18" t="s">
        <v>169</v>
      </c>
      <c r="D29" s="18" t="s">
        <v>186</v>
      </c>
      <c r="E29" s="18" t="s">
        <v>400</v>
      </c>
      <c r="F29" s="18" t="s">
        <v>401</v>
      </c>
      <c r="G29" s="18" t="n">
        <v>0.6</v>
      </c>
      <c r="H29" s="18" t="n">
        <v>2705</v>
      </c>
      <c r="I29" s="18"/>
      <c r="J29" s="18" t="n">
        <v>112</v>
      </c>
      <c r="K29" s="18"/>
      <c r="L29" s="18"/>
      <c r="M29" s="18"/>
      <c r="N29" s="18" t="n">
        <v>11.9756277743199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 t="n">
        <v>0.2014</v>
      </c>
      <c r="AH29" s="18" t="s">
        <v>402</v>
      </c>
      <c r="AI29" s="18"/>
      <c r="AJ29" s="18" t="s">
        <v>412</v>
      </c>
    </row>
    <row r="30" customFormat="false" ht="15" hidden="false" customHeight="false" outlineLevel="0" collapsed="false">
      <c r="A30" s="18" t="s">
        <v>167</v>
      </c>
      <c r="B30" s="18" t="s">
        <v>210</v>
      </c>
      <c r="C30" s="18" t="s">
        <v>169</v>
      </c>
      <c r="D30" s="18" t="s">
        <v>188</v>
      </c>
      <c r="E30" s="18" t="s">
        <v>400</v>
      </c>
      <c r="F30" s="18" t="s">
        <v>401</v>
      </c>
      <c r="G30" s="18" t="n">
        <v>0.6</v>
      </c>
      <c r="H30" s="18" t="n">
        <v>2705</v>
      </c>
      <c r="I30" s="18"/>
      <c r="J30" s="18" t="n">
        <v>112</v>
      </c>
      <c r="K30" s="18"/>
      <c r="L30" s="18"/>
      <c r="M30" s="18"/>
      <c r="N30" s="18" t="n">
        <v>11.9756277743199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 t="n">
        <v>0.278</v>
      </c>
      <c r="AH30" s="18" t="s">
        <v>402</v>
      </c>
      <c r="AI30" s="18"/>
      <c r="AJ30" s="18" t="s">
        <v>412</v>
      </c>
    </row>
    <row r="31" customFormat="false" ht="15" hidden="false" customHeight="false" outlineLevel="0" collapsed="false">
      <c r="A31" s="18" t="s">
        <v>167</v>
      </c>
      <c r="B31" s="18" t="s">
        <v>210</v>
      </c>
      <c r="C31" s="18" t="s">
        <v>169</v>
      </c>
      <c r="D31" s="18" t="s">
        <v>190</v>
      </c>
      <c r="E31" s="18" t="s">
        <v>400</v>
      </c>
      <c r="F31" s="18" t="s">
        <v>401</v>
      </c>
      <c r="G31" s="18" t="n">
        <v>0.6</v>
      </c>
      <c r="H31" s="18" t="n">
        <v>2705</v>
      </c>
      <c r="I31" s="18"/>
      <c r="J31" s="18" t="n">
        <v>112</v>
      </c>
      <c r="K31" s="18"/>
      <c r="L31" s="18"/>
      <c r="M31" s="18"/>
      <c r="N31" s="18" t="n">
        <v>11.9756277743199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 t="n">
        <v>0.358</v>
      </c>
      <c r="AH31" s="18" t="s">
        <v>402</v>
      </c>
      <c r="AI31" s="18"/>
      <c r="AJ31" s="18" t="s">
        <v>412</v>
      </c>
    </row>
    <row r="32" customFormat="false" ht="15" hidden="false" customHeight="false" outlineLevel="0" collapsed="false">
      <c r="A32" s="18" t="s">
        <v>167</v>
      </c>
      <c r="B32" s="18" t="s">
        <v>210</v>
      </c>
      <c r="C32" s="18" t="s">
        <v>169</v>
      </c>
      <c r="D32" s="18" t="s">
        <v>192</v>
      </c>
      <c r="E32" s="18" t="s">
        <v>400</v>
      </c>
      <c r="F32" s="18" t="s">
        <v>401</v>
      </c>
      <c r="G32" s="18" t="n">
        <v>0.6</v>
      </c>
      <c r="H32" s="18" t="n">
        <v>2705</v>
      </c>
      <c r="I32" s="18"/>
      <c r="J32" s="18" t="n">
        <v>112</v>
      </c>
      <c r="K32" s="18"/>
      <c r="L32" s="18"/>
      <c r="M32" s="18"/>
      <c r="N32" s="18" t="n">
        <v>11.9756277743199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 t="n">
        <v>0.4476</v>
      </c>
      <c r="AH32" s="18" t="s">
        <v>402</v>
      </c>
      <c r="AI32" s="18"/>
      <c r="AJ32" s="18" t="s">
        <v>412</v>
      </c>
    </row>
    <row r="33" customFormat="false" ht="15" hidden="false" customHeight="false" outlineLevel="0" collapsed="false">
      <c r="A33" s="18" t="s">
        <v>167</v>
      </c>
      <c r="B33" s="18" t="s">
        <v>210</v>
      </c>
      <c r="C33" s="18" t="s">
        <v>169</v>
      </c>
      <c r="D33" s="18" t="s">
        <v>194</v>
      </c>
      <c r="E33" s="18" t="s">
        <v>404</v>
      </c>
      <c r="F33" s="18" t="s">
        <v>401</v>
      </c>
      <c r="G33" s="18" t="n">
        <v>0.6</v>
      </c>
      <c r="H33" s="18" t="n">
        <v>2705</v>
      </c>
      <c r="I33" s="18"/>
      <c r="J33" s="18" t="n">
        <v>112</v>
      </c>
      <c r="K33" s="18"/>
      <c r="L33" s="18"/>
      <c r="M33" s="18"/>
      <c r="N33" s="18" t="n">
        <v>11.9756277743199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 t="s">
        <v>402</v>
      </c>
      <c r="AI33" s="18"/>
      <c r="AJ33" s="18" t="s">
        <v>413</v>
      </c>
    </row>
    <row r="34" customFormat="false" ht="15" hidden="false" customHeight="false" outlineLevel="0" collapsed="false">
      <c r="A34" s="18" t="s">
        <v>167</v>
      </c>
      <c r="B34" s="18" t="s">
        <v>210</v>
      </c>
      <c r="C34" s="18" t="s">
        <v>169</v>
      </c>
      <c r="D34" s="18" t="s">
        <v>196</v>
      </c>
      <c r="E34" s="18" t="s">
        <v>404</v>
      </c>
      <c r="F34" s="18" t="s">
        <v>401</v>
      </c>
      <c r="G34" s="18" t="n">
        <v>0.6</v>
      </c>
      <c r="H34" s="18" t="n">
        <v>2705</v>
      </c>
      <c r="I34" s="18"/>
      <c r="J34" s="18" t="n">
        <v>112</v>
      </c>
      <c r="K34" s="18"/>
      <c r="L34" s="18"/>
      <c r="M34" s="18"/>
      <c r="N34" s="18" t="n">
        <v>11.9756277743199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 t="s">
        <v>402</v>
      </c>
      <c r="AI34" s="18"/>
      <c r="AJ34" s="18" t="s">
        <v>414</v>
      </c>
    </row>
    <row r="35" customFormat="false" ht="15" hidden="false" customHeight="false" outlineLevel="0" collapsed="false">
      <c r="A35" s="18" t="s">
        <v>167</v>
      </c>
      <c r="B35" s="18" t="s">
        <v>222</v>
      </c>
      <c r="C35" s="18" t="s">
        <v>169</v>
      </c>
      <c r="D35" s="18" t="s">
        <v>176</v>
      </c>
      <c r="E35" s="18" t="s">
        <v>400</v>
      </c>
      <c r="F35" s="18" t="s">
        <v>401</v>
      </c>
      <c r="G35" s="18" t="n">
        <v>0.6</v>
      </c>
      <c r="H35" s="18" t="n">
        <v>2705</v>
      </c>
      <c r="I35" s="18"/>
      <c r="J35" s="18" t="n">
        <v>112</v>
      </c>
      <c r="K35" s="18"/>
      <c r="L35" s="18"/>
      <c r="M35" s="18"/>
      <c r="N35" s="18" t="n">
        <v>12.7488548751876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 t="n">
        <v>0.039</v>
      </c>
      <c r="AH35" s="18" t="s">
        <v>402</v>
      </c>
      <c r="AI35" s="18"/>
      <c r="AJ35" s="18" t="s">
        <v>415</v>
      </c>
    </row>
    <row r="36" customFormat="false" ht="15" hidden="false" customHeight="false" outlineLevel="0" collapsed="false">
      <c r="A36" s="18" t="s">
        <v>167</v>
      </c>
      <c r="B36" s="18" t="s">
        <v>222</v>
      </c>
      <c r="C36" s="18" t="s">
        <v>169</v>
      </c>
      <c r="D36" s="18" t="s">
        <v>178</v>
      </c>
      <c r="E36" s="18" t="s">
        <v>400</v>
      </c>
      <c r="F36" s="18" t="s">
        <v>401</v>
      </c>
      <c r="G36" s="18" t="n">
        <v>0.6</v>
      </c>
      <c r="H36" s="18" t="n">
        <v>2705</v>
      </c>
      <c r="I36" s="18"/>
      <c r="J36" s="18" t="n">
        <v>112</v>
      </c>
      <c r="K36" s="18"/>
      <c r="L36" s="18"/>
      <c r="M36" s="18"/>
      <c r="N36" s="18" t="n">
        <v>12.7488548751876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 t="n">
        <v>0.8244</v>
      </c>
      <c r="AH36" s="18" t="s">
        <v>402</v>
      </c>
      <c r="AI36" s="18"/>
      <c r="AJ36" s="18" t="s">
        <v>415</v>
      </c>
    </row>
    <row r="37" customFormat="false" ht="15" hidden="false" customHeight="false" outlineLevel="0" collapsed="false">
      <c r="A37" s="18" t="s">
        <v>167</v>
      </c>
      <c r="B37" s="18" t="s">
        <v>222</v>
      </c>
      <c r="C37" s="18" t="s">
        <v>169</v>
      </c>
      <c r="D37" s="18" t="s">
        <v>180</v>
      </c>
      <c r="E37" s="18" t="s">
        <v>400</v>
      </c>
      <c r="F37" s="18" t="s">
        <v>401</v>
      </c>
      <c r="G37" s="18" t="n">
        <v>0.6</v>
      </c>
      <c r="H37" s="18" t="n">
        <v>2705</v>
      </c>
      <c r="I37" s="18"/>
      <c r="J37" s="18" t="n">
        <v>112</v>
      </c>
      <c r="K37" s="18"/>
      <c r="L37" s="18"/>
      <c r="M37" s="18"/>
      <c r="N37" s="18" t="n">
        <v>12.7488548751876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 t="n">
        <v>1</v>
      </c>
      <c r="AH37" s="18" t="s">
        <v>402</v>
      </c>
      <c r="AI37" s="18"/>
      <c r="AJ37" s="18" t="s">
        <v>415</v>
      </c>
    </row>
    <row r="38" customFormat="false" ht="15" hidden="false" customHeight="false" outlineLevel="0" collapsed="false">
      <c r="A38" s="18" t="s">
        <v>167</v>
      </c>
      <c r="B38" s="18" t="s">
        <v>222</v>
      </c>
      <c r="C38" s="18" t="s">
        <v>169</v>
      </c>
      <c r="D38" s="18" t="s">
        <v>182</v>
      </c>
      <c r="E38" s="18" t="s">
        <v>400</v>
      </c>
      <c r="F38" s="18" t="s">
        <v>401</v>
      </c>
      <c r="G38" s="18" t="n">
        <v>0.6</v>
      </c>
      <c r="H38" s="18" t="n">
        <v>2705</v>
      </c>
      <c r="I38" s="18"/>
      <c r="J38" s="18" t="n">
        <v>112</v>
      </c>
      <c r="K38" s="18"/>
      <c r="L38" s="18"/>
      <c r="M38" s="18"/>
      <c r="N38" s="18" t="n">
        <v>12.7488548751876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 t="n">
        <v>1</v>
      </c>
      <c r="AH38" s="18" t="s">
        <v>402</v>
      </c>
      <c r="AI38" s="18"/>
      <c r="AJ38" s="18" t="s">
        <v>415</v>
      </c>
    </row>
    <row r="39" customFormat="false" ht="15" hidden="false" customHeight="false" outlineLevel="0" collapsed="false">
      <c r="A39" s="18" t="s">
        <v>167</v>
      </c>
      <c r="B39" s="18" t="s">
        <v>222</v>
      </c>
      <c r="C39" s="18" t="s">
        <v>169</v>
      </c>
      <c r="D39" s="18" t="s">
        <v>184</v>
      </c>
      <c r="E39" s="18" t="s">
        <v>400</v>
      </c>
      <c r="F39" s="18" t="s">
        <v>401</v>
      </c>
      <c r="G39" s="18" t="n">
        <v>0.6</v>
      </c>
      <c r="H39" s="18" t="n">
        <v>2705</v>
      </c>
      <c r="I39" s="18"/>
      <c r="J39" s="18" t="n">
        <v>112</v>
      </c>
      <c r="K39" s="18"/>
      <c r="L39" s="18"/>
      <c r="M39" s="18"/>
      <c r="N39" s="18" t="n">
        <v>12.7488548751876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 t="n">
        <v>1</v>
      </c>
      <c r="AH39" s="18" t="s">
        <v>402</v>
      </c>
      <c r="AI39" s="18"/>
      <c r="AJ39" s="18" t="s">
        <v>415</v>
      </c>
    </row>
    <row r="40" customFormat="false" ht="15" hidden="false" customHeight="false" outlineLevel="0" collapsed="false">
      <c r="A40" s="18" t="s">
        <v>167</v>
      </c>
      <c r="B40" s="18" t="s">
        <v>222</v>
      </c>
      <c r="C40" s="18" t="s">
        <v>169</v>
      </c>
      <c r="D40" s="18" t="s">
        <v>186</v>
      </c>
      <c r="E40" s="18" t="s">
        <v>400</v>
      </c>
      <c r="F40" s="18" t="s">
        <v>401</v>
      </c>
      <c r="G40" s="18" t="n">
        <v>0.6</v>
      </c>
      <c r="H40" s="18" t="n">
        <v>2705</v>
      </c>
      <c r="I40" s="18"/>
      <c r="J40" s="18" t="n">
        <v>112</v>
      </c>
      <c r="K40" s="18"/>
      <c r="L40" s="18"/>
      <c r="M40" s="18"/>
      <c r="N40" s="18" t="n">
        <v>12.7488548751876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 t="n">
        <v>1</v>
      </c>
      <c r="AH40" s="18" t="s">
        <v>402</v>
      </c>
      <c r="AI40" s="18"/>
      <c r="AJ40" s="18" t="s">
        <v>415</v>
      </c>
    </row>
    <row r="41" customFormat="false" ht="15" hidden="false" customHeight="false" outlineLevel="0" collapsed="false">
      <c r="A41" s="18" t="s">
        <v>167</v>
      </c>
      <c r="B41" s="18" t="s">
        <v>222</v>
      </c>
      <c r="C41" s="18" t="s">
        <v>169</v>
      </c>
      <c r="D41" s="18" t="s">
        <v>188</v>
      </c>
      <c r="E41" s="18" t="s">
        <v>400</v>
      </c>
      <c r="F41" s="18" t="s">
        <v>401</v>
      </c>
      <c r="G41" s="18" t="n">
        <v>0.6</v>
      </c>
      <c r="H41" s="18" t="n">
        <v>2705</v>
      </c>
      <c r="I41" s="18"/>
      <c r="J41" s="18" t="n">
        <v>112</v>
      </c>
      <c r="K41" s="18"/>
      <c r="L41" s="18"/>
      <c r="M41" s="18"/>
      <c r="N41" s="18" t="n">
        <v>12.7488548751876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 t="n">
        <v>1</v>
      </c>
      <c r="AH41" s="18" t="s">
        <v>402</v>
      </c>
      <c r="AI41" s="18"/>
      <c r="AJ41" s="18" t="s">
        <v>415</v>
      </c>
    </row>
    <row r="42" customFormat="false" ht="15" hidden="false" customHeight="false" outlineLevel="0" collapsed="false">
      <c r="A42" s="18" t="s">
        <v>167</v>
      </c>
      <c r="B42" s="18" t="s">
        <v>222</v>
      </c>
      <c r="C42" s="18" t="s">
        <v>169</v>
      </c>
      <c r="D42" s="18" t="s">
        <v>190</v>
      </c>
      <c r="E42" s="18" t="s">
        <v>400</v>
      </c>
      <c r="F42" s="18" t="s">
        <v>401</v>
      </c>
      <c r="G42" s="18" t="n">
        <v>0.6</v>
      </c>
      <c r="H42" s="18" t="n">
        <v>2705</v>
      </c>
      <c r="I42" s="18"/>
      <c r="J42" s="18" t="n">
        <v>112</v>
      </c>
      <c r="K42" s="18"/>
      <c r="L42" s="18"/>
      <c r="M42" s="18"/>
      <c r="N42" s="18" t="n">
        <v>12.7488548751876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 t="n">
        <v>1</v>
      </c>
      <c r="AH42" s="18" t="s">
        <v>402</v>
      </c>
      <c r="AI42" s="18"/>
      <c r="AJ42" s="18" t="s">
        <v>415</v>
      </c>
    </row>
    <row r="43" customFormat="false" ht="15" hidden="false" customHeight="false" outlineLevel="0" collapsed="false">
      <c r="A43" s="18" t="s">
        <v>167</v>
      </c>
      <c r="B43" s="18" t="s">
        <v>222</v>
      </c>
      <c r="C43" s="18" t="s">
        <v>169</v>
      </c>
      <c r="D43" s="18" t="s">
        <v>192</v>
      </c>
      <c r="E43" s="18" t="s">
        <v>400</v>
      </c>
      <c r="F43" s="18" t="s">
        <v>401</v>
      </c>
      <c r="G43" s="18" t="n">
        <v>0.6</v>
      </c>
      <c r="H43" s="18" t="n">
        <v>2705</v>
      </c>
      <c r="I43" s="18"/>
      <c r="J43" s="18" t="n">
        <v>112</v>
      </c>
      <c r="K43" s="18"/>
      <c r="L43" s="18"/>
      <c r="M43" s="18"/>
      <c r="N43" s="18" t="n">
        <v>12.7488548751876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 t="n">
        <v>1</v>
      </c>
      <c r="AH43" s="18" t="s">
        <v>402</v>
      </c>
      <c r="AI43" s="18"/>
      <c r="AJ43" s="18" t="s">
        <v>415</v>
      </c>
    </row>
    <row r="44" customFormat="false" ht="15" hidden="false" customHeight="false" outlineLevel="0" collapsed="false">
      <c r="A44" s="18" t="s">
        <v>167</v>
      </c>
      <c r="B44" s="18" t="s">
        <v>222</v>
      </c>
      <c r="C44" s="18" t="s">
        <v>169</v>
      </c>
      <c r="D44" s="18" t="s">
        <v>194</v>
      </c>
      <c r="E44" s="18" t="s">
        <v>404</v>
      </c>
      <c r="F44" s="18" t="s">
        <v>401</v>
      </c>
      <c r="G44" s="18" t="n">
        <v>0.6</v>
      </c>
      <c r="H44" s="18" t="n">
        <v>2705</v>
      </c>
      <c r="I44" s="18"/>
      <c r="J44" s="18" t="n">
        <v>112</v>
      </c>
      <c r="K44" s="18"/>
      <c r="L44" s="18"/>
      <c r="M44" s="18"/>
      <c r="N44" s="18" t="n">
        <v>12.7488548751876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 t="n">
        <v>0.00968933027756557</v>
      </c>
      <c r="AH44" s="18" t="s">
        <v>402</v>
      </c>
      <c r="AI44" s="18"/>
      <c r="AJ44" s="18" t="s">
        <v>416</v>
      </c>
    </row>
    <row r="45" customFormat="false" ht="15" hidden="false" customHeight="false" outlineLevel="0" collapsed="false">
      <c r="A45" s="18" t="s">
        <v>167</v>
      </c>
      <c r="B45" s="18" t="s">
        <v>222</v>
      </c>
      <c r="C45" s="18" t="s">
        <v>169</v>
      </c>
      <c r="D45" s="18" t="s">
        <v>196</v>
      </c>
      <c r="E45" s="18" t="s">
        <v>404</v>
      </c>
      <c r="F45" s="18" t="s">
        <v>401</v>
      </c>
      <c r="G45" s="18" t="n">
        <v>0.6</v>
      </c>
      <c r="H45" s="18" t="n">
        <v>2705</v>
      </c>
      <c r="I45" s="18"/>
      <c r="J45" s="18" t="n">
        <v>112</v>
      </c>
      <c r="K45" s="18"/>
      <c r="L45" s="18"/>
      <c r="M45" s="18"/>
      <c r="N45" s="18" t="n">
        <v>12.7488548751876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 t="n">
        <v>0.0143052391799544</v>
      </c>
      <c r="AH45" s="18" t="s">
        <v>402</v>
      </c>
      <c r="AI45" s="18"/>
      <c r="AJ45" s="18" t="s">
        <v>417</v>
      </c>
    </row>
    <row r="46" customFormat="false" ht="15" hidden="false" customHeight="false" outlineLevel="0" collapsed="false">
      <c r="A46" s="18" t="s">
        <v>167</v>
      </c>
      <c r="B46" s="18" t="s">
        <v>234</v>
      </c>
      <c r="C46" s="18" t="s">
        <v>169</v>
      </c>
      <c r="D46" s="18" t="s">
        <v>176</v>
      </c>
      <c r="E46" s="18" t="s">
        <v>400</v>
      </c>
      <c r="F46" s="18" t="s">
        <v>401</v>
      </c>
      <c r="G46" s="18" t="n">
        <v>0.6</v>
      </c>
      <c r="H46" s="18" t="n">
        <v>2705</v>
      </c>
      <c r="I46" s="18"/>
      <c r="J46" s="18" t="n">
        <v>112</v>
      </c>
      <c r="K46" s="18"/>
      <c r="L46" s="18"/>
      <c r="M46" s="18"/>
      <c r="N46" s="18" t="n">
        <v>11.076163688948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 t="n">
        <v>0.0332</v>
      </c>
      <c r="AH46" s="18" t="s">
        <v>402</v>
      </c>
      <c r="AI46" s="18"/>
      <c r="AJ46" s="18" t="s">
        <v>418</v>
      </c>
    </row>
    <row r="47" customFormat="false" ht="15" hidden="false" customHeight="false" outlineLevel="0" collapsed="false">
      <c r="A47" s="18" t="s">
        <v>167</v>
      </c>
      <c r="B47" s="18" t="s">
        <v>234</v>
      </c>
      <c r="C47" s="18" t="s">
        <v>169</v>
      </c>
      <c r="D47" s="18" t="s">
        <v>178</v>
      </c>
      <c r="E47" s="18" t="s">
        <v>400</v>
      </c>
      <c r="F47" s="18" t="s">
        <v>401</v>
      </c>
      <c r="G47" s="18" t="n">
        <v>0.6</v>
      </c>
      <c r="H47" s="18" t="n">
        <v>2705</v>
      </c>
      <c r="I47" s="18"/>
      <c r="J47" s="18" t="n">
        <v>112</v>
      </c>
      <c r="K47" s="18"/>
      <c r="L47" s="18"/>
      <c r="M47" s="18"/>
      <c r="N47" s="18" t="n">
        <v>11.076163688948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 t="n">
        <v>0.5816</v>
      </c>
      <c r="AH47" s="18" t="s">
        <v>402</v>
      </c>
      <c r="AI47" s="18"/>
      <c r="AJ47" s="18" t="s">
        <v>418</v>
      </c>
    </row>
    <row r="48" customFormat="false" ht="15" hidden="false" customHeight="false" outlineLevel="0" collapsed="false">
      <c r="A48" s="18" t="s">
        <v>167</v>
      </c>
      <c r="B48" s="18" t="s">
        <v>234</v>
      </c>
      <c r="C48" s="18" t="s">
        <v>169</v>
      </c>
      <c r="D48" s="18" t="s">
        <v>180</v>
      </c>
      <c r="E48" s="18" t="s">
        <v>400</v>
      </c>
      <c r="F48" s="18" t="s">
        <v>401</v>
      </c>
      <c r="G48" s="18" t="n">
        <v>0.6</v>
      </c>
      <c r="H48" s="18" t="n">
        <v>2705</v>
      </c>
      <c r="I48" s="18"/>
      <c r="J48" s="18" t="n">
        <v>112</v>
      </c>
      <c r="K48" s="18"/>
      <c r="L48" s="18"/>
      <c r="M48" s="18"/>
      <c r="N48" s="18" t="n">
        <v>11.076163688948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 t="n">
        <v>0.9906</v>
      </c>
      <c r="AH48" s="18" t="s">
        <v>402</v>
      </c>
      <c r="AI48" s="18"/>
      <c r="AJ48" s="18" t="s">
        <v>418</v>
      </c>
    </row>
    <row r="49" customFormat="false" ht="15" hidden="false" customHeight="false" outlineLevel="0" collapsed="false">
      <c r="A49" s="18" t="s">
        <v>167</v>
      </c>
      <c r="B49" s="18" t="s">
        <v>234</v>
      </c>
      <c r="C49" s="18" t="s">
        <v>169</v>
      </c>
      <c r="D49" s="18" t="s">
        <v>182</v>
      </c>
      <c r="E49" s="18" t="s">
        <v>400</v>
      </c>
      <c r="F49" s="18" t="s">
        <v>401</v>
      </c>
      <c r="G49" s="18" t="n">
        <v>0.6</v>
      </c>
      <c r="H49" s="18" t="n">
        <v>2705</v>
      </c>
      <c r="I49" s="18"/>
      <c r="J49" s="18" t="n">
        <v>112</v>
      </c>
      <c r="K49" s="18"/>
      <c r="L49" s="18"/>
      <c r="M49" s="18"/>
      <c r="N49" s="18" t="n">
        <v>11.076163688948</v>
      </c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 t="n">
        <v>1</v>
      </c>
      <c r="AH49" s="18" t="s">
        <v>402</v>
      </c>
      <c r="AI49" s="18"/>
      <c r="AJ49" s="18" t="s">
        <v>418</v>
      </c>
    </row>
    <row r="50" customFormat="false" ht="15" hidden="false" customHeight="false" outlineLevel="0" collapsed="false">
      <c r="A50" s="18" t="s">
        <v>167</v>
      </c>
      <c r="B50" s="18" t="s">
        <v>234</v>
      </c>
      <c r="C50" s="18" t="s">
        <v>169</v>
      </c>
      <c r="D50" s="18" t="s">
        <v>184</v>
      </c>
      <c r="E50" s="18" t="s">
        <v>400</v>
      </c>
      <c r="F50" s="18" t="s">
        <v>401</v>
      </c>
      <c r="G50" s="18" t="n">
        <v>0.6</v>
      </c>
      <c r="H50" s="18" t="n">
        <v>2705</v>
      </c>
      <c r="I50" s="18"/>
      <c r="J50" s="18" t="n">
        <v>112</v>
      </c>
      <c r="K50" s="18"/>
      <c r="L50" s="18"/>
      <c r="M50" s="18"/>
      <c r="N50" s="18" t="n">
        <v>11.076163688948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 t="n">
        <v>1</v>
      </c>
      <c r="AH50" s="18" t="s">
        <v>402</v>
      </c>
      <c r="AI50" s="18"/>
      <c r="AJ50" s="18" t="s">
        <v>418</v>
      </c>
    </row>
    <row r="51" customFormat="false" ht="15" hidden="false" customHeight="false" outlineLevel="0" collapsed="false">
      <c r="A51" s="18" t="s">
        <v>167</v>
      </c>
      <c r="B51" s="18" t="s">
        <v>234</v>
      </c>
      <c r="C51" s="18" t="s">
        <v>169</v>
      </c>
      <c r="D51" s="18" t="s">
        <v>186</v>
      </c>
      <c r="E51" s="18" t="s">
        <v>400</v>
      </c>
      <c r="F51" s="18" t="s">
        <v>401</v>
      </c>
      <c r="G51" s="18" t="n">
        <v>0.6</v>
      </c>
      <c r="H51" s="18" t="n">
        <v>2705</v>
      </c>
      <c r="I51" s="18"/>
      <c r="J51" s="18" t="n">
        <v>112</v>
      </c>
      <c r="K51" s="18"/>
      <c r="L51" s="18"/>
      <c r="M51" s="18"/>
      <c r="N51" s="18" t="n">
        <v>11.076163688948</v>
      </c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 t="n">
        <v>1</v>
      </c>
      <c r="AH51" s="18" t="s">
        <v>402</v>
      </c>
      <c r="AI51" s="18"/>
      <c r="AJ51" s="18" t="s">
        <v>418</v>
      </c>
    </row>
    <row r="52" customFormat="false" ht="15" hidden="false" customHeight="false" outlineLevel="0" collapsed="false">
      <c r="A52" s="18" t="s">
        <v>167</v>
      </c>
      <c r="B52" s="18" t="s">
        <v>234</v>
      </c>
      <c r="C52" s="18" t="s">
        <v>169</v>
      </c>
      <c r="D52" s="18" t="s">
        <v>188</v>
      </c>
      <c r="E52" s="18" t="s">
        <v>400</v>
      </c>
      <c r="F52" s="18" t="s">
        <v>401</v>
      </c>
      <c r="G52" s="18" t="n">
        <v>0.6</v>
      </c>
      <c r="H52" s="18" t="n">
        <v>2705</v>
      </c>
      <c r="I52" s="18"/>
      <c r="J52" s="18" t="n">
        <v>112</v>
      </c>
      <c r="K52" s="18"/>
      <c r="L52" s="18"/>
      <c r="M52" s="18"/>
      <c r="N52" s="18" t="n">
        <v>11.076163688948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 t="n">
        <v>1</v>
      </c>
      <c r="AH52" s="18" t="s">
        <v>402</v>
      </c>
      <c r="AI52" s="18"/>
      <c r="AJ52" s="18" t="s">
        <v>418</v>
      </c>
    </row>
    <row r="53" customFormat="false" ht="15" hidden="false" customHeight="false" outlineLevel="0" collapsed="false">
      <c r="A53" s="18" t="s">
        <v>167</v>
      </c>
      <c r="B53" s="18" t="s">
        <v>234</v>
      </c>
      <c r="C53" s="18" t="s">
        <v>169</v>
      </c>
      <c r="D53" s="18" t="s">
        <v>190</v>
      </c>
      <c r="E53" s="18" t="s">
        <v>400</v>
      </c>
      <c r="F53" s="18" t="s">
        <v>401</v>
      </c>
      <c r="G53" s="18" t="n">
        <v>0.6</v>
      </c>
      <c r="H53" s="18" t="n">
        <v>2705</v>
      </c>
      <c r="I53" s="18"/>
      <c r="J53" s="18" t="n">
        <v>112</v>
      </c>
      <c r="K53" s="18"/>
      <c r="L53" s="18"/>
      <c r="M53" s="18"/>
      <c r="N53" s="18" t="n">
        <v>11.076163688948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 t="n">
        <v>1</v>
      </c>
      <c r="AH53" s="18" t="s">
        <v>402</v>
      </c>
      <c r="AI53" s="18"/>
      <c r="AJ53" s="18" t="s">
        <v>418</v>
      </c>
    </row>
    <row r="54" customFormat="false" ht="15" hidden="false" customHeight="false" outlineLevel="0" collapsed="false">
      <c r="A54" s="18" t="s">
        <v>167</v>
      </c>
      <c r="B54" s="18" t="s">
        <v>234</v>
      </c>
      <c r="C54" s="18" t="s">
        <v>169</v>
      </c>
      <c r="D54" s="18" t="s">
        <v>192</v>
      </c>
      <c r="E54" s="18" t="s">
        <v>400</v>
      </c>
      <c r="F54" s="18" t="s">
        <v>401</v>
      </c>
      <c r="G54" s="18" t="n">
        <v>0.6</v>
      </c>
      <c r="H54" s="18" t="n">
        <v>2705</v>
      </c>
      <c r="I54" s="18"/>
      <c r="J54" s="18" t="n">
        <v>112</v>
      </c>
      <c r="K54" s="18"/>
      <c r="L54" s="18"/>
      <c r="M54" s="18"/>
      <c r="N54" s="18" t="n">
        <v>11.076163688948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 t="n">
        <v>1</v>
      </c>
      <c r="AH54" s="18" t="s">
        <v>402</v>
      </c>
      <c r="AI54" s="18"/>
      <c r="AJ54" s="18" t="s">
        <v>418</v>
      </c>
    </row>
    <row r="55" customFormat="false" ht="15" hidden="false" customHeight="false" outlineLevel="0" collapsed="false">
      <c r="A55" s="18" t="s">
        <v>167</v>
      </c>
      <c r="B55" s="18" t="s">
        <v>234</v>
      </c>
      <c r="C55" s="18" t="s">
        <v>169</v>
      </c>
      <c r="D55" s="18" t="s">
        <v>194</v>
      </c>
      <c r="E55" s="18" t="s">
        <v>404</v>
      </c>
      <c r="F55" s="18" t="s">
        <v>401</v>
      </c>
      <c r="G55" s="18" t="n">
        <v>0.6</v>
      </c>
      <c r="H55" s="18" t="n">
        <v>2705</v>
      </c>
      <c r="I55" s="18"/>
      <c r="J55" s="18" t="n">
        <v>112</v>
      </c>
      <c r="K55" s="18"/>
      <c r="L55" s="18"/>
      <c r="M55" s="18"/>
      <c r="N55" s="18" t="n">
        <v>11.076163688948</v>
      </c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 t="n">
        <v>0.0153398533007335</v>
      </c>
      <c r="AH55" s="18" t="s">
        <v>402</v>
      </c>
      <c r="AI55" s="18"/>
      <c r="AJ55" s="18" t="s">
        <v>419</v>
      </c>
    </row>
    <row r="56" customFormat="false" ht="15" hidden="false" customHeight="false" outlineLevel="0" collapsed="false">
      <c r="A56" s="18" t="s">
        <v>167</v>
      </c>
      <c r="B56" s="18" t="s">
        <v>234</v>
      </c>
      <c r="C56" s="18" t="s">
        <v>169</v>
      </c>
      <c r="D56" s="18" t="s">
        <v>196</v>
      </c>
      <c r="E56" s="18" t="s">
        <v>404</v>
      </c>
      <c r="F56" s="18" t="s">
        <v>401</v>
      </c>
      <c r="G56" s="18" t="n">
        <v>0.6</v>
      </c>
      <c r="H56" s="18" t="n">
        <v>2705</v>
      </c>
      <c r="I56" s="18"/>
      <c r="J56" s="18" t="n">
        <v>112</v>
      </c>
      <c r="K56" s="18"/>
      <c r="L56" s="18"/>
      <c r="M56" s="18"/>
      <c r="N56" s="18" t="n">
        <v>11.076163688948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 t="n">
        <v>0.0177848410757946</v>
      </c>
      <c r="AH56" s="18" t="s">
        <v>402</v>
      </c>
      <c r="AI56" s="18"/>
      <c r="AJ56" s="18" t="s">
        <v>420</v>
      </c>
    </row>
    <row r="57" customFormat="false" ht="15" hidden="false" customHeight="false" outlineLevel="0" collapsed="false">
      <c r="A57" s="18" t="s">
        <v>167</v>
      </c>
      <c r="B57" s="18" t="s">
        <v>246</v>
      </c>
      <c r="C57" s="18" t="s">
        <v>169</v>
      </c>
      <c r="D57" s="18" t="s">
        <v>176</v>
      </c>
      <c r="E57" s="18" t="s">
        <v>400</v>
      </c>
      <c r="F57" s="18" t="s">
        <v>401</v>
      </c>
      <c r="G57" s="18" t="n">
        <v>0.6</v>
      </c>
      <c r="H57" s="18" t="n">
        <v>2705</v>
      </c>
      <c r="I57" s="18"/>
      <c r="J57" s="18" t="n">
        <v>112</v>
      </c>
      <c r="K57" s="18"/>
      <c r="L57" s="18"/>
      <c r="M57" s="18"/>
      <c r="N57" s="18" t="n">
        <v>10.4584018401236</v>
      </c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 t="n">
        <v>0.0342</v>
      </c>
      <c r="AH57" s="18" t="s">
        <v>402</v>
      </c>
      <c r="AI57" s="18"/>
      <c r="AJ57" s="18" t="s">
        <v>421</v>
      </c>
    </row>
    <row r="58" customFormat="false" ht="15" hidden="false" customHeight="false" outlineLevel="0" collapsed="false">
      <c r="A58" s="18" t="s">
        <v>167</v>
      </c>
      <c r="B58" s="18" t="s">
        <v>246</v>
      </c>
      <c r="C58" s="18" t="s">
        <v>169</v>
      </c>
      <c r="D58" s="18" t="s">
        <v>178</v>
      </c>
      <c r="E58" s="18" t="s">
        <v>400</v>
      </c>
      <c r="F58" s="18" t="s">
        <v>401</v>
      </c>
      <c r="G58" s="18" t="n">
        <v>0.6</v>
      </c>
      <c r="H58" s="18" t="n">
        <v>2705</v>
      </c>
      <c r="I58" s="18"/>
      <c r="J58" s="18" t="n">
        <v>112</v>
      </c>
      <c r="K58" s="18"/>
      <c r="L58" s="18"/>
      <c r="M58" s="18"/>
      <c r="N58" s="18" t="n">
        <v>10.4584018401236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 t="n">
        <v>0.3634</v>
      </c>
      <c r="AH58" s="18" t="s">
        <v>402</v>
      </c>
      <c r="AI58" s="18"/>
      <c r="AJ58" s="18" t="s">
        <v>421</v>
      </c>
    </row>
    <row r="59" customFormat="false" ht="15" hidden="false" customHeight="false" outlineLevel="0" collapsed="false">
      <c r="A59" s="18" t="s">
        <v>167</v>
      </c>
      <c r="B59" s="18" t="s">
        <v>246</v>
      </c>
      <c r="C59" s="18" t="s">
        <v>169</v>
      </c>
      <c r="D59" s="18" t="s">
        <v>180</v>
      </c>
      <c r="E59" s="18" t="s">
        <v>400</v>
      </c>
      <c r="F59" s="18" t="s">
        <v>401</v>
      </c>
      <c r="G59" s="18" t="n">
        <v>0.6</v>
      </c>
      <c r="H59" s="18" t="n">
        <v>2705</v>
      </c>
      <c r="I59" s="18"/>
      <c r="J59" s="18" t="n">
        <v>112</v>
      </c>
      <c r="K59" s="18"/>
      <c r="L59" s="18"/>
      <c r="M59" s="18"/>
      <c r="N59" s="18" t="n">
        <v>10.4584018401236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 t="n">
        <v>0.9136</v>
      </c>
      <c r="AH59" s="18" t="s">
        <v>402</v>
      </c>
      <c r="AI59" s="18"/>
      <c r="AJ59" s="18" t="s">
        <v>421</v>
      </c>
    </row>
    <row r="60" customFormat="false" ht="15" hidden="false" customHeight="false" outlineLevel="0" collapsed="false">
      <c r="A60" s="18" t="s">
        <v>167</v>
      </c>
      <c r="B60" s="18" t="s">
        <v>246</v>
      </c>
      <c r="C60" s="18" t="s">
        <v>169</v>
      </c>
      <c r="D60" s="18" t="s">
        <v>182</v>
      </c>
      <c r="E60" s="18" t="s">
        <v>400</v>
      </c>
      <c r="F60" s="18" t="s">
        <v>401</v>
      </c>
      <c r="G60" s="18" t="n">
        <v>0.6</v>
      </c>
      <c r="H60" s="18" t="n">
        <v>2705</v>
      </c>
      <c r="I60" s="18"/>
      <c r="J60" s="18" t="n">
        <v>112</v>
      </c>
      <c r="K60" s="18"/>
      <c r="L60" s="18"/>
      <c r="M60" s="18"/>
      <c r="N60" s="18" t="n">
        <v>10.4584018401236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 t="n">
        <v>0.9984</v>
      </c>
      <c r="AH60" s="18" t="s">
        <v>402</v>
      </c>
      <c r="AI60" s="18"/>
      <c r="AJ60" s="18" t="s">
        <v>421</v>
      </c>
    </row>
    <row r="61" customFormat="false" ht="15" hidden="false" customHeight="false" outlineLevel="0" collapsed="false">
      <c r="A61" s="18" t="s">
        <v>167</v>
      </c>
      <c r="B61" s="18" t="s">
        <v>246</v>
      </c>
      <c r="C61" s="18" t="s">
        <v>169</v>
      </c>
      <c r="D61" s="18" t="s">
        <v>184</v>
      </c>
      <c r="E61" s="18" t="s">
        <v>400</v>
      </c>
      <c r="F61" s="18" t="s">
        <v>401</v>
      </c>
      <c r="G61" s="18" t="n">
        <v>0.6</v>
      </c>
      <c r="H61" s="18" t="n">
        <v>2705</v>
      </c>
      <c r="I61" s="18"/>
      <c r="J61" s="18" t="n">
        <v>112</v>
      </c>
      <c r="K61" s="18"/>
      <c r="L61" s="18"/>
      <c r="M61" s="18"/>
      <c r="N61" s="18" t="n">
        <v>10.4584018401236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 t="n">
        <v>1</v>
      </c>
      <c r="AH61" s="18" t="s">
        <v>402</v>
      </c>
      <c r="AI61" s="18"/>
      <c r="AJ61" s="18" t="s">
        <v>421</v>
      </c>
    </row>
    <row r="62" customFormat="false" ht="15" hidden="false" customHeight="false" outlineLevel="0" collapsed="false">
      <c r="A62" s="18" t="s">
        <v>167</v>
      </c>
      <c r="B62" s="18" t="s">
        <v>246</v>
      </c>
      <c r="C62" s="18" t="s">
        <v>169</v>
      </c>
      <c r="D62" s="18" t="s">
        <v>186</v>
      </c>
      <c r="E62" s="18" t="s">
        <v>400</v>
      </c>
      <c r="F62" s="18" t="s">
        <v>401</v>
      </c>
      <c r="G62" s="18" t="n">
        <v>0.6</v>
      </c>
      <c r="H62" s="18" t="n">
        <v>2705</v>
      </c>
      <c r="I62" s="18"/>
      <c r="J62" s="18" t="n">
        <v>112</v>
      </c>
      <c r="K62" s="18"/>
      <c r="L62" s="18"/>
      <c r="M62" s="18"/>
      <c r="N62" s="18" t="n">
        <v>10.4584018401236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 t="n">
        <v>1</v>
      </c>
      <c r="AH62" s="18" t="s">
        <v>402</v>
      </c>
      <c r="AI62" s="18"/>
      <c r="AJ62" s="18" t="s">
        <v>421</v>
      </c>
    </row>
    <row r="63" customFormat="false" ht="15" hidden="false" customHeight="false" outlineLevel="0" collapsed="false">
      <c r="A63" s="18" t="s">
        <v>167</v>
      </c>
      <c r="B63" s="18" t="s">
        <v>246</v>
      </c>
      <c r="C63" s="18" t="s">
        <v>169</v>
      </c>
      <c r="D63" s="18" t="s">
        <v>188</v>
      </c>
      <c r="E63" s="18" t="s">
        <v>400</v>
      </c>
      <c r="F63" s="18" t="s">
        <v>401</v>
      </c>
      <c r="G63" s="18" t="n">
        <v>0.6</v>
      </c>
      <c r="H63" s="18" t="n">
        <v>2705</v>
      </c>
      <c r="I63" s="18"/>
      <c r="J63" s="18" t="n">
        <v>112</v>
      </c>
      <c r="K63" s="18"/>
      <c r="L63" s="18"/>
      <c r="M63" s="18"/>
      <c r="N63" s="18" t="n">
        <v>10.4584018401236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 t="n">
        <v>1</v>
      </c>
      <c r="AH63" s="18" t="s">
        <v>402</v>
      </c>
      <c r="AI63" s="18"/>
      <c r="AJ63" s="18" t="s">
        <v>421</v>
      </c>
    </row>
    <row r="64" customFormat="false" ht="15" hidden="false" customHeight="false" outlineLevel="0" collapsed="false">
      <c r="A64" s="18" t="s">
        <v>167</v>
      </c>
      <c r="B64" s="18" t="s">
        <v>246</v>
      </c>
      <c r="C64" s="18" t="s">
        <v>169</v>
      </c>
      <c r="D64" s="18" t="s">
        <v>190</v>
      </c>
      <c r="E64" s="18" t="s">
        <v>400</v>
      </c>
      <c r="F64" s="18" t="s">
        <v>401</v>
      </c>
      <c r="G64" s="18" t="n">
        <v>0.6</v>
      </c>
      <c r="H64" s="18" t="n">
        <v>2705</v>
      </c>
      <c r="I64" s="18"/>
      <c r="J64" s="18" t="n">
        <v>112</v>
      </c>
      <c r="K64" s="18"/>
      <c r="L64" s="18"/>
      <c r="M64" s="18"/>
      <c r="N64" s="18" t="n">
        <v>10.4584018401236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 t="n">
        <v>1</v>
      </c>
      <c r="AH64" s="18" t="s">
        <v>402</v>
      </c>
      <c r="AI64" s="18"/>
      <c r="AJ64" s="18" t="s">
        <v>421</v>
      </c>
    </row>
    <row r="65" customFormat="false" ht="15" hidden="false" customHeight="false" outlineLevel="0" collapsed="false">
      <c r="A65" s="18" t="s">
        <v>167</v>
      </c>
      <c r="B65" s="18" t="s">
        <v>246</v>
      </c>
      <c r="C65" s="18" t="s">
        <v>169</v>
      </c>
      <c r="D65" s="18" t="s">
        <v>192</v>
      </c>
      <c r="E65" s="18" t="s">
        <v>400</v>
      </c>
      <c r="F65" s="18" t="s">
        <v>401</v>
      </c>
      <c r="G65" s="18" t="n">
        <v>0.6</v>
      </c>
      <c r="H65" s="18" t="n">
        <v>2705</v>
      </c>
      <c r="I65" s="18"/>
      <c r="J65" s="18" t="n">
        <v>112</v>
      </c>
      <c r="K65" s="18"/>
      <c r="L65" s="18"/>
      <c r="M65" s="18"/>
      <c r="N65" s="18" t="n">
        <v>10.4584018401236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 t="n">
        <v>1</v>
      </c>
      <c r="AH65" s="18" t="s">
        <v>402</v>
      </c>
      <c r="AI65" s="18"/>
      <c r="AJ65" s="18" t="s">
        <v>421</v>
      </c>
    </row>
    <row r="66" customFormat="false" ht="15" hidden="false" customHeight="false" outlineLevel="0" collapsed="false">
      <c r="A66" s="18" t="s">
        <v>167</v>
      </c>
      <c r="B66" s="18" t="s">
        <v>246</v>
      </c>
      <c r="C66" s="18" t="s">
        <v>169</v>
      </c>
      <c r="D66" s="18" t="s">
        <v>194</v>
      </c>
      <c r="E66" s="18" t="s">
        <v>404</v>
      </c>
      <c r="F66" s="18" t="s">
        <v>401</v>
      </c>
      <c r="G66" s="18" t="n">
        <v>0.6</v>
      </c>
      <c r="H66" s="18" t="n">
        <v>2705</v>
      </c>
      <c r="I66" s="18"/>
      <c r="J66" s="18" t="n">
        <v>112</v>
      </c>
      <c r="K66" s="18"/>
      <c r="L66" s="18"/>
      <c r="M66" s="18"/>
      <c r="N66" s="18" t="n">
        <v>10.4584018401236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 t="n">
        <v>0.0179352962559069</v>
      </c>
      <c r="AH66" s="18" t="s">
        <v>402</v>
      </c>
      <c r="AI66" s="18"/>
      <c r="AJ66" s="18" t="s">
        <v>422</v>
      </c>
    </row>
    <row r="67" customFormat="false" ht="15" hidden="false" customHeight="false" outlineLevel="0" collapsed="false">
      <c r="A67" s="18" t="s">
        <v>167</v>
      </c>
      <c r="B67" s="18" t="s">
        <v>246</v>
      </c>
      <c r="C67" s="18" t="s">
        <v>169</v>
      </c>
      <c r="D67" s="18" t="s">
        <v>196</v>
      </c>
      <c r="E67" s="18" t="s">
        <v>404</v>
      </c>
      <c r="F67" s="18" t="s">
        <v>401</v>
      </c>
      <c r="G67" s="18" t="n">
        <v>0.6</v>
      </c>
      <c r="H67" s="18" t="n">
        <v>2705</v>
      </c>
      <c r="I67" s="18"/>
      <c r="J67" s="18" t="n">
        <v>112</v>
      </c>
      <c r="K67" s="18"/>
      <c r="L67" s="18"/>
      <c r="M67" s="18"/>
      <c r="N67" s="18" t="n">
        <v>10.4584018401236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 t="n">
        <v>0.0197528171573973</v>
      </c>
      <c r="AH67" s="18" t="s">
        <v>402</v>
      </c>
      <c r="AI67" s="18"/>
      <c r="AJ67" s="18" t="s">
        <v>423</v>
      </c>
    </row>
    <row r="68" customFormat="false" ht="15" hidden="false" customHeight="false" outlineLevel="0" collapsed="false">
      <c r="A68" s="18" t="s">
        <v>167</v>
      </c>
      <c r="B68" s="18" t="s">
        <v>168</v>
      </c>
      <c r="C68" s="18" t="s">
        <v>169</v>
      </c>
      <c r="D68" s="18" t="s">
        <v>170</v>
      </c>
      <c r="E68" s="18" t="s">
        <v>400</v>
      </c>
      <c r="F68" s="18" t="s">
        <v>401</v>
      </c>
      <c r="G68" s="18" t="n">
        <v>0.6</v>
      </c>
      <c r="H68" s="18" t="n">
        <v>2705</v>
      </c>
      <c r="I68" s="18"/>
      <c r="J68" s="18" t="n">
        <v>112</v>
      </c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 t="n">
        <v>0.765</v>
      </c>
      <c r="AH68" s="18" t="s">
        <v>402</v>
      </c>
      <c r="AI68" s="18"/>
      <c r="AJ68" s="18" t="s">
        <v>424</v>
      </c>
    </row>
    <row r="69" customFormat="false" ht="15" hidden="false" customHeight="false" outlineLevel="0" collapsed="false">
      <c r="A69" s="18" t="s">
        <v>167</v>
      </c>
      <c r="B69" s="18" t="s">
        <v>168</v>
      </c>
      <c r="C69" s="18" t="s">
        <v>169</v>
      </c>
      <c r="D69" s="18" t="s">
        <v>172</v>
      </c>
      <c r="E69" s="18" t="s">
        <v>400</v>
      </c>
      <c r="F69" s="18" t="s">
        <v>401</v>
      </c>
      <c r="G69" s="18" t="n">
        <v>0.6</v>
      </c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 t="n">
        <v>0.035</v>
      </c>
      <c r="AH69" s="18" t="s">
        <v>402</v>
      </c>
      <c r="AI69" s="18"/>
      <c r="AJ69" s="18" t="s">
        <v>425</v>
      </c>
    </row>
    <row r="70" customFormat="false" ht="15" hidden="false" customHeight="false" outlineLevel="0" collapsed="false">
      <c r="A70" s="18" t="s">
        <v>370</v>
      </c>
      <c r="B70" s="18" t="s">
        <v>371</v>
      </c>
      <c r="C70" s="18" t="s">
        <v>169</v>
      </c>
      <c r="D70" s="18" t="s">
        <v>65</v>
      </c>
      <c r="E70" s="18" t="s">
        <v>400</v>
      </c>
      <c r="F70" s="18" t="s">
        <v>401</v>
      </c>
      <c r="G70" s="18" t="n">
        <v>0.6</v>
      </c>
      <c r="H70" s="18" t="n">
        <v>2705</v>
      </c>
      <c r="I70" s="18"/>
      <c r="J70" s="18" t="n">
        <v>112</v>
      </c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 t="n">
        <v>0.401197604790419</v>
      </c>
      <c r="AH70" s="18" t="s">
        <v>408</v>
      </c>
      <c r="AI70" s="18" t="s">
        <v>426</v>
      </c>
      <c r="AJ70" s="18" t="s">
        <v>427</v>
      </c>
    </row>
    <row r="71" customFormat="false" ht="15" hidden="false" customHeight="false" outlineLevel="0" collapsed="false">
      <c r="A71" s="18" t="s">
        <v>370</v>
      </c>
      <c r="B71" s="18" t="s">
        <v>371</v>
      </c>
      <c r="C71" s="18" t="s">
        <v>169</v>
      </c>
      <c r="D71" s="18" t="s">
        <v>74</v>
      </c>
      <c r="E71" s="18" t="s">
        <v>400</v>
      </c>
      <c r="F71" s="18" t="s">
        <v>401</v>
      </c>
      <c r="G71" s="18" t="n">
        <v>0.6</v>
      </c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 t="n">
        <v>500</v>
      </c>
      <c r="AH71" s="18" t="s">
        <v>402</v>
      </c>
      <c r="AI71" s="18"/>
      <c r="AJ71" s="18" t="s">
        <v>428</v>
      </c>
    </row>
    <row r="72" customFormat="false" ht="15" hidden="false" customHeight="false" outlineLevel="0" collapsed="false">
      <c r="A72" s="18" t="s">
        <v>358</v>
      </c>
      <c r="B72" s="18" t="s">
        <v>359</v>
      </c>
      <c r="C72" s="18" t="s">
        <v>169</v>
      </c>
      <c r="D72" s="18" t="s">
        <v>65</v>
      </c>
      <c r="E72" s="18" t="s">
        <v>400</v>
      </c>
      <c r="F72" s="18" t="s">
        <v>401</v>
      </c>
      <c r="G72" s="18" t="n">
        <v>0.6</v>
      </c>
      <c r="H72" s="18" t="n">
        <v>2705</v>
      </c>
      <c r="I72" s="18"/>
      <c r="J72" s="18" t="n">
        <v>112</v>
      </c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 t="n">
        <v>0.341317365269461</v>
      </c>
      <c r="AH72" s="18" t="s">
        <v>408</v>
      </c>
      <c r="AI72" s="18" t="s">
        <v>429</v>
      </c>
      <c r="AJ72" s="18" t="s">
        <v>430</v>
      </c>
    </row>
    <row r="73" customFormat="false" ht="15" hidden="false" customHeight="false" outlineLevel="0" collapsed="false">
      <c r="A73" s="18" t="s">
        <v>358</v>
      </c>
      <c r="B73" s="18" t="s">
        <v>359</v>
      </c>
      <c r="C73" s="18" t="s">
        <v>169</v>
      </c>
      <c r="D73" s="18" t="s">
        <v>74</v>
      </c>
      <c r="E73" s="18" t="s">
        <v>400</v>
      </c>
      <c r="F73" s="18" t="s">
        <v>401</v>
      </c>
      <c r="G73" s="18" t="n">
        <v>0.6</v>
      </c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 t="n">
        <v>500</v>
      </c>
      <c r="AH73" s="18" t="s">
        <v>402</v>
      </c>
      <c r="AI73" s="18"/>
      <c r="AJ73" s="18" t="s">
        <v>431</v>
      </c>
    </row>
    <row r="74" customFormat="false" ht="15" hidden="false" customHeight="false" outlineLevel="0" collapsed="false">
      <c r="A74" s="18" t="s">
        <v>273</v>
      </c>
      <c r="B74" s="18" t="s">
        <v>274</v>
      </c>
      <c r="C74" s="18" t="s">
        <v>169</v>
      </c>
      <c r="D74" s="18" t="s">
        <v>275</v>
      </c>
      <c r="E74" s="18" t="s">
        <v>400</v>
      </c>
      <c r="F74" s="18" t="s">
        <v>401</v>
      </c>
      <c r="G74" s="18" t="n">
        <v>0.6</v>
      </c>
      <c r="H74" s="18" t="n">
        <v>2705</v>
      </c>
      <c r="I74" s="18"/>
      <c r="J74" s="18" t="n">
        <v>112</v>
      </c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 t="n">
        <v>0</v>
      </c>
      <c r="AH74" s="18" t="s">
        <v>402</v>
      </c>
      <c r="AI74" s="18"/>
      <c r="AJ74" s="18" t="s">
        <v>432</v>
      </c>
    </row>
    <row r="75" customFormat="false" ht="15" hidden="false" customHeight="false" outlineLevel="0" collapsed="false">
      <c r="A75" s="18" t="s">
        <v>273</v>
      </c>
      <c r="B75" s="18" t="s">
        <v>274</v>
      </c>
      <c r="C75" s="18" t="s">
        <v>169</v>
      </c>
      <c r="D75" s="18" t="s">
        <v>277</v>
      </c>
      <c r="E75" s="18" t="s">
        <v>400</v>
      </c>
      <c r="F75" s="18" t="s">
        <v>401</v>
      </c>
      <c r="G75" s="18" t="n">
        <v>0.6</v>
      </c>
      <c r="H75" s="18" t="n">
        <v>2705</v>
      </c>
      <c r="I75" s="18"/>
      <c r="J75" s="18" t="n">
        <v>112</v>
      </c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 t="n">
        <v>0.557232458949382</v>
      </c>
      <c r="AH75" s="18" t="s">
        <v>402</v>
      </c>
      <c r="AI75" s="18"/>
      <c r="AJ75" s="18" t="s">
        <v>433</v>
      </c>
    </row>
    <row r="76" customFormat="false" ht="15" hidden="false" customHeight="false" outlineLevel="0" collapsed="false">
      <c r="A76" s="18" t="s">
        <v>273</v>
      </c>
      <c r="B76" s="18" t="s">
        <v>274</v>
      </c>
      <c r="C76" s="18" t="s">
        <v>169</v>
      </c>
      <c r="D76" s="18" t="s">
        <v>279</v>
      </c>
      <c r="E76" s="18" t="s">
        <v>400</v>
      </c>
      <c r="F76" s="18" t="s">
        <v>401</v>
      </c>
      <c r="G76" s="18" t="n">
        <v>0.6</v>
      </c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 t="n">
        <v>1</v>
      </c>
      <c r="AH76" s="18" t="s">
        <v>408</v>
      </c>
      <c r="AI76" s="18" t="s">
        <v>434</v>
      </c>
      <c r="AJ76" s="18" t="s">
        <v>435</v>
      </c>
    </row>
    <row r="77" customFormat="false" ht="15" hidden="false" customHeight="false" outlineLevel="0" collapsed="false">
      <c r="A77" s="18" t="s">
        <v>273</v>
      </c>
      <c r="B77" s="18" t="s">
        <v>274</v>
      </c>
      <c r="C77" s="18" t="s">
        <v>169</v>
      </c>
      <c r="D77" s="18" t="s">
        <v>281</v>
      </c>
      <c r="E77" s="18" t="s">
        <v>400</v>
      </c>
      <c r="F77" s="18" t="s">
        <v>401</v>
      </c>
      <c r="G77" s="18" t="n">
        <v>0.6</v>
      </c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 t="n">
        <v>0.854291417165669</v>
      </c>
      <c r="AH77" s="18" t="s">
        <v>402</v>
      </c>
      <c r="AI77" s="18"/>
      <c r="AJ77" s="18" t="s">
        <v>436</v>
      </c>
    </row>
    <row r="78" customFormat="false" ht="15" hidden="false" customHeight="false" outlineLevel="0" collapsed="false">
      <c r="A78" s="18" t="s">
        <v>273</v>
      </c>
      <c r="B78" s="18" t="s">
        <v>274</v>
      </c>
      <c r="C78" s="18" t="s">
        <v>169</v>
      </c>
      <c r="D78" s="18" t="s">
        <v>74</v>
      </c>
      <c r="E78" s="18" t="s">
        <v>400</v>
      </c>
      <c r="F78" s="18" t="s">
        <v>401</v>
      </c>
      <c r="G78" s="18" t="n">
        <v>0.6</v>
      </c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 t="n">
        <v>500</v>
      </c>
      <c r="AH78" s="18" t="s">
        <v>402</v>
      </c>
      <c r="AI78" s="18"/>
      <c r="AJ78" s="18" t="s">
        <v>437</v>
      </c>
    </row>
    <row r="79" customFormat="false" ht="15" hidden="false" customHeight="false" outlineLevel="0" collapsed="false">
      <c r="A79" s="18" t="s">
        <v>273</v>
      </c>
      <c r="B79" s="18" t="s">
        <v>322</v>
      </c>
      <c r="C79" s="18" t="s">
        <v>438</v>
      </c>
      <c r="D79" s="18" t="s">
        <v>324</v>
      </c>
      <c r="E79" s="18" t="s">
        <v>404</v>
      </c>
      <c r="F79" s="18" t="s">
        <v>401</v>
      </c>
      <c r="G79" s="18" t="n">
        <v>0.4</v>
      </c>
      <c r="H79" s="18" t="n">
        <v>2705</v>
      </c>
      <c r="I79" s="18" t="n">
        <v>113</v>
      </c>
      <c r="J79" s="18" t="n">
        <v>112</v>
      </c>
      <c r="K79" s="18" t="n">
        <v>0.0103525671851372</v>
      </c>
      <c r="L79" s="18" t="n">
        <v>0.0180559413445794</v>
      </c>
      <c r="M79" s="18" t="n">
        <v>0.573360700922147</v>
      </c>
      <c r="N79" s="18" t="n">
        <v>14.5488914257263</v>
      </c>
      <c r="O79" s="18" t="n">
        <v>0.575156643650614</v>
      </c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 t="s">
        <v>402</v>
      </c>
      <c r="AI79" s="18"/>
      <c r="AJ79" s="18" t="s">
        <v>439</v>
      </c>
    </row>
    <row r="80" customFormat="false" ht="15" hidden="false" customHeight="false" outlineLevel="0" collapsed="false">
      <c r="A80" s="18" t="s">
        <v>273</v>
      </c>
      <c r="B80" s="18" t="s">
        <v>326</v>
      </c>
      <c r="C80" s="18" t="s">
        <v>438</v>
      </c>
      <c r="D80" s="18" t="s">
        <v>324</v>
      </c>
      <c r="E80" s="18" t="s">
        <v>404</v>
      </c>
      <c r="F80" s="18" t="s">
        <v>401</v>
      </c>
      <c r="G80" s="18" t="n">
        <v>0.4</v>
      </c>
      <c r="H80" s="18" t="n">
        <v>2705</v>
      </c>
      <c r="I80" s="18" t="n">
        <v>113</v>
      </c>
      <c r="J80" s="18" t="n">
        <v>112</v>
      </c>
      <c r="K80" s="18" t="n">
        <v>0.00991137673510475</v>
      </c>
      <c r="L80" s="18" t="n">
        <v>0.0177123461492232</v>
      </c>
      <c r="M80" s="18" t="n">
        <v>0.559574471479006</v>
      </c>
      <c r="N80" s="18" t="n">
        <v>11.9259275095588</v>
      </c>
      <c r="O80" s="18" t="n">
        <v>0.586125867754609</v>
      </c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 t="s">
        <v>402</v>
      </c>
      <c r="AI80" s="18"/>
      <c r="AJ80" s="18" t="s">
        <v>440</v>
      </c>
    </row>
    <row r="81" customFormat="false" ht="15" hidden="false" customHeight="false" outlineLevel="0" collapsed="false">
      <c r="A81" s="18" t="s">
        <v>273</v>
      </c>
      <c r="B81" s="18" t="s">
        <v>328</v>
      </c>
      <c r="C81" s="18" t="s">
        <v>438</v>
      </c>
      <c r="D81" s="18" t="s">
        <v>324</v>
      </c>
      <c r="E81" s="18" t="s">
        <v>404</v>
      </c>
      <c r="F81" s="18" t="s">
        <v>401</v>
      </c>
      <c r="G81" s="18" t="n">
        <v>0.4</v>
      </c>
      <c r="H81" s="18" t="n">
        <v>2705</v>
      </c>
      <c r="I81" s="18" t="n">
        <v>113</v>
      </c>
      <c r="J81" s="18" t="n">
        <v>112</v>
      </c>
      <c r="K81" s="18" t="n">
        <v>-0.0194641029183092</v>
      </c>
      <c r="L81" s="18" t="n">
        <v>0.0209393996867074</v>
      </c>
      <c r="M81" s="18" t="n">
        <v>-0.929544457316282</v>
      </c>
      <c r="N81" s="18" t="n">
        <v>41.7943081683863</v>
      </c>
      <c r="O81" s="18" t="n">
        <v>0.35794500765431</v>
      </c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 t="s">
        <v>402</v>
      </c>
      <c r="AI81" s="18"/>
      <c r="AJ81" s="18" t="s">
        <v>441</v>
      </c>
    </row>
    <row r="82" customFormat="false" ht="15" hidden="false" customHeight="false" outlineLevel="0" collapsed="false">
      <c r="A82" s="18" t="s">
        <v>273</v>
      </c>
      <c r="B82" s="18" t="s">
        <v>330</v>
      </c>
      <c r="C82" s="18" t="s">
        <v>438</v>
      </c>
      <c r="D82" s="18" t="s">
        <v>324</v>
      </c>
      <c r="E82" s="18" t="s">
        <v>404</v>
      </c>
      <c r="F82" s="18" t="s">
        <v>401</v>
      </c>
      <c r="G82" s="18" t="n">
        <v>0.4</v>
      </c>
      <c r="H82" s="18" t="n">
        <v>2705</v>
      </c>
      <c r="I82" s="18" t="n">
        <v>113</v>
      </c>
      <c r="J82" s="18" t="n">
        <v>112</v>
      </c>
      <c r="K82" s="18" t="n">
        <v>0.00808290580635084</v>
      </c>
      <c r="L82" s="18" t="n">
        <v>0.0179845334162326</v>
      </c>
      <c r="M82" s="18" t="n">
        <v>0.449436502981795</v>
      </c>
      <c r="N82" s="18" t="n">
        <v>10.5628973388459</v>
      </c>
      <c r="O82" s="18" t="n">
        <v>0.662198632418044</v>
      </c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 t="s">
        <v>402</v>
      </c>
      <c r="AI82" s="18"/>
      <c r="AJ82" s="18" t="s">
        <v>442</v>
      </c>
    </row>
    <row r="83" customFormat="false" ht="15" hidden="false" customHeight="false" outlineLevel="0" collapsed="false">
      <c r="A83" s="18" t="s">
        <v>273</v>
      </c>
      <c r="B83" s="18" t="s">
        <v>332</v>
      </c>
      <c r="C83" s="18" t="s">
        <v>438</v>
      </c>
      <c r="D83" s="18" t="s">
        <v>324</v>
      </c>
      <c r="E83" s="18" t="s">
        <v>404</v>
      </c>
      <c r="F83" s="18" t="s">
        <v>401</v>
      </c>
      <c r="G83" s="18" t="n">
        <v>0.4</v>
      </c>
      <c r="H83" s="18" t="n">
        <v>2705</v>
      </c>
      <c r="I83" s="18" t="n">
        <v>113</v>
      </c>
      <c r="J83" s="18" t="n">
        <v>112</v>
      </c>
      <c r="K83" s="18" t="n">
        <v>0.00278842519558578</v>
      </c>
      <c r="L83" s="18" t="n">
        <v>0.0220962048083353</v>
      </c>
      <c r="M83" s="18" t="n">
        <v>0.126194756962694</v>
      </c>
      <c r="N83" s="18" t="n">
        <v>18.7886029885709</v>
      </c>
      <c r="O83" s="18" t="n">
        <v>0.900918399915714</v>
      </c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 t="s">
        <v>402</v>
      </c>
      <c r="AI83" s="18"/>
      <c r="AJ83" s="18" t="s">
        <v>443</v>
      </c>
    </row>
    <row r="84" customFormat="false" ht="15" hidden="false" customHeight="false" outlineLevel="0" collapsed="false">
      <c r="A84" s="18" t="s">
        <v>273</v>
      </c>
      <c r="B84" s="18" t="s">
        <v>334</v>
      </c>
      <c r="C84" s="18" t="s">
        <v>438</v>
      </c>
      <c r="D84" s="18" t="s">
        <v>324</v>
      </c>
      <c r="E84" s="18" t="s">
        <v>404</v>
      </c>
      <c r="F84" s="18" t="s">
        <v>401</v>
      </c>
      <c r="G84" s="18" t="n">
        <v>0.4</v>
      </c>
      <c r="H84" s="18" t="n">
        <v>2705</v>
      </c>
      <c r="I84" s="18" t="n">
        <v>113</v>
      </c>
      <c r="J84" s="18" t="n">
        <v>112</v>
      </c>
      <c r="K84" s="18" t="n">
        <v>0.00418330890412848</v>
      </c>
      <c r="L84" s="18" t="n">
        <v>0.0225617346848343</v>
      </c>
      <c r="M84" s="18" t="n">
        <v>0.185416102199821</v>
      </c>
      <c r="N84" s="18" t="n">
        <v>15.4539564156194</v>
      </c>
      <c r="O84" s="18" t="n">
        <v>0.855314332638792</v>
      </c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 t="s">
        <v>402</v>
      </c>
      <c r="AI84" s="18"/>
      <c r="AJ84" s="18" t="s">
        <v>444</v>
      </c>
    </row>
    <row r="85" customFormat="false" ht="15" hidden="false" customHeight="false" outlineLevel="0" collapsed="false">
      <c r="A85" s="18" t="s">
        <v>273</v>
      </c>
      <c r="B85" s="18" t="s">
        <v>336</v>
      </c>
      <c r="C85" s="18" t="s">
        <v>438</v>
      </c>
      <c r="D85" s="18" t="s">
        <v>324</v>
      </c>
      <c r="E85" s="18" t="s">
        <v>404</v>
      </c>
      <c r="F85" s="18" t="s">
        <v>401</v>
      </c>
      <c r="G85" s="18" t="n">
        <v>0.4</v>
      </c>
      <c r="H85" s="18" t="n">
        <v>2705</v>
      </c>
      <c r="I85" s="18" t="n">
        <v>113</v>
      </c>
      <c r="J85" s="18" t="n">
        <v>112</v>
      </c>
      <c r="K85" s="18" t="n">
        <v>-0.00588956770933818</v>
      </c>
      <c r="L85" s="18" t="n">
        <v>0.0206152321568545</v>
      </c>
      <c r="M85" s="18" t="n">
        <v>-0.285690098686563</v>
      </c>
      <c r="N85" s="18" t="n">
        <v>17.2721062797412</v>
      </c>
      <c r="O85" s="18" t="n">
        <v>0.778513406027437</v>
      </c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 t="s">
        <v>402</v>
      </c>
      <c r="AI85" s="18"/>
      <c r="AJ85" s="18" t="s">
        <v>445</v>
      </c>
    </row>
    <row r="86" customFormat="false" ht="15" hidden="false" customHeight="false" outlineLevel="0" collapsed="false">
      <c r="A86" s="18" t="s">
        <v>273</v>
      </c>
      <c r="B86" s="18" t="s">
        <v>338</v>
      </c>
      <c r="C86" s="18" t="s">
        <v>438</v>
      </c>
      <c r="D86" s="18" t="s">
        <v>324</v>
      </c>
      <c r="E86" s="18" t="s">
        <v>404</v>
      </c>
      <c r="F86" s="18" t="s">
        <v>401</v>
      </c>
      <c r="G86" s="18" t="n">
        <v>0.4</v>
      </c>
      <c r="H86" s="18" t="n">
        <v>2705</v>
      </c>
      <c r="I86" s="18" t="n">
        <v>113</v>
      </c>
      <c r="J86" s="18" t="n">
        <v>112</v>
      </c>
      <c r="K86" s="18" t="n">
        <v>0.0400119470809272</v>
      </c>
      <c r="L86" s="18" t="n">
        <v>0.0259770713389683</v>
      </c>
      <c r="M86" s="18" t="n">
        <v>1.54027937017308</v>
      </c>
      <c r="N86" s="18" t="n">
        <v>21.3511408517953</v>
      </c>
      <c r="O86" s="18" t="n">
        <v>0.138182957336643</v>
      </c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 t="s">
        <v>402</v>
      </c>
      <c r="AI86" s="18"/>
      <c r="AJ86" s="18" t="s">
        <v>446</v>
      </c>
    </row>
    <row r="87" customFormat="false" ht="15" hidden="false" customHeight="false" outlineLevel="0" collapsed="false">
      <c r="A87" s="18" t="s">
        <v>273</v>
      </c>
      <c r="B87" s="18" t="s">
        <v>340</v>
      </c>
      <c r="C87" s="18" t="s">
        <v>438</v>
      </c>
      <c r="D87" s="18" t="s">
        <v>324</v>
      </c>
      <c r="E87" s="18" t="s">
        <v>404</v>
      </c>
      <c r="F87" s="18" t="s">
        <v>401</v>
      </c>
      <c r="G87" s="18" t="n">
        <v>0.4</v>
      </c>
      <c r="H87" s="18" t="n">
        <v>2705</v>
      </c>
      <c r="I87" s="18" t="n">
        <v>113</v>
      </c>
      <c r="J87" s="18" t="n">
        <v>112</v>
      </c>
      <c r="K87" s="18" t="n">
        <v>0.0215764151603424</v>
      </c>
      <c r="L87" s="18" t="n">
        <v>0.0216492837467663</v>
      </c>
      <c r="M87" s="18" t="n">
        <v>0.996634134076845</v>
      </c>
      <c r="N87" s="18" t="n">
        <v>21.5759087199607</v>
      </c>
      <c r="O87" s="18" t="n">
        <v>0.329988964873397</v>
      </c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 t="s">
        <v>402</v>
      </c>
      <c r="AI87" s="18"/>
      <c r="AJ87" s="18" t="s">
        <v>447</v>
      </c>
    </row>
    <row r="88" customFormat="false" ht="15" hidden="false" customHeight="false" outlineLevel="0" collapsed="false">
      <c r="A88" s="18" t="s">
        <v>273</v>
      </c>
      <c r="B88" s="18" t="s">
        <v>342</v>
      </c>
      <c r="C88" s="18" t="s">
        <v>438</v>
      </c>
      <c r="D88" s="18" t="s">
        <v>324</v>
      </c>
      <c r="E88" s="18" t="s">
        <v>404</v>
      </c>
      <c r="F88" s="18" t="s">
        <v>401</v>
      </c>
      <c r="G88" s="18" t="n">
        <v>0.4</v>
      </c>
      <c r="H88" s="18" t="n">
        <v>929</v>
      </c>
      <c r="I88" s="18" t="n">
        <v>40</v>
      </c>
      <c r="J88" s="18" t="n">
        <v>40</v>
      </c>
      <c r="K88" s="18" t="n">
        <v>-0.015121059039516</v>
      </c>
      <c r="L88" s="18" t="n">
        <v>0.0182325020595343</v>
      </c>
      <c r="M88" s="18" t="n">
        <v>-0.829346350278279</v>
      </c>
      <c r="N88" s="18" t="n">
        <v>24.4057094279477</v>
      </c>
      <c r="O88" s="18" t="n">
        <v>0.414946802854372</v>
      </c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 t="s">
        <v>402</v>
      </c>
      <c r="AI88" s="18"/>
      <c r="AJ88" s="18" t="s">
        <v>448</v>
      </c>
    </row>
    <row r="89" customFormat="false" ht="15" hidden="false" customHeight="false" outlineLevel="0" collapsed="false">
      <c r="A89" s="18" t="s">
        <v>273</v>
      </c>
      <c r="B89" s="18" t="s">
        <v>449</v>
      </c>
      <c r="C89" s="18" t="s">
        <v>438</v>
      </c>
      <c r="D89" s="18" t="s">
        <v>324</v>
      </c>
      <c r="E89" s="18" t="s">
        <v>404</v>
      </c>
      <c r="F89" s="18" t="s">
        <v>401</v>
      </c>
      <c r="G89" s="18" t="n">
        <v>0.4</v>
      </c>
      <c r="H89" s="18" t="n">
        <v>2692</v>
      </c>
      <c r="I89" s="18" t="n">
        <v>113</v>
      </c>
      <c r="J89" s="18" t="n">
        <v>112</v>
      </c>
      <c r="K89" s="18" t="n">
        <v>-0.0134689759683595</v>
      </c>
      <c r="L89" s="18" t="n">
        <v>0.0107648837981232</v>
      </c>
      <c r="M89" s="18" t="n">
        <v>-1.25119566740774</v>
      </c>
      <c r="N89" s="18" t="n">
        <v>38.2785422720596</v>
      </c>
      <c r="O89" s="18" t="n">
        <v>0.21845626400254</v>
      </c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 t="s">
        <v>402</v>
      </c>
      <c r="AI89" s="18"/>
      <c r="AJ89" s="18" t="s">
        <v>450</v>
      </c>
    </row>
    <row r="90" customFormat="false" ht="15" hidden="false" customHeight="false" outlineLevel="0" collapsed="false">
      <c r="A90" s="18" t="s">
        <v>273</v>
      </c>
      <c r="B90" s="18" t="s">
        <v>451</v>
      </c>
      <c r="C90" s="18" t="s">
        <v>438</v>
      </c>
      <c r="D90" s="18" t="s">
        <v>324</v>
      </c>
      <c r="E90" s="18" t="s">
        <v>404</v>
      </c>
      <c r="F90" s="18" t="s">
        <v>401</v>
      </c>
      <c r="G90" s="18" t="n">
        <v>0.4</v>
      </c>
      <c r="H90" s="18" t="n">
        <v>2692</v>
      </c>
      <c r="I90" s="18" t="n">
        <v>113</v>
      </c>
      <c r="J90" s="18" t="n">
        <v>112</v>
      </c>
      <c r="K90" s="18" t="n">
        <v>-0.0126353734538658</v>
      </c>
      <c r="L90" s="18" t="n">
        <v>0.0114110010651622</v>
      </c>
      <c r="M90" s="18" t="n">
        <v>-1.10729754398512</v>
      </c>
      <c r="N90" s="18" t="n">
        <v>29.3331587738117</v>
      </c>
      <c r="O90" s="18" t="n">
        <v>0.27716318128739</v>
      </c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 t="s">
        <v>402</v>
      </c>
      <c r="AI90" s="18"/>
      <c r="AJ90" s="18" t="s">
        <v>452</v>
      </c>
    </row>
    <row r="91" customFormat="false" ht="15" hidden="false" customHeight="false" outlineLevel="0" collapsed="false">
      <c r="A91" s="18" t="s">
        <v>273</v>
      </c>
      <c r="B91" s="18" t="s">
        <v>453</v>
      </c>
      <c r="C91" s="18" t="s">
        <v>438</v>
      </c>
      <c r="D91" s="18" t="s">
        <v>324</v>
      </c>
      <c r="E91" s="18" t="s">
        <v>404</v>
      </c>
      <c r="F91" s="18" t="s">
        <v>401</v>
      </c>
      <c r="G91" s="18" t="n">
        <v>0.4</v>
      </c>
      <c r="H91" s="18" t="n">
        <v>2692</v>
      </c>
      <c r="I91" s="18" t="n">
        <v>113</v>
      </c>
      <c r="J91" s="18" t="n">
        <v>112</v>
      </c>
      <c r="K91" s="18" t="n">
        <v>0.00137307126066577</v>
      </c>
      <c r="L91" s="18" t="n">
        <v>0.0102858433505286</v>
      </c>
      <c r="M91" s="18" t="n">
        <v>0.13349136418602</v>
      </c>
      <c r="N91" s="18" t="n">
        <v>36.1047746863888</v>
      </c>
      <c r="O91" s="18" t="n">
        <v>0.894546093581146</v>
      </c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 t="s">
        <v>402</v>
      </c>
      <c r="AI91" s="18"/>
      <c r="AJ91" s="18" t="s">
        <v>454</v>
      </c>
    </row>
    <row r="92" customFormat="false" ht="15" hidden="false" customHeight="false" outlineLevel="0" collapsed="false">
      <c r="A92" s="18" t="s">
        <v>273</v>
      </c>
      <c r="B92" s="18" t="s">
        <v>455</v>
      </c>
      <c r="C92" s="18" t="s">
        <v>438</v>
      </c>
      <c r="D92" s="18" t="s">
        <v>324</v>
      </c>
      <c r="E92" s="18" t="s">
        <v>404</v>
      </c>
      <c r="F92" s="18" t="s">
        <v>401</v>
      </c>
      <c r="G92" s="18" t="n">
        <v>0.4</v>
      </c>
      <c r="H92" s="18" t="n">
        <v>2692</v>
      </c>
      <c r="I92" s="18" t="n">
        <v>113</v>
      </c>
      <c r="J92" s="18" t="n">
        <v>112</v>
      </c>
      <c r="K92" s="18" t="n">
        <v>-0.0132419648534896</v>
      </c>
      <c r="L92" s="18" t="n">
        <v>0.0119238092008509</v>
      </c>
      <c r="M92" s="18" t="n">
        <v>-1.11054820069954</v>
      </c>
      <c r="N92" s="18" t="n">
        <v>25.6541543326876</v>
      </c>
      <c r="O92" s="18" t="n">
        <v>0.277063807983328</v>
      </c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 t="s">
        <v>402</v>
      </c>
      <c r="AI92" s="18"/>
      <c r="AJ92" s="18" t="s">
        <v>456</v>
      </c>
    </row>
    <row r="93" customFormat="false" ht="15" hidden="false" customHeight="false" outlineLevel="0" collapsed="false">
      <c r="A93" s="18" t="s">
        <v>273</v>
      </c>
      <c r="B93" s="18" t="s">
        <v>457</v>
      </c>
      <c r="C93" s="18" t="s">
        <v>438</v>
      </c>
      <c r="D93" s="18" t="s">
        <v>324</v>
      </c>
      <c r="E93" s="18" t="s">
        <v>404</v>
      </c>
      <c r="F93" s="18" t="s">
        <v>401</v>
      </c>
      <c r="G93" s="18" t="n">
        <v>0.4</v>
      </c>
      <c r="H93" s="18" t="n">
        <v>2692</v>
      </c>
      <c r="I93" s="18" t="n">
        <v>113</v>
      </c>
      <c r="J93" s="18" t="n">
        <v>112</v>
      </c>
      <c r="K93" s="18" t="n">
        <v>-0.014836788613429</v>
      </c>
      <c r="L93" s="18" t="n">
        <v>0.014864996760376</v>
      </c>
      <c r="M93" s="18" t="n">
        <v>-0.998102377861113</v>
      </c>
      <c r="N93" s="18" t="n">
        <v>18.2665283789408</v>
      </c>
      <c r="O93" s="18" t="n">
        <v>0.331268879999041</v>
      </c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 t="s">
        <v>402</v>
      </c>
      <c r="AI93" s="18"/>
      <c r="AJ93" s="18" t="s">
        <v>458</v>
      </c>
    </row>
    <row r="94" customFormat="false" ht="15" hidden="false" customHeight="false" outlineLevel="0" collapsed="false">
      <c r="A94" s="18" t="s">
        <v>273</v>
      </c>
      <c r="B94" s="18" t="s">
        <v>459</v>
      </c>
      <c r="C94" s="18" t="s">
        <v>438</v>
      </c>
      <c r="D94" s="18" t="s">
        <v>324</v>
      </c>
      <c r="E94" s="18" t="s">
        <v>404</v>
      </c>
      <c r="F94" s="18" t="s">
        <v>401</v>
      </c>
      <c r="G94" s="18" t="n">
        <v>0.4</v>
      </c>
      <c r="H94" s="18" t="n">
        <v>2692</v>
      </c>
      <c r="I94" s="18" t="n">
        <v>113</v>
      </c>
      <c r="J94" s="18" t="n">
        <v>112</v>
      </c>
      <c r="K94" s="18" t="n">
        <v>-0.0140208453235242</v>
      </c>
      <c r="L94" s="18" t="n">
        <v>0.0159632965944252</v>
      </c>
      <c r="M94" s="18" t="n">
        <v>-0.878317660803256</v>
      </c>
      <c r="N94" s="18" t="n">
        <v>15.0206473635516</v>
      </c>
      <c r="O94" s="18" t="n">
        <v>0.393604527639774</v>
      </c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 t="s">
        <v>402</v>
      </c>
      <c r="AI94" s="18"/>
      <c r="AJ94" s="18" t="s">
        <v>460</v>
      </c>
    </row>
    <row r="95" customFormat="false" ht="15" hidden="false" customHeight="false" outlineLevel="0" collapsed="false">
      <c r="A95" s="18" t="s">
        <v>273</v>
      </c>
      <c r="B95" s="18" t="s">
        <v>461</v>
      </c>
      <c r="C95" s="18" t="s">
        <v>438</v>
      </c>
      <c r="D95" s="18" t="s">
        <v>324</v>
      </c>
      <c r="E95" s="18" t="s">
        <v>404</v>
      </c>
      <c r="F95" s="18" t="s">
        <v>401</v>
      </c>
      <c r="G95" s="18" t="n">
        <v>0.4</v>
      </c>
      <c r="H95" s="18" t="n">
        <v>2692</v>
      </c>
      <c r="I95" s="18" t="n">
        <v>113</v>
      </c>
      <c r="J95" s="18" t="n">
        <v>112</v>
      </c>
      <c r="K95" s="18" t="n">
        <v>0.00429579425845068</v>
      </c>
      <c r="L95" s="18" t="n">
        <v>0.00898010760737822</v>
      </c>
      <c r="M95" s="18" t="n">
        <v>0.47836779315664</v>
      </c>
      <c r="N95" s="18" t="n">
        <v>43.4644931455785</v>
      </c>
      <c r="O95" s="18" t="n">
        <v>0.634785970621629</v>
      </c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 t="s">
        <v>402</v>
      </c>
      <c r="AI95" s="18"/>
      <c r="AJ95" s="18" t="s">
        <v>462</v>
      </c>
    </row>
    <row r="96" customFormat="false" ht="15" hidden="false" customHeight="false" outlineLevel="0" collapsed="false">
      <c r="A96" s="18" t="s">
        <v>273</v>
      </c>
      <c r="B96" s="18" t="s">
        <v>463</v>
      </c>
      <c r="C96" s="18" t="s">
        <v>438</v>
      </c>
      <c r="D96" s="18" t="s">
        <v>324</v>
      </c>
      <c r="E96" s="18" t="s">
        <v>404</v>
      </c>
      <c r="F96" s="18" t="s">
        <v>401</v>
      </c>
      <c r="G96" s="18" t="n">
        <v>0.4</v>
      </c>
      <c r="H96" s="18" t="n">
        <v>2692</v>
      </c>
      <c r="I96" s="18" t="n">
        <v>113</v>
      </c>
      <c r="J96" s="18" t="n">
        <v>112</v>
      </c>
      <c r="K96" s="18" t="n">
        <v>0.0122651359568633</v>
      </c>
      <c r="L96" s="18" t="n">
        <v>0.0086771778372458</v>
      </c>
      <c r="M96" s="18" t="n">
        <v>1.41349367120454</v>
      </c>
      <c r="N96" s="18" t="n">
        <v>57.6654455790661</v>
      </c>
      <c r="O96" s="18" t="n">
        <v>0.162886329893159</v>
      </c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 t="s">
        <v>402</v>
      </c>
      <c r="AI96" s="18"/>
      <c r="AJ96" s="18" t="s">
        <v>464</v>
      </c>
    </row>
    <row r="97" customFormat="false" ht="15" hidden="false" customHeight="false" outlineLevel="0" collapsed="false">
      <c r="A97" s="18" t="s">
        <v>273</v>
      </c>
      <c r="B97" s="18" t="s">
        <v>465</v>
      </c>
      <c r="C97" s="18" t="s">
        <v>438</v>
      </c>
      <c r="D97" s="18" t="s">
        <v>324</v>
      </c>
      <c r="E97" s="18" t="s">
        <v>404</v>
      </c>
      <c r="F97" s="18" t="s">
        <v>401</v>
      </c>
      <c r="G97" s="18" t="n">
        <v>0.4</v>
      </c>
      <c r="H97" s="18" t="n">
        <v>2692</v>
      </c>
      <c r="I97" s="18" t="n">
        <v>113</v>
      </c>
      <c r="J97" s="18" t="n">
        <v>112</v>
      </c>
      <c r="K97" s="18" t="n">
        <v>6.72902690524585E-005</v>
      </c>
      <c r="L97" s="18" t="n">
        <v>0.00909324952179762</v>
      </c>
      <c r="M97" s="18" t="n">
        <v>0.00740002447872519</v>
      </c>
      <c r="N97" s="18" t="n">
        <v>64.2517051136495</v>
      </c>
      <c r="O97" s="18" t="n">
        <v>0.994118617246198</v>
      </c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 t="s">
        <v>402</v>
      </c>
      <c r="AI97" s="18"/>
      <c r="AJ97" s="18" t="s">
        <v>466</v>
      </c>
    </row>
    <row r="98" customFormat="false" ht="15" hidden="false" customHeight="false" outlineLevel="0" collapsed="false">
      <c r="A98" s="18" t="s">
        <v>273</v>
      </c>
      <c r="B98" s="18" t="s">
        <v>467</v>
      </c>
      <c r="C98" s="18" t="s">
        <v>438</v>
      </c>
      <c r="D98" s="18" t="s">
        <v>324</v>
      </c>
      <c r="E98" s="18" t="s">
        <v>404</v>
      </c>
      <c r="F98" s="18" t="s">
        <v>401</v>
      </c>
      <c r="G98" s="18" t="n">
        <v>0.4</v>
      </c>
      <c r="H98" s="18" t="n">
        <v>924</v>
      </c>
      <c r="I98" s="18" t="n">
        <v>40</v>
      </c>
      <c r="J98" s="18" t="n">
        <v>40</v>
      </c>
      <c r="K98" s="18" t="n">
        <v>-0.0217919067515735</v>
      </c>
      <c r="L98" s="18" t="n">
        <v>0.0194552750829165</v>
      </c>
      <c r="M98" s="18" t="n">
        <v>-1.1201027309405</v>
      </c>
      <c r="N98" s="18" t="n">
        <v>24.4489729063654</v>
      </c>
      <c r="O98" s="18" t="n">
        <v>0.273553058970329</v>
      </c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 t="s">
        <v>402</v>
      </c>
      <c r="AI98" s="18"/>
      <c r="AJ98" s="18" t="s">
        <v>468</v>
      </c>
    </row>
    <row r="99" customFormat="false" ht="15" hidden="false" customHeight="false" outlineLevel="0" collapsed="false">
      <c r="A99" s="18" t="s">
        <v>273</v>
      </c>
      <c r="B99" s="18" t="s">
        <v>469</v>
      </c>
      <c r="C99" s="18" t="s">
        <v>438</v>
      </c>
      <c r="D99" s="18" t="s">
        <v>324</v>
      </c>
      <c r="E99" s="18" t="s">
        <v>404</v>
      </c>
      <c r="F99" s="18" t="s">
        <v>401</v>
      </c>
      <c r="G99" s="18" t="n">
        <v>0.4</v>
      </c>
      <c r="H99" s="18" t="n">
        <v>2705</v>
      </c>
      <c r="I99" s="18" t="n">
        <v>113</v>
      </c>
      <c r="J99" s="18" t="n">
        <v>112</v>
      </c>
      <c r="K99" s="18" t="n">
        <v>-0.00958940739745937</v>
      </c>
      <c r="L99" s="18" t="n">
        <v>0.0113757243836275</v>
      </c>
      <c r="M99" s="18" t="n">
        <v>-0.842971143996851</v>
      </c>
      <c r="N99" s="18" t="n">
        <v>32.2093294353309</v>
      </c>
      <c r="O99" s="18" t="n">
        <v>0.405461217910693</v>
      </c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 t="s">
        <v>402</v>
      </c>
      <c r="AI99" s="18"/>
      <c r="AJ99" s="18" t="s">
        <v>470</v>
      </c>
    </row>
    <row r="100" customFormat="false" ht="15" hidden="false" customHeight="false" outlineLevel="0" collapsed="false">
      <c r="A100" s="18" t="s">
        <v>273</v>
      </c>
      <c r="B100" s="18" t="s">
        <v>471</v>
      </c>
      <c r="C100" s="18" t="s">
        <v>438</v>
      </c>
      <c r="D100" s="18" t="s">
        <v>324</v>
      </c>
      <c r="E100" s="18" t="s">
        <v>404</v>
      </c>
      <c r="F100" s="18" t="s">
        <v>401</v>
      </c>
      <c r="G100" s="18" t="n">
        <v>0.4</v>
      </c>
      <c r="H100" s="18" t="n">
        <v>2705</v>
      </c>
      <c r="I100" s="18" t="n">
        <v>113</v>
      </c>
      <c r="J100" s="18" t="n">
        <v>112</v>
      </c>
      <c r="K100" s="18" t="n">
        <v>-0.00775802317411655</v>
      </c>
      <c r="L100" s="18" t="n">
        <v>0.0117939146042967</v>
      </c>
      <c r="M100" s="18" t="n">
        <v>-0.65779882544598</v>
      </c>
      <c r="N100" s="18" t="n">
        <v>24.93937439886</v>
      </c>
      <c r="O100" s="18" t="n">
        <v>0.516693608222834</v>
      </c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 t="s">
        <v>402</v>
      </c>
      <c r="AI100" s="18"/>
      <c r="AJ100" s="18" t="s">
        <v>472</v>
      </c>
    </row>
    <row r="101" customFormat="false" ht="15" hidden="false" customHeight="false" outlineLevel="0" collapsed="false">
      <c r="A101" s="18" t="s">
        <v>273</v>
      </c>
      <c r="B101" s="18" t="s">
        <v>473</v>
      </c>
      <c r="C101" s="18" t="s">
        <v>438</v>
      </c>
      <c r="D101" s="18" t="s">
        <v>324</v>
      </c>
      <c r="E101" s="18" t="s">
        <v>404</v>
      </c>
      <c r="F101" s="18" t="s">
        <v>401</v>
      </c>
      <c r="G101" s="18" t="n">
        <v>0.4</v>
      </c>
      <c r="H101" s="18" t="n">
        <v>2705</v>
      </c>
      <c r="I101" s="18" t="n">
        <v>113</v>
      </c>
      <c r="J101" s="18" t="n">
        <v>112</v>
      </c>
      <c r="K101" s="18" t="n">
        <v>0.00141855439809242</v>
      </c>
      <c r="L101" s="18" t="n">
        <v>0.0107669046668909</v>
      </c>
      <c r="M101" s="18" t="n">
        <v>0.131751366059234</v>
      </c>
      <c r="N101" s="18" t="n">
        <v>37.0835687001987</v>
      </c>
      <c r="O101" s="18" t="n">
        <v>0.895893194436468</v>
      </c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 t="s">
        <v>402</v>
      </c>
      <c r="AI101" s="18"/>
      <c r="AJ101" s="18" t="s">
        <v>474</v>
      </c>
    </row>
    <row r="102" customFormat="false" ht="15" hidden="false" customHeight="false" outlineLevel="0" collapsed="false">
      <c r="A102" s="18" t="s">
        <v>273</v>
      </c>
      <c r="B102" s="18" t="s">
        <v>475</v>
      </c>
      <c r="C102" s="18" t="s">
        <v>438</v>
      </c>
      <c r="D102" s="18" t="s">
        <v>324</v>
      </c>
      <c r="E102" s="18" t="s">
        <v>404</v>
      </c>
      <c r="F102" s="18" t="s">
        <v>401</v>
      </c>
      <c r="G102" s="18" t="n">
        <v>0.4</v>
      </c>
      <c r="H102" s="18" t="n">
        <v>2705</v>
      </c>
      <c r="I102" s="18" t="n">
        <v>113</v>
      </c>
      <c r="J102" s="18" t="n">
        <v>112</v>
      </c>
      <c r="K102" s="18" t="n">
        <v>-0.00858058451355778</v>
      </c>
      <c r="L102" s="18" t="n">
        <v>0.0123669782565781</v>
      </c>
      <c r="M102" s="18" t="n">
        <v>-0.693830322616903</v>
      </c>
      <c r="N102" s="18" t="n">
        <v>21.8135087484361</v>
      </c>
      <c r="O102" s="18" t="n">
        <v>0.495111659608872</v>
      </c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 t="s">
        <v>402</v>
      </c>
      <c r="AI102" s="18"/>
      <c r="AJ102" s="18" t="s">
        <v>476</v>
      </c>
    </row>
    <row r="103" customFormat="false" ht="15" hidden="false" customHeight="false" outlineLevel="0" collapsed="false">
      <c r="A103" s="18" t="s">
        <v>273</v>
      </c>
      <c r="B103" s="18" t="s">
        <v>477</v>
      </c>
      <c r="C103" s="18" t="s">
        <v>438</v>
      </c>
      <c r="D103" s="18" t="s">
        <v>324</v>
      </c>
      <c r="E103" s="18" t="s">
        <v>404</v>
      </c>
      <c r="F103" s="18" t="s">
        <v>401</v>
      </c>
      <c r="G103" s="18" t="n">
        <v>0.4</v>
      </c>
      <c r="H103" s="18" t="n">
        <v>2705</v>
      </c>
      <c r="I103" s="18" t="n">
        <v>113</v>
      </c>
      <c r="J103" s="18" t="n">
        <v>112</v>
      </c>
      <c r="K103" s="18" t="n">
        <v>-0.0111943893353716</v>
      </c>
      <c r="L103" s="18" t="n">
        <v>0.0149741437321415</v>
      </c>
      <c r="M103" s="18" t="n">
        <v>-0.747581266456204</v>
      </c>
      <c r="N103" s="18" t="n">
        <v>18.3458898746971</v>
      </c>
      <c r="O103" s="18" t="n">
        <v>0.464188111472056</v>
      </c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 t="s">
        <v>402</v>
      </c>
      <c r="AI103" s="18"/>
      <c r="AJ103" s="18" t="s">
        <v>478</v>
      </c>
    </row>
    <row r="104" customFormat="false" ht="15" hidden="false" customHeight="false" outlineLevel="0" collapsed="false">
      <c r="A104" s="18" t="s">
        <v>273</v>
      </c>
      <c r="B104" s="18" t="s">
        <v>479</v>
      </c>
      <c r="C104" s="18" t="s">
        <v>438</v>
      </c>
      <c r="D104" s="18" t="s">
        <v>324</v>
      </c>
      <c r="E104" s="18" t="s">
        <v>404</v>
      </c>
      <c r="F104" s="18" t="s">
        <v>401</v>
      </c>
      <c r="G104" s="18" t="n">
        <v>0.4</v>
      </c>
      <c r="H104" s="18" t="n">
        <v>2705</v>
      </c>
      <c r="I104" s="18" t="n">
        <v>113</v>
      </c>
      <c r="J104" s="18" t="n">
        <v>112</v>
      </c>
      <c r="K104" s="18" t="n">
        <v>-0.0101640834950917</v>
      </c>
      <c r="L104" s="18" t="n">
        <v>0.0160504904603195</v>
      </c>
      <c r="M104" s="18" t="n">
        <v>-0.633256878985703</v>
      </c>
      <c r="N104" s="18" t="n">
        <v>15.0900839139407</v>
      </c>
      <c r="O104" s="18" t="n">
        <v>0.536046078582508</v>
      </c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 t="s">
        <v>402</v>
      </c>
      <c r="AI104" s="18"/>
      <c r="AJ104" s="18" t="s">
        <v>480</v>
      </c>
    </row>
    <row r="105" customFormat="false" ht="15" hidden="false" customHeight="false" outlineLevel="0" collapsed="false">
      <c r="A105" s="18" t="s">
        <v>273</v>
      </c>
      <c r="B105" s="18" t="s">
        <v>481</v>
      </c>
      <c r="C105" s="18" t="s">
        <v>438</v>
      </c>
      <c r="D105" s="18" t="s">
        <v>324</v>
      </c>
      <c r="E105" s="18" t="s">
        <v>404</v>
      </c>
      <c r="F105" s="18" t="s">
        <v>401</v>
      </c>
      <c r="G105" s="18" t="n">
        <v>0.4</v>
      </c>
      <c r="H105" s="18" t="n">
        <v>2705</v>
      </c>
      <c r="I105" s="18" t="n">
        <v>113</v>
      </c>
      <c r="J105" s="18" t="n">
        <v>112</v>
      </c>
      <c r="K105" s="18" t="n">
        <v>0.00689652939655552</v>
      </c>
      <c r="L105" s="18" t="n">
        <v>0.00953453808422536</v>
      </c>
      <c r="M105" s="18" t="n">
        <v>0.723320766631122</v>
      </c>
      <c r="N105" s="18" t="n">
        <v>36.4630314936776</v>
      </c>
      <c r="O105" s="18" t="n">
        <v>0.474097633759799</v>
      </c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 t="s">
        <v>402</v>
      </c>
      <c r="AI105" s="18"/>
      <c r="AJ105" s="18" t="s">
        <v>482</v>
      </c>
    </row>
    <row r="106" customFormat="false" ht="15" hidden="false" customHeight="false" outlineLevel="0" collapsed="false">
      <c r="A106" s="18" t="s">
        <v>273</v>
      </c>
      <c r="B106" s="18" t="s">
        <v>483</v>
      </c>
      <c r="C106" s="18" t="s">
        <v>438</v>
      </c>
      <c r="D106" s="18" t="s">
        <v>324</v>
      </c>
      <c r="E106" s="18" t="s">
        <v>404</v>
      </c>
      <c r="F106" s="18" t="s">
        <v>401</v>
      </c>
      <c r="G106" s="18" t="n">
        <v>0.4</v>
      </c>
      <c r="H106" s="18" t="n">
        <v>2705</v>
      </c>
      <c r="I106" s="18" t="n">
        <v>113</v>
      </c>
      <c r="J106" s="18" t="n">
        <v>112</v>
      </c>
      <c r="K106" s="18" t="n">
        <v>0.0184900222538026</v>
      </c>
      <c r="L106" s="18" t="n">
        <v>0.00915171856307238</v>
      </c>
      <c r="M106" s="18" t="n">
        <v>2.02038798793602</v>
      </c>
      <c r="N106" s="18" t="n">
        <v>48.3309663569303</v>
      </c>
      <c r="O106" s="18" t="n">
        <v>0.0489034564429325</v>
      </c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 t="s">
        <v>402</v>
      </c>
      <c r="AI106" s="18"/>
      <c r="AJ106" s="18" t="s">
        <v>484</v>
      </c>
    </row>
    <row r="107" customFormat="false" ht="15" hidden="false" customHeight="false" outlineLevel="0" collapsed="false">
      <c r="A107" s="18" t="s">
        <v>273</v>
      </c>
      <c r="B107" s="18" t="s">
        <v>485</v>
      </c>
      <c r="C107" s="18" t="s">
        <v>438</v>
      </c>
      <c r="D107" s="18" t="s">
        <v>324</v>
      </c>
      <c r="E107" s="18" t="s">
        <v>404</v>
      </c>
      <c r="F107" s="18" t="s">
        <v>401</v>
      </c>
      <c r="G107" s="18" t="n">
        <v>0.4</v>
      </c>
      <c r="H107" s="18" t="n">
        <v>2705</v>
      </c>
      <c r="I107" s="18" t="n">
        <v>113</v>
      </c>
      <c r="J107" s="18" t="n">
        <v>112</v>
      </c>
      <c r="K107" s="18" t="n">
        <v>0.00553858583836813</v>
      </c>
      <c r="L107" s="18" t="n">
        <v>0.0092931488974567</v>
      </c>
      <c r="M107" s="18" t="n">
        <v>0.595985913868646</v>
      </c>
      <c r="N107" s="18" t="n">
        <v>52.1735301190463</v>
      </c>
      <c r="O107" s="18" t="n">
        <v>0.553761575493989</v>
      </c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 t="s">
        <v>402</v>
      </c>
      <c r="AI107" s="18"/>
      <c r="AJ107" s="18" t="s">
        <v>486</v>
      </c>
    </row>
    <row r="108" customFormat="false" ht="15" hidden="false" customHeight="false" outlineLevel="0" collapsed="false">
      <c r="A108" s="18" t="s">
        <v>273</v>
      </c>
      <c r="B108" s="18" t="s">
        <v>487</v>
      </c>
      <c r="C108" s="18" t="s">
        <v>438</v>
      </c>
      <c r="D108" s="18" t="s">
        <v>324</v>
      </c>
      <c r="E108" s="18" t="s">
        <v>404</v>
      </c>
      <c r="F108" s="18" t="s">
        <v>401</v>
      </c>
      <c r="G108" s="18" t="n">
        <v>0.4</v>
      </c>
      <c r="H108" s="18" t="n">
        <v>929</v>
      </c>
      <c r="I108" s="18" t="n">
        <v>40</v>
      </c>
      <c r="J108" s="18" t="n">
        <v>40</v>
      </c>
      <c r="K108" s="18" t="n">
        <v>-0.0178916421203931</v>
      </c>
      <c r="L108" s="18" t="n">
        <v>0.0191472742413098</v>
      </c>
      <c r="M108" s="18" t="n">
        <v>-0.934422408897886</v>
      </c>
      <c r="N108" s="18" t="n">
        <v>24.4110519504086</v>
      </c>
      <c r="O108" s="18" t="n">
        <v>0.359237939473565</v>
      </c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 t="s">
        <v>402</v>
      </c>
      <c r="AI108" s="18"/>
      <c r="AJ108" s="18" t="s">
        <v>488</v>
      </c>
    </row>
    <row r="109" customFormat="false" ht="15" hidden="false" customHeight="false" outlineLevel="0" collapsed="false">
      <c r="A109" s="18" t="s">
        <v>273</v>
      </c>
      <c r="B109" s="18" t="s">
        <v>489</v>
      </c>
      <c r="C109" s="18" t="s">
        <v>438</v>
      </c>
      <c r="D109" s="18" t="s">
        <v>324</v>
      </c>
      <c r="E109" s="18" t="s">
        <v>404</v>
      </c>
      <c r="F109" s="18" t="s">
        <v>401</v>
      </c>
      <c r="G109" s="18" t="n">
        <v>0.4</v>
      </c>
      <c r="H109" s="18" t="n">
        <v>2607</v>
      </c>
      <c r="I109" s="18" t="n">
        <v>110</v>
      </c>
      <c r="J109" s="18" t="n">
        <v>109</v>
      </c>
      <c r="K109" s="18" t="n">
        <v>0.00624206000933219</v>
      </c>
      <c r="L109" s="18" t="n">
        <v>0.0191387130435572</v>
      </c>
      <c r="M109" s="18" t="n">
        <v>0.326148367193034</v>
      </c>
      <c r="N109" s="18" t="n">
        <v>13.8540843831657</v>
      </c>
      <c r="O109" s="18" t="n">
        <v>0.74918650650951</v>
      </c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 t="s">
        <v>402</v>
      </c>
      <c r="AI109" s="18"/>
      <c r="AJ109" s="18" t="s">
        <v>490</v>
      </c>
    </row>
    <row r="110" customFormat="false" ht="15" hidden="false" customHeight="false" outlineLevel="0" collapsed="false">
      <c r="A110" s="18" t="s">
        <v>273</v>
      </c>
      <c r="B110" s="18" t="s">
        <v>491</v>
      </c>
      <c r="C110" s="18" t="s">
        <v>438</v>
      </c>
      <c r="D110" s="18" t="s">
        <v>324</v>
      </c>
      <c r="E110" s="18" t="s">
        <v>404</v>
      </c>
      <c r="F110" s="18" t="s">
        <v>401</v>
      </c>
      <c r="G110" s="18" t="n">
        <v>0.4</v>
      </c>
      <c r="H110" s="18" t="n">
        <v>2607</v>
      </c>
      <c r="I110" s="18" t="n">
        <v>110</v>
      </c>
      <c r="J110" s="18" t="n">
        <v>109</v>
      </c>
      <c r="K110" s="18" t="n">
        <v>0.0057846369427627</v>
      </c>
      <c r="L110" s="18" t="n">
        <v>0.0188620195719675</v>
      </c>
      <c r="M110" s="18" t="n">
        <v>0.30668173790678</v>
      </c>
      <c r="N110" s="18" t="n">
        <v>11.4005472570559</v>
      </c>
      <c r="O110" s="18" t="n">
        <v>0.764614452512466</v>
      </c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 t="s">
        <v>402</v>
      </c>
      <c r="AI110" s="18"/>
      <c r="AJ110" s="18" t="s">
        <v>492</v>
      </c>
    </row>
    <row r="111" customFormat="false" ht="15" hidden="false" customHeight="false" outlineLevel="0" collapsed="false">
      <c r="A111" s="18" t="s">
        <v>273</v>
      </c>
      <c r="B111" s="18" t="s">
        <v>493</v>
      </c>
      <c r="C111" s="18" t="s">
        <v>438</v>
      </c>
      <c r="D111" s="18" t="s">
        <v>324</v>
      </c>
      <c r="E111" s="18" t="s">
        <v>404</v>
      </c>
      <c r="F111" s="18" t="s">
        <v>401</v>
      </c>
      <c r="G111" s="18" t="n">
        <v>0.4</v>
      </c>
      <c r="H111" s="18" t="n">
        <v>2607</v>
      </c>
      <c r="I111" s="18" t="n">
        <v>110</v>
      </c>
      <c r="J111" s="18" t="n">
        <v>109</v>
      </c>
      <c r="K111" s="18" t="n">
        <v>-0.0179050664392274</v>
      </c>
      <c r="L111" s="18" t="n">
        <v>0.0218537471174843</v>
      </c>
      <c r="M111" s="18" t="n">
        <v>-0.819313335281631</v>
      </c>
      <c r="N111" s="18" t="n">
        <v>37.6309474362833</v>
      </c>
      <c r="O111" s="18" t="n">
        <v>0.417766620865286</v>
      </c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 t="s">
        <v>402</v>
      </c>
      <c r="AI111" s="18"/>
      <c r="AJ111" s="18" t="s">
        <v>494</v>
      </c>
    </row>
    <row r="112" customFormat="false" ht="15" hidden="false" customHeight="false" outlineLevel="0" collapsed="false">
      <c r="A112" s="18" t="s">
        <v>273</v>
      </c>
      <c r="B112" s="18" t="s">
        <v>495</v>
      </c>
      <c r="C112" s="18" t="s">
        <v>438</v>
      </c>
      <c r="D112" s="18" t="s">
        <v>324</v>
      </c>
      <c r="E112" s="18" t="s">
        <v>404</v>
      </c>
      <c r="F112" s="18" t="s">
        <v>401</v>
      </c>
      <c r="G112" s="18" t="n">
        <v>0.4</v>
      </c>
      <c r="H112" s="18" t="n">
        <v>2607</v>
      </c>
      <c r="I112" s="18" t="n">
        <v>110</v>
      </c>
      <c r="J112" s="18" t="n">
        <v>109</v>
      </c>
      <c r="K112" s="18" t="n">
        <v>0.00389574309469827</v>
      </c>
      <c r="L112" s="18" t="n">
        <v>0.0192424509052923</v>
      </c>
      <c r="M112" s="18" t="n">
        <v>0.202455659825891</v>
      </c>
      <c r="N112" s="18" t="n">
        <v>10.1121229577689</v>
      </c>
      <c r="O112" s="18" t="n">
        <v>0.843575857748233</v>
      </c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 t="s">
        <v>402</v>
      </c>
      <c r="AI112" s="18"/>
      <c r="AJ112" s="18" t="s">
        <v>496</v>
      </c>
    </row>
    <row r="113" customFormat="false" ht="15" hidden="false" customHeight="false" outlineLevel="0" collapsed="false">
      <c r="A113" s="18" t="s">
        <v>273</v>
      </c>
      <c r="B113" s="18" t="s">
        <v>497</v>
      </c>
      <c r="C113" s="18" t="s">
        <v>438</v>
      </c>
      <c r="D113" s="18" t="s">
        <v>324</v>
      </c>
      <c r="E113" s="18" t="s">
        <v>404</v>
      </c>
      <c r="F113" s="18" t="s">
        <v>401</v>
      </c>
      <c r="G113" s="18" t="n">
        <v>0.4</v>
      </c>
      <c r="H113" s="18" t="n">
        <v>2607</v>
      </c>
      <c r="I113" s="18" t="n">
        <v>110</v>
      </c>
      <c r="J113" s="18" t="n">
        <v>109</v>
      </c>
      <c r="K113" s="18" t="n">
        <v>-0.0034643961164808</v>
      </c>
      <c r="L113" s="18" t="n">
        <v>0.0227606384554317</v>
      </c>
      <c r="M113" s="18" t="n">
        <v>-0.152209970878652</v>
      </c>
      <c r="N113" s="18" t="n">
        <v>18.9534391105877</v>
      </c>
      <c r="O113" s="18" t="n">
        <v>0.880629926101413</v>
      </c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 t="s">
        <v>402</v>
      </c>
      <c r="AI113" s="18"/>
      <c r="AJ113" s="18" t="s">
        <v>498</v>
      </c>
    </row>
    <row r="114" customFormat="false" ht="15" hidden="false" customHeight="false" outlineLevel="0" collapsed="false">
      <c r="A114" s="18" t="s">
        <v>273</v>
      </c>
      <c r="B114" s="18" t="s">
        <v>499</v>
      </c>
      <c r="C114" s="18" t="s">
        <v>438</v>
      </c>
      <c r="D114" s="18" t="s">
        <v>324</v>
      </c>
      <c r="E114" s="18" t="s">
        <v>404</v>
      </c>
      <c r="F114" s="18" t="s">
        <v>401</v>
      </c>
      <c r="G114" s="18" t="n">
        <v>0.4</v>
      </c>
      <c r="H114" s="18" t="n">
        <v>2607</v>
      </c>
      <c r="I114" s="18" t="n">
        <v>110</v>
      </c>
      <c r="J114" s="18" t="n">
        <v>109</v>
      </c>
      <c r="K114" s="18" t="n">
        <v>-0.00250084429478422</v>
      </c>
      <c r="L114" s="18" t="n">
        <v>0.0232264882607935</v>
      </c>
      <c r="M114" s="18" t="n">
        <v>-0.107672079683508</v>
      </c>
      <c r="N114" s="18" t="n">
        <v>15.5700359571051</v>
      </c>
      <c r="O114" s="18" t="n">
        <v>0.915631062302441</v>
      </c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 t="s">
        <v>402</v>
      </c>
      <c r="AI114" s="18"/>
      <c r="AJ114" s="18" t="s">
        <v>500</v>
      </c>
    </row>
    <row r="115" customFormat="false" ht="15" hidden="false" customHeight="false" outlineLevel="0" collapsed="false">
      <c r="A115" s="18" t="s">
        <v>273</v>
      </c>
      <c r="B115" s="18" t="s">
        <v>501</v>
      </c>
      <c r="C115" s="18" t="s">
        <v>438</v>
      </c>
      <c r="D115" s="18" t="s">
        <v>324</v>
      </c>
      <c r="E115" s="18" t="s">
        <v>404</v>
      </c>
      <c r="F115" s="18" t="s">
        <v>401</v>
      </c>
      <c r="G115" s="18" t="n">
        <v>0.4</v>
      </c>
      <c r="H115" s="18" t="n">
        <v>2607</v>
      </c>
      <c r="I115" s="18" t="n">
        <v>110</v>
      </c>
      <c r="J115" s="18" t="n">
        <v>109</v>
      </c>
      <c r="K115" s="18" t="n">
        <v>-0.0122846671421841</v>
      </c>
      <c r="L115" s="18" t="n">
        <v>0.0224127749978074</v>
      </c>
      <c r="M115" s="18" t="n">
        <v>-0.548110046318937</v>
      </c>
      <c r="N115" s="18" t="n">
        <v>15.6218888809841</v>
      </c>
      <c r="O115" s="18" t="n">
        <v>0.591363236736154</v>
      </c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 t="s">
        <v>402</v>
      </c>
      <c r="AI115" s="18"/>
      <c r="AJ115" s="18" t="s">
        <v>502</v>
      </c>
    </row>
    <row r="116" customFormat="false" ht="15" hidden="false" customHeight="false" outlineLevel="0" collapsed="false">
      <c r="A116" s="18" t="s">
        <v>273</v>
      </c>
      <c r="B116" s="18" t="s">
        <v>503</v>
      </c>
      <c r="C116" s="18" t="s">
        <v>438</v>
      </c>
      <c r="D116" s="18" t="s">
        <v>324</v>
      </c>
      <c r="E116" s="18" t="s">
        <v>404</v>
      </c>
      <c r="F116" s="18" t="s">
        <v>401</v>
      </c>
      <c r="G116" s="18" t="n">
        <v>0.4</v>
      </c>
      <c r="H116" s="18" t="n">
        <v>2607</v>
      </c>
      <c r="I116" s="18" t="n">
        <v>110</v>
      </c>
      <c r="J116" s="18" t="n">
        <v>109</v>
      </c>
      <c r="K116" s="18" t="n">
        <v>0.0360075373954536</v>
      </c>
      <c r="L116" s="18" t="n">
        <v>0.027179030246699</v>
      </c>
      <c r="M116" s="18" t="n">
        <v>1.32482789373351</v>
      </c>
      <c r="N116" s="18" t="n">
        <v>19.3952503133915</v>
      </c>
      <c r="O116" s="18" t="n">
        <v>0.200626385927926</v>
      </c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 t="s">
        <v>402</v>
      </c>
      <c r="AI116" s="18"/>
      <c r="AJ116" s="18" t="s">
        <v>504</v>
      </c>
    </row>
    <row r="117" customFormat="false" ht="15" hidden="false" customHeight="false" outlineLevel="0" collapsed="false">
      <c r="A117" s="18" t="s">
        <v>273</v>
      </c>
      <c r="B117" s="18" t="s">
        <v>505</v>
      </c>
      <c r="C117" s="18" t="s">
        <v>438</v>
      </c>
      <c r="D117" s="18" t="s">
        <v>324</v>
      </c>
      <c r="E117" s="18" t="s">
        <v>404</v>
      </c>
      <c r="F117" s="18" t="s">
        <v>401</v>
      </c>
      <c r="G117" s="18" t="n">
        <v>0.4</v>
      </c>
      <c r="H117" s="18" t="n">
        <v>2607</v>
      </c>
      <c r="I117" s="18" t="n">
        <v>110</v>
      </c>
      <c r="J117" s="18" t="n">
        <v>109</v>
      </c>
      <c r="K117" s="18" t="n">
        <v>0.0179361844692133</v>
      </c>
      <c r="L117" s="18" t="n">
        <v>0.0225729833007471</v>
      </c>
      <c r="M117" s="18" t="n">
        <v>0.794586352643059</v>
      </c>
      <c r="N117" s="18" t="n">
        <v>19.9079390620261</v>
      </c>
      <c r="O117" s="18" t="n">
        <v>0.436224836743915</v>
      </c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 t="s">
        <v>402</v>
      </c>
      <c r="AI117" s="18"/>
      <c r="AJ117" s="18" t="s">
        <v>506</v>
      </c>
    </row>
    <row r="118" customFormat="false" ht="15" hidden="false" customHeight="false" outlineLevel="0" collapsed="false">
      <c r="A118" s="18" t="s">
        <v>273</v>
      </c>
      <c r="B118" s="18" t="s">
        <v>507</v>
      </c>
      <c r="C118" s="18" t="s">
        <v>438</v>
      </c>
      <c r="D118" s="18" t="s">
        <v>324</v>
      </c>
      <c r="E118" s="18" t="s">
        <v>404</v>
      </c>
      <c r="F118" s="18" t="s">
        <v>401</v>
      </c>
      <c r="G118" s="18" t="n">
        <v>0.4</v>
      </c>
      <c r="H118" s="18" t="n">
        <v>905</v>
      </c>
      <c r="I118" s="18" t="n">
        <v>38</v>
      </c>
      <c r="J118" s="18" t="n">
        <v>38</v>
      </c>
      <c r="K118" s="18" t="n">
        <v>-0.0207169243830592</v>
      </c>
      <c r="L118" s="18" t="n">
        <v>0.0189029291510629</v>
      </c>
      <c r="M118" s="18" t="n">
        <v>-1.0959637111</v>
      </c>
      <c r="N118" s="18" t="n">
        <v>24.9433471425223</v>
      </c>
      <c r="O118" s="18" t="n">
        <v>0.283563948046043</v>
      </c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 t="s">
        <v>402</v>
      </c>
      <c r="AI118" s="18"/>
      <c r="AJ118" s="18" t="s">
        <v>508</v>
      </c>
    </row>
    <row r="119" customFormat="false" ht="15" hidden="false" customHeight="false" outlineLevel="0" collapsed="false">
      <c r="A119" s="18" t="s">
        <v>273</v>
      </c>
      <c r="B119" s="18" t="s">
        <v>509</v>
      </c>
      <c r="C119" s="18" t="s">
        <v>438</v>
      </c>
      <c r="D119" s="18" t="s">
        <v>324</v>
      </c>
      <c r="E119" s="18" t="s">
        <v>404</v>
      </c>
      <c r="F119" s="18" t="s">
        <v>401</v>
      </c>
      <c r="G119" s="18" t="n">
        <v>0.4</v>
      </c>
      <c r="H119" s="18" t="n">
        <v>2594</v>
      </c>
      <c r="I119" s="18" t="n">
        <v>110</v>
      </c>
      <c r="J119" s="18" t="n">
        <v>109</v>
      </c>
      <c r="K119" s="18" t="n">
        <v>-0.0179130824326593</v>
      </c>
      <c r="L119" s="18" t="n">
        <v>0.0113181583434954</v>
      </c>
      <c r="M119" s="18" t="n">
        <v>-1.58268526459996</v>
      </c>
      <c r="N119" s="18" t="n">
        <v>36.9489820984241</v>
      </c>
      <c r="O119" s="18" t="n">
        <v>0.122016457937308</v>
      </c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 t="s">
        <v>402</v>
      </c>
      <c r="AI119" s="18"/>
      <c r="AJ119" s="18" t="s">
        <v>510</v>
      </c>
    </row>
    <row r="120" customFormat="false" ht="15" hidden="false" customHeight="false" outlineLevel="0" collapsed="false">
      <c r="A120" s="18" t="s">
        <v>273</v>
      </c>
      <c r="B120" s="18" t="s">
        <v>511</v>
      </c>
      <c r="C120" s="18" t="s">
        <v>438</v>
      </c>
      <c r="D120" s="18" t="s">
        <v>324</v>
      </c>
      <c r="E120" s="18" t="s">
        <v>404</v>
      </c>
      <c r="F120" s="18" t="s">
        <v>401</v>
      </c>
      <c r="G120" s="18" t="n">
        <v>0.4</v>
      </c>
      <c r="H120" s="18" t="n">
        <v>2594</v>
      </c>
      <c r="I120" s="18" t="n">
        <v>110</v>
      </c>
      <c r="J120" s="18" t="n">
        <v>109</v>
      </c>
      <c r="K120" s="18" t="n">
        <v>-0.0172068386515826</v>
      </c>
      <c r="L120" s="18" t="n">
        <v>0.012041002128032</v>
      </c>
      <c r="M120" s="18" t="n">
        <v>-1.42902048090535</v>
      </c>
      <c r="N120" s="18" t="n">
        <v>28.3254348347133</v>
      </c>
      <c r="O120" s="18" t="n">
        <v>0.163934562455558</v>
      </c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 t="s">
        <v>402</v>
      </c>
      <c r="AI120" s="18"/>
      <c r="AJ120" s="18" t="s">
        <v>512</v>
      </c>
    </row>
    <row r="121" customFormat="false" ht="15" hidden="false" customHeight="false" outlineLevel="0" collapsed="false">
      <c r="A121" s="18" t="s">
        <v>273</v>
      </c>
      <c r="B121" s="18" t="s">
        <v>513</v>
      </c>
      <c r="C121" s="18" t="s">
        <v>438</v>
      </c>
      <c r="D121" s="18" t="s">
        <v>324</v>
      </c>
      <c r="E121" s="18" t="s">
        <v>404</v>
      </c>
      <c r="F121" s="18" t="s">
        <v>401</v>
      </c>
      <c r="G121" s="18" t="n">
        <v>0.4</v>
      </c>
      <c r="H121" s="18" t="n">
        <v>2594</v>
      </c>
      <c r="I121" s="18" t="n">
        <v>110</v>
      </c>
      <c r="J121" s="18" t="n">
        <v>109</v>
      </c>
      <c r="K121" s="18" t="n">
        <v>0.00105458550963718</v>
      </c>
      <c r="L121" s="18" t="n">
        <v>0.0111315981759935</v>
      </c>
      <c r="M121" s="18" t="n">
        <v>0.0947380145208177</v>
      </c>
      <c r="N121" s="18" t="n">
        <v>32.5473945865793</v>
      </c>
      <c r="O121" s="18" t="n">
        <v>0.925103787324113</v>
      </c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 t="s">
        <v>402</v>
      </c>
      <c r="AI121" s="18"/>
      <c r="AJ121" s="18" t="s">
        <v>514</v>
      </c>
    </row>
    <row r="122" customFormat="false" ht="15" hidden="false" customHeight="false" outlineLevel="0" collapsed="false">
      <c r="A122" s="18" t="s">
        <v>273</v>
      </c>
      <c r="B122" s="18" t="s">
        <v>515</v>
      </c>
      <c r="C122" s="18" t="s">
        <v>438</v>
      </c>
      <c r="D122" s="18" t="s">
        <v>324</v>
      </c>
      <c r="E122" s="18" t="s">
        <v>404</v>
      </c>
      <c r="F122" s="18" t="s">
        <v>401</v>
      </c>
      <c r="G122" s="18" t="n">
        <v>0.4</v>
      </c>
      <c r="H122" s="18" t="n">
        <v>2594</v>
      </c>
      <c r="I122" s="18" t="n">
        <v>110</v>
      </c>
      <c r="J122" s="18" t="n">
        <v>109</v>
      </c>
      <c r="K122" s="18" t="n">
        <v>-0.0179758036847588</v>
      </c>
      <c r="L122" s="18" t="n">
        <v>0.0126178115251414</v>
      </c>
      <c r="M122" s="18" t="n">
        <v>-1.42463720027371</v>
      </c>
      <c r="N122" s="18" t="n">
        <v>24.7313271801715</v>
      </c>
      <c r="O122" s="18" t="n">
        <v>0.166759683909781</v>
      </c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 t="s">
        <v>402</v>
      </c>
      <c r="AI122" s="18"/>
      <c r="AJ122" s="18" t="s">
        <v>516</v>
      </c>
    </row>
    <row r="123" customFormat="false" ht="15" hidden="false" customHeight="false" outlineLevel="0" collapsed="false">
      <c r="A123" s="18" t="s">
        <v>273</v>
      </c>
      <c r="B123" s="18" t="s">
        <v>517</v>
      </c>
      <c r="C123" s="18" t="s">
        <v>438</v>
      </c>
      <c r="D123" s="18" t="s">
        <v>324</v>
      </c>
      <c r="E123" s="18" t="s">
        <v>404</v>
      </c>
      <c r="F123" s="18" t="s">
        <v>401</v>
      </c>
      <c r="G123" s="18" t="n">
        <v>0.4</v>
      </c>
      <c r="H123" s="18" t="n">
        <v>2594</v>
      </c>
      <c r="I123" s="18" t="n">
        <v>110</v>
      </c>
      <c r="J123" s="18" t="n">
        <v>109</v>
      </c>
      <c r="K123" s="18" t="n">
        <v>-0.020784365113103</v>
      </c>
      <c r="L123" s="18" t="n">
        <v>0.0148566330095899</v>
      </c>
      <c r="M123" s="18" t="n">
        <v>-1.39899566070501</v>
      </c>
      <c r="N123" s="18" t="n">
        <v>18.4935434538488</v>
      </c>
      <c r="O123" s="18" t="n">
        <v>0.178362492738034</v>
      </c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 t="s">
        <v>402</v>
      </c>
      <c r="AI123" s="18"/>
      <c r="AJ123" s="18" t="s">
        <v>518</v>
      </c>
    </row>
    <row r="124" customFormat="false" ht="15" hidden="false" customHeight="false" outlineLevel="0" collapsed="false">
      <c r="A124" s="18" t="s">
        <v>273</v>
      </c>
      <c r="B124" s="18" t="s">
        <v>519</v>
      </c>
      <c r="C124" s="18" t="s">
        <v>438</v>
      </c>
      <c r="D124" s="18" t="s">
        <v>324</v>
      </c>
      <c r="E124" s="18" t="s">
        <v>404</v>
      </c>
      <c r="F124" s="18" t="s">
        <v>401</v>
      </c>
      <c r="G124" s="18" t="n">
        <v>0.4</v>
      </c>
      <c r="H124" s="18" t="n">
        <v>2594</v>
      </c>
      <c r="I124" s="18" t="n">
        <v>110</v>
      </c>
      <c r="J124" s="18" t="n">
        <v>109</v>
      </c>
      <c r="K124" s="18" t="n">
        <v>-0.0203519031513393</v>
      </c>
      <c r="L124" s="18" t="n">
        <v>0.0158951129281008</v>
      </c>
      <c r="M124" s="18" t="n">
        <v>-1.28038745263391</v>
      </c>
      <c r="N124" s="18" t="n">
        <v>15.1844780344574</v>
      </c>
      <c r="O124" s="18" t="n">
        <v>0.219622927713555</v>
      </c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 t="s">
        <v>402</v>
      </c>
      <c r="AI124" s="18"/>
      <c r="AJ124" s="18" t="s">
        <v>520</v>
      </c>
    </row>
    <row r="125" customFormat="false" ht="15" hidden="false" customHeight="false" outlineLevel="0" collapsed="false">
      <c r="A125" s="18" t="s">
        <v>273</v>
      </c>
      <c r="B125" s="18" t="s">
        <v>521</v>
      </c>
      <c r="C125" s="18" t="s">
        <v>438</v>
      </c>
      <c r="D125" s="18" t="s">
        <v>324</v>
      </c>
      <c r="E125" s="18" t="s">
        <v>404</v>
      </c>
      <c r="F125" s="18" t="s">
        <v>401</v>
      </c>
      <c r="G125" s="18" t="n">
        <v>0.4</v>
      </c>
      <c r="H125" s="18" t="n">
        <v>2594</v>
      </c>
      <c r="I125" s="18" t="n">
        <v>110</v>
      </c>
      <c r="J125" s="18" t="n">
        <v>109</v>
      </c>
      <c r="K125" s="18" t="n">
        <v>-0.0014519965535779</v>
      </c>
      <c r="L125" s="18" t="n">
        <v>0.0101308774371766</v>
      </c>
      <c r="M125" s="18" t="n">
        <v>-0.143323869287927</v>
      </c>
      <c r="N125" s="18" t="n">
        <v>38.3363315920008</v>
      </c>
      <c r="O125" s="18" t="n">
        <v>0.886785118938554</v>
      </c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 t="s">
        <v>402</v>
      </c>
      <c r="AI125" s="18"/>
      <c r="AJ125" s="18" t="s">
        <v>522</v>
      </c>
    </row>
    <row r="126" customFormat="false" ht="15" hidden="false" customHeight="false" outlineLevel="0" collapsed="false">
      <c r="A126" s="18" t="s">
        <v>273</v>
      </c>
      <c r="B126" s="18" t="s">
        <v>523</v>
      </c>
      <c r="C126" s="18" t="s">
        <v>438</v>
      </c>
      <c r="D126" s="18" t="s">
        <v>324</v>
      </c>
      <c r="E126" s="18" t="s">
        <v>404</v>
      </c>
      <c r="F126" s="18" t="s">
        <v>401</v>
      </c>
      <c r="G126" s="18" t="n">
        <v>0.4</v>
      </c>
      <c r="H126" s="18" t="n">
        <v>2594</v>
      </c>
      <c r="I126" s="18" t="n">
        <v>110</v>
      </c>
      <c r="J126" s="18" t="n">
        <v>109</v>
      </c>
      <c r="K126" s="18" t="n">
        <v>0.00793687232795113</v>
      </c>
      <c r="L126" s="18" t="n">
        <v>0.00945403779885727</v>
      </c>
      <c r="M126" s="18" t="n">
        <v>0.839521958428226</v>
      </c>
      <c r="N126" s="18" t="n">
        <v>51.6621735778078</v>
      </c>
      <c r="O126" s="18" t="n">
        <v>0.405044706797117</v>
      </c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 t="s">
        <v>402</v>
      </c>
      <c r="AI126" s="18"/>
      <c r="AJ126" s="18" t="s">
        <v>524</v>
      </c>
    </row>
    <row r="127" customFormat="false" ht="15" hidden="false" customHeight="false" outlineLevel="0" collapsed="false">
      <c r="A127" s="18" t="s">
        <v>273</v>
      </c>
      <c r="B127" s="18" t="s">
        <v>525</v>
      </c>
      <c r="C127" s="18" t="s">
        <v>438</v>
      </c>
      <c r="D127" s="18" t="s">
        <v>324</v>
      </c>
      <c r="E127" s="18" t="s">
        <v>404</v>
      </c>
      <c r="F127" s="18" t="s">
        <v>401</v>
      </c>
      <c r="G127" s="18" t="n">
        <v>0.4</v>
      </c>
      <c r="H127" s="18" t="n">
        <v>2594</v>
      </c>
      <c r="I127" s="18" t="n">
        <v>110</v>
      </c>
      <c r="J127" s="18" t="n">
        <v>109</v>
      </c>
      <c r="K127" s="18" t="n">
        <v>-0.00381525324605159</v>
      </c>
      <c r="L127" s="18" t="n">
        <v>0.00968225317652966</v>
      </c>
      <c r="M127" s="18" t="n">
        <v>-0.394046011449069</v>
      </c>
      <c r="N127" s="18" t="n">
        <v>58.9750917075387</v>
      </c>
      <c r="O127" s="18" t="n">
        <v>0.694968293504267</v>
      </c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 t="s">
        <v>402</v>
      </c>
      <c r="AI127" s="18"/>
      <c r="AJ127" s="18" t="s">
        <v>526</v>
      </c>
    </row>
    <row r="128" customFormat="false" ht="15" hidden="false" customHeight="false" outlineLevel="0" collapsed="false">
      <c r="A128" s="18" t="s">
        <v>273</v>
      </c>
      <c r="B128" s="18" t="s">
        <v>527</v>
      </c>
      <c r="C128" s="18" t="s">
        <v>438</v>
      </c>
      <c r="D128" s="18" t="s">
        <v>324</v>
      </c>
      <c r="E128" s="18" t="s">
        <v>404</v>
      </c>
      <c r="F128" s="18" t="s">
        <v>401</v>
      </c>
      <c r="G128" s="18" t="n">
        <v>0.4</v>
      </c>
      <c r="H128" s="18" t="n">
        <v>900</v>
      </c>
      <c r="I128" s="18" t="n">
        <v>38</v>
      </c>
      <c r="J128" s="18" t="n">
        <v>38</v>
      </c>
      <c r="K128" s="18" t="n">
        <v>-0.0275733739625278</v>
      </c>
      <c r="L128" s="18" t="n">
        <v>0.0194933065373449</v>
      </c>
      <c r="M128" s="18" t="n">
        <v>-1.41450471266654</v>
      </c>
      <c r="N128" s="18" t="n">
        <v>25.0538874962542</v>
      </c>
      <c r="O128" s="18" t="n">
        <v>0.169522095924194</v>
      </c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 t="s">
        <v>402</v>
      </c>
      <c r="AI128" s="18"/>
      <c r="AJ128" s="18" t="s">
        <v>528</v>
      </c>
    </row>
    <row r="129" customFormat="false" ht="15" hidden="false" customHeight="false" outlineLevel="0" collapsed="false">
      <c r="A129" s="18" t="s">
        <v>273</v>
      </c>
      <c r="B129" s="18" t="s">
        <v>529</v>
      </c>
      <c r="C129" s="18" t="s">
        <v>438</v>
      </c>
      <c r="D129" s="18" t="s">
        <v>324</v>
      </c>
      <c r="E129" s="18" t="s">
        <v>404</v>
      </c>
      <c r="F129" s="18" t="s">
        <v>401</v>
      </c>
      <c r="G129" s="18" t="n">
        <v>0.4</v>
      </c>
      <c r="H129" s="18" t="n">
        <v>2607</v>
      </c>
      <c r="I129" s="18" t="n">
        <v>110</v>
      </c>
      <c r="J129" s="18" t="n">
        <v>109</v>
      </c>
      <c r="K129" s="18" t="n">
        <v>-0.0136964854491876</v>
      </c>
      <c r="L129" s="18" t="n">
        <v>0.0119588543401401</v>
      </c>
      <c r="M129" s="18" t="n">
        <v>-1.14530080053028</v>
      </c>
      <c r="N129" s="18" t="n">
        <v>30.8877339193107</v>
      </c>
      <c r="O129" s="18" t="n">
        <v>0.260881395683307</v>
      </c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 t="s">
        <v>402</v>
      </c>
      <c r="AI129" s="18"/>
      <c r="AJ129" s="18" t="s">
        <v>530</v>
      </c>
    </row>
    <row r="130" customFormat="false" ht="15" hidden="false" customHeight="false" outlineLevel="0" collapsed="false">
      <c r="A130" s="18" t="s">
        <v>273</v>
      </c>
      <c r="B130" s="18" t="s">
        <v>531</v>
      </c>
      <c r="C130" s="18" t="s">
        <v>438</v>
      </c>
      <c r="D130" s="18" t="s">
        <v>324</v>
      </c>
      <c r="E130" s="18" t="s">
        <v>404</v>
      </c>
      <c r="F130" s="18" t="s">
        <v>401</v>
      </c>
      <c r="G130" s="18" t="n">
        <v>0.4</v>
      </c>
      <c r="H130" s="18" t="n">
        <v>2607</v>
      </c>
      <c r="I130" s="18" t="n">
        <v>110</v>
      </c>
      <c r="J130" s="18" t="n">
        <v>109</v>
      </c>
      <c r="K130" s="18" t="n">
        <v>-0.0119634956006147</v>
      </c>
      <c r="L130" s="18" t="n">
        <v>0.0124571141287697</v>
      </c>
      <c r="M130" s="18" t="n">
        <v>-0.960374568053854</v>
      </c>
      <c r="N130" s="18" t="n">
        <v>23.9171093297701</v>
      </c>
      <c r="O130" s="18" t="n">
        <v>0.346475908627485</v>
      </c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 t="s">
        <v>402</v>
      </c>
      <c r="AI130" s="18"/>
      <c r="AJ130" s="18" t="s">
        <v>532</v>
      </c>
    </row>
    <row r="131" customFormat="false" ht="15" hidden="false" customHeight="false" outlineLevel="0" collapsed="false">
      <c r="A131" s="18" t="s">
        <v>273</v>
      </c>
      <c r="B131" s="18" t="s">
        <v>533</v>
      </c>
      <c r="C131" s="18" t="s">
        <v>438</v>
      </c>
      <c r="D131" s="18" t="s">
        <v>324</v>
      </c>
      <c r="E131" s="18" t="s">
        <v>404</v>
      </c>
      <c r="F131" s="18" t="s">
        <v>401</v>
      </c>
      <c r="G131" s="18" t="n">
        <v>0.4</v>
      </c>
      <c r="H131" s="18" t="n">
        <v>2607</v>
      </c>
      <c r="I131" s="18" t="n">
        <v>110</v>
      </c>
      <c r="J131" s="18" t="n">
        <v>109</v>
      </c>
      <c r="K131" s="18" t="n">
        <v>0.00144262556195498</v>
      </c>
      <c r="L131" s="18" t="n">
        <v>0.0116373344380803</v>
      </c>
      <c r="M131" s="18" t="n">
        <v>0.12396529202034</v>
      </c>
      <c r="N131" s="18" t="n">
        <v>33.3619727935408</v>
      </c>
      <c r="O131" s="18" t="n">
        <v>0.902086643303091</v>
      </c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 t="s">
        <v>402</v>
      </c>
      <c r="AI131" s="18"/>
      <c r="AJ131" s="18" t="s">
        <v>534</v>
      </c>
    </row>
    <row r="132" customFormat="false" ht="15" hidden="false" customHeight="false" outlineLevel="0" collapsed="false">
      <c r="A132" s="18" t="s">
        <v>273</v>
      </c>
      <c r="B132" s="18" t="s">
        <v>535</v>
      </c>
      <c r="C132" s="18" t="s">
        <v>438</v>
      </c>
      <c r="D132" s="18" t="s">
        <v>324</v>
      </c>
      <c r="E132" s="18" t="s">
        <v>404</v>
      </c>
      <c r="F132" s="18" t="s">
        <v>401</v>
      </c>
      <c r="G132" s="18" t="n">
        <v>0.4</v>
      </c>
      <c r="H132" s="18" t="n">
        <v>2607</v>
      </c>
      <c r="I132" s="18" t="n">
        <v>110</v>
      </c>
      <c r="J132" s="18" t="n">
        <v>109</v>
      </c>
      <c r="K132" s="18" t="n">
        <v>-0.0129354082722895</v>
      </c>
      <c r="L132" s="18" t="n">
        <v>0.0130990357727697</v>
      </c>
      <c r="M132" s="18" t="n">
        <v>-0.987508431664841</v>
      </c>
      <c r="N132" s="18" t="n">
        <v>20.9083774665434</v>
      </c>
      <c r="O132" s="18" t="n">
        <v>0.33468430625483</v>
      </c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 t="s">
        <v>402</v>
      </c>
      <c r="AI132" s="18"/>
      <c r="AJ132" s="18" t="s">
        <v>536</v>
      </c>
    </row>
    <row r="133" customFormat="false" ht="15" hidden="false" customHeight="false" outlineLevel="0" collapsed="false">
      <c r="A133" s="18" t="s">
        <v>273</v>
      </c>
      <c r="B133" s="18" t="s">
        <v>537</v>
      </c>
      <c r="C133" s="18" t="s">
        <v>438</v>
      </c>
      <c r="D133" s="18" t="s">
        <v>324</v>
      </c>
      <c r="E133" s="18" t="s">
        <v>404</v>
      </c>
      <c r="F133" s="18" t="s">
        <v>401</v>
      </c>
      <c r="G133" s="18" t="n">
        <v>0.4</v>
      </c>
      <c r="H133" s="18" t="n">
        <v>2607</v>
      </c>
      <c r="I133" s="18" t="n">
        <v>110</v>
      </c>
      <c r="J133" s="18" t="n">
        <v>109</v>
      </c>
      <c r="K133" s="18" t="n">
        <v>-0.0168561047261191</v>
      </c>
      <c r="L133" s="18" t="n">
        <v>0.0148392971149192</v>
      </c>
      <c r="M133" s="18" t="n">
        <v>-1.13590991511129</v>
      </c>
      <c r="N133" s="18" t="n">
        <v>18.552073094529</v>
      </c>
      <c r="O133" s="18" t="n">
        <v>0.270455898570686</v>
      </c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 t="s">
        <v>402</v>
      </c>
      <c r="AI133" s="18"/>
      <c r="AJ133" s="18" t="s">
        <v>538</v>
      </c>
    </row>
    <row r="134" customFormat="false" ht="15" hidden="false" customHeight="false" outlineLevel="0" collapsed="false">
      <c r="A134" s="18" t="s">
        <v>273</v>
      </c>
      <c r="B134" s="18" t="s">
        <v>539</v>
      </c>
      <c r="C134" s="18" t="s">
        <v>438</v>
      </c>
      <c r="D134" s="18" t="s">
        <v>324</v>
      </c>
      <c r="E134" s="18" t="s">
        <v>404</v>
      </c>
      <c r="F134" s="18" t="s">
        <v>401</v>
      </c>
      <c r="G134" s="18" t="n">
        <v>0.4</v>
      </c>
      <c r="H134" s="18" t="n">
        <v>2607</v>
      </c>
      <c r="I134" s="18" t="n">
        <v>110</v>
      </c>
      <c r="J134" s="18" t="n">
        <v>109</v>
      </c>
      <c r="K134" s="18" t="n">
        <v>-0.0162252108840531</v>
      </c>
      <c r="L134" s="18" t="n">
        <v>0.0158344372221661</v>
      </c>
      <c r="M134" s="18" t="n">
        <v>-1.02467872122036</v>
      </c>
      <c r="N134" s="18" t="n">
        <v>15.2382861310007</v>
      </c>
      <c r="O134" s="18" t="n">
        <v>0.321507172000114</v>
      </c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 t="s">
        <v>402</v>
      </c>
      <c r="AI134" s="18"/>
      <c r="AJ134" s="18" t="s">
        <v>540</v>
      </c>
    </row>
    <row r="135" customFormat="false" ht="15" hidden="false" customHeight="false" outlineLevel="0" collapsed="false">
      <c r="A135" s="18" t="s">
        <v>273</v>
      </c>
      <c r="B135" s="18" t="s">
        <v>541</v>
      </c>
      <c r="C135" s="18" t="s">
        <v>438</v>
      </c>
      <c r="D135" s="18" t="s">
        <v>324</v>
      </c>
      <c r="E135" s="18" t="s">
        <v>404</v>
      </c>
      <c r="F135" s="18" t="s">
        <v>401</v>
      </c>
      <c r="G135" s="18" t="n">
        <v>0.4</v>
      </c>
      <c r="H135" s="18" t="n">
        <v>2607</v>
      </c>
      <c r="I135" s="18" t="n">
        <v>110</v>
      </c>
      <c r="J135" s="18" t="n">
        <v>109</v>
      </c>
      <c r="K135" s="18" t="n">
        <v>0.00182314879731462</v>
      </c>
      <c r="L135" s="18" t="n">
        <v>0.0106517130845026</v>
      </c>
      <c r="M135" s="18" t="n">
        <v>0.171160148874753</v>
      </c>
      <c r="N135" s="18" t="n">
        <v>32.0574071774806</v>
      </c>
      <c r="O135" s="18" t="n">
        <v>0.865173654218842</v>
      </c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 t="s">
        <v>402</v>
      </c>
      <c r="AI135" s="18"/>
      <c r="AJ135" s="18" t="s">
        <v>542</v>
      </c>
    </row>
    <row r="136" customFormat="false" ht="15" hidden="false" customHeight="false" outlineLevel="0" collapsed="false">
      <c r="A136" s="18" t="s">
        <v>273</v>
      </c>
      <c r="B136" s="18" t="s">
        <v>543</v>
      </c>
      <c r="C136" s="18" t="s">
        <v>438</v>
      </c>
      <c r="D136" s="18" t="s">
        <v>324</v>
      </c>
      <c r="E136" s="18" t="s">
        <v>404</v>
      </c>
      <c r="F136" s="18" t="s">
        <v>401</v>
      </c>
      <c r="G136" s="18" t="n">
        <v>0.4</v>
      </c>
      <c r="H136" s="18" t="n">
        <v>2607</v>
      </c>
      <c r="I136" s="18" t="n">
        <v>110</v>
      </c>
      <c r="J136" s="18" t="n">
        <v>109</v>
      </c>
      <c r="K136" s="18" t="n">
        <v>0.0148454081025041</v>
      </c>
      <c r="L136" s="18" t="n">
        <v>0.00986051415599667</v>
      </c>
      <c r="M136" s="18" t="n">
        <v>1.50554097561696</v>
      </c>
      <c r="N136" s="18" t="n">
        <v>43.0101808807663</v>
      </c>
      <c r="O136" s="18" t="n">
        <v>0.139494446451315</v>
      </c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 t="s">
        <v>402</v>
      </c>
      <c r="AI136" s="18"/>
      <c r="AJ136" s="18" t="s">
        <v>544</v>
      </c>
    </row>
    <row r="137" customFormat="false" ht="15" hidden="false" customHeight="false" outlineLevel="0" collapsed="false">
      <c r="A137" s="18" t="s">
        <v>273</v>
      </c>
      <c r="B137" s="18" t="s">
        <v>545</v>
      </c>
      <c r="C137" s="18" t="s">
        <v>438</v>
      </c>
      <c r="D137" s="18" t="s">
        <v>324</v>
      </c>
      <c r="E137" s="18" t="s">
        <v>404</v>
      </c>
      <c r="F137" s="18" t="s">
        <v>401</v>
      </c>
      <c r="G137" s="18" t="n">
        <v>0.4</v>
      </c>
      <c r="H137" s="18" t="n">
        <v>2607</v>
      </c>
      <c r="I137" s="18" t="n">
        <v>110</v>
      </c>
      <c r="J137" s="18" t="n">
        <v>109</v>
      </c>
      <c r="K137" s="18" t="n">
        <v>0.00217933778103486</v>
      </c>
      <c r="L137" s="18" t="n">
        <v>0.00986158840265815</v>
      </c>
      <c r="M137" s="18" t="n">
        <v>0.220992571586888</v>
      </c>
      <c r="N137" s="18" t="n">
        <v>47.5495191759535</v>
      </c>
      <c r="O137" s="18" t="n">
        <v>0.826044457436159</v>
      </c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 t="s">
        <v>402</v>
      </c>
      <c r="AI137" s="18"/>
      <c r="AJ137" s="18" t="s">
        <v>546</v>
      </c>
    </row>
    <row r="138" customFormat="false" ht="15" hidden="false" customHeight="false" outlineLevel="0" collapsed="false">
      <c r="A138" s="18" t="s">
        <v>273</v>
      </c>
      <c r="B138" s="18" t="s">
        <v>547</v>
      </c>
      <c r="C138" s="18" t="s">
        <v>438</v>
      </c>
      <c r="D138" s="18" t="s">
        <v>324</v>
      </c>
      <c r="E138" s="18" t="s">
        <v>404</v>
      </c>
      <c r="F138" s="18" t="s">
        <v>401</v>
      </c>
      <c r="G138" s="18" t="n">
        <v>0.4</v>
      </c>
      <c r="H138" s="18" t="n">
        <v>905</v>
      </c>
      <c r="I138" s="18" t="n">
        <v>38</v>
      </c>
      <c r="J138" s="18" t="n">
        <v>38</v>
      </c>
      <c r="K138" s="18" t="n">
        <v>-0.0232782779676141</v>
      </c>
      <c r="L138" s="18" t="n">
        <v>0.0191798609786834</v>
      </c>
      <c r="M138" s="18" t="n">
        <v>-1.21368335221437</v>
      </c>
      <c r="N138" s="18" t="n">
        <v>25.0263262126359</v>
      </c>
      <c r="O138" s="18" t="n">
        <v>0.236198966315474</v>
      </c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 t="s">
        <v>402</v>
      </c>
      <c r="AI138" s="18"/>
      <c r="AJ138" s="18" t="s">
        <v>548</v>
      </c>
    </row>
    <row r="139" customFormat="false" ht="15" hidden="false" customHeight="false" outlineLevel="0" collapsed="false">
      <c r="A139" s="18" t="s">
        <v>273</v>
      </c>
      <c r="B139" s="18" t="s">
        <v>549</v>
      </c>
      <c r="C139" s="18" t="s">
        <v>438</v>
      </c>
      <c r="D139" s="18" t="s">
        <v>324</v>
      </c>
      <c r="E139" s="18" t="s">
        <v>404</v>
      </c>
      <c r="F139" s="18" t="s">
        <v>401</v>
      </c>
      <c r="G139" s="18" t="n">
        <v>0.4</v>
      </c>
      <c r="H139" s="18" t="n">
        <v>2705</v>
      </c>
      <c r="I139" s="18" t="n">
        <v>113</v>
      </c>
      <c r="J139" s="18" t="n">
        <v>112</v>
      </c>
      <c r="K139" s="18" t="n">
        <v>0.0103026694895839</v>
      </c>
      <c r="L139" s="18" t="n">
        <v>0.0180841907538093</v>
      </c>
      <c r="M139" s="18" t="n">
        <v>0.56970586242095</v>
      </c>
      <c r="N139" s="18" t="n">
        <v>14.4105220698501</v>
      </c>
      <c r="O139" s="18" t="n">
        <v>0.577651071006338</v>
      </c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 t="s">
        <v>402</v>
      </c>
      <c r="AI139" s="18"/>
      <c r="AJ139" s="18" t="s">
        <v>550</v>
      </c>
    </row>
    <row r="140" customFormat="false" ht="15" hidden="false" customHeight="false" outlineLevel="0" collapsed="false">
      <c r="A140" s="18" t="s">
        <v>273</v>
      </c>
      <c r="B140" s="18" t="s">
        <v>551</v>
      </c>
      <c r="C140" s="18" t="s">
        <v>438</v>
      </c>
      <c r="D140" s="18" t="s">
        <v>324</v>
      </c>
      <c r="E140" s="18" t="s">
        <v>404</v>
      </c>
      <c r="F140" s="18" t="s">
        <v>401</v>
      </c>
      <c r="G140" s="18" t="n">
        <v>0.4</v>
      </c>
      <c r="H140" s="18" t="n">
        <v>2705</v>
      </c>
      <c r="I140" s="18" t="n">
        <v>113</v>
      </c>
      <c r="J140" s="18" t="n">
        <v>112</v>
      </c>
      <c r="K140" s="18" t="n">
        <v>0.00988393430669847</v>
      </c>
      <c r="L140" s="18" t="n">
        <v>0.0177428601307251</v>
      </c>
      <c r="M140" s="18" t="n">
        <v>0.557065446826274</v>
      </c>
      <c r="N140" s="18" t="n">
        <v>11.8177653865558</v>
      </c>
      <c r="O140" s="18" t="n">
        <v>0.587877999925501</v>
      </c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 t="s">
        <v>402</v>
      </c>
      <c r="AI140" s="18"/>
      <c r="AJ140" s="18" t="s">
        <v>552</v>
      </c>
    </row>
    <row r="141" customFormat="false" ht="15" hidden="false" customHeight="false" outlineLevel="0" collapsed="false">
      <c r="A141" s="18" t="s">
        <v>273</v>
      </c>
      <c r="B141" s="18" t="s">
        <v>553</v>
      </c>
      <c r="C141" s="18" t="s">
        <v>438</v>
      </c>
      <c r="D141" s="18" t="s">
        <v>324</v>
      </c>
      <c r="E141" s="18" t="s">
        <v>404</v>
      </c>
      <c r="F141" s="18" t="s">
        <v>401</v>
      </c>
      <c r="G141" s="18" t="n">
        <v>0.4</v>
      </c>
      <c r="H141" s="18" t="n">
        <v>2705</v>
      </c>
      <c r="I141" s="18" t="n">
        <v>113</v>
      </c>
      <c r="J141" s="18" t="n">
        <v>112</v>
      </c>
      <c r="K141" s="18" t="n">
        <v>-0.0199271227749388</v>
      </c>
      <c r="L141" s="18" t="n">
        <v>0.0209873557505802</v>
      </c>
      <c r="M141" s="18" t="n">
        <v>-0.949482298378055</v>
      </c>
      <c r="N141" s="18" t="n">
        <v>41.7092585205367</v>
      </c>
      <c r="O141" s="18" t="n">
        <v>0.347844817846927</v>
      </c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 t="s">
        <v>402</v>
      </c>
      <c r="AI141" s="18"/>
      <c r="AJ141" s="18" t="s">
        <v>554</v>
      </c>
    </row>
    <row r="142" customFormat="false" ht="15" hidden="false" customHeight="false" outlineLevel="0" collapsed="false">
      <c r="A142" s="18" t="s">
        <v>273</v>
      </c>
      <c r="B142" s="18" t="s">
        <v>555</v>
      </c>
      <c r="C142" s="18" t="s">
        <v>438</v>
      </c>
      <c r="D142" s="18" t="s">
        <v>324</v>
      </c>
      <c r="E142" s="18" t="s">
        <v>404</v>
      </c>
      <c r="F142" s="18" t="s">
        <v>401</v>
      </c>
      <c r="G142" s="18" t="n">
        <v>0.4</v>
      </c>
      <c r="H142" s="18" t="n">
        <v>2705</v>
      </c>
      <c r="I142" s="18" t="n">
        <v>113</v>
      </c>
      <c r="J142" s="18" t="n">
        <v>112</v>
      </c>
      <c r="K142" s="18" t="n">
        <v>0.00806690564131373</v>
      </c>
      <c r="L142" s="18" t="n">
        <v>0.0180201905589634</v>
      </c>
      <c r="M142" s="18" t="n">
        <v>0.447659286116771</v>
      </c>
      <c r="N142" s="18" t="n">
        <v>10.4685104629442</v>
      </c>
      <c r="O142" s="18" t="n">
        <v>0.663520567157767</v>
      </c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 t="s">
        <v>402</v>
      </c>
      <c r="AI142" s="18"/>
      <c r="AJ142" s="18" t="s">
        <v>556</v>
      </c>
    </row>
    <row r="143" customFormat="false" ht="15" hidden="false" customHeight="false" outlineLevel="0" collapsed="false">
      <c r="A143" s="18" t="s">
        <v>273</v>
      </c>
      <c r="B143" s="18" t="s">
        <v>557</v>
      </c>
      <c r="C143" s="18" t="s">
        <v>438</v>
      </c>
      <c r="D143" s="18" t="s">
        <v>324</v>
      </c>
      <c r="E143" s="18" t="s">
        <v>404</v>
      </c>
      <c r="F143" s="18" t="s">
        <v>401</v>
      </c>
      <c r="G143" s="18" t="n">
        <v>0.4</v>
      </c>
      <c r="H143" s="18" t="n">
        <v>2705</v>
      </c>
      <c r="I143" s="18" t="n">
        <v>113</v>
      </c>
      <c r="J143" s="18" t="n">
        <v>112</v>
      </c>
      <c r="K143" s="18" t="n">
        <v>0.00273326118924507</v>
      </c>
      <c r="L143" s="18" t="n">
        <v>0.0221540826032232</v>
      </c>
      <c r="M143" s="18" t="n">
        <v>0.123375056336</v>
      </c>
      <c r="N143" s="18" t="n">
        <v>18.7890278032009</v>
      </c>
      <c r="O143" s="18" t="n">
        <v>0.903120319181303</v>
      </c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 t="s">
        <v>402</v>
      </c>
      <c r="AI143" s="18"/>
      <c r="AJ143" s="18" t="s">
        <v>558</v>
      </c>
    </row>
    <row r="144" customFormat="false" ht="15" hidden="false" customHeight="false" outlineLevel="0" collapsed="false">
      <c r="A144" s="18" t="s">
        <v>273</v>
      </c>
      <c r="B144" s="18" t="s">
        <v>559</v>
      </c>
      <c r="C144" s="18" t="s">
        <v>438</v>
      </c>
      <c r="D144" s="18" t="s">
        <v>324</v>
      </c>
      <c r="E144" s="18" t="s">
        <v>404</v>
      </c>
      <c r="F144" s="18" t="s">
        <v>401</v>
      </c>
      <c r="G144" s="18" t="n">
        <v>0.4</v>
      </c>
      <c r="H144" s="18" t="n">
        <v>2705</v>
      </c>
      <c r="I144" s="18" t="n">
        <v>113</v>
      </c>
      <c r="J144" s="18" t="n">
        <v>112</v>
      </c>
      <c r="K144" s="18" t="n">
        <v>0.00411413109538516</v>
      </c>
      <c r="L144" s="18" t="n">
        <v>0.0226377523825831</v>
      </c>
      <c r="M144" s="18" t="n">
        <v>0.181737613604718</v>
      </c>
      <c r="N144" s="18" t="n">
        <v>15.4540760002555</v>
      </c>
      <c r="O144" s="18" t="n">
        <v>0.858150962693927</v>
      </c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 t="s">
        <v>402</v>
      </c>
      <c r="AI144" s="18"/>
      <c r="AJ144" s="18" t="s">
        <v>560</v>
      </c>
    </row>
    <row r="145" customFormat="false" ht="15" hidden="false" customHeight="false" outlineLevel="0" collapsed="false">
      <c r="A145" s="18" t="s">
        <v>273</v>
      </c>
      <c r="B145" s="18" t="s">
        <v>561</v>
      </c>
      <c r="C145" s="18" t="s">
        <v>438</v>
      </c>
      <c r="D145" s="18" t="s">
        <v>324</v>
      </c>
      <c r="E145" s="18" t="s">
        <v>404</v>
      </c>
      <c r="F145" s="18" t="s">
        <v>401</v>
      </c>
      <c r="G145" s="18" t="n">
        <v>0.4</v>
      </c>
      <c r="H145" s="18" t="n">
        <v>2705</v>
      </c>
      <c r="I145" s="18" t="n">
        <v>113</v>
      </c>
      <c r="J145" s="18" t="n">
        <v>112</v>
      </c>
      <c r="K145" s="18" t="n">
        <v>-0.00613782370814961</v>
      </c>
      <c r="L145" s="18" t="n">
        <v>0.0206826361322049</v>
      </c>
      <c r="M145" s="18" t="n">
        <v>-0.296762156860286</v>
      </c>
      <c r="N145" s="18" t="n">
        <v>17.082057554587</v>
      </c>
      <c r="O145" s="18" t="n">
        <v>0.77022620326056</v>
      </c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 t="s">
        <v>402</v>
      </c>
      <c r="AI145" s="18"/>
      <c r="AJ145" s="18" t="s">
        <v>562</v>
      </c>
    </row>
    <row r="146" customFormat="false" ht="15" hidden="false" customHeight="false" outlineLevel="0" collapsed="false">
      <c r="A146" s="18" t="s">
        <v>273</v>
      </c>
      <c r="B146" s="18" t="s">
        <v>563</v>
      </c>
      <c r="C146" s="18" t="s">
        <v>438</v>
      </c>
      <c r="D146" s="18" t="s">
        <v>324</v>
      </c>
      <c r="E146" s="18" t="s">
        <v>404</v>
      </c>
      <c r="F146" s="18" t="s">
        <v>401</v>
      </c>
      <c r="G146" s="18" t="n">
        <v>0.4</v>
      </c>
      <c r="H146" s="18" t="n">
        <v>2705</v>
      </c>
      <c r="I146" s="18" t="n">
        <v>113</v>
      </c>
      <c r="J146" s="18" t="n">
        <v>112</v>
      </c>
      <c r="K146" s="18" t="n">
        <v>0.0398627835255963</v>
      </c>
      <c r="L146" s="18" t="n">
        <v>0.0260029688069382</v>
      </c>
      <c r="M146" s="18" t="n">
        <v>1.53300893530896</v>
      </c>
      <c r="N146" s="18" t="n">
        <v>21.1059943865363</v>
      </c>
      <c r="O146" s="18" t="n">
        <v>0.14012739241172</v>
      </c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 t="s">
        <v>402</v>
      </c>
      <c r="AI146" s="18"/>
      <c r="AJ146" s="18" t="s">
        <v>564</v>
      </c>
    </row>
    <row r="147" customFormat="false" ht="15" hidden="false" customHeight="false" outlineLevel="0" collapsed="false">
      <c r="A147" s="18" t="s">
        <v>273</v>
      </c>
      <c r="B147" s="18" t="s">
        <v>565</v>
      </c>
      <c r="C147" s="18" t="s">
        <v>438</v>
      </c>
      <c r="D147" s="18" t="s">
        <v>324</v>
      </c>
      <c r="E147" s="18" t="s">
        <v>404</v>
      </c>
      <c r="F147" s="18" t="s">
        <v>401</v>
      </c>
      <c r="G147" s="18" t="n">
        <v>0.4</v>
      </c>
      <c r="H147" s="18" t="n">
        <v>2705</v>
      </c>
      <c r="I147" s="18" t="n">
        <v>113</v>
      </c>
      <c r="J147" s="18" t="n">
        <v>112</v>
      </c>
      <c r="K147" s="18" t="n">
        <v>0.0214629173970929</v>
      </c>
      <c r="L147" s="18" t="n">
        <v>0.021669788351374</v>
      </c>
      <c r="M147" s="18" t="n">
        <v>0.990453485242833</v>
      </c>
      <c r="N147" s="18" t="n">
        <v>21.3399168798438</v>
      </c>
      <c r="O147" s="18" t="n">
        <v>0.333050874606013</v>
      </c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 t="s">
        <v>402</v>
      </c>
      <c r="AI147" s="18"/>
      <c r="AJ147" s="18" t="s">
        <v>566</v>
      </c>
    </row>
    <row r="148" customFormat="false" ht="15" hidden="false" customHeight="false" outlineLevel="0" collapsed="false">
      <c r="A148" s="18" t="s">
        <v>273</v>
      </c>
      <c r="B148" s="18" t="s">
        <v>567</v>
      </c>
      <c r="C148" s="18" t="s">
        <v>438</v>
      </c>
      <c r="D148" s="18" t="s">
        <v>324</v>
      </c>
      <c r="E148" s="18" t="s">
        <v>404</v>
      </c>
      <c r="F148" s="18" t="s">
        <v>401</v>
      </c>
      <c r="G148" s="18" t="n">
        <v>0.4</v>
      </c>
      <c r="H148" s="18" t="n">
        <v>929</v>
      </c>
      <c r="I148" s="18" t="n">
        <v>40</v>
      </c>
      <c r="J148" s="18" t="n">
        <v>40</v>
      </c>
      <c r="K148" s="18" t="n">
        <v>-0.0155504233896231</v>
      </c>
      <c r="L148" s="18" t="n">
        <v>0.0183306555918563</v>
      </c>
      <c r="M148" s="18" t="n">
        <v>-0.848328817902816</v>
      </c>
      <c r="N148" s="18" t="n">
        <v>24.4076808526855</v>
      </c>
      <c r="O148" s="18" t="n">
        <v>0.404498038145339</v>
      </c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 t="s">
        <v>402</v>
      </c>
      <c r="AI148" s="18"/>
      <c r="AJ148" s="18" t="s">
        <v>568</v>
      </c>
    </row>
    <row r="149" customFormat="false" ht="15" hidden="false" customHeight="false" outlineLevel="0" collapsed="false">
      <c r="A149" s="18" t="s">
        <v>273</v>
      </c>
      <c r="B149" s="18" t="s">
        <v>569</v>
      </c>
      <c r="C149" s="18" t="s">
        <v>438</v>
      </c>
      <c r="D149" s="18" t="s">
        <v>324</v>
      </c>
      <c r="E149" s="18" t="s">
        <v>404</v>
      </c>
      <c r="F149" s="18" t="s">
        <v>401</v>
      </c>
      <c r="G149" s="18" t="n">
        <v>0.4</v>
      </c>
      <c r="H149" s="18" t="n">
        <v>2692</v>
      </c>
      <c r="I149" s="18" t="n">
        <v>113</v>
      </c>
      <c r="J149" s="18" t="n">
        <v>112</v>
      </c>
      <c r="K149" s="18" t="n">
        <v>-0.0135356003729478</v>
      </c>
      <c r="L149" s="18" t="n">
        <v>0.0108225853196535</v>
      </c>
      <c r="M149" s="18" t="n">
        <v>-1.25068086535363</v>
      </c>
      <c r="N149" s="18" t="n">
        <v>37.9128366373864</v>
      </c>
      <c r="O149" s="18" t="n">
        <v>0.218714745943825</v>
      </c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 t="s">
        <v>402</v>
      </c>
      <c r="AI149" s="18"/>
      <c r="AJ149" s="18" t="s">
        <v>570</v>
      </c>
    </row>
    <row r="150" customFormat="false" ht="15" hidden="false" customHeight="false" outlineLevel="0" collapsed="false">
      <c r="A150" s="18" t="s">
        <v>273</v>
      </c>
      <c r="B150" s="18" t="s">
        <v>571</v>
      </c>
      <c r="C150" s="18" t="s">
        <v>438</v>
      </c>
      <c r="D150" s="18" t="s">
        <v>324</v>
      </c>
      <c r="E150" s="18" t="s">
        <v>404</v>
      </c>
      <c r="F150" s="18" t="s">
        <v>401</v>
      </c>
      <c r="G150" s="18" t="n">
        <v>0.4</v>
      </c>
      <c r="H150" s="18" t="n">
        <v>2692</v>
      </c>
      <c r="I150" s="18" t="n">
        <v>113</v>
      </c>
      <c r="J150" s="18" t="n">
        <v>112</v>
      </c>
      <c r="K150" s="18" t="n">
        <v>-0.0126683428809511</v>
      </c>
      <c r="L150" s="18" t="n">
        <v>0.011477911316019</v>
      </c>
      <c r="M150" s="18" t="n">
        <v>-1.10371499937194</v>
      </c>
      <c r="N150" s="18" t="n">
        <v>29.062483444221</v>
      </c>
      <c r="O150" s="18" t="n">
        <v>0.278771999671886</v>
      </c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 t="s">
        <v>402</v>
      </c>
      <c r="AI150" s="18"/>
      <c r="AJ150" s="18" t="s">
        <v>572</v>
      </c>
    </row>
    <row r="151" customFormat="false" ht="15" hidden="false" customHeight="false" outlineLevel="0" collapsed="false">
      <c r="A151" s="18" t="s">
        <v>273</v>
      </c>
      <c r="B151" s="18" t="s">
        <v>573</v>
      </c>
      <c r="C151" s="18" t="s">
        <v>438</v>
      </c>
      <c r="D151" s="18" t="s">
        <v>324</v>
      </c>
      <c r="E151" s="18" t="s">
        <v>404</v>
      </c>
      <c r="F151" s="18" t="s">
        <v>401</v>
      </c>
      <c r="G151" s="18" t="n">
        <v>0.4</v>
      </c>
      <c r="H151" s="18" t="n">
        <v>2692</v>
      </c>
      <c r="I151" s="18" t="n">
        <v>113</v>
      </c>
      <c r="J151" s="18" t="n">
        <v>112</v>
      </c>
      <c r="K151" s="18" t="n">
        <v>0.000901048169937406</v>
      </c>
      <c r="L151" s="18" t="n">
        <v>0.0104003687109003</v>
      </c>
      <c r="M151" s="18" t="n">
        <v>0.0866361755995291</v>
      </c>
      <c r="N151" s="18" t="n">
        <v>36.0446185335349</v>
      </c>
      <c r="O151" s="18" t="n">
        <v>0.931440209917794</v>
      </c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 t="s">
        <v>402</v>
      </c>
      <c r="AI151" s="18"/>
      <c r="AJ151" s="18" t="s">
        <v>574</v>
      </c>
    </row>
    <row r="152" customFormat="false" ht="15" hidden="false" customHeight="false" outlineLevel="0" collapsed="false">
      <c r="A152" s="18" t="s">
        <v>273</v>
      </c>
      <c r="B152" s="18" t="s">
        <v>575</v>
      </c>
      <c r="C152" s="18" t="s">
        <v>438</v>
      </c>
      <c r="D152" s="18" t="s">
        <v>324</v>
      </c>
      <c r="E152" s="18" t="s">
        <v>404</v>
      </c>
      <c r="F152" s="18" t="s">
        <v>401</v>
      </c>
      <c r="G152" s="18" t="n">
        <v>0.4</v>
      </c>
      <c r="H152" s="18" t="n">
        <v>2692</v>
      </c>
      <c r="I152" s="18" t="n">
        <v>113</v>
      </c>
      <c r="J152" s="18" t="n">
        <v>112</v>
      </c>
      <c r="K152" s="18" t="n">
        <v>-0.0132743369087782</v>
      </c>
      <c r="L152" s="18" t="n">
        <v>0.0119987052424016</v>
      </c>
      <c r="M152" s="18" t="n">
        <v>-1.10631410978151</v>
      </c>
      <c r="N152" s="18" t="n">
        <v>25.4113986255188</v>
      </c>
      <c r="O152" s="18" t="n">
        <v>0.278954388496024</v>
      </c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 t="s">
        <v>402</v>
      </c>
      <c r="AI152" s="18"/>
      <c r="AJ152" s="18" t="s">
        <v>576</v>
      </c>
    </row>
    <row r="153" customFormat="false" ht="15" hidden="false" customHeight="false" outlineLevel="0" collapsed="false">
      <c r="A153" s="18" t="s">
        <v>273</v>
      </c>
      <c r="B153" s="18" t="s">
        <v>577</v>
      </c>
      <c r="C153" s="18" t="s">
        <v>438</v>
      </c>
      <c r="D153" s="18" t="s">
        <v>324</v>
      </c>
      <c r="E153" s="18" t="s">
        <v>404</v>
      </c>
      <c r="F153" s="18" t="s">
        <v>401</v>
      </c>
      <c r="G153" s="18" t="n">
        <v>0.4</v>
      </c>
      <c r="H153" s="18" t="n">
        <v>2692</v>
      </c>
      <c r="I153" s="18" t="n">
        <v>113</v>
      </c>
      <c r="J153" s="18" t="n">
        <v>112</v>
      </c>
      <c r="K153" s="18" t="n">
        <v>-0.0149485871641138</v>
      </c>
      <c r="L153" s="18" t="n">
        <v>0.0149409059335825</v>
      </c>
      <c r="M153" s="18" t="n">
        <v>-1.00051410741527</v>
      </c>
      <c r="N153" s="18" t="n">
        <v>18.2585819584217</v>
      </c>
      <c r="O153" s="18" t="n">
        <v>0.33013779657638</v>
      </c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 t="s">
        <v>402</v>
      </c>
      <c r="AI153" s="18"/>
      <c r="AJ153" s="18" t="s">
        <v>578</v>
      </c>
    </row>
    <row r="154" customFormat="false" ht="15" hidden="false" customHeight="false" outlineLevel="0" collapsed="false">
      <c r="A154" s="18" t="s">
        <v>273</v>
      </c>
      <c r="B154" s="18" t="s">
        <v>579</v>
      </c>
      <c r="C154" s="18" t="s">
        <v>438</v>
      </c>
      <c r="D154" s="18" t="s">
        <v>324</v>
      </c>
      <c r="E154" s="18" t="s">
        <v>404</v>
      </c>
      <c r="F154" s="18" t="s">
        <v>401</v>
      </c>
      <c r="G154" s="18" t="n">
        <v>0.4</v>
      </c>
      <c r="H154" s="18" t="n">
        <v>2692</v>
      </c>
      <c r="I154" s="18" t="n">
        <v>113</v>
      </c>
      <c r="J154" s="18" t="n">
        <v>112</v>
      </c>
      <c r="K154" s="18" t="n">
        <v>-0.0140785798798195</v>
      </c>
      <c r="L154" s="18" t="n">
        <v>0.0160640520840597</v>
      </c>
      <c r="M154" s="18" t="n">
        <v>-0.876402778461458</v>
      </c>
      <c r="N154" s="18" t="n">
        <v>15.0132764604475</v>
      </c>
      <c r="O154" s="18" t="n">
        <v>0.394618121169169</v>
      </c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 t="s">
        <v>402</v>
      </c>
      <c r="AI154" s="18"/>
      <c r="AJ154" s="18" t="s">
        <v>580</v>
      </c>
    </row>
    <row r="155" customFormat="false" ht="15" hidden="false" customHeight="false" outlineLevel="0" collapsed="false">
      <c r="A155" s="18" t="s">
        <v>273</v>
      </c>
      <c r="B155" s="18" t="s">
        <v>581</v>
      </c>
      <c r="C155" s="18" t="s">
        <v>438</v>
      </c>
      <c r="D155" s="18" t="s">
        <v>324</v>
      </c>
      <c r="E155" s="18" t="s">
        <v>404</v>
      </c>
      <c r="F155" s="18" t="s">
        <v>401</v>
      </c>
      <c r="G155" s="18" t="n">
        <v>0.4</v>
      </c>
      <c r="H155" s="18" t="n">
        <v>2692</v>
      </c>
      <c r="I155" s="18" t="n">
        <v>113</v>
      </c>
      <c r="J155" s="18" t="n">
        <v>112</v>
      </c>
      <c r="K155" s="18" t="n">
        <v>0.00391464352910319</v>
      </c>
      <c r="L155" s="18" t="n">
        <v>0.00904477339930196</v>
      </c>
      <c r="M155" s="18" t="n">
        <v>0.432807253015902</v>
      </c>
      <c r="N155" s="18" t="n">
        <v>42.920032440606</v>
      </c>
      <c r="O155" s="18" t="n">
        <v>0.667321981622172</v>
      </c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 t="s">
        <v>402</v>
      </c>
      <c r="AI155" s="18"/>
      <c r="AJ155" s="18" t="s">
        <v>582</v>
      </c>
    </row>
    <row r="156" customFormat="false" ht="15" hidden="false" customHeight="false" outlineLevel="0" collapsed="false">
      <c r="A156" s="18" t="s">
        <v>273</v>
      </c>
      <c r="B156" s="18" t="s">
        <v>583</v>
      </c>
      <c r="C156" s="18" t="s">
        <v>438</v>
      </c>
      <c r="D156" s="18" t="s">
        <v>324</v>
      </c>
      <c r="E156" s="18" t="s">
        <v>404</v>
      </c>
      <c r="F156" s="18" t="s">
        <v>401</v>
      </c>
      <c r="G156" s="18" t="n">
        <v>0.4</v>
      </c>
      <c r="H156" s="18" t="n">
        <v>2692</v>
      </c>
      <c r="I156" s="18" t="n">
        <v>113</v>
      </c>
      <c r="J156" s="18" t="n">
        <v>112</v>
      </c>
      <c r="K156" s="18" t="n">
        <v>0.0120010645710741</v>
      </c>
      <c r="L156" s="18" t="n">
        <v>0.00871797480963158</v>
      </c>
      <c r="M156" s="18" t="n">
        <v>1.3765885808497</v>
      </c>
      <c r="N156" s="18" t="n">
        <v>56.9002056131942</v>
      </c>
      <c r="O156" s="18" t="n">
        <v>0.174032376655395</v>
      </c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 t="s">
        <v>402</v>
      </c>
      <c r="AI156" s="18"/>
      <c r="AJ156" s="18" t="s">
        <v>584</v>
      </c>
    </row>
    <row r="157" customFormat="false" ht="15" hidden="false" customHeight="false" outlineLevel="0" collapsed="false">
      <c r="A157" s="18" t="s">
        <v>273</v>
      </c>
      <c r="B157" s="18" t="s">
        <v>585</v>
      </c>
      <c r="C157" s="18" t="s">
        <v>438</v>
      </c>
      <c r="D157" s="18" t="s">
        <v>324</v>
      </c>
      <c r="E157" s="18" t="s">
        <v>404</v>
      </c>
      <c r="F157" s="18" t="s">
        <v>401</v>
      </c>
      <c r="G157" s="18" t="n">
        <v>0.4</v>
      </c>
      <c r="H157" s="18" t="n">
        <v>2692</v>
      </c>
      <c r="I157" s="18" t="n">
        <v>113</v>
      </c>
      <c r="J157" s="18" t="n">
        <v>112</v>
      </c>
      <c r="K157" s="18" t="n">
        <v>-0.000126670125061783</v>
      </c>
      <c r="L157" s="18" t="n">
        <v>0.00913153190056594</v>
      </c>
      <c r="M157" s="18" t="n">
        <v>-0.0138717278153441</v>
      </c>
      <c r="N157" s="18" t="n">
        <v>63.425883584486</v>
      </c>
      <c r="O157" s="18" t="n">
        <v>0.98897585987786</v>
      </c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 t="s">
        <v>402</v>
      </c>
      <c r="AI157" s="18"/>
      <c r="AJ157" s="18" t="s">
        <v>586</v>
      </c>
    </row>
    <row r="158" customFormat="false" ht="15" hidden="false" customHeight="false" outlineLevel="0" collapsed="false">
      <c r="A158" s="18" t="s">
        <v>273</v>
      </c>
      <c r="B158" s="18" t="s">
        <v>587</v>
      </c>
      <c r="C158" s="18" t="s">
        <v>438</v>
      </c>
      <c r="D158" s="18" t="s">
        <v>324</v>
      </c>
      <c r="E158" s="18" t="s">
        <v>404</v>
      </c>
      <c r="F158" s="18" t="s">
        <v>401</v>
      </c>
      <c r="G158" s="18" t="n">
        <v>0.4</v>
      </c>
      <c r="H158" s="18" t="n">
        <v>924</v>
      </c>
      <c r="I158" s="18" t="n">
        <v>40</v>
      </c>
      <c r="J158" s="18" t="n">
        <v>40</v>
      </c>
      <c r="K158" s="18" t="n">
        <v>-0.0225407677197244</v>
      </c>
      <c r="L158" s="18" t="n">
        <v>0.0196995368391904</v>
      </c>
      <c r="M158" s="18" t="n">
        <v>-1.14422830870224</v>
      </c>
      <c r="N158" s="18" t="n">
        <v>24.4525749054131</v>
      </c>
      <c r="O158" s="18" t="n">
        <v>0.263606605607136</v>
      </c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 t="s">
        <v>402</v>
      </c>
      <c r="AI158" s="18"/>
      <c r="AJ158" s="18" t="s">
        <v>588</v>
      </c>
    </row>
    <row r="159" customFormat="false" ht="15" hidden="false" customHeight="false" outlineLevel="0" collapsed="false">
      <c r="A159" s="18" t="s">
        <v>273</v>
      </c>
      <c r="B159" s="18" t="s">
        <v>589</v>
      </c>
      <c r="C159" s="18" t="s">
        <v>438</v>
      </c>
      <c r="D159" s="18" t="s">
        <v>324</v>
      </c>
      <c r="E159" s="18" t="s">
        <v>404</v>
      </c>
      <c r="F159" s="18" t="s">
        <v>401</v>
      </c>
      <c r="G159" s="18" t="n">
        <v>0.4</v>
      </c>
      <c r="H159" s="18" t="n">
        <v>2705</v>
      </c>
      <c r="I159" s="18" t="n">
        <v>113</v>
      </c>
      <c r="J159" s="18" t="n">
        <v>112</v>
      </c>
      <c r="K159" s="18" t="n">
        <v>-0.00963769227150238</v>
      </c>
      <c r="L159" s="18" t="n">
        <v>0.0114201775799893</v>
      </c>
      <c r="M159" s="18" t="n">
        <v>-0.843917899174333</v>
      </c>
      <c r="N159" s="18" t="n">
        <v>31.9244872966297</v>
      </c>
      <c r="O159" s="18" t="n">
        <v>0.404994847362585</v>
      </c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 t="s">
        <v>402</v>
      </c>
      <c r="AI159" s="18"/>
      <c r="AJ159" s="18" t="s">
        <v>590</v>
      </c>
    </row>
    <row r="160" customFormat="false" ht="15" hidden="false" customHeight="false" outlineLevel="0" collapsed="false">
      <c r="A160" s="18" t="s">
        <v>273</v>
      </c>
      <c r="B160" s="18" t="s">
        <v>591</v>
      </c>
      <c r="C160" s="18" t="s">
        <v>438</v>
      </c>
      <c r="D160" s="18" t="s">
        <v>324</v>
      </c>
      <c r="E160" s="18" t="s">
        <v>404</v>
      </c>
      <c r="F160" s="18" t="s">
        <v>401</v>
      </c>
      <c r="G160" s="18" t="n">
        <v>0.4</v>
      </c>
      <c r="H160" s="18" t="n">
        <v>2705</v>
      </c>
      <c r="I160" s="18" t="n">
        <v>113</v>
      </c>
      <c r="J160" s="18" t="n">
        <v>112</v>
      </c>
      <c r="K160" s="18" t="n">
        <v>-0.00778037387363689</v>
      </c>
      <c r="L160" s="18" t="n">
        <v>0.0118455713801716</v>
      </c>
      <c r="M160" s="18" t="n">
        <v>-0.656817102690423</v>
      </c>
      <c r="N160" s="18" t="n">
        <v>24.7227024572526</v>
      </c>
      <c r="O160" s="18" t="n">
        <v>0.517366551298827</v>
      </c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 t="s">
        <v>402</v>
      </c>
      <c r="AI160" s="18"/>
      <c r="AJ160" s="18" t="s">
        <v>592</v>
      </c>
    </row>
    <row r="161" customFormat="false" ht="15" hidden="false" customHeight="false" outlineLevel="0" collapsed="false">
      <c r="A161" s="18" t="s">
        <v>273</v>
      </c>
      <c r="B161" s="18" t="s">
        <v>593</v>
      </c>
      <c r="C161" s="18" t="s">
        <v>438</v>
      </c>
      <c r="D161" s="18" t="s">
        <v>324</v>
      </c>
      <c r="E161" s="18" t="s">
        <v>404</v>
      </c>
      <c r="F161" s="18" t="s">
        <v>401</v>
      </c>
      <c r="G161" s="18" t="n">
        <v>0.4</v>
      </c>
      <c r="H161" s="18" t="n">
        <v>2705</v>
      </c>
      <c r="I161" s="18" t="n">
        <v>113</v>
      </c>
      <c r="J161" s="18" t="n">
        <v>112</v>
      </c>
      <c r="K161" s="18" t="n">
        <v>0.00110850395291434</v>
      </c>
      <c r="L161" s="18" t="n">
        <v>0.0107776027013573</v>
      </c>
      <c r="M161" s="18" t="n">
        <v>0.102852552987014</v>
      </c>
      <c r="N161" s="18" t="n">
        <v>36.9792973698385</v>
      </c>
      <c r="O161" s="18" t="n">
        <v>0.918635744955721</v>
      </c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 t="s">
        <v>402</v>
      </c>
      <c r="AI161" s="18"/>
      <c r="AJ161" s="18" t="s">
        <v>594</v>
      </c>
    </row>
    <row r="162" customFormat="false" ht="15" hidden="false" customHeight="false" outlineLevel="0" collapsed="false">
      <c r="A162" s="18" t="s">
        <v>273</v>
      </c>
      <c r="B162" s="18" t="s">
        <v>595</v>
      </c>
      <c r="C162" s="18" t="s">
        <v>438</v>
      </c>
      <c r="D162" s="18" t="s">
        <v>324</v>
      </c>
      <c r="E162" s="18" t="s">
        <v>404</v>
      </c>
      <c r="F162" s="18" t="s">
        <v>401</v>
      </c>
      <c r="G162" s="18" t="n">
        <v>0.4</v>
      </c>
      <c r="H162" s="18" t="n">
        <v>2705</v>
      </c>
      <c r="I162" s="18" t="n">
        <v>113</v>
      </c>
      <c r="J162" s="18" t="n">
        <v>112</v>
      </c>
      <c r="K162" s="18" t="n">
        <v>-0.00859852299430151</v>
      </c>
      <c r="L162" s="18" t="n">
        <v>0.0124260907826665</v>
      </c>
      <c r="M162" s="18" t="n">
        <v>-0.691973295921498</v>
      </c>
      <c r="N162" s="18" t="n">
        <v>21.6218373916398</v>
      </c>
      <c r="O162" s="18" t="n">
        <v>0.496318475733092</v>
      </c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 t="s">
        <v>402</v>
      </c>
      <c r="AI162" s="18"/>
      <c r="AJ162" s="18" t="s">
        <v>596</v>
      </c>
    </row>
    <row r="163" customFormat="false" ht="15" hidden="false" customHeight="false" outlineLevel="0" collapsed="false">
      <c r="A163" s="18" t="s">
        <v>273</v>
      </c>
      <c r="B163" s="18" t="s">
        <v>597</v>
      </c>
      <c r="C163" s="18" t="s">
        <v>438</v>
      </c>
      <c r="D163" s="18" t="s">
        <v>324</v>
      </c>
      <c r="E163" s="18" t="s">
        <v>404</v>
      </c>
      <c r="F163" s="18" t="s">
        <v>401</v>
      </c>
      <c r="G163" s="18" t="n">
        <v>0.4</v>
      </c>
      <c r="H163" s="18" t="n">
        <v>2705</v>
      </c>
      <c r="I163" s="18" t="n">
        <v>113</v>
      </c>
      <c r="J163" s="18" t="n">
        <v>112</v>
      </c>
      <c r="K163" s="18" t="n">
        <v>-0.0112781031558498</v>
      </c>
      <c r="L163" s="18" t="n">
        <v>0.0150378701286813</v>
      </c>
      <c r="M163" s="18" t="n">
        <v>-0.749980087561694</v>
      </c>
      <c r="N163" s="18" t="n">
        <v>18.3351876570553</v>
      </c>
      <c r="O163" s="18" t="n">
        <v>0.462782489420645</v>
      </c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 t="s">
        <v>402</v>
      </c>
      <c r="AI163" s="18"/>
      <c r="AJ163" s="18" t="s">
        <v>598</v>
      </c>
    </row>
    <row r="164" customFormat="false" ht="15" hidden="false" customHeight="false" outlineLevel="0" collapsed="false">
      <c r="A164" s="18" t="s">
        <v>273</v>
      </c>
      <c r="B164" s="18" t="s">
        <v>599</v>
      </c>
      <c r="C164" s="18" t="s">
        <v>438</v>
      </c>
      <c r="D164" s="18" t="s">
        <v>324</v>
      </c>
      <c r="E164" s="18" t="s">
        <v>404</v>
      </c>
      <c r="F164" s="18" t="s">
        <v>401</v>
      </c>
      <c r="G164" s="18" t="n">
        <v>0.4</v>
      </c>
      <c r="H164" s="18" t="n">
        <v>2705</v>
      </c>
      <c r="I164" s="18" t="n">
        <v>113</v>
      </c>
      <c r="J164" s="18" t="n">
        <v>112</v>
      </c>
      <c r="K164" s="18" t="n">
        <v>-0.0101965275340457</v>
      </c>
      <c r="L164" s="18" t="n">
        <v>0.016135553260811</v>
      </c>
      <c r="M164" s="18" t="n">
        <v>-0.631929216757035</v>
      </c>
      <c r="N164" s="18" t="n">
        <v>15.0803735903636</v>
      </c>
      <c r="O164" s="18" t="n">
        <v>0.536896182564734</v>
      </c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 t="s">
        <v>402</v>
      </c>
      <c r="AI164" s="18"/>
      <c r="AJ164" s="18" t="s">
        <v>600</v>
      </c>
    </row>
    <row r="165" customFormat="false" ht="15" hidden="false" customHeight="false" outlineLevel="0" collapsed="false">
      <c r="A165" s="18" t="s">
        <v>273</v>
      </c>
      <c r="B165" s="18" t="s">
        <v>601</v>
      </c>
      <c r="C165" s="18" t="s">
        <v>438</v>
      </c>
      <c r="D165" s="18" t="s">
        <v>324</v>
      </c>
      <c r="E165" s="18" t="s">
        <v>404</v>
      </c>
      <c r="F165" s="18" t="s">
        <v>401</v>
      </c>
      <c r="G165" s="18" t="n">
        <v>0.4</v>
      </c>
      <c r="H165" s="18" t="n">
        <v>2705</v>
      </c>
      <c r="I165" s="18" t="n">
        <v>113</v>
      </c>
      <c r="J165" s="18" t="n">
        <v>112</v>
      </c>
      <c r="K165" s="18" t="n">
        <v>0.00661086886025458</v>
      </c>
      <c r="L165" s="18" t="n">
        <v>0.00955397595911418</v>
      </c>
      <c r="M165" s="18" t="n">
        <v>0.69194949710419</v>
      </c>
      <c r="N165" s="18" t="n">
        <v>36.0486786898599</v>
      </c>
      <c r="O165" s="18" t="n">
        <v>0.493402080565099</v>
      </c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 t="s">
        <v>402</v>
      </c>
      <c r="AI165" s="18"/>
      <c r="AJ165" s="18" t="s">
        <v>602</v>
      </c>
    </row>
    <row r="166" customFormat="false" ht="15" hidden="false" customHeight="false" outlineLevel="0" collapsed="false">
      <c r="A166" s="18" t="s">
        <v>273</v>
      </c>
      <c r="B166" s="18" t="s">
        <v>603</v>
      </c>
      <c r="C166" s="18" t="s">
        <v>438</v>
      </c>
      <c r="D166" s="18" t="s">
        <v>324</v>
      </c>
      <c r="E166" s="18" t="s">
        <v>404</v>
      </c>
      <c r="F166" s="18" t="s">
        <v>401</v>
      </c>
      <c r="G166" s="18" t="n">
        <v>0.4</v>
      </c>
      <c r="H166" s="18" t="n">
        <v>2705</v>
      </c>
      <c r="I166" s="18" t="n">
        <v>113</v>
      </c>
      <c r="J166" s="18" t="n">
        <v>112</v>
      </c>
      <c r="K166" s="18" t="n">
        <v>0.0183111454067708</v>
      </c>
      <c r="L166" s="18" t="n">
        <v>0.00916001477353081</v>
      </c>
      <c r="M166" s="18" t="n">
        <v>1.99903011725304</v>
      </c>
      <c r="N166" s="18" t="n">
        <v>47.7581454769276</v>
      </c>
      <c r="O166" s="18" t="n">
        <v>0.051313359549747</v>
      </c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 t="s">
        <v>402</v>
      </c>
      <c r="AI166" s="18"/>
      <c r="AJ166" s="18" t="s">
        <v>604</v>
      </c>
    </row>
    <row r="167" customFormat="false" ht="15" hidden="false" customHeight="false" outlineLevel="0" collapsed="false">
      <c r="A167" s="18" t="s">
        <v>273</v>
      </c>
      <c r="B167" s="18" t="s">
        <v>605</v>
      </c>
      <c r="C167" s="18" t="s">
        <v>438</v>
      </c>
      <c r="D167" s="18" t="s">
        <v>324</v>
      </c>
      <c r="E167" s="18" t="s">
        <v>404</v>
      </c>
      <c r="F167" s="18" t="s">
        <v>401</v>
      </c>
      <c r="G167" s="18" t="n">
        <v>0.4</v>
      </c>
      <c r="H167" s="18" t="n">
        <v>2705</v>
      </c>
      <c r="I167" s="18" t="n">
        <v>113</v>
      </c>
      <c r="J167" s="18" t="n">
        <v>112</v>
      </c>
      <c r="K167" s="18" t="n">
        <v>0.00541959691620673</v>
      </c>
      <c r="L167" s="18" t="n">
        <v>0.00930991534289989</v>
      </c>
      <c r="M167" s="18" t="n">
        <v>0.582131707603543</v>
      </c>
      <c r="N167" s="18" t="n">
        <v>51.5929049566051</v>
      </c>
      <c r="O167" s="18" t="n">
        <v>0.563013301597492</v>
      </c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 t="s">
        <v>402</v>
      </c>
      <c r="AI167" s="18"/>
      <c r="AJ167" s="18" t="s">
        <v>606</v>
      </c>
    </row>
    <row r="168" customFormat="false" ht="15" hidden="false" customHeight="false" outlineLevel="0" collapsed="false">
      <c r="A168" s="18" t="s">
        <v>273</v>
      </c>
      <c r="B168" s="18" t="s">
        <v>607</v>
      </c>
      <c r="C168" s="18" t="s">
        <v>438</v>
      </c>
      <c r="D168" s="18" t="s">
        <v>324</v>
      </c>
      <c r="E168" s="18" t="s">
        <v>404</v>
      </c>
      <c r="F168" s="18" t="s">
        <v>401</v>
      </c>
      <c r="G168" s="18" t="n">
        <v>0.4</v>
      </c>
      <c r="H168" s="18" t="n">
        <v>929</v>
      </c>
      <c r="I168" s="18" t="n">
        <v>40</v>
      </c>
      <c r="J168" s="18" t="n">
        <v>40</v>
      </c>
      <c r="K168" s="18" t="n">
        <v>-0.0182960786812592</v>
      </c>
      <c r="L168" s="18" t="n">
        <v>0.0192590737731673</v>
      </c>
      <c r="M168" s="18" t="n">
        <v>-0.949997850195174</v>
      </c>
      <c r="N168" s="18" t="n">
        <v>24.3999187698108</v>
      </c>
      <c r="O168" s="18" t="n">
        <v>0.351429017095501</v>
      </c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 t="s">
        <v>402</v>
      </c>
      <c r="AI168" s="18"/>
      <c r="AJ168" s="18" t="s">
        <v>608</v>
      </c>
    </row>
    <row r="169" customFormat="false" ht="15" hidden="false" customHeight="false" outlineLevel="0" collapsed="false">
      <c r="A169" s="18" t="s">
        <v>273</v>
      </c>
      <c r="B169" s="18" t="s">
        <v>609</v>
      </c>
      <c r="C169" s="18" t="s">
        <v>438</v>
      </c>
      <c r="D169" s="18" t="s">
        <v>324</v>
      </c>
      <c r="E169" s="18" t="s">
        <v>404</v>
      </c>
      <c r="F169" s="18" t="s">
        <v>401</v>
      </c>
      <c r="G169" s="18" t="n">
        <v>0.4</v>
      </c>
      <c r="H169" s="18" t="n">
        <v>2607</v>
      </c>
      <c r="I169" s="18" t="n">
        <v>110</v>
      </c>
      <c r="J169" s="18" t="n">
        <v>109</v>
      </c>
      <c r="K169" s="18" t="n">
        <v>0.00620760840922809</v>
      </c>
      <c r="L169" s="18" t="n">
        <v>0.0191704514470721</v>
      </c>
      <c r="M169" s="18" t="n">
        <v>0.323811279372672</v>
      </c>
      <c r="N169" s="18" t="n">
        <v>13.7233887367627</v>
      </c>
      <c r="O169" s="18" t="n">
        <v>0.750963009412884</v>
      </c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 t="s">
        <v>402</v>
      </c>
      <c r="AI169" s="18"/>
      <c r="AJ169" s="18" t="s">
        <v>610</v>
      </c>
    </row>
    <row r="170" customFormat="false" ht="15" hidden="false" customHeight="false" outlineLevel="0" collapsed="false">
      <c r="A170" s="18" t="s">
        <v>273</v>
      </c>
      <c r="B170" s="18" t="s">
        <v>611</v>
      </c>
      <c r="C170" s="18" t="s">
        <v>438</v>
      </c>
      <c r="D170" s="18" t="s">
        <v>324</v>
      </c>
      <c r="E170" s="18" t="s">
        <v>404</v>
      </c>
      <c r="F170" s="18" t="s">
        <v>401</v>
      </c>
      <c r="G170" s="18" t="n">
        <v>0.4</v>
      </c>
      <c r="H170" s="18" t="n">
        <v>2607</v>
      </c>
      <c r="I170" s="18" t="n">
        <v>110</v>
      </c>
      <c r="J170" s="18" t="n">
        <v>109</v>
      </c>
      <c r="K170" s="18" t="n">
        <v>0.00577292028262481</v>
      </c>
      <c r="L170" s="18" t="n">
        <v>0.0188961369798962</v>
      </c>
      <c r="M170" s="18" t="n">
        <v>0.305507961165115</v>
      </c>
      <c r="N170" s="18" t="n">
        <v>11.2981659703424</v>
      </c>
      <c r="O170" s="18" t="n">
        <v>0.765534550636551</v>
      </c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 t="s">
        <v>402</v>
      </c>
      <c r="AI170" s="18"/>
      <c r="AJ170" s="18" t="s">
        <v>612</v>
      </c>
    </row>
    <row r="171" customFormat="false" ht="15" hidden="false" customHeight="false" outlineLevel="0" collapsed="false">
      <c r="A171" s="18" t="s">
        <v>273</v>
      </c>
      <c r="B171" s="18" t="s">
        <v>613</v>
      </c>
      <c r="C171" s="18" t="s">
        <v>438</v>
      </c>
      <c r="D171" s="18" t="s">
        <v>324</v>
      </c>
      <c r="E171" s="18" t="s">
        <v>404</v>
      </c>
      <c r="F171" s="18" t="s">
        <v>401</v>
      </c>
      <c r="G171" s="18" t="n">
        <v>0.4</v>
      </c>
      <c r="H171" s="18" t="n">
        <v>2607</v>
      </c>
      <c r="I171" s="18" t="n">
        <v>110</v>
      </c>
      <c r="J171" s="18" t="n">
        <v>109</v>
      </c>
      <c r="K171" s="18" t="n">
        <v>-0.0184234625528822</v>
      </c>
      <c r="L171" s="18" t="n">
        <v>0.0219027166476893</v>
      </c>
      <c r="M171" s="18" t="n">
        <v>-0.841149655050935</v>
      </c>
      <c r="N171" s="18" t="n">
        <v>37.5513121522249</v>
      </c>
      <c r="O171" s="18" t="n">
        <v>0.405588798924753</v>
      </c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 t="s">
        <v>402</v>
      </c>
      <c r="AI171" s="18"/>
      <c r="AJ171" s="18" t="s">
        <v>614</v>
      </c>
    </row>
    <row r="172" customFormat="false" ht="15" hidden="false" customHeight="false" outlineLevel="0" collapsed="false">
      <c r="A172" s="18" t="s">
        <v>273</v>
      </c>
      <c r="B172" s="18" t="s">
        <v>615</v>
      </c>
      <c r="C172" s="18" t="s">
        <v>438</v>
      </c>
      <c r="D172" s="18" t="s">
        <v>324</v>
      </c>
      <c r="E172" s="18" t="s">
        <v>404</v>
      </c>
      <c r="F172" s="18" t="s">
        <v>401</v>
      </c>
      <c r="G172" s="18" t="n">
        <v>0.4</v>
      </c>
      <c r="H172" s="18" t="n">
        <v>2607</v>
      </c>
      <c r="I172" s="18" t="n">
        <v>110</v>
      </c>
      <c r="J172" s="18" t="n">
        <v>109</v>
      </c>
      <c r="K172" s="18" t="n">
        <v>0.00389604090395249</v>
      </c>
      <c r="L172" s="18" t="n">
        <v>0.0192821235646677</v>
      </c>
      <c r="M172" s="18" t="n">
        <v>0.202054555396147</v>
      </c>
      <c r="N172" s="18" t="n">
        <v>10.0227907918848</v>
      </c>
      <c r="O172" s="18" t="n">
        <v>0.843916312149525</v>
      </c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 t="s">
        <v>402</v>
      </c>
      <c r="AI172" s="18"/>
      <c r="AJ172" s="18" t="s">
        <v>616</v>
      </c>
    </row>
    <row r="173" customFormat="false" ht="15" hidden="false" customHeight="false" outlineLevel="0" collapsed="false">
      <c r="A173" s="18" t="s">
        <v>273</v>
      </c>
      <c r="B173" s="18" t="s">
        <v>617</v>
      </c>
      <c r="C173" s="18" t="s">
        <v>438</v>
      </c>
      <c r="D173" s="18" t="s">
        <v>324</v>
      </c>
      <c r="E173" s="18" t="s">
        <v>404</v>
      </c>
      <c r="F173" s="18" t="s">
        <v>401</v>
      </c>
      <c r="G173" s="18" t="n">
        <v>0.4</v>
      </c>
      <c r="H173" s="18" t="n">
        <v>2607</v>
      </c>
      <c r="I173" s="18" t="n">
        <v>110</v>
      </c>
      <c r="J173" s="18" t="n">
        <v>109</v>
      </c>
      <c r="K173" s="18" t="n">
        <v>-0.00351409195480416</v>
      </c>
      <c r="L173" s="18" t="n">
        <v>0.022812351114612</v>
      </c>
      <c r="M173" s="18" t="n">
        <v>-0.154043392421453</v>
      </c>
      <c r="N173" s="18" t="n">
        <v>18.9539057883661</v>
      </c>
      <c r="O173" s="18" t="n">
        <v>0.87920388609046</v>
      </c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 t="s">
        <v>402</v>
      </c>
      <c r="AI173" s="18"/>
      <c r="AJ173" s="18" t="s">
        <v>618</v>
      </c>
    </row>
    <row r="174" customFormat="false" ht="15" hidden="false" customHeight="false" outlineLevel="0" collapsed="false">
      <c r="A174" s="18" t="s">
        <v>273</v>
      </c>
      <c r="B174" s="18" t="s">
        <v>619</v>
      </c>
      <c r="C174" s="18" t="s">
        <v>438</v>
      </c>
      <c r="D174" s="18" t="s">
        <v>324</v>
      </c>
      <c r="E174" s="18" t="s">
        <v>404</v>
      </c>
      <c r="F174" s="18" t="s">
        <v>401</v>
      </c>
      <c r="G174" s="18" t="n">
        <v>0.4</v>
      </c>
      <c r="H174" s="18" t="n">
        <v>2607</v>
      </c>
      <c r="I174" s="18" t="n">
        <v>110</v>
      </c>
      <c r="J174" s="18" t="n">
        <v>109</v>
      </c>
      <c r="K174" s="18" t="n">
        <v>-0.00256621836437505</v>
      </c>
      <c r="L174" s="18" t="n">
        <v>0.023293423533996</v>
      </c>
      <c r="M174" s="18" t="n">
        <v>-0.110169222683379</v>
      </c>
      <c r="N174" s="18" t="n">
        <v>15.5701952163488</v>
      </c>
      <c r="O174" s="18" t="n">
        <v>0.913682665179033</v>
      </c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 t="s">
        <v>402</v>
      </c>
      <c r="AI174" s="18"/>
      <c r="AJ174" s="18" t="s">
        <v>620</v>
      </c>
    </row>
    <row r="175" customFormat="false" ht="15" hidden="false" customHeight="false" outlineLevel="0" collapsed="false">
      <c r="A175" s="18" t="s">
        <v>273</v>
      </c>
      <c r="B175" s="18" t="s">
        <v>621</v>
      </c>
      <c r="C175" s="18" t="s">
        <v>438</v>
      </c>
      <c r="D175" s="18" t="s">
        <v>324</v>
      </c>
      <c r="E175" s="18" t="s">
        <v>404</v>
      </c>
      <c r="F175" s="18" t="s">
        <v>401</v>
      </c>
      <c r="G175" s="18" t="n">
        <v>0.4</v>
      </c>
      <c r="H175" s="18" t="n">
        <v>2607</v>
      </c>
      <c r="I175" s="18" t="n">
        <v>110</v>
      </c>
      <c r="J175" s="18" t="n">
        <v>109</v>
      </c>
      <c r="K175" s="18" t="n">
        <v>-0.0125119025665922</v>
      </c>
      <c r="L175" s="18" t="n">
        <v>0.0224973870470165</v>
      </c>
      <c r="M175" s="18" t="n">
        <v>-0.556149144807083</v>
      </c>
      <c r="N175" s="18" t="n">
        <v>15.4536118204458</v>
      </c>
      <c r="O175" s="18" t="n">
        <v>0.586072198402934</v>
      </c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 t="s">
        <v>402</v>
      </c>
      <c r="AI175" s="18"/>
      <c r="AJ175" s="18" t="s">
        <v>622</v>
      </c>
    </row>
    <row r="176" customFormat="false" ht="15" hidden="false" customHeight="false" outlineLevel="0" collapsed="false">
      <c r="A176" s="18" t="s">
        <v>273</v>
      </c>
      <c r="B176" s="18" t="s">
        <v>623</v>
      </c>
      <c r="C176" s="18" t="s">
        <v>438</v>
      </c>
      <c r="D176" s="18" t="s">
        <v>324</v>
      </c>
      <c r="E176" s="18" t="s">
        <v>404</v>
      </c>
      <c r="F176" s="18" t="s">
        <v>401</v>
      </c>
      <c r="G176" s="18" t="n">
        <v>0.4</v>
      </c>
      <c r="H176" s="18" t="n">
        <v>2607</v>
      </c>
      <c r="I176" s="18" t="n">
        <v>110</v>
      </c>
      <c r="J176" s="18" t="n">
        <v>109</v>
      </c>
      <c r="K176" s="18" t="n">
        <v>0.0358733643968336</v>
      </c>
      <c r="L176" s="18" t="n">
        <v>0.0272037128730575</v>
      </c>
      <c r="M176" s="18" t="n">
        <v>1.31869368583002</v>
      </c>
      <c r="N176" s="18" t="n">
        <v>19.1771073811131</v>
      </c>
      <c r="O176" s="18" t="n">
        <v>0.202803746461292</v>
      </c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 t="s">
        <v>402</v>
      </c>
      <c r="AI176" s="18"/>
      <c r="AJ176" s="18" t="s">
        <v>624</v>
      </c>
    </row>
    <row r="177" customFormat="false" ht="15" hidden="false" customHeight="false" outlineLevel="0" collapsed="false">
      <c r="A177" s="18" t="s">
        <v>273</v>
      </c>
      <c r="B177" s="18" t="s">
        <v>625</v>
      </c>
      <c r="C177" s="18" t="s">
        <v>438</v>
      </c>
      <c r="D177" s="18" t="s">
        <v>324</v>
      </c>
      <c r="E177" s="18" t="s">
        <v>404</v>
      </c>
      <c r="F177" s="18" t="s">
        <v>401</v>
      </c>
      <c r="G177" s="18" t="n">
        <v>0.4</v>
      </c>
      <c r="H177" s="18" t="n">
        <v>2607</v>
      </c>
      <c r="I177" s="18" t="n">
        <v>110</v>
      </c>
      <c r="J177" s="18" t="n">
        <v>109</v>
      </c>
      <c r="K177" s="18" t="n">
        <v>0.0178374645356252</v>
      </c>
      <c r="L177" s="18" t="n">
        <v>0.0225943568524069</v>
      </c>
      <c r="M177" s="18" t="n">
        <v>0.789465469282659</v>
      </c>
      <c r="N177" s="18" t="n">
        <v>19.6934496639594</v>
      </c>
      <c r="O177" s="18" t="n">
        <v>0.439242326032433</v>
      </c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 t="s">
        <v>402</v>
      </c>
      <c r="AI177" s="18"/>
      <c r="AJ177" s="18" t="s">
        <v>626</v>
      </c>
    </row>
    <row r="178" customFormat="false" ht="15" hidden="false" customHeight="false" outlineLevel="0" collapsed="false">
      <c r="A178" s="18" t="s">
        <v>273</v>
      </c>
      <c r="B178" s="18" t="s">
        <v>627</v>
      </c>
      <c r="C178" s="18" t="s">
        <v>438</v>
      </c>
      <c r="D178" s="18" t="s">
        <v>324</v>
      </c>
      <c r="E178" s="18" t="s">
        <v>404</v>
      </c>
      <c r="F178" s="18" t="s">
        <v>401</v>
      </c>
      <c r="G178" s="18" t="n">
        <v>0.4</v>
      </c>
      <c r="H178" s="18" t="n">
        <v>905</v>
      </c>
      <c r="I178" s="18" t="n">
        <v>38</v>
      </c>
      <c r="J178" s="18" t="n">
        <v>38</v>
      </c>
      <c r="K178" s="18" t="n">
        <v>-0.0212015527361922</v>
      </c>
      <c r="L178" s="18" t="n">
        <v>0.0189876878517517</v>
      </c>
      <c r="M178" s="18" t="n">
        <v>-1.11659475875765</v>
      </c>
      <c r="N178" s="18" t="n">
        <v>24.945768038117</v>
      </c>
      <c r="O178" s="18" t="n">
        <v>0.274807681320478</v>
      </c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 t="s">
        <v>402</v>
      </c>
      <c r="AI178" s="18"/>
      <c r="AJ178" s="18" t="s">
        <v>628</v>
      </c>
    </row>
    <row r="179" customFormat="false" ht="15" hidden="false" customHeight="false" outlineLevel="0" collapsed="false">
      <c r="A179" s="18" t="s">
        <v>273</v>
      </c>
      <c r="B179" s="18" t="s">
        <v>629</v>
      </c>
      <c r="C179" s="18" t="s">
        <v>438</v>
      </c>
      <c r="D179" s="18" t="s">
        <v>324</v>
      </c>
      <c r="E179" s="18" t="s">
        <v>404</v>
      </c>
      <c r="F179" s="18" t="s">
        <v>401</v>
      </c>
      <c r="G179" s="18" t="n">
        <v>0.4</v>
      </c>
      <c r="H179" s="18" t="n">
        <v>2594</v>
      </c>
      <c r="I179" s="18" t="n">
        <v>110</v>
      </c>
      <c r="J179" s="18" t="n">
        <v>109</v>
      </c>
      <c r="K179" s="18" t="n">
        <v>-0.0179434718781292</v>
      </c>
      <c r="L179" s="18" t="n">
        <v>0.0113882630317035</v>
      </c>
      <c r="M179" s="18" t="n">
        <v>-1.57561094507361</v>
      </c>
      <c r="N179" s="18" t="n">
        <v>36.5254259376367</v>
      </c>
      <c r="O179" s="18" t="n">
        <v>0.123738517791471</v>
      </c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 t="s">
        <v>402</v>
      </c>
      <c r="AI179" s="18"/>
      <c r="AJ179" s="18" t="s">
        <v>630</v>
      </c>
    </row>
    <row r="180" customFormat="false" ht="15" hidden="false" customHeight="false" outlineLevel="0" collapsed="false">
      <c r="A180" s="18" t="s">
        <v>273</v>
      </c>
      <c r="B180" s="18" t="s">
        <v>631</v>
      </c>
      <c r="C180" s="18" t="s">
        <v>438</v>
      </c>
      <c r="D180" s="18" t="s">
        <v>324</v>
      </c>
      <c r="E180" s="18" t="s">
        <v>404</v>
      </c>
      <c r="F180" s="18" t="s">
        <v>401</v>
      </c>
      <c r="G180" s="18" t="n">
        <v>0.4</v>
      </c>
      <c r="H180" s="18" t="n">
        <v>2594</v>
      </c>
      <c r="I180" s="18" t="n">
        <v>110</v>
      </c>
      <c r="J180" s="18" t="n">
        <v>109</v>
      </c>
      <c r="K180" s="18" t="n">
        <v>-0.0172018895755938</v>
      </c>
      <c r="L180" s="18" t="n">
        <v>0.012120610732895</v>
      </c>
      <c r="M180" s="18" t="n">
        <v>-1.41922630424128</v>
      </c>
      <c r="N180" s="18" t="n">
        <v>28.0134240271346</v>
      </c>
      <c r="O180" s="18" t="n">
        <v>0.166865068620765</v>
      </c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 t="s">
        <v>402</v>
      </c>
      <c r="AI180" s="18"/>
      <c r="AJ180" s="18" t="s">
        <v>632</v>
      </c>
    </row>
    <row r="181" customFormat="false" ht="15" hidden="false" customHeight="false" outlineLevel="0" collapsed="false">
      <c r="A181" s="18" t="s">
        <v>273</v>
      </c>
      <c r="B181" s="18" t="s">
        <v>633</v>
      </c>
      <c r="C181" s="18" t="s">
        <v>438</v>
      </c>
      <c r="D181" s="18" t="s">
        <v>324</v>
      </c>
      <c r="E181" s="18" t="s">
        <v>404</v>
      </c>
      <c r="F181" s="18" t="s">
        <v>401</v>
      </c>
      <c r="G181" s="18" t="n">
        <v>0.4</v>
      </c>
      <c r="H181" s="18" t="n">
        <v>2594</v>
      </c>
      <c r="I181" s="18" t="n">
        <v>110</v>
      </c>
      <c r="J181" s="18" t="n">
        <v>109</v>
      </c>
      <c r="K181" s="18" t="n">
        <v>0.000482490789194344</v>
      </c>
      <c r="L181" s="18" t="n">
        <v>0.0112690722961036</v>
      </c>
      <c r="M181" s="18" t="n">
        <v>0.0428154844087008</v>
      </c>
      <c r="N181" s="18" t="n">
        <v>32.4878209638884</v>
      </c>
      <c r="O181" s="18" t="n">
        <v>0.96611069068699</v>
      </c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 t="s">
        <v>402</v>
      </c>
      <c r="AI181" s="18"/>
      <c r="AJ181" s="18" t="s">
        <v>634</v>
      </c>
    </row>
    <row r="182" customFormat="false" ht="15" hidden="false" customHeight="false" outlineLevel="0" collapsed="false">
      <c r="A182" s="18" t="s">
        <v>273</v>
      </c>
      <c r="B182" s="18" t="s">
        <v>635</v>
      </c>
      <c r="C182" s="18" t="s">
        <v>438</v>
      </c>
      <c r="D182" s="18" t="s">
        <v>324</v>
      </c>
      <c r="E182" s="18" t="s">
        <v>404</v>
      </c>
      <c r="F182" s="18" t="s">
        <v>401</v>
      </c>
      <c r="G182" s="18" t="n">
        <v>0.4</v>
      </c>
      <c r="H182" s="18" t="n">
        <v>2594</v>
      </c>
      <c r="I182" s="18" t="n">
        <v>110</v>
      </c>
      <c r="J182" s="18" t="n">
        <v>109</v>
      </c>
      <c r="K182" s="18" t="n">
        <v>-0.0179710349477196</v>
      </c>
      <c r="L182" s="18" t="n">
        <v>0.0127064661780105</v>
      </c>
      <c r="M182" s="18" t="n">
        <v>-1.41432202281543</v>
      </c>
      <c r="N182" s="18" t="n">
        <v>24.4548621861433</v>
      </c>
      <c r="O182" s="18" t="n">
        <v>0.169873596054352</v>
      </c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 t="s">
        <v>402</v>
      </c>
      <c r="AI182" s="18"/>
      <c r="AJ182" s="18" t="s">
        <v>636</v>
      </c>
    </row>
    <row r="183" customFormat="false" ht="15" hidden="false" customHeight="false" outlineLevel="0" collapsed="false">
      <c r="A183" s="18" t="s">
        <v>273</v>
      </c>
      <c r="B183" s="18" t="s">
        <v>637</v>
      </c>
      <c r="C183" s="18" t="s">
        <v>438</v>
      </c>
      <c r="D183" s="18" t="s">
        <v>324</v>
      </c>
      <c r="E183" s="18" t="s">
        <v>404</v>
      </c>
      <c r="F183" s="18" t="s">
        <v>401</v>
      </c>
      <c r="G183" s="18" t="n">
        <v>0.4</v>
      </c>
      <c r="H183" s="18" t="n">
        <v>2594</v>
      </c>
      <c r="I183" s="18" t="n">
        <v>110</v>
      </c>
      <c r="J183" s="18" t="n">
        <v>109</v>
      </c>
      <c r="K183" s="18" t="n">
        <v>-0.0208841153940424</v>
      </c>
      <c r="L183" s="18" t="n">
        <v>0.0149247360020209</v>
      </c>
      <c r="M183" s="18" t="n">
        <v>-1.39929546433616</v>
      </c>
      <c r="N183" s="18" t="n">
        <v>18.4872297012391</v>
      </c>
      <c r="O183" s="18" t="n">
        <v>0.178279556215882</v>
      </c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 t="s">
        <v>402</v>
      </c>
      <c r="AI183" s="18"/>
      <c r="AJ183" s="18" t="s">
        <v>638</v>
      </c>
    </row>
    <row r="184" customFormat="false" ht="15" hidden="false" customHeight="false" outlineLevel="0" collapsed="false">
      <c r="A184" s="18" t="s">
        <v>273</v>
      </c>
      <c r="B184" s="18" t="s">
        <v>639</v>
      </c>
      <c r="C184" s="18" t="s">
        <v>438</v>
      </c>
      <c r="D184" s="18" t="s">
        <v>324</v>
      </c>
      <c r="E184" s="18" t="s">
        <v>404</v>
      </c>
      <c r="F184" s="18" t="s">
        <v>401</v>
      </c>
      <c r="G184" s="18" t="n">
        <v>0.4</v>
      </c>
      <c r="H184" s="18" t="n">
        <v>2594</v>
      </c>
      <c r="I184" s="18" t="n">
        <v>110</v>
      </c>
      <c r="J184" s="18" t="n">
        <v>109</v>
      </c>
      <c r="K184" s="18" t="n">
        <v>-0.0203970236763849</v>
      </c>
      <c r="L184" s="18" t="n">
        <v>0.0159861865429303</v>
      </c>
      <c r="M184" s="18" t="n">
        <v>-1.27591553004898</v>
      </c>
      <c r="N184" s="18" t="n">
        <v>15.1785748778573</v>
      </c>
      <c r="O184" s="18" t="n">
        <v>0.221165464767353</v>
      </c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 t="s">
        <v>402</v>
      </c>
      <c r="AI184" s="18"/>
      <c r="AJ184" s="18" t="s">
        <v>640</v>
      </c>
    </row>
    <row r="185" customFormat="false" ht="15" hidden="false" customHeight="false" outlineLevel="0" collapsed="false">
      <c r="A185" s="18" t="s">
        <v>273</v>
      </c>
      <c r="B185" s="18" t="s">
        <v>641</v>
      </c>
      <c r="C185" s="18" t="s">
        <v>438</v>
      </c>
      <c r="D185" s="18" t="s">
        <v>324</v>
      </c>
      <c r="E185" s="18" t="s">
        <v>404</v>
      </c>
      <c r="F185" s="18" t="s">
        <v>401</v>
      </c>
      <c r="G185" s="18" t="n">
        <v>0.4</v>
      </c>
      <c r="H185" s="18" t="n">
        <v>2594</v>
      </c>
      <c r="I185" s="18" t="n">
        <v>110</v>
      </c>
      <c r="J185" s="18" t="n">
        <v>109</v>
      </c>
      <c r="K185" s="18" t="n">
        <v>-0.00178939178866758</v>
      </c>
      <c r="L185" s="18" t="n">
        <v>0.0102272956487896</v>
      </c>
      <c r="M185" s="18" t="n">
        <v>-0.174962360541456</v>
      </c>
      <c r="N185" s="18" t="n">
        <v>37.7877616511303</v>
      </c>
      <c r="O185" s="18" t="n">
        <v>0.862043333521905</v>
      </c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 t="s">
        <v>402</v>
      </c>
      <c r="AI185" s="18"/>
      <c r="AJ185" s="18" t="s">
        <v>642</v>
      </c>
    </row>
    <row r="186" customFormat="false" ht="15" hidden="false" customHeight="false" outlineLevel="0" collapsed="false">
      <c r="A186" s="18" t="s">
        <v>273</v>
      </c>
      <c r="B186" s="18" t="s">
        <v>643</v>
      </c>
      <c r="C186" s="18" t="s">
        <v>438</v>
      </c>
      <c r="D186" s="18" t="s">
        <v>324</v>
      </c>
      <c r="E186" s="18" t="s">
        <v>404</v>
      </c>
      <c r="F186" s="18" t="s">
        <v>401</v>
      </c>
      <c r="G186" s="18" t="n">
        <v>0.4</v>
      </c>
      <c r="H186" s="18" t="n">
        <v>2594</v>
      </c>
      <c r="I186" s="18" t="n">
        <v>110</v>
      </c>
      <c r="J186" s="18" t="n">
        <v>109</v>
      </c>
      <c r="K186" s="18" t="n">
        <v>0.00771383971302415</v>
      </c>
      <c r="L186" s="18" t="n">
        <v>0.00951307141812721</v>
      </c>
      <c r="M186" s="18" t="n">
        <v>0.810867423777077</v>
      </c>
      <c r="N186" s="18" t="n">
        <v>50.8594681286389</v>
      </c>
      <c r="O186" s="18" t="n">
        <v>0.421220180804469</v>
      </c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 t="s">
        <v>402</v>
      </c>
      <c r="AI186" s="18"/>
      <c r="AJ186" s="18" t="s">
        <v>644</v>
      </c>
    </row>
    <row r="187" customFormat="false" ht="15" hidden="false" customHeight="false" outlineLevel="0" collapsed="false">
      <c r="A187" s="18" t="s">
        <v>273</v>
      </c>
      <c r="B187" s="18" t="s">
        <v>645</v>
      </c>
      <c r="C187" s="18" t="s">
        <v>438</v>
      </c>
      <c r="D187" s="18" t="s">
        <v>324</v>
      </c>
      <c r="E187" s="18" t="s">
        <v>404</v>
      </c>
      <c r="F187" s="18" t="s">
        <v>401</v>
      </c>
      <c r="G187" s="18" t="n">
        <v>0.4</v>
      </c>
      <c r="H187" s="18" t="n">
        <v>2594</v>
      </c>
      <c r="I187" s="18" t="n">
        <v>110</v>
      </c>
      <c r="J187" s="18" t="n">
        <v>109</v>
      </c>
      <c r="K187" s="18" t="n">
        <v>-0.00397076286621159</v>
      </c>
      <c r="L187" s="18" t="n">
        <v>0.00973437448770322</v>
      </c>
      <c r="M187" s="18" t="n">
        <v>-0.407911455556553</v>
      </c>
      <c r="N187" s="18" t="n">
        <v>58.0738449999919</v>
      </c>
      <c r="O187" s="18" t="n">
        <v>0.684838669921405</v>
      </c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 t="s">
        <v>402</v>
      </c>
      <c r="AI187" s="18"/>
      <c r="AJ187" s="18" t="s">
        <v>646</v>
      </c>
    </row>
    <row r="188" customFormat="false" ht="15" hidden="false" customHeight="false" outlineLevel="0" collapsed="false">
      <c r="A188" s="18" t="s">
        <v>273</v>
      </c>
      <c r="B188" s="18" t="s">
        <v>647</v>
      </c>
      <c r="C188" s="18" t="s">
        <v>438</v>
      </c>
      <c r="D188" s="18" t="s">
        <v>324</v>
      </c>
      <c r="E188" s="18" t="s">
        <v>404</v>
      </c>
      <c r="F188" s="18" t="s">
        <v>401</v>
      </c>
      <c r="G188" s="18" t="n">
        <v>0.4</v>
      </c>
      <c r="H188" s="18" t="n">
        <v>900</v>
      </c>
      <c r="I188" s="18" t="n">
        <v>38</v>
      </c>
      <c r="J188" s="18" t="n">
        <v>38</v>
      </c>
      <c r="K188" s="18" t="n">
        <v>-0.0283730403263055</v>
      </c>
      <c r="L188" s="18" t="n">
        <v>0.019726787347016</v>
      </c>
      <c r="M188" s="18" t="n">
        <v>-1.43830010569853</v>
      </c>
      <c r="N188" s="18" t="n">
        <v>25.0604630337897</v>
      </c>
      <c r="O188" s="18" t="n">
        <v>0.16272109299807</v>
      </c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 t="s">
        <v>402</v>
      </c>
      <c r="AI188" s="18"/>
      <c r="AJ188" s="18" t="s">
        <v>648</v>
      </c>
    </row>
    <row r="189" customFormat="false" ht="15" hidden="false" customHeight="false" outlineLevel="0" collapsed="false">
      <c r="A189" s="18" t="s">
        <v>273</v>
      </c>
      <c r="B189" s="18" t="s">
        <v>649</v>
      </c>
      <c r="C189" s="18" t="s">
        <v>438</v>
      </c>
      <c r="D189" s="18" t="s">
        <v>324</v>
      </c>
      <c r="E189" s="18" t="s">
        <v>404</v>
      </c>
      <c r="F189" s="18" t="s">
        <v>401</v>
      </c>
      <c r="G189" s="18" t="n">
        <v>0.4</v>
      </c>
      <c r="H189" s="18" t="n">
        <v>2607</v>
      </c>
      <c r="I189" s="18" t="n">
        <v>110</v>
      </c>
      <c r="J189" s="18" t="n">
        <v>109</v>
      </c>
      <c r="K189" s="18" t="n">
        <v>-0.0137032331097971</v>
      </c>
      <c r="L189" s="18" t="n">
        <v>0.0120110367792432</v>
      </c>
      <c r="M189" s="18" t="n">
        <v>-1.14088678285278</v>
      </c>
      <c r="N189" s="18" t="n">
        <v>30.5721231640987</v>
      </c>
      <c r="O189" s="18" t="n">
        <v>0.262775638828386</v>
      </c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 t="s">
        <v>402</v>
      </c>
      <c r="AI189" s="18"/>
      <c r="AJ189" s="18" t="s">
        <v>650</v>
      </c>
    </row>
    <row r="190" customFormat="false" ht="15" hidden="false" customHeight="false" outlineLevel="0" collapsed="false">
      <c r="A190" s="18" t="s">
        <v>273</v>
      </c>
      <c r="B190" s="18" t="s">
        <v>651</v>
      </c>
      <c r="C190" s="18" t="s">
        <v>438</v>
      </c>
      <c r="D190" s="18" t="s">
        <v>324</v>
      </c>
      <c r="E190" s="18" t="s">
        <v>404</v>
      </c>
      <c r="F190" s="18" t="s">
        <v>401</v>
      </c>
      <c r="G190" s="18" t="n">
        <v>0.4</v>
      </c>
      <c r="H190" s="18" t="n">
        <v>2607</v>
      </c>
      <c r="I190" s="18" t="n">
        <v>110</v>
      </c>
      <c r="J190" s="18" t="n">
        <v>109</v>
      </c>
      <c r="K190" s="18" t="n">
        <v>-0.0119447025582558</v>
      </c>
      <c r="L190" s="18" t="n">
        <v>0.0125165366393822</v>
      </c>
      <c r="M190" s="18" t="n">
        <v>-0.954313713321696</v>
      </c>
      <c r="N190" s="18" t="n">
        <v>23.6784652851271</v>
      </c>
      <c r="O190" s="18" t="n">
        <v>0.349566628167293</v>
      </c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 t="s">
        <v>402</v>
      </c>
      <c r="AI190" s="18"/>
      <c r="AJ190" s="18" t="s">
        <v>652</v>
      </c>
    </row>
    <row r="191" customFormat="false" ht="15" hidden="false" customHeight="false" outlineLevel="0" collapsed="false">
      <c r="A191" s="18" t="s">
        <v>273</v>
      </c>
      <c r="B191" s="18" t="s">
        <v>653</v>
      </c>
      <c r="C191" s="18" t="s">
        <v>438</v>
      </c>
      <c r="D191" s="18" t="s">
        <v>324</v>
      </c>
      <c r="E191" s="18" t="s">
        <v>404</v>
      </c>
      <c r="F191" s="18" t="s">
        <v>401</v>
      </c>
      <c r="G191" s="18" t="n">
        <v>0.4</v>
      </c>
      <c r="H191" s="18" t="n">
        <v>2607</v>
      </c>
      <c r="I191" s="18" t="n">
        <v>110</v>
      </c>
      <c r="J191" s="18" t="n">
        <v>109</v>
      </c>
      <c r="K191" s="18" t="n">
        <v>0.00105363397165909</v>
      </c>
      <c r="L191" s="18" t="n">
        <v>0.011651720948061</v>
      </c>
      <c r="M191" s="18" t="n">
        <v>0.0904273262598535</v>
      </c>
      <c r="N191" s="18" t="n">
        <v>33.2589206704458</v>
      </c>
      <c r="O191" s="18" t="n">
        <v>0.928490052493565</v>
      </c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 t="s">
        <v>402</v>
      </c>
      <c r="AI191" s="18"/>
      <c r="AJ191" s="18" t="s">
        <v>654</v>
      </c>
    </row>
    <row r="192" customFormat="false" ht="15" hidden="false" customHeight="false" outlineLevel="0" collapsed="false">
      <c r="A192" s="18" t="s">
        <v>273</v>
      </c>
      <c r="B192" s="18" t="s">
        <v>655</v>
      </c>
      <c r="C192" s="18" t="s">
        <v>438</v>
      </c>
      <c r="D192" s="18" t="s">
        <v>324</v>
      </c>
      <c r="E192" s="18" t="s">
        <v>404</v>
      </c>
      <c r="F192" s="18" t="s">
        <v>401</v>
      </c>
      <c r="G192" s="18" t="n">
        <v>0.4</v>
      </c>
      <c r="H192" s="18" t="n">
        <v>2607</v>
      </c>
      <c r="I192" s="18" t="n">
        <v>110</v>
      </c>
      <c r="J192" s="18" t="n">
        <v>109</v>
      </c>
      <c r="K192" s="18" t="n">
        <v>-0.0129127663584529</v>
      </c>
      <c r="L192" s="18" t="n">
        <v>0.0131667239732554</v>
      </c>
      <c r="M192" s="18" t="n">
        <v>-0.980712163836776</v>
      </c>
      <c r="N192" s="18" t="n">
        <v>20.6987776626543</v>
      </c>
      <c r="O192" s="18" t="n">
        <v>0.338059411800499</v>
      </c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 t="s">
        <v>402</v>
      </c>
      <c r="AI192" s="18"/>
      <c r="AJ192" s="18" t="s">
        <v>656</v>
      </c>
    </row>
    <row r="193" customFormat="false" ht="15" hidden="false" customHeight="false" outlineLevel="0" collapsed="false">
      <c r="A193" s="18" t="s">
        <v>273</v>
      </c>
      <c r="B193" s="18" t="s">
        <v>657</v>
      </c>
      <c r="C193" s="18" t="s">
        <v>438</v>
      </c>
      <c r="D193" s="18" t="s">
        <v>324</v>
      </c>
      <c r="E193" s="18" t="s">
        <v>404</v>
      </c>
      <c r="F193" s="18" t="s">
        <v>401</v>
      </c>
      <c r="G193" s="18" t="n">
        <v>0.4</v>
      </c>
      <c r="H193" s="18" t="n">
        <v>2607</v>
      </c>
      <c r="I193" s="18" t="n">
        <v>110</v>
      </c>
      <c r="J193" s="18" t="n">
        <v>109</v>
      </c>
      <c r="K193" s="18" t="n">
        <v>-0.0169144111159718</v>
      </c>
      <c r="L193" s="18" t="n">
        <v>0.0148949270983099</v>
      </c>
      <c r="M193" s="18" t="n">
        <v>-1.13558200079348</v>
      </c>
      <c r="N193" s="18" t="n">
        <v>18.5425108567355</v>
      </c>
      <c r="O193" s="18" t="n">
        <v>0.270597046063603</v>
      </c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 t="s">
        <v>402</v>
      </c>
      <c r="AI193" s="18"/>
      <c r="AJ193" s="18" t="s">
        <v>658</v>
      </c>
    </row>
    <row r="194" customFormat="false" ht="15" hidden="false" customHeight="false" outlineLevel="0" collapsed="false">
      <c r="A194" s="18" t="s">
        <v>273</v>
      </c>
      <c r="B194" s="18" t="s">
        <v>659</v>
      </c>
      <c r="C194" s="18" t="s">
        <v>438</v>
      </c>
      <c r="D194" s="18" t="s">
        <v>324</v>
      </c>
      <c r="E194" s="18" t="s">
        <v>404</v>
      </c>
      <c r="F194" s="18" t="s">
        <v>401</v>
      </c>
      <c r="G194" s="18" t="n">
        <v>0.4</v>
      </c>
      <c r="H194" s="18" t="n">
        <v>2607</v>
      </c>
      <c r="I194" s="18" t="n">
        <v>110</v>
      </c>
      <c r="J194" s="18" t="n">
        <v>109</v>
      </c>
      <c r="K194" s="18" t="n">
        <v>-0.0162320601882008</v>
      </c>
      <c r="L194" s="18" t="n">
        <v>0.0159097970765982</v>
      </c>
      <c r="M194" s="18" t="n">
        <v>-1.02025563934292</v>
      </c>
      <c r="N194" s="18" t="n">
        <v>15.2296089090748</v>
      </c>
      <c r="O194" s="18" t="n">
        <v>0.323541768158994</v>
      </c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 t="s">
        <v>402</v>
      </c>
      <c r="AI194" s="18"/>
      <c r="AJ194" s="18" t="s">
        <v>660</v>
      </c>
    </row>
    <row r="195" customFormat="false" ht="15" hidden="false" customHeight="false" outlineLevel="0" collapsed="false">
      <c r="A195" s="18" t="s">
        <v>273</v>
      </c>
      <c r="B195" s="18" t="s">
        <v>661</v>
      </c>
      <c r="C195" s="18" t="s">
        <v>438</v>
      </c>
      <c r="D195" s="18" t="s">
        <v>324</v>
      </c>
      <c r="E195" s="18" t="s">
        <v>404</v>
      </c>
      <c r="F195" s="18" t="s">
        <v>401</v>
      </c>
      <c r="G195" s="18" t="n">
        <v>0.4</v>
      </c>
      <c r="H195" s="18" t="n">
        <v>2607</v>
      </c>
      <c r="I195" s="18" t="n">
        <v>110</v>
      </c>
      <c r="J195" s="18" t="n">
        <v>109</v>
      </c>
      <c r="K195" s="18" t="n">
        <v>0.0016002731156976</v>
      </c>
      <c r="L195" s="18" t="n">
        <v>0.0106903034600538</v>
      </c>
      <c r="M195" s="18" t="n">
        <v>0.149693890512772</v>
      </c>
      <c r="N195" s="18" t="n">
        <v>31.659920942523</v>
      </c>
      <c r="O195" s="18" t="n">
        <v>0.881955686460546</v>
      </c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 t="s">
        <v>402</v>
      </c>
      <c r="AI195" s="18"/>
      <c r="AJ195" s="18" t="s">
        <v>662</v>
      </c>
    </row>
    <row r="196" customFormat="false" ht="15" hidden="false" customHeight="false" outlineLevel="0" collapsed="false">
      <c r="A196" s="18" t="s">
        <v>273</v>
      </c>
      <c r="B196" s="18" t="s">
        <v>663</v>
      </c>
      <c r="C196" s="18" t="s">
        <v>438</v>
      </c>
      <c r="D196" s="18" t="s">
        <v>324</v>
      </c>
      <c r="E196" s="18" t="s">
        <v>404</v>
      </c>
      <c r="F196" s="18" t="s">
        <v>401</v>
      </c>
      <c r="G196" s="18" t="n">
        <v>0.4</v>
      </c>
      <c r="H196" s="18" t="n">
        <v>2607</v>
      </c>
      <c r="I196" s="18" t="n">
        <v>110</v>
      </c>
      <c r="J196" s="18" t="n">
        <v>109</v>
      </c>
      <c r="K196" s="18" t="n">
        <v>0.0147204269256967</v>
      </c>
      <c r="L196" s="18" t="n">
        <v>0.00987773392319892</v>
      </c>
      <c r="M196" s="18" t="n">
        <v>1.49026356046342</v>
      </c>
      <c r="N196" s="18" t="n">
        <v>42.4438875489665</v>
      </c>
      <c r="O196" s="18" t="n">
        <v>0.143549509480284</v>
      </c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 t="s">
        <v>402</v>
      </c>
      <c r="AI196" s="18"/>
      <c r="AJ196" s="18" t="s">
        <v>664</v>
      </c>
    </row>
    <row r="197" customFormat="false" ht="15" hidden="false" customHeight="false" outlineLevel="0" collapsed="false">
      <c r="A197" s="18" t="s">
        <v>273</v>
      </c>
      <c r="B197" s="18" t="s">
        <v>665</v>
      </c>
      <c r="C197" s="18" t="s">
        <v>438</v>
      </c>
      <c r="D197" s="18" t="s">
        <v>324</v>
      </c>
      <c r="E197" s="18" t="s">
        <v>404</v>
      </c>
      <c r="F197" s="18" t="s">
        <v>401</v>
      </c>
      <c r="G197" s="18" t="n">
        <v>0.4</v>
      </c>
      <c r="H197" s="18" t="n">
        <v>2607</v>
      </c>
      <c r="I197" s="18" t="n">
        <v>110</v>
      </c>
      <c r="J197" s="18" t="n">
        <v>109</v>
      </c>
      <c r="K197" s="18" t="n">
        <v>0.00210808839150432</v>
      </c>
      <c r="L197" s="18" t="n">
        <v>0.00988583094427305</v>
      </c>
      <c r="M197" s="18" t="n">
        <v>0.213243419130646</v>
      </c>
      <c r="N197" s="18" t="n">
        <v>46.9473579117633</v>
      </c>
      <c r="O197" s="18" t="n">
        <v>0.83206043282894</v>
      </c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 t="s">
        <v>402</v>
      </c>
      <c r="AI197" s="18"/>
      <c r="AJ197" s="18" t="s">
        <v>666</v>
      </c>
    </row>
    <row r="198" customFormat="false" ht="15" hidden="false" customHeight="false" outlineLevel="0" collapsed="false">
      <c r="A198" s="18" t="s">
        <v>273</v>
      </c>
      <c r="B198" s="18" t="s">
        <v>667</v>
      </c>
      <c r="C198" s="18" t="s">
        <v>438</v>
      </c>
      <c r="D198" s="18" t="s">
        <v>324</v>
      </c>
      <c r="E198" s="18" t="s">
        <v>404</v>
      </c>
      <c r="F198" s="18" t="s">
        <v>401</v>
      </c>
      <c r="G198" s="18" t="n">
        <v>0.4</v>
      </c>
      <c r="H198" s="18" t="n">
        <v>905</v>
      </c>
      <c r="I198" s="18" t="n">
        <v>38</v>
      </c>
      <c r="J198" s="18" t="n">
        <v>38</v>
      </c>
      <c r="K198" s="18" t="n">
        <v>-0.0237123596839458</v>
      </c>
      <c r="L198" s="18" t="n">
        <v>0.0192702428361403</v>
      </c>
      <c r="M198" s="18" t="n">
        <v>-1.23051691074046</v>
      </c>
      <c r="N198" s="18" t="n">
        <v>25.0144945460208</v>
      </c>
      <c r="O198" s="18" t="n">
        <v>0.229949888335348</v>
      </c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 t="s">
        <v>402</v>
      </c>
      <c r="AI198" s="18"/>
      <c r="AJ198" s="18" t="s">
        <v>668</v>
      </c>
    </row>
    <row r="199" customFormat="false" ht="15" hidden="false" customHeight="false" outlineLevel="0" collapsed="false">
      <c r="A199" s="18" t="s">
        <v>273</v>
      </c>
      <c r="B199" s="18" t="s">
        <v>669</v>
      </c>
      <c r="C199" s="18" t="s">
        <v>438</v>
      </c>
      <c r="D199" s="18" t="s">
        <v>324</v>
      </c>
      <c r="E199" s="18" t="s">
        <v>404</v>
      </c>
      <c r="F199" s="18" t="s">
        <v>401</v>
      </c>
      <c r="G199" s="18" t="n">
        <v>0.4</v>
      </c>
      <c r="H199" s="18" t="n">
        <v>2704</v>
      </c>
      <c r="I199" s="18" t="n">
        <v>113</v>
      </c>
      <c r="J199" s="18" t="n">
        <v>112</v>
      </c>
      <c r="K199" s="18" t="n">
        <v>0.0100367656532561</v>
      </c>
      <c r="L199" s="18" t="n">
        <v>0.0181404742552374</v>
      </c>
      <c r="M199" s="18" t="n">
        <v>0.553280223661096</v>
      </c>
      <c r="N199" s="18" t="n">
        <v>14.2542171250717</v>
      </c>
      <c r="O199" s="18" t="n">
        <v>0.588644953073017</v>
      </c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 t="s">
        <v>402</v>
      </c>
      <c r="AI199" s="18"/>
      <c r="AJ199" s="18" t="s">
        <v>670</v>
      </c>
    </row>
    <row r="200" customFormat="false" ht="15" hidden="false" customHeight="false" outlineLevel="0" collapsed="false">
      <c r="A200" s="18" t="s">
        <v>273</v>
      </c>
      <c r="B200" s="18" t="s">
        <v>671</v>
      </c>
      <c r="C200" s="18" t="s">
        <v>438</v>
      </c>
      <c r="D200" s="18" t="s">
        <v>324</v>
      </c>
      <c r="E200" s="18" t="s">
        <v>404</v>
      </c>
      <c r="F200" s="18" t="s">
        <v>401</v>
      </c>
      <c r="G200" s="18" t="n">
        <v>0.4</v>
      </c>
      <c r="H200" s="18" t="n">
        <v>2704</v>
      </c>
      <c r="I200" s="18" t="n">
        <v>113</v>
      </c>
      <c r="J200" s="18" t="n">
        <v>112</v>
      </c>
      <c r="K200" s="18" t="n">
        <v>0.00965938267339644</v>
      </c>
      <c r="L200" s="18" t="n">
        <v>0.0178053666283143</v>
      </c>
      <c r="M200" s="18" t="n">
        <v>0.542498386864777</v>
      </c>
      <c r="N200" s="18" t="n">
        <v>11.6959259234708</v>
      </c>
      <c r="O200" s="18" t="n">
        <v>0.597660577315668</v>
      </c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 t="s">
        <v>402</v>
      </c>
      <c r="AI200" s="18"/>
      <c r="AJ200" s="18" t="s">
        <v>672</v>
      </c>
    </row>
    <row r="201" customFormat="false" ht="15" hidden="false" customHeight="false" outlineLevel="0" collapsed="false">
      <c r="A201" s="18" t="s">
        <v>273</v>
      </c>
      <c r="B201" s="18" t="s">
        <v>673</v>
      </c>
      <c r="C201" s="18" t="s">
        <v>438</v>
      </c>
      <c r="D201" s="18" t="s">
        <v>324</v>
      </c>
      <c r="E201" s="18" t="s">
        <v>404</v>
      </c>
      <c r="F201" s="18" t="s">
        <v>401</v>
      </c>
      <c r="G201" s="18" t="n">
        <v>0.4</v>
      </c>
      <c r="H201" s="18" t="n">
        <v>2704</v>
      </c>
      <c r="I201" s="18" t="n">
        <v>113</v>
      </c>
      <c r="J201" s="18" t="n">
        <v>112</v>
      </c>
      <c r="K201" s="18" t="n">
        <v>-0.0202131767750016</v>
      </c>
      <c r="L201" s="18" t="n">
        <v>0.0210595146714338</v>
      </c>
      <c r="M201" s="18" t="n">
        <v>-0.959812089232037</v>
      </c>
      <c r="N201" s="18" t="n">
        <v>41.5893293556052</v>
      </c>
      <c r="O201" s="18" t="n">
        <v>0.342696881950485</v>
      </c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 t="s">
        <v>402</v>
      </c>
      <c r="AI201" s="18"/>
      <c r="AJ201" s="18" t="s">
        <v>674</v>
      </c>
    </row>
    <row r="202" customFormat="false" ht="15" hidden="false" customHeight="false" outlineLevel="0" collapsed="false">
      <c r="A202" s="18" t="s">
        <v>273</v>
      </c>
      <c r="B202" s="18" t="s">
        <v>675</v>
      </c>
      <c r="C202" s="18" t="s">
        <v>438</v>
      </c>
      <c r="D202" s="18" t="s">
        <v>324</v>
      </c>
      <c r="E202" s="18" t="s">
        <v>404</v>
      </c>
      <c r="F202" s="18" t="s">
        <v>401</v>
      </c>
      <c r="G202" s="18" t="n">
        <v>0.4</v>
      </c>
      <c r="H202" s="18" t="n">
        <v>2704</v>
      </c>
      <c r="I202" s="18" t="n">
        <v>113</v>
      </c>
      <c r="J202" s="18" t="n">
        <v>112</v>
      </c>
      <c r="K202" s="18" t="n">
        <v>0.00786311178131981</v>
      </c>
      <c r="L202" s="18" t="n">
        <v>0.0180922782921848</v>
      </c>
      <c r="M202" s="18" t="n">
        <v>0.43461147647261</v>
      </c>
      <c r="N202" s="18" t="n">
        <v>10.3624200705296</v>
      </c>
      <c r="O202" s="18" t="n">
        <v>0.672755798199202</v>
      </c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 t="s">
        <v>402</v>
      </c>
      <c r="AI202" s="18"/>
      <c r="AJ202" s="18" t="s">
        <v>676</v>
      </c>
    </row>
    <row r="203" customFormat="false" ht="15" hidden="false" customHeight="false" outlineLevel="0" collapsed="false">
      <c r="A203" s="18" t="s">
        <v>273</v>
      </c>
      <c r="B203" s="18" t="s">
        <v>677</v>
      </c>
      <c r="C203" s="18" t="s">
        <v>438</v>
      </c>
      <c r="D203" s="18" t="s">
        <v>324</v>
      </c>
      <c r="E203" s="18" t="s">
        <v>404</v>
      </c>
      <c r="F203" s="18" t="s">
        <v>401</v>
      </c>
      <c r="G203" s="18" t="n">
        <v>0.4</v>
      </c>
      <c r="H203" s="18" t="n">
        <v>2704</v>
      </c>
      <c r="I203" s="18" t="n">
        <v>113</v>
      </c>
      <c r="J203" s="18" t="n">
        <v>112</v>
      </c>
      <c r="K203" s="18" t="n">
        <v>0.00242716133909715</v>
      </c>
      <c r="L203" s="18" t="n">
        <v>0.0222176953911999</v>
      </c>
      <c r="M203" s="18" t="n">
        <v>0.109244514174882</v>
      </c>
      <c r="N203" s="18" t="n">
        <v>18.7908468911987</v>
      </c>
      <c r="O203" s="18" t="n">
        <v>0.914166753908226</v>
      </c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 t="s">
        <v>402</v>
      </c>
      <c r="AI203" s="18"/>
      <c r="AJ203" s="18" t="s">
        <v>678</v>
      </c>
    </row>
    <row r="204" customFormat="false" ht="15" hidden="false" customHeight="false" outlineLevel="0" collapsed="false">
      <c r="A204" s="18" t="s">
        <v>273</v>
      </c>
      <c r="B204" s="18" t="s">
        <v>679</v>
      </c>
      <c r="C204" s="18" t="s">
        <v>438</v>
      </c>
      <c r="D204" s="18" t="s">
        <v>324</v>
      </c>
      <c r="E204" s="18" t="s">
        <v>404</v>
      </c>
      <c r="F204" s="18" t="s">
        <v>401</v>
      </c>
      <c r="G204" s="18" t="n">
        <v>0.4</v>
      </c>
      <c r="H204" s="18" t="n">
        <v>2704</v>
      </c>
      <c r="I204" s="18" t="n">
        <v>113</v>
      </c>
      <c r="J204" s="18" t="n">
        <v>112</v>
      </c>
      <c r="K204" s="18" t="n">
        <v>0.00381774031886643</v>
      </c>
      <c r="L204" s="18" t="n">
        <v>0.0227237783210266</v>
      </c>
      <c r="M204" s="18" t="n">
        <v>0.16800640566599</v>
      </c>
      <c r="N204" s="18" t="n">
        <v>15.4551383656922</v>
      </c>
      <c r="O204" s="18" t="n">
        <v>0.86875705590914</v>
      </c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 t="s">
        <v>402</v>
      </c>
      <c r="AI204" s="18"/>
      <c r="AJ204" s="18" t="s">
        <v>680</v>
      </c>
    </row>
    <row r="205" customFormat="false" ht="15" hidden="false" customHeight="false" outlineLevel="0" collapsed="false">
      <c r="A205" s="18" t="s">
        <v>273</v>
      </c>
      <c r="B205" s="18" t="s">
        <v>681</v>
      </c>
      <c r="C205" s="18" t="s">
        <v>438</v>
      </c>
      <c r="D205" s="18" t="s">
        <v>324</v>
      </c>
      <c r="E205" s="18" t="s">
        <v>404</v>
      </c>
      <c r="F205" s="18" t="s">
        <v>401</v>
      </c>
      <c r="G205" s="18" t="n">
        <v>0.4</v>
      </c>
      <c r="H205" s="18" t="n">
        <v>2704</v>
      </c>
      <c r="I205" s="18" t="n">
        <v>113</v>
      </c>
      <c r="J205" s="18" t="n">
        <v>112</v>
      </c>
      <c r="K205" s="18" t="n">
        <v>-0.00618793610145672</v>
      </c>
      <c r="L205" s="18" t="n">
        <v>0.0207387613007878</v>
      </c>
      <c r="M205" s="18" t="n">
        <v>-0.298375395314554</v>
      </c>
      <c r="N205" s="18" t="n">
        <v>16.8621648813274</v>
      </c>
      <c r="O205" s="18" t="n">
        <v>0.769062156518973</v>
      </c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 t="s">
        <v>402</v>
      </c>
      <c r="AI205" s="18"/>
      <c r="AJ205" s="18" t="s">
        <v>682</v>
      </c>
    </row>
    <row r="206" customFormat="false" ht="15" hidden="false" customHeight="false" outlineLevel="0" collapsed="false">
      <c r="A206" s="18" t="s">
        <v>273</v>
      </c>
      <c r="B206" s="18" t="s">
        <v>683</v>
      </c>
      <c r="C206" s="18" t="s">
        <v>438</v>
      </c>
      <c r="D206" s="18" t="s">
        <v>324</v>
      </c>
      <c r="E206" s="18" t="s">
        <v>404</v>
      </c>
      <c r="F206" s="18" t="s">
        <v>401</v>
      </c>
      <c r="G206" s="18" t="n">
        <v>0.4</v>
      </c>
      <c r="H206" s="18" t="n">
        <v>2704</v>
      </c>
      <c r="I206" s="18" t="n">
        <v>113</v>
      </c>
      <c r="J206" s="18" t="n">
        <v>112</v>
      </c>
      <c r="K206" s="18" t="n">
        <v>0.0399690007628844</v>
      </c>
      <c r="L206" s="18" t="n">
        <v>0.0260353518172279</v>
      </c>
      <c r="M206" s="18" t="n">
        <v>1.53518189588805</v>
      </c>
      <c r="N206" s="18" t="n">
        <v>20.8363910581972</v>
      </c>
      <c r="O206" s="18" t="n">
        <v>0.139785188444271</v>
      </c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 t="s">
        <v>402</v>
      </c>
      <c r="AI206" s="18"/>
      <c r="AJ206" s="18" t="s">
        <v>684</v>
      </c>
    </row>
    <row r="207" customFormat="false" ht="15" hidden="false" customHeight="false" outlineLevel="0" collapsed="false">
      <c r="A207" s="18" t="s">
        <v>273</v>
      </c>
      <c r="B207" s="18" t="s">
        <v>685</v>
      </c>
      <c r="C207" s="18" t="s">
        <v>438</v>
      </c>
      <c r="D207" s="18" t="s">
        <v>324</v>
      </c>
      <c r="E207" s="18" t="s">
        <v>404</v>
      </c>
      <c r="F207" s="18" t="s">
        <v>401</v>
      </c>
      <c r="G207" s="18" t="n">
        <v>0.4</v>
      </c>
      <c r="H207" s="18" t="n">
        <v>2704</v>
      </c>
      <c r="I207" s="18" t="n">
        <v>113</v>
      </c>
      <c r="J207" s="18" t="n">
        <v>112</v>
      </c>
      <c r="K207" s="18" t="n">
        <v>0.0216771070526434</v>
      </c>
      <c r="L207" s="18" t="n">
        <v>0.0216781268624735</v>
      </c>
      <c r="M207" s="18" t="n">
        <v>0.999952956736685</v>
      </c>
      <c r="N207" s="18" t="n">
        <v>21.075014012943</v>
      </c>
      <c r="O207" s="18" t="n">
        <v>0.328676893704397</v>
      </c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 t="s">
        <v>402</v>
      </c>
      <c r="AI207" s="18"/>
      <c r="AJ207" s="18" t="s">
        <v>686</v>
      </c>
    </row>
    <row r="208" customFormat="false" ht="15" hidden="false" customHeight="false" outlineLevel="0" collapsed="false">
      <c r="A208" s="18" t="s">
        <v>273</v>
      </c>
      <c r="B208" s="18" t="s">
        <v>687</v>
      </c>
      <c r="C208" s="18" t="s">
        <v>438</v>
      </c>
      <c r="D208" s="18" t="s">
        <v>324</v>
      </c>
      <c r="E208" s="18" t="s">
        <v>404</v>
      </c>
      <c r="F208" s="18" t="s">
        <v>401</v>
      </c>
      <c r="G208" s="18" t="n">
        <v>0.4</v>
      </c>
      <c r="H208" s="18" t="n">
        <v>929</v>
      </c>
      <c r="I208" s="18" t="n">
        <v>40</v>
      </c>
      <c r="J208" s="18" t="n">
        <v>40</v>
      </c>
      <c r="K208" s="18" t="n">
        <v>-0.0160657014825367</v>
      </c>
      <c r="L208" s="18" t="n">
        <v>0.0184616192146003</v>
      </c>
      <c r="M208" s="18" t="n">
        <v>-0.870221690512999</v>
      </c>
      <c r="N208" s="18" t="n">
        <v>24.4161198259095</v>
      </c>
      <c r="O208" s="18" t="n">
        <v>0.392654684782016</v>
      </c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 t="s">
        <v>402</v>
      </c>
      <c r="AI208" s="18"/>
      <c r="AJ208" s="18" t="s">
        <v>688</v>
      </c>
    </row>
    <row r="209" customFormat="false" ht="15" hidden="false" customHeight="false" outlineLevel="0" collapsed="false">
      <c r="A209" s="18" t="s">
        <v>273</v>
      </c>
      <c r="B209" s="18" t="s">
        <v>689</v>
      </c>
      <c r="C209" s="18" t="s">
        <v>438</v>
      </c>
      <c r="D209" s="18" t="s">
        <v>324</v>
      </c>
      <c r="E209" s="18" t="s">
        <v>404</v>
      </c>
      <c r="F209" s="18" t="s">
        <v>401</v>
      </c>
      <c r="G209" s="18" t="n">
        <v>0.4</v>
      </c>
      <c r="H209" s="18" t="n">
        <v>2691</v>
      </c>
      <c r="I209" s="18" t="n">
        <v>113</v>
      </c>
      <c r="J209" s="18" t="n">
        <v>112</v>
      </c>
      <c r="K209" s="18" t="n">
        <v>-0.0136879426324463</v>
      </c>
      <c r="L209" s="18" t="n">
        <v>0.0108929715746371</v>
      </c>
      <c r="M209" s="18" t="n">
        <v>-1.25658481146842</v>
      </c>
      <c r="N209" s="18" t="n">
        <v>37.5154321335165</v>
      </c>
      <c r="O209" s="18" t="n">
        <v>0.216672270437823</v>
      </c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 t="s">
        <v>402</v>
      </c>
      <c r="AI209" s="18"/>
      <c r="AJ209" s="18" t="s">
        <v>690</v>
      </c>
    </row>
    <row r="210" customFormat="false" ht="15" hidden="false" customHeight="false" outlineLevel="0" collapsed="false">
      <c r="A210" s="18" t="s">
        <v>273</v>
      </c>
      <c r="B210" s="18" t="s">
        <v>691</v>
      </c>
      <c r="C210" s="18" t="s">
        <v>438</v>
      </c>
      <c r="D210" s="18" t="s">
        <v>324</v>
      </c>
      <c r="E210" s="18" t="s">
        <v>404</v>
      </c>
      <c r="F210" s="18" t="s">
        <v>401</v>
      </c>
      <c r="G210" s="18" t="n">
        <v>0.4</v>
      </c>
      <c r="H210" s="18" t="n">
        <v>2691</v>
      </c>
      <c r="I210" s="18" t="n">
        <v>113</v>
      </c>
      <c r="J210" s="18" t="n">
        <v>112</v>
      </c>
      <c r="K210" s="18" t="n">
        <v>-0.0127818267069102</v>
      </c>
      <c r="L210" s="18" t="n">
        <v>0.0115589294953288</v>
      </c>
      <c r="M210" s="18" t="n">
        <v>-1.10579675324394</v>
      </c>
      <c r="N210" s="18" t="n">
        <v>28.7690000853335</v>
      </c>
      <c r="O210" s="18" t="n">
        <v>0.277976323599746</v>
      </c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 t="s">
        <v>402</v>
      </c>
      <c r="AI210" s="18"/>
      <c r="AJ210" s="18" t="s">
        <v>692</v>
      </c>
    </row>
    <row r="211" customFormat="false" ht="15" hidden="false" customHeight="false" outlineLevel="0" collapsed="false">
      <c r="A211" s="18" t="s">
        <v>273</v>
      </c>
      <c r="B211" s="18" t="s">
        <v>693</v>
      </c>
      <c r="C211" s="18" t="s">
        <v>438</v>
      </c>
      <c r="D211" s="18" t="s">
        <v>324</v>
      </c>
      <c r="E211" s="18" t="s">
        <v>404</v>
      </c>
      <c r="F211" s="18" t="s">
        <v>401</v>
      </c>
      <c r="G211" s="18" t="n">
        <v>0.4</v>
      </c>
      <c r="H211" s="18" t="n">
        <v>2691</v>
      </c>
      <c r="I211" s="18" t="n">
        <v>113</v>
      </c>
      <c r="J211" s="18" t="n">
        <v>112</v>
      </c>
      <c r="K211" s="18" t="n">
        <v>0.000460261436169979</v>
      </c>
      <c r="L211" s="18" t="n">
        <v>0.0105410151634192</v>
      </c>
      <c r="M211" s="18" t="n">
        <v>0.0436638624491535</v>
      </c>
      <c r="N211" s="18" t="n">
        <v>35.9981383631188</v>
      </c>
      <c r="O211" s="18" t="n">
        <v>0.965413652776649</v>
      </c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 t="s">
        <v>402</v>
      </c>
      <c r="AI211" s="18"/>
      <c r="AJ211" s="18" t="s">
        <v>694</v>
      </c>
    </row>
    <row r="212" customFormat="false" ht="15" hidden="false" customHeight="false" outlineLevel="0" collapsed="false">
      <c r="A212" s="18" t="s">
        <v>273</v>
      </c>
      <c r="B212" s="18" t="s">
        <v>695</v>
      </c>
      <c r="C212" s="18" t="s">
        <v>438</v>
      </c>
      <c r="D212" s="18" t="s">
        <v>324</v>
      </c>
      <c r="E212" s="18" t="s">
        <v>404</v>
      </c>
      <c r="F212" s="18" t="s">
        <v>401</v>
      </c>
      <c r="G212" s="18" t="n">
        <v>0.4</v>
      </c>
      <c r="H212" s="18" t="n">
        <v>2691</v>
      </c>
      <c r="I212" s="18" t="n">
        <v>113</v>
      </c>
      <c r="J212" s="18" t="n">
        <v>112</v>
      </c>
      <c r="K212" s="18" t="n">
        <v>-0.0133866606422243</v>
      </c>
      <c r="L212" s="18" t="n">
        <v>0.0120888367048187</v>
      </c>
      <c r="M212" s="18" t="n">
        <v>-1.10735722295663</v>
      </c>
      <c r="N212" s="18" t="n">
        <v>25.1489201745998</v>
      </c>
      <c r="O212" s="18" t="n">
        <v>0.278618931462318</v>
      </c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 t="s">
        <v>402</v>
      </c>
      <c r="AI212" s="18"/>
      <c r="AJ212" s="18" t="s">
        <v>696</v>
      </c>
    </row>
    <row r="213" customFormat="false" ht="15" hidden="false" customHeight="false" outlineLevel="0" collapsed="false">
      <c r="A213" s="18" t="s">
        <v>273</v>
      </c>
      <c r="B213" s="18" t="s">
        <v>697</v>
      </c>
      <c r="C213" s="18" t="s">
        <v>438</v>
      </c>
      <c r="D213" s="18" t="s">
        <v>324</v>
      </c>
      <c r="E213" s="18" t="s">
        <v>404</v>
      </c>
      <c r="F213" s="18" t="s">
        <v>401</v>
      </c>
      <c r="G213" s="18" t="n">
        <v>0.4</v>
      </c>
      <c r="H213" s="18" t="n">
        <v>2691</v>
      </c>
      <c r="I213" s="18" t="n">
        <v>113</v>
      </c>
      <c r="J213" s="18" t="n">
        <v>112</v>
      </c>
      <c r="K213" s="18" t="n">
        <v>-0.0151590036756613</v>
      </c>
      <c r="L213" s="18" t="n">
        <v>0.0150247710181554</v>
      </c>
      <c r="M213" s="18" t="n">
        <v>-1.00893409006658</v>
      </c>
      <c r="N213" s="18" t="n">
        <v>18.256229259664</v>
      </c>
      <c r="O213" s="18" t="n">
        <v>0.326192500607675</v>
      </c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 t="s">
        <v>402</v>
      </c>
      <c r="AI213" s="18"/>
      <c r="AJ213" s="18" t="s">
        <v>698</v>
      </c>
    </row>
    <row r="214" customFormat="false" ht="15" hidden="false" customHeight="false" outlineLevel="0" collapsed="false">
      <c r="A214" s="18" t="s">
        <v>273</v>
      </c>
      <c r="B214" s="18" t="s">
        <v>699</v>
      </c>
      <c r="C214" s="18" t="s">
        <v>438</v>
      </c>
      <c r="D214" s="18" t="s">
        <v>324</v>
      </c>
      <c r="E214" s="18" t="s">
        <v>404</v>
      </c>
      <c r="F214" s="18" t="s">
        <v>401</v>
      </c>
      <c r="G214" s="18" t="n">
        <v>0.4</v>
      </c>
      <c r="H214" s="18" t="n">
        <v>2691</v>
      </c>
      <c r="I214" s="18" t="n">
        <v>113</v>
      </c>
      <c r="J214" s="18" t="n">
        <v>112</v>
      </c>
      <c r="K214" s="18" t="n">
        <v>-0.0142114009501634</v>
      </c>
      <c r="L214" s="18" t="n">
        <v>0.0161757021339462</v>
      </c>
      <c r="M214" s="18" t="n">
        <v>-0.878564703558645</v>
      </c>
      <c r="N214" s="18" t="n">
        <v>15.0098799146574</v>
      </c>
      <c r="O214" s="18" t="n">
        <v>0.393484515669207</v>
      </c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 t="s">
        <v>402</v>
      </c>
      <c r="AI214" s="18"/>
      <c r="AJ214" s="18" t="s">
        <v>700</v>
      </c>
    </row>
    <row r="215" customFormat="false" ht="15" hidden="false" customHeight="false" outlineLevel="0" collapsed="false">
      <c r="A215" s="18" t="s">
        <v>273</v>
      </c>
      <c r="B215" s="18" t="s">
        <v>701</v>
      </c>
      <c r="C215" s="18" t="s">
        <v>438</v>
      </c>
      <c r="D215" s="18" t="s">
        <v>324</v>
      </c>
      <c r="E215" s="18" t="s">
        <v>404</v>
      </c>
      <c r="F215" s="18" t="s">
        <v>401</v>
      </c>
      <c r="G215" s="18" t="n">
        <v>0.4</v>
      </c>
      <c r="H215" s="18" t="n">
        <v>2691</v>
      </c>
      <c r="I215" s="18" t="n">
        <v>113</v>
      </c>
      <c r="J215" s="18" t="n">
        <v>112</v>
      </c>
      <c r="K215" s="18" t="n">
        <v>0.0035883504495843</v>
      </c>
      <c r="L215" s="18" t="n">
        <v>0.00912292488536723</v>
      </c>
      <c r="M215" s="18" t="n">
        <v>0.393333332749441</v>
      </c>
      <c r="N215" s="18" t="n">
        <v>42.3303608130445</v>
      </c>
      <c r="O215" s="18" t="n">
        <v>0.696047435505353</v>
      </c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 t="s">
        <v>402</v>
      </c>
      <c r="AI215" s="18"/>
      <c r="AJ215" s="18" t="s">
        <v>702</v>
      </c>
    </row>
    <row r="216" customFormat="false" ht="15" hidden="false" customHeight="false" outlineLevel="0" collapsed="false">
      <c r="A216" s="18" t="s">
        <v>273</v>
      </c>
      <c r="B216" s="18" t="s">
        <v>703</v>
      </c>
      <c r="C216" s="18" t="s">
        <v>438</v>
      </c>
      <c r="D216" s="18" t="s">
        <v>324</v>
      </c>
      <c r="E216" s="18" t="s">
        <v>404</v>
      </c>
      <c r="F216" s="18" t="s">
        <v>401</v>
      </c>
      <c r="G216" s="18" t="n">
        <v>0.4</v>
      </c>
      <c r="H216" s="18" t="n">
        <v>2691</v>
      </c>
      <c r="I216" s="18" t="n">
        <v>113</v>
      </c>
      <c r="J216" s="18" t="n">
        <v>112</v>
      </c>
      <c r="K216" s="18" t="n">
        <v>0.0118111673003536</v>
      </c>
      <c r="L216" s="18" t="n">
        <v>0.00876780832409651</v>
      </c>
      <c r="M216" s="18" t="n">
        <v>1.34710601141828</v>
      </c>
      <c r="N216" s="18" t="n">
        <v>56.0616243688841</v>
      </c>
      <c r="O216" s="18" t="n">
        <v>0.183366182677109</v>
      </c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 t="s">
        <v>402</v>
      </c>
      <c r="AI216" s="18"/>
      <c r="AJ216" s="18" t="s">
        <v>704</v>
      </c>
    </row>
    <row r="217" customFormat="false" ht="15" hidden="false" customHeight="false" outlineLevel="0" collapsed="false">
      <c r="A217" s="18" t="s">
        <v>273</v>
      </c>
      <c r="B217" s="18" t="s">
        <v>705</v>
      </c>
      <c r="C217" s="18" t="s">
        <v>438</v>
      </c>
      <c r="D217" s="18" t="s">
        <v>324</v>
      </c>
      <c r="E217" s="18" t="s">
        <v>404</v>
      </c>
      <c r="F217" s="18" t="s">
        <v>401</v>
      </c>
      <c r="G217" s="18" t="n">
        <v>0.4</v>
      </c>
      <c r="H217" s="18" t="n">
        <v>2691</v>
      </c>
      <c r="I217" s="18" t="n">
        <v>113</v>
      </c>
      <c r="J217" s="18" t="n">
        <v>112</v>
      </c>
      <c r="K217" s="18" t="n">
        <v>-0.000223161989259937</v>
      </c>
      <c r="L217" s="18" t="n">
        <v>0.00917829437973699</v>
      </c>
      <c r="M217" s="18" t="n">
        <v>-0.0243141023840567</v>
      </c>
      <c r="N217" s="18" t="n">
        <v>62.4685503264424</v>
      </c>
      <c r="O217" s="18" t="n">
        <v>0.980679567218398</v>
      </c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 t="s">
        <v>402</v>
      </c>
      <c r="AI217" s="18"/>
      <c r="AJ217" s="18" t="s">
        <v>706</v>
      </c>
    </row>
    <row r="218" customFormat="false" ht="15" hidden="false" customHeight="false" outlineLevel="0" collapsed="false">
      <c r="A218" s="18" t="s">
        <v>273</v>
      </c>
      <c r="B218" s="18" t="s">
        <v>707</v>
      </c>
      <c r="C218" s="18" t="s">
        <v>438</v>
      </c>
      <c r="D218" s="18" t="s">
        <v>324</v>
      </c>
      <c r="E218" s="18" t="s">
        <v>404</v>
      </c>
      <c r="F218" s="18" t="s">
        <v>401</v>
      </c>
      <c r="G218" s="18" t="n">
        <v>0.4</v>
      </c>
      <c r="H218" s="18" t="n">
        <v>924</v>
      </c>
      <c r="I218" s="18" t="n">
        <v>40</v>
      </c>
      <c r="J218" s="18" t="n">
        <v>40</v>
      </c>
      <c r="K218" s="18" t="n">
        <v>-0.0233859552889815</v>
      </c>
      <c r="L218" s="18" t="n">
        <v>0.0199802257115918</v>
      </c>
      <c r="M218" s="18" t="n">
        <v>-1.1704550101961</v>
      </c>
      <c r="N218" s="18" t="n">
        <v>24.4581516230757</v>
      </c>
      <c r="O218" s="18" t="n">
        <v>0.253096530586825</v>
      </c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 t="s">
        <v>402</v>
      </c>
      <c r="AI218" s="18"/>
      <c r="AJ218" s="18" t="s">
        <v>708</v>
      </c>
    </row>
    <row r="219" customFormat="false" ht="15" hidden="false" customHeight="false" outlineLevel="0" collapsed="false">
      <c r="A219" s="18" t="s">
        <v>273</v>
      </c>
      <c r="B219" s="18" t="s">
        <v>709</v>
      </c>
      <c r="C219" s="18" t="s">
        <v>438</v>
      </c>
      <c r="D219" s="18" t="s">
        <v>324</v>
      </c>
      <c r="E219" s="18" t="s">
        <v>404</v>
      </c>
      <c r="F219" s="18" t="s">
        <v>401</v>
      </c>
      <c r="G219" s="18" t="n">
        <v>0.4</v>
      </c>
      <c r="H219" s="18" t="n">
        <v>2704</v>
      </c>
      <c r="I219" s="18" t="n">
        <v>113</v>
      </c>
      <c r="J219" s="18" t="n">
        <v>112</v>
      </c>
      <c r="K219" s="18" t="n">
        <v>-0.00980223564209983</v>
      </c>
      <c r="L219" s="18" t="n">
        <v>0.0114834513390629</v>
      </c>
      <c r="M219" s="18" t="n">
        <v>-0.85359665423546</v>
      </c>
      <c r="N219" s="18" t="n">
        <v>31.5917572594826</v>
      </c>
      <c r="O219" s="18" t="n">
        <v>0.399754681771229</v>
      </c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 t="s">
        <v>402</v>
      </c>
      <c r="AI219" s="18"/>
      <c r="AJ219" s="18" t="s">
        <v>710</v>
      </c>
    </row>
    <row r="220" customFormat="false" ht="15" hidden="false" customHeight="false" outlineLevel="0" collapsed="false">
      <c r="A220" s="18" t="s">
        <v>273</v>
      </c>
      <c r="B220" s="18" t="s">
        <v>711</v>
      </c>
      <c r="C220" s="18" t="s">
        <v>438</v>
      </c>
      <c r="D220" s="18" t="s">
        <v>324</v>
      </c>
      <c r="E220" s="18" t="s">
        <v>404</v>
      </c>
      <c r="F220" s="18" t="s">
        <v>401</v>
      </c>
      <c r="G220" s="18" t="n">
        <v>0.4</v>
      </c>
      <c r="H220" s="18" t="n">
        <v>2704</v>
      </c>
      <c r="I220" s="18" t="n">
        <v>113</v>
      </c>
      <c r="J220" s="18" t="n">
        <v>112</v>
      </c>
      <c r="K220" s="18" t="n">
        <v>-0.00791067208698439</v>
      </c>
      <c r="L220" s="18" t="n">
        <v>0.0119181043826393</v>
      </c>
      <c r="M220" s="18" t="n">
        <v>-0.663752542602967</v>
      </c>
      <c r="N220" s="18" t="n">
        <v>24.4703931257336</v>
      </c>
      <c r="O220" s="18" t="n">
        <v>0.513054359184027</v>
      </c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 t="s">
        <v>402</v>
      </c>
      <c r="AI220" s="18"/>
      <c r="AJ220" s="18" t="s">
        <v>712</v>
      </c>
    </row>
    <row r="221" customFormat="false" ht="15" hidden="false" customHeight="false" outlineLevel="0" collapsed="false">
      <c r="A221" s="18" t="s">
        <v>273</v>
      </c>
      <c r="B221" s="18" t="s">
        <v>713</v>
      </c>
      <c r="C221" s="18" t="s">
        <v>438</v>
      </c>
      <c r="D221" s="18" t="s">
        <v>324</v>
      </c>
      <c r="E221" s="18" t="s">
        <v>404</v>
      </c>
      <c r="F221" s="18" t="s">
        <v>401</v>
      </c>
      <c r="G221" s="18" t="n">
        <v>0.4</v>
      </c>
      <c r="H221" s="18" t="n">
        <v>2704</v>
      </c>
      <c r="I221" s="18" t="n">
        <v>113</v>
      </c>
      <c r="J221" s="18" t="n">
        <v>112</v>
      </c>
      <c r="K221" s="18" t="n">
        <v>0.000880372277194695</v>
      </c>
      <c r="L221" s="18" t="n">
        <v>0.0108036364390434</v>
      </c>
      <c r="M221" s="18" t="n">
        <v>0.0814885138131</v>
      </c>
      <c r="N221" s="18" t="n">
        <v>36.8881546259287</v>
      </c>
      <c r="O221" s="18" t="n">
        <v>0.935494005659397</v>
      </c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 t="s">
        <v>402</v>
      </c>
      <c r="AI221" s="18"/>
      <c r="AJ221" s="18" t="s">
        <v>714</v>
      </c>
    </row>
    <row r="222" customFormat="false" ht="15" hidden="false" customHeight="false" outlineLevel="0" collapsed="false">
      <c r="A222" s="18" t="s">
        <v>273</v>
      </c>
      <c r="B222" s="18" t="s">
        <v>715</v>
      </c>
      <c r="C222" s="18" t="s">
        <v>438</v>
      </c>
      <c r="D222" s="18" t="s">
        <v>324</v>
      </c>
      <c r="E222" s="18" t="s">
        <v>404</v>
      </c>
      <c r="F222" s="18" t="s">
        <v>401</v>
      </c>
      <c r="G222" s="18" t="n">
        <v>0.4</v>
      </c>
      <c r="H222" s="18" t="n">
        <v>2704</v>
      </c>
      <c r="I222" s="18" t="n">
        <v>113</v>
      </c>
      <c r="J222" s="18" t="n">
        <v>112</v>
      </c>
      <c r="K222" s="18" t="n">
        <v>-0.00872271708663906</v>
      </c>
      <c r="L222" s="18" t="n">
        <v>0.0125077963267592</v>
      </c>
      <c r="M222" s="18" t="n">
        <v>-0.697382405242536</v>
      </c>
      <c r="N222" s="18" t="n">
        <v>21.3993567606677</v>
      </c>
      <c r="O222" s="18" t="n">
        <v>0.493071370473369</v>
      </c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 t="s">
        <v>402</v>
      </c>
      <c r="AI222" s="18"/>
      <c r="AJ222" s="18" t="s">
        <v>716</v>
      </c>
    </row>
    <row r="223" customFormat="false" ht="15" hidden="false" customHeight="false" outlineLevel="0" collapsed="false">
      <c r="A223" s="18" t="s">
        <v>273</v>
      </c>
      <c r="B223" s="18" t="s">
        <v>717</v>
      </c>
      <c r="C223" s="18" t="s">
        <v>438</v>
      </c>
      <c r="D223" s="18" t="s">
        <v>324</v>
      </c>
      <c r="E223" s="18" t="s">
        <v>404</v>
      </c>
      <c r="F223" s="18" t="s">
        <v>401</v>
      </c>
      <c r="G223" s="18" t="n">
        <v>0.4</v>
      </c>
      <c r="H223" s="18" t="n">
        <v>2704</v>
      </c>
      <c r="I223" s="18" t="n">
        <v>113</v>
      </c>
      <c r="J223" s="18" t="n">
        <v>112</v>
      </c>
      <c r="K223" s="18" t="n">
        <v>-0.0114955506019427</v>
      </c>
      <c r="L223" s="18" t="n">
        <v>0.0151104938502639</v>
      </c>
      <c r="M223" s="18" t="n">
        <v>-0.760766042186102</v>
      </c>
      <c r="N223" s="18" t="n">
        <v>18.3295954708411</v>
      </c>
      <c r="O223" s="18" t="n">
        <v>0.456472755767695</v>
      </c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 t="s">
        <v>402</v>
      </c>
      <c r="AI223" s="18"/>
      <c r="AJ223" s="18" t="s">
        <v>718</v>
      </c>
    </row>
    <row r="224" customFormat="false" ht="15" hidden="false" customHeight="false" outlineLevel="0" collapsed="false">
      <c r="A224" s="18" t="s">
        <v>273</v>
      </c>
      <c r="B224" s="18" t="s">
        <v>719</v>
      </c>
      <c r="C224" s="18" t="s">
        <v>438</v>
      </c>
      <c r="D224" s="18" t="s">
        <v>324</v>
      </c>
      <c r="E224" s="18" t="s">
        <v>404</v>
      </c>
      <c r="F224" s="18" t="s">
        <v>401</v>
      </c>
      <c r="G224" s="18" t="n">
        <v>0.4</v>
      </c>
      <c r="H224" s="18" t="n">
        <v>2704</v>
      </c>
      <c r="I224" s="18" t="n">
        <v>113</v>
      </c>
      <c r="J224" s="18" t="n">
        <v>112</v>
      </c>
      <c r="K224" s="18" t="n">
        <v>-0.010339976633652</v>
      </c>
      <c r="L224" s="18" t="n">
        <v>0.0162317029608395</v>
      </c>
      <c r="M224" s="18" t="n">
        <v>-0.637023524801933</v>
      </c>
      <c r="N224" s="18" t="n">
        <v>15.0743165840089</v>
      </c>
      <c r="O224" s="18" t="n">
        <v>0.533665215266458</v>
      </c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 t="s">
        <v>402</v>
      </c>
      <c r="AI224" s="18"/>
      <c r="AJ224" s="18" t="s">
        <v>720</v>
      </c>
    </row>
    <row r="225" customFormat="false" ht="15" hidden="false" customHeight="false" outlineLevel="0" collapsed="false">
      <c r="A225" s="18" t="s">
        <v>273</v>
      </c>
      <c r="B225" s="18" t="s">
        <v>721</v>
      </c>
      <c r="C225" s="18" t="s">
        <v>438</v>
      </c>
      <c r="D225" s="18" t="s">
        <v>324</v>
      </c>
      <c r="E225" s="18" t="s">
        <v>404</v>
      </c>
      <c r="F225" s="18" t="s">
        <v>401</v>
      </c>
      <c r="G225" s="18" t="n">
        <v>0.4</v>
      </c>
      <c r="H225" s="18" t="n">
        <v>2704</v>
      </c>
      <c r="I225" s="18" t="n">
        <v>113</v>
      </c>
      <c r="J225" s="18" t="n">
        <v>112</v>
      </c>
      <c r="K225" s="18" t="n">
        <v>0.00642969388580714</v>
      </c>
      <c r="L225" s="18" t="n">
        <v>0.00957973943913047</v>
      </c>
      <c r="M225" s="18" t="n">
        <v>0.671176280593154</v>
      </c>
      <c r="N225" s="18" t="n">
        <v>35.5705986775679</v>
      </c>
      <c r="O225" s="18" t="n">
        <v>0.50644366061965</v>
      </c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 t="s">
        <v>402</v>
      </c>
      <c r="AI225" s="18"/>
      <c r="AJ225" s="18" t="s">
        <v>722</v>
      </c>
    </row>
    <row r="226" customFormat="false" ht="15" hidden="false" customHeight="false" outlineLevel="0" collapsed="false">
      <c r="A226" s="18" t="s">
        <v>273</v>
      </c>
      <c r="B226" s="18" t="s">
        <v>723</v>
      </c>
      <c r="C226" s="18" t="s">
        <v>438</v>
      </c>
      <c r="D226" s="18" t="s">
        <v>324</v>
      </c>
      <c r="E226" s="18" t="s">
        <v>404</v>
      </c>
      <c r="F226" s="18" t="s">
        <v>401</v>
      </c>
      <c r="G226" s="18" t="n">
        <v>0.4</v>
      </c>
      <c r="H226" s="18" t="n">
        <v>2704</v>
      </c>
      <c r="I226" s="18" t="n">
        <v>113</v>
      </c>
      <c r="J226" s="18" t="n">
        <v>112</v>
      </c>
      <c r="K226" s="18" t="n">
        <v>0.0182627964167096</v>
      </c>
      <c r="L226" s="18" t="n">
        <v>0.00917264746780051</v>
      </c>
      <c r="M226" s="18" t="n">
        <v>1.99100602970069</v>
      </c>
      <c r="N226" s="18" t="n">
        <v>47.0960727113396</v>
      </c>
      <c r="O226" s="18" t="n">
        <v>0.0522994669746514</v>
      </c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 t="s">
        <v>402</v>
      </c>
      <c r="AI226" s="18"/>
      <c r="AJ226" s="18" t="s">
        <v>724</v>
      </c>
    </row>
    <row r="227" customFormat="false" ht="15" hidden="false" customHeight="false" outlineLevel="0" collapsed="false">
      <c r="A227" s="18" t="s">
        <v>273</v>
      </c>
      <c r="B227" s="18" t="s">
        <v>725</v>
      </c>
      <c r="C227" s="18" t="s">
        <v>438</v>
      </c>
      <c r="D227" s="18" t="s">
        <v>324</v>
      </c>
      <c r="E227" s="18" t="s">
        <v>404</v>
      </c>
      <c r="F227" s="18" t="s">
        <v>401</v>
      </c>
      <c r="G227" s="18" t="n">
        <v>0.4</v>
      </c>
      <c r="H227" s="18" t="n">
        <v>2704</v>
      </c>
      <c r="I227" s="18" t="n">
        <v>113</v>
      </c>
      <c r="J227" s="18" t="n">
        <v>112</v>
      </c>
      <c r="K227" s="18" t="n">
        <v>0.00546915913985711</v>
      </c>
      <c r="L227" s="18" t="n">
        <v>0.00933199270179475</v>
      </c>
      <c r="M227" s="18" t="n">
        <v>0.586065518332999</v>
      </c>
      <c r="N227" s="18" t="n">
        <v>50.8697490067042</v>
      </c>
      <c r="O227" s="18" t="n">
        <v>0.560423004368364</v>
      </c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 t="s">
        <v>402</v>
      </c>
      <c r="AI227" s="18"/>
      <c r="AJ227" s="18" t="s">
        <v>726</v>
      </c>
    </row>
    <row r="228" customFormat="false" ht="15" hidden="false" customHeight="false" outlineLevel="0" collapsed="false">
      <c r="A228" s="18" t="s">
        <v>273</v>
      </c>
      <c r="B228" s="18" t="s">
        <v>727</v>
      </c>
      <c r="C228" s="18" t="s">
        <v>438</v>
      </c>
      <c r="D228" s="18" t="s">
        <v>324</v>
      </c>
      <c r="E228" s="18" t="s">
        <v>404</v>
      </c>
      <c r="F228" s="18" t="s">
        <v>401</v>
      </c>
      <c r="G228" s="18" t="n">
        <v>0.4</v>
      </c>
      <c r="H228" s="18" t="n">
        <v>929</v>
      </c>
      <c r="I228" s="18" t="n">
        <v>40</v>
      </c>
      <c r="J228" s="18" t="n">
        <v>40</v>
      </c>
      <c r="K228" s="18" t="n">
        <v>-0.0187546093377466</v>
      </c>
      <c r="L228" s="18" t="n">
        <v>0.019387408373321</v>
      </c>
      <c r="M228" s="18" t="n">
        <v>-0.967360308124256</v>
      </c>
      <c r="N228" s="18" t="n">
        <v>24.3897999462664</v>
      </c>
      <c r="O228" s="18" t="n">
        <v>0.342859218942573</v>
      </c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 t="s">
        <v>402</v>
      </c>
      <c r="AI228" s="18"/>
      <c r="AJ228" s="18" t="s">
        <v>728</v>
      </c>
    </row>
    <row r="229" customFormat="false" ht="15" hidden="false" customHeight="false" outlineLevel="0" collapsed="false">
      <c r="A229" s="18" t="s">
        <v>273</v>
      </c>
      <c r="B229" s="18" t="s">
        <v>729</v>
      </c>
      <c r="C229" s="18" t="s">
        <v>438</v>
      </c>
      <c r="D229" s="18" t="s">
        <v>324</v>
      </c>
      <c r="E229" s="18" t="s">
        <v>404</v>
      </c>
      <c r="F229" s="18" t="s">
        <v>401</v>
      </c>
      <c r="G229" s="18" t="n">
        <v>0.4</v>
      </c>
      <c r="H229" s="18" t="n">
        <v>2606</v>
      </c>
      <c r="I229" s="18" t="n">
        <v>110</v>
      </c>
      <c r="J229" s="18" t="n">
        <v>109</v>
      </c>
      <c r="K229" s="18" t="n">
        <v>0.00595204934651261</v>
      </c>
      <c r="L229" s="18" t="n">
        <v>0.0192354581066204</v>
      </c>
      <c r="M229" s="18" t="n">
        <v>0.309431120045124</v>
      </c>
      <c r="N229" s="18" t="n">
        <v>13.5766653992959</v>
      </c>
      <c r="O229" s="18" t="n">
        <v>0.761691538862215</v>
      </c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 t="s">
        <v>402</v>
      </c>
      <c r="AI229" s="18"/>
      <c r="AJ229" s="18" t="s">
        <v>730</v>
      </c>
    </row>
    <row r="230" customFormat="false" ht="15" hidden="false" customHeight="false" outlineLevel="0" collapsed="false">
      <c r="A230" s="18" t="s">
        <v>273</v>
      </c>
      <c r="B230" s="18" t="s">
        <v>731</v>
      </c>
      <c r="C230" s="18" t="s">
        <v>438</v>
      </c>
      <c r="D230" s="18" t="s">
        <v>324</v>
      </c>
      <c r="E230" s="18" t="s">
        <v>404</v>
      </c>
      <c r="F230" s="18" t="s">
        <v>401</v>
      </c>
      <c r="G230" s="18" t="n">
        <v>0.4</v>
      </c>
      <c r="H230" s="18" t="n">
        <v>2606</v>
      </c>
      <c r="I230" s="18" t="n">
        <v>110</v>
      </c>
      <c r="J230" s="18" t="n">
        <v>109</v>
      </c>
      <c r="K230" s="18" t="n">
        <v>0.00556024978599307</v>
      </c>
      <c r="L230" s="18" t="n">
        <v>0.0189680005429382</v>
      </c>
      <c r="M230" s="18" t="n">
        <v>0.293138424021353</v>
      </c>
      <c r="N230" s="18" t="n">
        <v>11.1834948708661</v>
      </c>
      <c r="O230" s="18" t="n">
        <v>0.77478427884088</v>
      </c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 t="s">
        <v>402</v>
      </c>
      <c r="AI230" s="18"/>
      <c r="AJ230" s="18" t="s">
        <v>732</v>
      </c>
    </row>
    <row r="231" customFormat="false" ht="15" hidden="false" customHeight="false" outlineLevel="0" collapsed="false">
      <c r="A231" s="18" t="s">
        <v>273</v>
      </c>
      <c r="B231" s="18" t="s">
        <v>733</v>
      </c>
      <c r="C231" s="18" t="s">
        <v>438</v>
      </c>
      <c r="D231" s="18" t="s">
        <v>324</v>
      </c>
      <c r="E231" s="18" t="s">
        <v>404</v>
      </c>
      <c r="F231" s="18" t="s">
        <v>401</v>
      </c>
      <c r="G231" s="18" t="n">
        <v>0.4</v>
      </c>
      <c r="H231" s="18" t="n">
        <v>2606</v>
      </c>
      <c r="I231" s="18" t="n">
        <v>110</v>
      </c>
      <c r="J231" s="18" t="n">
        <v>109</v>
      </c>
      <c r="K231" s="18" t="n">
        <v>-0.0187697904349955</v>
      </c>
      <c r="L231" s="18" t="n">
        <v>0.0219779997742835</v>
      </c>
      <c r="M231" s="18" t="n">
        <v>-0.854026327589558</v>
      </c>
      <c r="N231" s="18" t="n">
        <v>37.4379305010495</v>
      </c>
      <c r="O231" s="18" t="n">
        <v>0.398522208105823</v>
      </c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 t="s">
        <v>402</v>
      </c>
      <c r="AI231" s="18"/>
      <c r="AJ231" s="18" t="s">
        <v>734</v>
      </c>
    </row>
    <row r="232" customFormat="false" ht="15" hidden="false" customHeight="false" outlineLevel="0" collapsed="false">
      <c r="A232" s="18" t="s">
        <v>273</v>
      </c>
      <c r="B232" s="18" t="s">
        <v>735</v>
      </c>
      <c r="C232" s="18" t="s">
        <v>438</v>
      </c>
      <c r="D232" s="18" t="s">
        <v>324</v>
      </c>
      <c r="E232" s="18" t="s">
        <v>404</v>
      </c>
      <c r="F232" s="18" t="s">
        <v>401</v>
      </c>
      <c r="G232" s="18" t="n">
        <v>0.4</v>
      </c>
      <c r="H232" s="18" t="n">
        <v>2606</v>
      </c>
      <c r="I232" s="18" t="n">
        <v>110</v>
      </c>
      <c r="J232" s="18" t="n">
        <v>109</v>
      </c>
      <c r="K232" s="18" t="n">
        <v>0.00370535044781611</v>
      </c>
      <c r="L232" s="18" t="n">
        <v>0.0193642983946946</v>
      </c>
      <c r="M232" s="18" t="n">
        <v>0.191349584286065</v>
      </c>
      <c r="N232" s="18" t="n">
        <v>9.92296926712293</v>
      </c>
      <c r="O232" s="18" t="n">
        <v>0.852110300544773</v>
      </c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 t="s">
        <v>402</v>
      </c>
      <c r="AI232" s="18"/>
      <c r="AJ232" s="18" t="s">
        <v>736</v>
      </c>
    </row>
    <row r="233" customFormat="false" ht="15" hidden="false" customHeight="false" outlineLevel="0" collapsed="false">
      <c r="A233" s="18" t="s">
        <v>273</v>
      </c>
      <c r="B233" s="18" t="s">
        <v>737</v>
      </c>
      <c r="C233" s="18" t="s">
        <v>438</v>
      </c>
      <c r="D233" s="18" t="s">
        <v>324</v>
      </c>
      <c r="E233" s="18" t="s">
        <v>404</v>
      </c>
      <c r="F233" s="18" t="s">
        <v>401</v>
      </c>
      <c r="G233" s="18" t="n">
        <v>0.4</v>
      </c>
      <c r="H233" s="18" t="n">
        <v>2606</v>
      </c>
      <c r="I233" s="18" t="n">
        <v>110</v>
      </c>
      <c r="J233" s="18" t="n">
        <v>109</v>
      </c>
      <c r="K233" s="18" t="n">
        <v>-0.00382235732494493</v>
      </c>
      <c r="L233" s="18" t="n">
        <v>0.0228689798545423</v>
      </c>
      <c r="M233" s="18" t="n">
        <v>-0.167141575586535</v>
      </c>
      <c r="N233" s="18" t="n">
        <v>18.9558501903081</v>
      </c>
      <c r="O233" s="18" t="n">
        <v>0.869028794583237</v>
      </c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 t="s">
        <v>402</v>
      </c>
      <c r="AI233" s="18"/>
      <c r="AJ233" s="18" t="s">
        <v>738</v>
      </c>
    </row>
    <row r="234" customFormat="false" ht="15" hidden="false" customHeight="false" outlineLevel="0" collapsed="false">
      <c r="A234" s="18" t="s">
        <v>273</v>
      </c>
      <c r="B234" s="18" t="s">
        <v>739</v>
      </c>
      <c r="C234" s="18" t="s">
        <v>438</v>
      </c>
      <c r="D234" s="18" t="s">
        <v>324</v>
      </c>
      <c r="E234" s="18" t="s">
        <v>404</v>
      </c>
      <c r="F234" s="18" t="s">
        <v>401</v>
      </c>
      <c r="G234" s="18" t="n">
        <v>0.4</v>
      </c>
      <c r="H234" s="18" t="n">
        <v>2606</v>
      </c>
      <c r="I234" s="18" t="n">
        <v>110</v>
      </c>
      <c r="J234" s="18" t="n">
        <v>109</v>
      </c>
      <c r="K234" s="18" t="n">
        <v>-0.00286610991589116</v>
      </c>
      <c r="L234" s="18" t="n">
        <v>0.0233696112740452</v>
      </c>
      <c r="M234" s="18" t="n">
        <v>-0.122642601208961</v>
      </c>
      <c r="N234" s="18" t="n">
        <v>15.5713460944923</v>
      </c>
      <c r="O234" s="18" t="n">
        <v>0.903959046587213</v>
      </c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 t="s">
        <v>402</v>
      </c>
      <c r="AI234" s="18"/>
      <c r="AJ234" s="18" t="s">
        <v>740</v>
      </c>
    </row>
    <row r="235" customFormat="false" ht="15" hidden="false" customHeight="false" outlineLevel="0" collapsed="false">
      <c r="A235" s="18" t="s">
        <v>273</v>
      </c>
      <c r="B235" s="18" t="s">
        <v>741</v>
      </c>
      <c r="C235" s="18" t="s">
        <v>438</v>
      </c>
      <c r="D235" s="18" t="s">
        <v>324</v>
      </c>
      <c r="E235" s="18" t="s">
        <v>404</v>
      </c>
      <c r="F235" s="18" t="s">
        <v>401</v>
      </c>
      <c r="G235" s="18" t="n">
        <v>0.4</v>
      </c>
      <c r="H235" s="18" t="n">
        <v>2606</v>
      </c>
      <c r="I235" s="18" t="n">
        <v>110</v>
      </c>
      <c r="J235" s="18" t="n">
        <v>109</v>
      </c>
      <c r="K235" s="18" t="n">
        <v>-0.0125417823547465</v>
      </c>
      <c r="L235" s="18" t="n">
        <v>0.02256871016557</v>
      </c>
      <c r="M235" s="18" t="n">
        <v>-0.555715513325159</v>
      </c>
      <c r="N235" s="18" t="n">
        <v>15.2580415853561</v>
      </c>
      <c r="O235" s="18" t="n">
        <v>0.586462234345165</v>
      </c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 t="s">
        <v>402</v>
      </c>
      <c r="AI235" s="18"/>
      <c r="AJ235" s="18" t="s">
        <v>742</v>
      </c>
    </row>
    <row r="236" customFormat="false" ht="15" hidden="false" customHeight="false" outlineLevel="0" collapsed="false">
      <c r="A236" s="18" t="s">
        <v>273</v>
      </c>
      <c r="B236" s="18" t="s">
        <v>743</v>
      </c>
      <c r="C236" s="18" t="s">
        <v>438</v>
      </c>
      <c r="D236" s="18" t="s">
        <v>324</v>
      </c>
      <c r="E236" s="18" t="s">
        <v>404</v>
      </c>
      <c r="F236" s="18" t="s">
        <v>401</v>
      </c>
      <c r="G236" s="18" t="n">
        <v>0.4</v>
      </c>
      <c r="H236" s="18" t="n">
        <v>2606</v>
      </c>
      <c r="I236" s="18" t="n">
        <v>110</v>
      </c>
      <c r="J236" s="18" t="n">
        <v>109</v>
      </c>
      <c r="K236" s="18" t="n">
        <v>0.0359949576484369</v>
      </c>
      <c r="L236" s="18" t="n">
        <v>0.0272333271795092</v>
      </c>
      <c r="M236" s="18" t="n">
        <v>1.32172456972206</v>
      </c>
      <c r="N236" s="18" t="n">
        <v>18.9360973610719</v>
      </c>
      <c r="O236" s="18" t="n">
        <v>0.202006430996066</v>
      </c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 t="s">
        <v>402</v>
      </c>
      <c r="AI236" s="18"/>
      <c r="AJ236" s="18" t="s">
        <v>744</v>
      </c>
    </row>
    <row r="237" customFormat="false" ht="15" hidden="false" customHeight="false" outlineLevel="0" collapsed="false">
      <c r="A237" s="18" t="s">
        <v>273</v>
      </c>
      <c r="B237" s="18" t="s">
        <v>745</v>
      </c>
      <c r="C237" s="18" t="s">
        <v>438</v>
      </c>
      <c r="D237" s="18" t="s">
        <v>324</v>
      </c>
      <c r="E237" s="18" t="s">
        <v>404</v>
      </c>
      <c r="F237" s="18" t="s">
        <v>401</v>
      </c>
      <c r="G237" s="18" t="n">
        <v>0.4</v>
      </c>
      <c r="H237" s="18" t="n">
        <v>2606</v>
      </c>
      <c r="I237" s="18" t="n">
        <v>110</v>
      </c>
      <c r="J237" s="18" t="n">
        <v>109</v>
      </c>
      <c r="K237" s="18" t="n">
        <v>0.0180692864282432</v>
      </c>
      <c r="L237" s="18" t="n">
        <v>0.0226001915266817</v>
      </c>
      <c r="M237" s="18" t="n">
        <v>0.799519172521643</v>
      </c>
      <c r="N237" s="18" t="n">
        <v>19.4518612153155</v>
      </c>
      <c r="O237" s="18" t="n">
        <v>0.433644824892072</v>
      </c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 t="s">
        <v>402</v>
      </c>
      <c r="AI237" s="18"/>
      <c r="AJ237" s="18" t="s">
        <v>746</v>
      </c>
    </row>
    <row r="238" customFormat="false" ht="15" hidden="false" customHeight="false" outlineLevel="0" collapsed="false">
      <c r="A238" s="18" t="s">
        <v>273</v>
      </c>
      <c r="B238" s="18" t="s">
        <v>747</v>
      </c>
      <c r="C238" s="18" t="s">
        <v>438</v>
      </c>
      <c r="D238" s="18" t="s">
        <v>324</v>
      </c>
      <c r="E238" s="18" t="s">
        <v>404</v>
      </c>
      <c r="F238" s="18" t="s">
        <v>401</v>
      </c>
      <c r="G238" s="18" t="n">
        <v>0.4</v>
      </c>
      <c r="H238" s="18" t="n">
        <v>905</v>
      </c>
      <c r="I238" s="18" t="n">
        <v>38</v>
      </c>
      <c r="J238" s="18" t="n">
        <v>38</v>
      </c>
      <c r="K238" s="18" t="n">
        <v>-0.0217748027551919</v>
      </c>
      <c r="L238" s="18" t="n">
        <v>0.0191049128927302</v>
      </c>
      <c r="M238" s="18" t="n">
        <v>-1.13974886341815</v>
      </c>
      <c r="N238" s="18" t="n">
        <v>24.9546008082302</v>
      </c>
      <c r="O238" s="18" t="n">
        <v>0.265213082502969</v>
      </c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 t="s">
        <v>402</v>
      </c>
      <c r="AI238" s="18"/>
      <c r="AJ238" s="18" t="s">
        <v>748</v>
      </c>
    </row>
    <row r="239" customFormat="false" ht="15" hidden="false" customHeight="false" outlineLevel="0" collapsed="false">
      <c r="A239" s="18" t="s">
        <v>273</v>
      </c>
      <c r="B239" s="18" t="s">
        <v>749</v>
      </c>
      <c r="C239" s="18" t="s">
        <v>438</v>
      </c>
      <c r="D239" s="18" t="s">
        <v>324</v>
      </c>
      <c r="E239" s="18" t="s">
        <v>404</v>
      </c>
      <c r="F239" s="18" t="s">
        <v>401</v>
      </c>
      <c r="G239" s="18" t="n">
        <v>0.4</v>
      </c>
      <c r="H239" s="18" t="n">
        <v>2593</v>
      </c>
      <c r="I239" s="18" t="n">
        <v>110</v>
      </c>
      <c r="J239" s="18" t="n">
        <v>109</v>
      </c>
      <c r="K239" s="18" t="n">
        <v>-0.0180629771639509</v>
      </c>
      <c r="L239" s="18" t="n">
        <v>0.0114734676155903</v>
      </c>
      <c r="M239" s="18" t="n">
        <v>-1.57432589424026</v>
      </c>
      <c r="N239" s="18" t="n">
        <v>36.067460039085</v>
      </c>
      <c r="O239" s="18" t="n">
        <v>0.124144315224435</v>
      </c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 t="s">
        <v>402</v>
      </c>
      <c r="AI239" s="18"/>
      <c r="AJ239" s="18" t="s">
        <v>750</v>
      </c>
    </row>
    <row r="240" customFormat="false" ht="15" hidden="false" customHeight="false" outlineLevel="0" collapsed="false">
      <c r="A240" s="18" t="s">
        <v>273</v>
      </c>
      <c r="B240" s="18" t="s">
        <v>751</v>
      </c>
      <c r="C240" s="18" t="s">
        <v>438</v>
      </c>
      <c r="D240" s="18" t="s">
        <v>324</v>
      </c>
      <c r="E240" s="18" t="s">
        <v>404</v>
      </c>
      <c r="F240" s="18" t="s">
        <v>401</v>
      </c>
      <c r="G240" s="18" t="n">
        <v>0.4</v>
      </c>
      <c r="H240" s="18" t="n">
        <v>2593</v>
      </c>
      <c r="I240" s="18" t="n">
        <v>110</v>
      </c>
      <c r="J240" s="18" t="n">
        <v>109</v>
      </c>
      <c r="K240" s="18" t="n">
        <v>-0.0172797840144006</v>
      </c>
      <c r="L240" s="18" t="n">
        <v>0.0122169822936421</v>
      </c>
      <c r="M240" s="18" t="n">
        <v>-1.41440689681553</v>
      </c>
      <c r="N240" s="18" t="n">
        <v>27.6763375116164</v>
      </c>
      <c r="O240" s="18" t="n">
        <v>0.168394605507829</v>
      </c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 t="s">
        <v>402</v>
      </c>
      <c r="AI240" s="18"/>
      <c r="AJ240" s="18" t="s">
        <v>752</v>
      </c>
    </row>
    <row r="241" customFormat="false" ht="15" hidden="false" customHeight="false" outlineLevel="0" collapsed="false">
      <c r="A241" s="18" t="s">
        <v>273</v>
      </c>
      <c r="B241" s="18" t="s">
        <v>753</v>
      </c>
      <c r="C241" s="18" t="s">
        <v>438</v>
      </c>
      <c r="D241" s="18" t="s">
        <v>324</v>
      </c>
      <c r="E241" s="18" t="s">
        <v>404</v>
      </c>
      <c r="F241" s="18" t="s">
        <v>401</v>
      </c>
      <c r="G241" s="18" t="n">
        <v>0.4</v>
      </c>
      <c r="H241" s="18" t="n">
        <v>2593</v>
      </c>
      <c r="I241" s="18" t="n">
        <v>110</v>
      </c>
      <c r="J241" s="18" t="n">
        <v>109</v>
      </c>
      <c r="K241" s="18" t="n">
        <v>-6.03976902093448E-005</v>
      </c>
      <c r="L241" s="18" t="n">
        <v>0.0114369157149784</v>
      </c>
      <c r="M241" s="18" t="n">
        <v>-0.00528094214511389</v>
      </c>
      <c r="N241" s="18" t="n">
        <v>32.438093986608</v>
      </c>
      <c r="O241" s="18" t="n">
        <v>0.995818781940939</v>
      </c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 t="s">
        <v>402</v>
      </c>
      <c r="AI241" s="18"/>
      <c r="AJ241" s="18" t="s">
        <v>754</v>
      </c>
    </row>
    <row r="242" customFormat="false" ht="15" hidden="false" customHeight="false" outlineLevel="0" collapsed="false">
      <c r="A242" s="18" t="s">
        <v>273</v>
      </c>
      <c r="B242" s="18" t="s">
        <v>755</v>
      </c>
      <c r="C242" s="18" t="s">
        <v>438</v>
      </c>
      <c r="D242" s="18" t="s">
        <v>324</v>
      </c>
      <c r="E242" s="18" t="s">
        <v>404</v>
      </c>
      <c r="F242" s="18" t="s">
        <v>401</v>
      </c>
      <c r="G242" s="18" t="n">
        <v>0.4</v>
      </c>
      <c r="H242" s="18" t="n">
        <v>2593</v>
      </c>
      <c r="I242" s="18" t="n">
        <v>110</v>
      </c>
      <c r="J242" s="18" t="n">
        <v>109</v>
      </c>
      <c r="K242" s="18" t="n">
        <v>-0.0180480092585938</v>
      </c>
      <c r="L242" s="18" t="n">
        <v>0.0128131996539707</v>
      </c>
      <c r="M242" s="18" t="n">
        <v>-1.40854819607847</v>
      </c>
      <c r="N242" s="18" t="n">
        <v>24.1569478348633</v>
      </c>
      <c r="O242" s="18" t="n">
        <v>0.171710258905387</v>
      </c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 t="s">
        <v>402</v>
      </c>
      <c r="AI242" s="18"/>
      <c r="AJ242" s="18" t="s">
        <v>756</v>
      </c>
    </row>
    <row r="243" customFormat="false" ht="15" hidden="false" customHeight="false" outlineLevel="0" collapsed="false">
      <c r="A243" s="18" t="s">
        <v>273</v>
      </c>
      <c r="B243" s="18" t="s">
        <v>757</v>
      </c>
      <c r="C243" s="18" t="s">
        <v>438</v>
      </c>
      <c r="D243" s="18" t="s">
        <v>324</v>
      </c>
      <c r="E243" s="18" t="s">
        <v>404</v>
      </c>
      <c r="F243" s="18" t="s">
        <v>401</v>
      </c>
      <c r="G243" s="18" t="n">
        <v>0.4</v>
      </c>
      <c r="H243" s="18" t="n">
        <v>2593</v>
      </c>
      <c r="I243" s="18" t="n">
        <v>110</v>
      </c>
      <c r="J243" s="18" t="n">
        <v>109</v>
      </c>
      <c r="K243" s="18" t="n">
        <v>-0.0210862387824821</v>
      </c>
      <c r="L243" s="18" t="n">
        <v>0.0150006349399172</v>
      </c>
      <c r="M243" s="18" t="n">
        <v>-1.40568975026323</v>
      </c>
      <c r="N243" s="18" t="n">
        <v>18.4864604368869</v>
      </c>
      <c r="O243" s="18" t="n">
        <v>0.176400872047445</v>
      </c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 t="s">
        <v>402</v>
      </c>
      <c r="AI243" s="18"/>
      <c r="AJ243" s="18" t="s">
        <v>758</v>
      </c>
    </row>
    <row r="244" customFormat="false" ht="15" hidden="false" customHeight="false" outlineLevel="0" collapsed="false">
      <c r="A244" s="18" t="s">
        <v>273</v>
      </c>
      <c r="B244" s="18" t="s">
        <v>759</v>
      </c>
      <c r="C244" s="18" t="s">
        <v>438</v>
      </c>
      <c r="D244" s="18" t="s">
        <v>324</v>
      </c>
      <c r="E244" s="18" t="s">
        <v>404</v>
      </c>
      <c r="F244" s="18" t="s">
        <v>401</v>
      </c>
      <c r="G244" s="18" t="n">
        <v>0.4</v>
      </c>
      <c r="H244" s="18" t="n">
        <v>2593</v>
      </c>
      <c r="I244" s="18" t="n">
        <v>110</v>
      </c>
      <c r="J244" s="18" t="n">
        <v>109</v>
      </c>
      <c r="K244" s="18" t="n">
        <v>-0.0205209575882606</v>
      </c>
      <c r="L244" s="18" t="n">
        <v>0.0160883963053291</v>
      </c>
      <c r="M244" s="18" t="n">
        <v>-1.27551293483884</v>
      </c>
      <c r="N244" s="18" t="n">
        <v>15.1766249466341</v>
      </c>
      <c r="O244" s="18" t="n">
        <v>0.221306508416478</v>
      </c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 t="s">
        <v>402</v>
      </c>
      <c r="AI244" s="18"/>
      <c r="AJ244" s="18" t="s">
        <v>760</v>
      </c>
    </row>
    <row r="245" customFormat="false" ht="15" hidden="false" customHeight="false" outlineLevel="0" collapsed="false">
      <c r="A245" s="18" t="s">
        <v>273</v>
      </c>
      <c r="B245" s="18" t="s">
        <v>761</v>
      </c>
      <c r="C245" s="18" t="s">
        <v>438</v>
      </c>
      <c r="D245" s="18" t="s">
        <v>324</v>
      </c>
      <c r="E245" s="18" t="s">
        <v>404</v>
      </c>
      <c r="F245" s="18" t="s">
        <v>401</v>
      </c>
      <c r="G245" s="18" t="n">
        <v>0.4</v>
      </c>
      <c r="H245" s="18" t="n">
        <v>2593</v>
      </c>
      <c r="I245" s="18" t="n">
        <v>110</v>
      </c>
      <c r="J245" s="18" t="n">
        <v>109</v>
      </c>
      <c r="K245" s="18" t="n">
        <v>-0.00206832645522875</v>
      </c>
      <c r="L245" s="18" t="n">
        <v>0.0103384522336996</v>
      </c>
      <c r="M245" s="18" t="n">
        <v>-0.200061518733604</v>
      </c>
      <c r="N245" s="18" t="n">
        <v>37.1923450052153</v>
      </c>
      <c r="O245" s="18" t="n">
        <v>0.842522377742841</v>
      </c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 t="s">
        <v>402</v>
      </c>
      <c r="AI245" s="18"/>
      <c r="AJ245" s="18" t="s">
        <v>762</v>
      </c>
    </row>
    <row r="246" customFormat="false" ht="15" hidden="false" customHeight="false" outlineLevel="0" collapsed="false">
      <c r="A246" s="18" t="s">
        <v>273</v>
      </c>
      <c r="B246" s="18" t="s">
        <v>763</v>
      </c>
      <c r="C246" s="18" t="s">
        <v>438</v>
      </c>
      <c r="D246" s="18" t="s">
        <v>324</v>
      </c>
      <c r="E246" s="18" t="s">
        <v>404</v>
      </c>
      <c r="F246" s="18" t="s">
        <v>401</v>
      </c>
      <c r="G246" s="18" t="n">
        <v>0.4</v>
      </c>
      <c r="H246" s="18" t="n">
        <v>2593</v>
      </c>
      <c r="I246" s="18" t="n">
        <v>110</v>
      </c>
      <c r="J246" s="18" t="n">
        <v>109</v>
      </c>
      <c r="K246" s="18" t="n">
        <v>0.007569314383311</v>
      </c>
      <c r="L246" s="18" t="n">
        <v>0.00958160367620911</v>
      </c>
      <c r="M246" s="18" t="n">
        <v>0.789984081903264</v>
      </c>
      <c r="N246" s="18" t="n">
        <v>49.9813143850107</v>
      </c>
      <c r="O246" s="18" t="n">
        <v>0.433269163675259</v>
      </c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 t="s">
        <v>402</v>
      </c>
      <c r="AI246" s="18"/>
      <c r="AJ246" s="18" t="s">
        <v>764</v>
      </c>
    </row>
    <row r="247" customFormat="false" ht="15" hidden="false" customHeight="false" outlineLevel="0" collapsed="false">
      <c r="A247" s="18" t="s">
        <v>273</v>
      </c>
      <c r="B247" s="18" t="s">
        <v>765</v>
      </c>
      <c r="C247" s="18" t="s">
        <v>438</v>
      </c>
      <c r="D247" s="18" t="s">
        <v>324</v>
      </c>
      <c r="E247" s="18" t="s">
        <v>404</v>
      </c>
      <c r="F247" s="18" t="s">
        <v>401</v>
      </c>
      <c r="G247" s="18" t="n">
        <v>0.4</v>
      </c>
      <c r="H247" s="18" t="n">
        <v>2593</v>
      </c>
      <c r="I247" s="18" t="n">
        <v>110</v>
      </c>
      <c r="J247" s="18" t="n">
        <v>109</v>
      </c>
      <c r="K247" s="18" t="n">
        <v>-0.00402348783551344</v>
      </c>
      <c r="L247" s="18" t="n">
        <v>0.00979567240964736</v>
      </c>
      <c r="M247" s="18" t="n">
        <v>-0.410741362844154</v>
      </c>
      <c r="N247" s="18" t="n">
        <v>57.0401616137844</v>
      </c>
      <c r="O247" s="18" t="n">
        <v>0.682801150283737</v>
      </c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 t="s">
        <v>402</v>
      </c>
      <c r="AI247" s="18"/>
      <c r="AJ247" s="18" t="s">
        <v>766</v>
      </c>
    </row>
    <row r="248" customFormat="false" ht="15" hidden="false" customHeight="false" outlineLevel="0" collapsed="false">
      <c r="A248" s="18" t="s">
        <v>273</v>
      </c>
      <c r="B248" s="18" t="s">
        <v>767</v>
      </c>
      <c r="C248" s="18" t="s">
        <v>438</v>
      </c>
      <c r="D248" s="18" t="s">
        <v>324</v>
      </c>
      <c r="E248" s="18" t="s">
        <v>404</v>
      </c>
      <c r="F248" s="18" t="s">
        <v>401</v>
      </c>
      <c r="G248" s="18" t="n">
        <v>0.4</v>
      </c>
      <c r="H248" s="18" t="n">
        <v>900</v>
      </c>
      <c r="I248" s="18" t="n">
        <v>38</v>
      </c>
      <c r="J248" s="18" t="n">
        <v>38</v>
      </c>
      <c r="K248" s="18" t="n">
        <v>-0.0292721092670855</v>
      </c>
      <c r="L248" s="18" t="n">
        <v>0.0200004121760189</v>
      </c>
      <c r="M248" s="18" t="n">
        <v>-1.46357530082223</v>
      </c>
      <c r="N248" s="18" t="n">
        <v>25.0690239309888</v>
      </c>
      <c r="O248" s="18" t="n">
        <v>0.155737018981308</v>
      </c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 t="s">
        <v>402</v>
      </c>
      <c r="AI248" s="18"/>
      <c r="AJ248" s="18" t="s">
        <v>768</v>
      </c>
    </row>
    <row r="249" customFormat="false" ht="15" hidden="false" customHeight="false" outlineLevel="0" collapsed="false">
      <c r="A249" s="18" t="s">
        <v>273</v>
      </c>
      <c r="B249" s="18" t="s">
        <v>769</v>
      </c>
      <c r="C249" s="18" t="s">
        <v>438</v>
      </c>
      <c r="D249" s="18" t="s">
        <v>324</v>
      </c>
      <c r="E249" s="18" t="s">
        <v>404</v>
      </c>
      <c r="F249" s="18" t="s">
        <v>401</v>
      </c>
      <c r="G249" s="18" t="n">
        <v>0.4</v>
      </c>
      <c r="H249" s="18" t="n">
        <v>2606</v>
      </c>
      <c r="I249" s="18" t="n">
        <v>110</v>
      </c>
      <c r="J249" s="18" t="n">
        <v>109</v>
      </c>
      <c r="K249" s="18" t="n">
        <v>-0.0138311577689378</v>
      </c>
      <c r="L249" s="18" t="n">
        <v>0.0120851810128185</v>
      </c>
      <c r="M249" s="18" t="n">
        <v>-1.14447253659398</v>
      </c>
      <c r="N249" s="18" t="n">
        <v>30.2096009536476</v>
      </c>
      <c r="O249" s="18" t="n">
        <v>0.261414893801487</v>
      </c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 t="s">
        <v>402</v>
      </c>
      <c r="AI249" s="18"/>
      <c r="AJ249" s="18" t="s">
        <v>770</v>
      </c>
    </row>
    <row r="250" customFormat="false" ht="15" hidden="false" customHeight="false" outlineLevel="0" collapsed="false">
      <c r="A250" s="18" t="s">
        <v>273</v>
      </c>
      <c r="B250" s="18" t="s">
        <v>771</v>
      </c>
      <c r="C250" s="18" t="s">
        <v>438</v>
      </c>
      <c r="D250" s="18" t="s">
        <v>324</v>
      </c>
      <c r="E250" s="18" t="s">
        <v>404</v>
      </c>
      <c r="F250" s="18" t="s">
        <v>401</v>
      </c>
      <c r="G250" s="18" t="n">
        <v>0.4</v>
      </c>
      <c r="H250" s="18" t="n">
        <v>2606</v>
      </c>
      <c r="I250" s="18" t="n">
        <v>110</v>
      </c>
      <c r="J250" s="18" t="n">
        <v>109</v>
      </c>
      <c r="K250" s="18" t="n">
        <v>-0.0120374886212028</v>
      </c>
      <c r="L250" s="18" t="n">
        <v>0.0126003377409323</v>
      </c>
      <c r="M250" s="18" t="n">
        <v>-0.955330632297171</v>
      </c>
      <c r="N250" s="18" t="n">
        <v>23.4047081503215</v>
      </c>
      <c r="O250" s="18" t="n">
        <v>0.349174614186916</v>
      </c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 t="s">
        <v>402</v>
      </c>
      <c r="AI250" s="18"/>
      <c r="AJ250" s="18" t="s">
        <v>772</v>
      </c>
    </row>
    <row r="251" customFormat="false" ht="15" hidden="false" customHeight="false" outlineLevel="0" collapsed="false">
      <c r="A251" s="18" t="s">
        <v>273</v>
      </c>
      <c r="B251" s="18" t="s">
        <v>773</v>
      </c>
      <c r="C251" s="18" t="s">
        <v>438</v>
      </c>
      <c r="D251" s="18" t="s">
        <v>324</v>
      </c>
      <c r="E251" s="18" t="s">
        <v>404</v>
      </c>
      <c r="F251" s="18" t="s">
        <v>401</v>
      </c>
      <c r="G251" s="18" t="n">
        <v>0.4</v>
      </c>
      <c r="H251" s="18" t="n">
        <v>2606</v>
      </c>
      <c r="I251" s="18" t="n">
        <v>110</v>
      </c>
      <c r="J251" s="18" t="n">
        <v>109</v>
      </c>
      <c r="K251" s="18" t="n">
        <v>0.000748191508876547</v>
      </c>
      <c r="L251" s="18" t="n">
        <v>0.0116831475858084</v>
      </c>
      <c r="M251" s="18" t="n">
        <v>0.0640402343102625</v>
      </c>
      <c r="N251" s="18" t="n">
        <v>33.1656745058437</v>
      </c>
      <c r="O251" s="18" t="n">
        <v>0.949322627410476</v>
      </c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 t="s">
        <v>402</v>
      </c>
      <c r="AI251" s="18"/>
      <c r="AJ251" s="18" t="s">
        <v>774</v>
      </c>
    </row>
    <row r="252" customFormat="false" ht="15" hidden="false" customHeight="false" outlineLevel="0" collapsed="false">
      <c r="A252" s="18" t="s">
        <v>273</v>
      </c>
      <c r="B252" s="18" t="s">
        <v>775</v>
      </c>
      <c r="C252" s="18" t="s">
        <v>438</v>
      </c>
      <c r="D252" s="18" t="s">
        <v>324</v>
      </c>
      <c r="E252" s="18" t="s">
        <v>404</v>
      </c>
      <c r="F252" s="18" t="s">
        <v>401</v>
      </c>
      <c r="G252" s="18" t="n">
        <v>0.4</v>
      </c>
      <c r="H252" s="18" t="n">
        <v>2606</v>
      </c>
      <c r="I252" s="18" t="n">
        <v>110</v>
      </c>
      <c r="J252" s="18" t="n">
        <v>109</v>
      </c>
      <c r="K252" s="18" t="n">
        <v>-0.0129993393766283</v>
      </c>
      <c r="L252" s="18" t="n">
        <v>0.0132607242285952</v>
      </c>
      <c r="M252" s="18" t="n">
        <v>-0.980288795132071</v>
      </c>
      <c r="N252" s="18" t="n">
        <v>20.459048426416</v>
      </c>
      <c r="O252" s="18" t="n">
        <v>0.33839434349184</v>
      </c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 t="s">
        <v>402</v>
      </c>
      <c r="AI252" s="18"/>
      <c r="AJ252" s="18" t="s">
        <v>776</v>
      </c>
    </row>
    <row r="253" customFormat="false" ht="15" hidden="false" customHeight="false" outlineLevel="0" collapsed="false">
      <c r="A253" s="18" t="s">
        <v>273</v>
      </c>
      <c r="B253" s="18" t="s">
        <v>777</v>
      </c>
      <c r="C253" s="18" t="s">
        <v>438</v>
      </c>
      <c r="D253" s="18" t="s">
        <v>324</v>
      </c>
      <c r="E253" s="18" t="s">
        <v>404</v>
      </c>
      <c r="F253" s="18" t="s">
        <v>401</v>
      </c>
      <c r="G253" s="18" t="n">
        <v>0.4</v>
      </c>
      <c r="H253" s="18" t="n">
        <v>2606</v>
      </c>
      <c r="I253" s="18" t="n">
        <v>110</v>
      </c>
      <c r="J253" s="18" t="n">
        <v>109</v>
      </c>
      <c r="K253" s="18" t="n">
        <v>-0.0171119943322202</v>
      </c>
      <c r="L253" s="18" t="n">
        <v>0.0149592031903589</v>
      </c>
      <c r="M253" s="18" t="n">
        <v>-1.14391081626919</v>
      </c>
      <c r="N253" s="18" t="n">
        <v>18.5379956053266</v>
      </c>
      <c r="O253" s="18" t="n">
        <v>0.267217311615657</v>
      </c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 t="s">
        <v>402</v>
      </c>
      <c r="AI253" s="18"/>
      <c r="AJ253" s="18" t="s">
        <v>778</v>
      </c>
    </row>
    <row r="254" customFormat="false" ht="15" hidden="false" customHeight="false" outlineLevel="0" collapsed="false">
      <c r="A254" s="18" t="s">
        <v>273</v>
      </c>
      <c r="B254" s="18" t="s">
        <v>779</v>
      </c>
      <c r="C254" s="18" t="s">
        <v>438</v>
      </c>
      <c r="D254" s="18" t="s">
        <v>324</v>
      </c>
      <c r="E254" s="18" t="s">
        <v>404</v>
      </c>
      <c r="F254" s="18" t="s">
        <v>401</v>
      </c>
      <c r="G254" s="18" t="n">
        <v>0.4</v>
      </c>
      <c r="H254" s="18" t="n">
        <v>2606</v>
      </c>
      <c r="I254" s="18" t="n">
        <v>110</v>
      </c>
      <c r="J254" s="18" t="n">
        <v>109</v>
      </c>
      <c r="K254" s="18" t="n">
        <v>-0.0163552960104358</v>
      </c>
      <c r="L254" s="18" t="n">
        <v>0.0159963594905754</v>
      </c>
      <c r="M254" s="18" t="n">
        <v>-1.02243863799584</v>
      </c>
      <c r="N254" s="18" t="n">
        <v>15.2245468221071</v>
      </c>
      <c r="O254" s="18" t="n">
        <v>0.322546094585368</v>
      </c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 t="s">
        <v>402</v>
      </c>
      <c r="AI254" s="18"/>
      <c r="AJ254" s="18" t="s">
        <v>780</v>
      </c>
    </row>
    <row r="255" customFormat="false" ht="15" hidden="false" customHeight="false" outlineLevel="0" collapsed="false">
      <c r="A255" s="18" t="s">
        <v>273</v>
      </c>
      <c r="B255" s="18" t="s">
        <v>781</v>
      </c>
      <c r="C255" s="18" t="s">
        <v>438</v>
      </c>
      <c r="D255" s="18" t="s">
        <v>324</v>
      </c>
      <c r="E255" s="18" t="s">
        <v>404</v>
      </c>
      <c r="F255" s="18" t="s">
        <v>401</v>
      </c>
      <c r="G255" s="18" t="n">
        <v>0.4</v>
      </c>
      <c r="H255" s="18" t="n">
        <v>2606</v>
      </c>
      <c r="I255" s="18" t="n">
        <v>110</v>
      </c>
      <c r="J255" s="18" t="n">
        <v>109</v>
      </c>
      <c r="K255" s="18" t="n">
        <v>0.00148703447996666</v>
      </c>
      <c r="L255" s="18" t="n">
        <v>0.0107354430696514</v>
      </c>
      <c r="M255" s="18" t="n">
        <v>0.138516358413788</v>
      </c>
      <c r="N255" s="18" t="n">
        <v>31.1997960549553</v>
      </c>
      <c r="O255" s="18" t="n">
        <v>0.890722530002221</v>
      </c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 t="s">
        <v>402</v>
      </c>
      <c r="AI255" s="18"/>
      <c r="AJ255" s="18" t="s">
        <v>782</v>
      </c>
    </row>
    <row r="256" customFormat="false" ht="15" hidden="false" customHeight="false" outlineLevel="0" collapsed="false">
      <c r="A256" s="18" t="s">
        <v>273</v>
      </c>
      <c r="B256" s="18" t="s">
        <v>783</v>
      </c>
      <c r="C256" s="18" t="s">
        <v>438</v>
      </c>
      <c r="D256" s="18" t="s">
        <v>324</v>
      </c>
      <c r="E256" s="18" t="s">
        <v>404</v>
      </c>
      <c r="F256" s="18" t="s">
        <v>401</v>
      </c>
      <c r="G256" s="18" t="n">
        <v>0.4</v>
      </c>
      <c r="H256" s="18" t="n">
        <v>2606</v>
      </c>
      <c r="I256" s="18" t="n">
        <v>110</v>
      </c>
      <c r="J256" s="18" t="n">
        <v>109</v>
      </c>
      <c r="K256" s="18" t="n">
        <v>0.0147318745410234</v>
      </c>
      <c r="L256" s="18" t="n">
        <v>0.00989858504809627</v>
      </c>
      <c r="M256" s="18" t="n">
        <v>1.4882808471557</v>
      </c>
      <c r="N256" s="18" t="n">
        <v>41.7911978567186</v>
      </c>
      <c r="O256" s="18" t="n">
        <v>0.144184525893525</v>
      </c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 t="s">
        <v>402</v>
      </c>
      <c r="AI256" s="18"/>
      <c r="AJ256" s="18" t="s">
        <v>784</v>
      </c>
    </row>
    <row r="257" customFormat="false" ht="15" hidden="false" customHeight="false" outlineLevel="0" collapsed="false">
      <c r="A257" s="18" t="s">
        <v>273</v>
      </c>
      <c r="B257" s="18" t="s">
        <v>785</v>
      </c>
      <c r="C257" s="18" t="s">
        <v>438</v>
      </c>
      <c r="D257" s="18" t="s">
        <v>324</v>
      </c>
      <c r="E257" s="18" t="s">
        <v>404</v>
      </c>
      <c r="F257" s="18" t="s">
        <v>401</v>
      </c>
      <c r="G257" s="18" t="n">
        <v>0.4</v>
      </c>
      <c r="H257" s="18" t="n">
        <v>2606</v>
      </c>
      <c r="I257" s="18" t="n">
        <v>110</v>
      </c>
      <c r="J257" s="18" t="n">
        <v>109</v>
      </c>
      <c r="K257" s="18" t="n">
        <v>0.00221309021614979</v>
      </c>
      <c r="L257" s="18" t="n">
        <v>0.00991491313078037</v>
      </c>
      <c r="M257" s="18" t="n">
        <v>0.223208230567282</v>
      </c>
      <c r="N257" s="18" t="n">
        <v>46.2055262535756</v>
      </c>
      <c r="O257" s="18" t="n">
        <v>0.824357327834046</v>
      </c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 t="s">
        <v>402</v>
      </c>
      <c r="AI257" s="18"/>
      <c r="AJ257" s="18" t="s">
        <v>786</v>
      </c>
    </row>
    <row r="258" customFormat="false" ht="15" hidden="false" customHeight="false" outlineLevel="0" collapsed="false">
      <c r="A258" s="18" t="s">
        <v>273</v>
      </c>
      <c r="B258" s="18" t="s">
        <v>787</v>
      </c>
      <c r="C258" s="18" t="s">
        <v>438</v>
      </c>
      <c r="D258" s="18" t="s">
        <v>324</v>
      </c>
      <c r="E258" s="18" t="s">
        <v>404</v>
      </c>
      <c r="F258" s="18" t="s">
        <v>401</v>
      </c>
      <c r="G258" s="18" t="n">
        <v>0.4</v>
      </c>
      <c r="H258" s="18" t="n">
        <v>905</v>
      </c>
      <c r="I258" s="18" t="n">
        <v>38</v>
      </c>
      <c r="J258" s="18" t="n">
        <v>38</v>
      </c>
      <c r="K258" s="18" t="n">
        <v>-0.0242013778422354</v>
      </c>
      <c r="L258" s="18" t="n">
        <v>0.0193780654070878</v>
      </c>
      <c r="M258" s="18" t="n">
        <v>-1.24890577742521</v>
      </c>
      <c r="N258" s="18" t="n">
        <v>25.0034784061324</v>
      </c>
      <c r="O258" s="18" t="n">
        <v>0.223266371619555</v>
      </c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 t="s">
        <v>402</v>
      </c>
      <c r="AI258" s="18"/>
      <c r="AJ258" s="18" t="s">
        <v>788</v>
      </c>
    </row>
    <row r="259" customFormat="false" ht="15" hidden="false" customHeight="false" outlineLevel="0" collapsed="false">
      <c r="A259" s="18" t="s">
        <v>273</v>
      </c>
      <c r="B259" s="18" t="s">
        <v>322</v>
      </c>
      <c r="C259" s="18" t="s">
        <v>789</v>
      </c>
      <c r="D259" s="18" t="s">
        <v>324</v>
      </c>
      <c r="E259" s="18" t="s">
        <v>404</v>
      </c>
      <c r="F259" s="18" t="s">
        <v>790</v>
      </c>
      <c r="G259" s="18" t="n">
        <v>0.4</v>
      </c>
      <c r="H259" s="18" t="n">
        <v>2705</v>
      </c>
      <c r="I259" s="18" t="n">
        <v>113</v>
      </c>
      <c r="J259" s="18" t="n">
        <v>112</v>
      </c>
      <c r="K259" s="18" t="n">
        <v>0.0163783321355415</v>
      </c>
      <c r="L259" s="18" t="n">
        <v>0.0494033180420469</v>
      </c>
      <c r="M259" s="18" t="n">
        <v>0.331522917582215</v>
      </c>
      <c r="N259" s="18" t="n">
        <v>111</v>
      </c>
      <c r="O259" s="18" t="n">
        <v>0.740874637776666</v>
      </c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 t="s">
        <v>402</v>
      </c>
      <c r="AI259" s="18"/>
      <c r="AJ259" s="18" t="s">
        <v>791</v>
      </c>
    </row>
    <row r="260" customFormat="false" ht="15" hidden="false" customHeight="false" outlineLevel="0" collapsed="false">
      <c r="A260" s="18" t="s">
        <v>273</v>
      </c>
      <c r="B260" s="18" t="s">
        <v>326</v>
      </c>
      <c r="C260" s="18" t="s">
        <v>789</v>
      </c>
      <c r="D260" s="18" t="s">
        <v>324</v>
      </c>
      <c r="E260" s="18" t="s">
        <v>404</v>
      </c>
      <c r="F260" s="18" t="s">
        <v>790</v>
      </c>
      <c r="G260" s="18" t="n">
        <v>0.4</v>
      </c>
      <c r="H260" s="18" t="n">
        <v>2705</v>
      </c>
      <c r="I260" s="18" t="n">
        <v>113</v>
      </c>
      <c r="J260" s="18" t="n">
        <v>112</v>
      </c>
      <c r="K260" s="18" t="n">
        <v>0.00425612189574802</v>
      </c>
      <c r="L260" s="18" t="n">
        <v>0.0524060262324789</v>
      </c>
      <c r="M260" s="18" t="n">
        <v>0.0812143602887843</v>
      </c>
      <c r="N260" s="18" t="n">
        <v>111</v>
      </c>
      <c r="O260" s="18" t="n">
        <v>0.935417736080081</v>
      </c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 t="s">
        <v>402</v>
      </c>
      <c r="AI260" s="18"/>
      <c r="AJ260" s="18" t="s">
        <v>792</v>
      </c>
    </row>
    <row r="261" customFormat="false" ht="15" hidden="false" customHeight="false" outlineLevel="0" collapsed="false">
      <c r="A261" s="18" t="s">
        <v>273</v>
      </c>
      <c r="B261" s="18" t="s">
        <v>328</v>
      </c>
      <c r="C261" s="18" t="s">
        <v>789</v>
      </c>
      <c r="D261" s="18" t="s">
        <v>324</v>
      </c>
      <c r="E261" s="18" t="s">
        <v>404</v>
      </c>
      <c r="F261" s="18" t="s">
        <v>790</v>
      </c>
      <c r="G261" s="18" t="n">
        <v>0.4</v>
      </c>
      <c r="H261" s="18" t="n">
        <v>2705</v>
      </c>
      <c r="I261" s="18" t="n">
        <v>113</v>
      </c>
      <c r="J261" s="18" t="n">
        <v>112</v>
      </c>
      <c r="K261" s="18" t="n">
        <v>-0.0399991968741464</v>
      </c>
      <c r="L261" s="18" t="n">
        <v>0.0520474043456466</v>
      </c>
      <c r="M261" s="18" t="n">
        <v>-0.768514729543704</v>
      </c>
      <c r="N261" s="18" t="n">
        <v>110</v>
      </c>
      <c r="O261" s="18" t="n">
        <v>0.443828263181166</v>
      </c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 t="s">
        <v>402</v>
      </c>
      <c r="AI261" s="18"/>
      <c r="AJ261" s="18" t="s">
        <v>793</v>
      </c>
    </row>
    <row r="262" customFormat="false" ht="15" hidden="false" customHeight="false" outlineLevel="0" collapsed="false">
      <c r="A262" s="18" t="s">
        <v>273</v>
      </c>
      <c r="B262" s="18" t="s">
        <v>330</v>
      </c>
      <c r="C262" s="18" t="s">
        <v>789</v>
      </c>
      <c r="D262" s="18" t="s">
        <v>324</v>
      </c>
      <c r="E262" s="18" t="s">
        <v>404</v>
      </c>
      <c r="F262" s="18" t="s">
        <v>790</v>
      </c>
      <c r="G262" s="18" t="n">
        <v>0.4</v>
      </c>
      <c r="H262" s="18" t="n">
        <v>2705</v>
      </c>
      <c r="I262" s="18" t="n">
        <v>113</v>
      </c>
      <c r="J262" s="18" t="n">
        <v>112</v>
      </c>
      <c r="K262" s="18" t="n">
        <v>-0.000253608125478803</v>
      </c>
      <c r="L262" s="18" t="n">
        <v>0.0547893727927488</v>
      </c>
      <c r="M262" s="18" t="n">
        <v>-0.00462878314811386</v>
      </c>
      <c r="N262" s="18" t="n">
        <v>111</v>
      </c>
      <c r="O262" s="18" t="n">
        <v>0.996315087291478</v>
      </c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 t="s">
        <v>402</v>
      </c>
      <c r="AI262" s="18"/>
      <c r="AJ262" s="18" t="s">
        <v>794</v>
      </c>
    </row>
    <row r="263" customFormat="false" ht="15" hidden="false" customHeight="false" outlineLevel="0" collapsed="false">
      <c r="A263" s="18" t="s">
        <v>273</v>
      </c>
      <c r="B263" s="18" t="s">
        <v>332</v>
      </c>
      <c r="C263" s="18" t="s">
        <v>789</v>
      </c>
      <c r="D263" s="18" t="s">
        <v>324</v>
      </c>
      <c r="E263" s="18" t="s">
        <v>404</v>
      </c>
      <c r="F263" s="18" t="s">
        <v>790</v>
      </c>
      <c r="G263" s="18" t="n">
        <v>0.4</v>
      </c>
      <c r="H263" s="18" t="n">
        <v>2705</v>
      </c>
      <c r="I263" s="18" t="n">
        <v>113</v>
      </c>
      <c r="J263" s="18" t="n">
        <v>112</v>
      </c>
      <c r="K263" s="18" t="n">
        <v>0.0194000621876017</v>
      </c>
      <c r="L263" s="18" t="n">
        <v>0.0653085844854544</v>
      </c>
      <c r="M263" s="18" t="n">
        <v>0.297052253397447</v>
      </c>
      <c r="N263" s="18" t="n">
        <v>110</v>
      </c>
      <c r="O263" s="18" t="n">
        <v>0.766986825265434</v>
      </c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 t="s">
        <v>402</v>
      </c>
      <c r="AI263" s="18"/>
      <c r="AJ263" s="18" t="s">
        <v>795</v>
      </c>
    </row>
    <row r="264" customFormat="false" ht="15" hidden="false" customHeight="false" outlineLevel="0" collapsed="false">
      <c r="A264" s="18" t="s">
        <v>273</v>
      </c>
      <c r="B264" s="18" t="s">
        <v>334</v>
      </c>
      <c r="C264" s="18" t="s">
        <v>789</v>
      </c>
      <c r="D264" s="18" t="s">
        <v>324</v>
      </c>
      <c r="E264" s="18" t="s">
        <v>404</v>
      </c>
      <c r="F264" s="18" t="s">
        <v>790</v>
      </c>
      <c r="G264" s="18" t="n">
        <v>0.4</v>
      </c>
      <c r="H264" s="18" t="n">
        <v>2705</v>
      </c>
      <c r="I264" s="18" t="n">
        <v>113</v>
      </c>
      <c r="J264" s="18" t="n">
        <v>112</v>
      </c>
      <c r="K264" s="18" t="n">
        <v>0.0229733345602266</v>
      </c>
      <c r="L264" s="18" t="n">
        <v>0.0694302275610521</v>
      </c>
      <c r="M264" s="18" t="n">
        <v>0.33088375722268</v>
      </c>
      <c r="N264" s="18" t="n">
        <v>110</v>
      </c>
      <c r="O264" s="18" t="n">
        <v>0.741361748952544</v>
      </c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 t="s">
        <v>402</v>
      </c>
      <c r="AI264" s="18"/>
      <c r="AJ264" s="18" t="s">
        <v>796</v>
      </c>
    </row>
    <row r="265" customFormat="false" ht="15" hidden="false" customHeight="false" outlineLevel="0" collapsed="false">
      <c r="A265" s="18" t="s">
        <v>273</v>
      </c>
      <c r="B265" s="18" t="s">
        <v>336</v>
      </c>
      <c r="C265" s="18" t="s">
        <v>789</v>
      </c>
      <c r="D265" s="18" t="s">
        <v>324</v>
      </c>
      <c r="E265" s="18" t="s">
        <v>404</v>
      </c>
      <c r="F265" s="18" t="s">
        <v>790</v>
      </c>
      <c r="G265" s="18" t="n">
        <v>0.4</v>
      </c>
      <c r="H265" s="18" t="n">
        <v>2705</v>
      </c>
      <c r="I265" s="18" t="n">
        <v>113</v>
      </c>
      <c r="J265" s="18" t="n">
        <v>112</v>
      </c>
      <c r="K265" s="18" t="n">
        <v>-0.0425426682722642</v>
      </c>
      <c r="L265" s="18" t="n">
        <v>0.0463014015533385</v>
      </c>
      <c r="M265" s="18" t="n">
        <v>-0.91882031310123</v>
      </c>
      <c r="N265" s="18" t="n">
        <v>111</v>
      </c>
      <c r="O265" s="18" t="n">
        <v>0.360181879954192</v>
      </c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 t="s">
        <v>402</v>
      </c>
      <c r="AI265" s="18"/>
      <c r="AJ265" s="18" t="s">
        <v>797</v>
      </c>
    </row>
    <row r="266" customFormat="false" ht="15" hidden="false" customHeight="false" outlineLevel="0" collapsed="false">
      <c r="A266" s="18" t="s">
        <v>273</v>
      </c>
      <c r="B266" s="18" t="s">
        <v>338</v>
      </c>
      <c r="C266" s="18" t="s">
        <v>789</v>
      </c>
      <c r="D266" s="18" t="s">
        <v>324</v>
      </c>
      <c r="E266" s="18" t="s">
        <v>404</v>
      </c>
      <c r="F266" s="18" t="s">
        <v>790</v>
      </c>
      <c r="G266" s="18" t="n">
        <v>0.4</v>
      </c>
      <c r="H266" s="18" t="n">
        <v>2705</v>
      </c>
      <c r="I266" s="18" t="n">
        <v>113</v>
      </c>
      <c r="J266" s="18" t="n">
        <v>112</v>
      </c>
      <c r="K266" s="18" t="n">
        <v>0.0319654379501628</v>
      </c>
      <c r="L266" s="18" t="n">
        <v>0.0443492394723224</v>
      </c>
      <c r="M266" s="18" t="n">
        <v>0.720766315961561</v>
      </c>
      <c r="N266" s="18" t="n">
        <v>111</v>
      </c>
      <c r="O266" s="18" t="n">
        <v>0.472568546776186</v>
      </c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 t="s">
        <v>402</v>
      </c>
      <c r="AI266" s="18"/>
      <c r="AJ266" s="18" t="s">
        <v>798</v>
      </c>
    </row>
    <row r="267" customFormat="false" ht="15" hidden="false" customHeight="false" outlineLevel="0" collapsed="false">
      <c r="A267" s="18" t="s">
        <v>273</v>
      </c>
      <c r="B267" s="18" t="s">
        <v>340</v>
      </c>
      <c r="C267" s="18" t="s">
        <v>789</v>
      </c>
      <c r="D267" s="18" t="s">
        <v>324</v>
      </c>
      <c r="E267" s="18" t="s">
        <v>404</v>
      </c>
      <c r="F267" s="18" t="s">
        <v>790</v>
      </c>
      <c r="G267" s="18" t="n">
        <v>0.4</v>
      </c>
      <c r="H267" s="18" t="n">
        <v>2705</v>
      </c>
      <c r="I267" s="18" t="n">
        <v>113</v>
      </c>
      <c r="J267" s="18" t="n">
        <v>112</v>
      </c>
      <c r="K267" s="18" t="n">
        <v>0.0218466386723501</v>
      </c>
      <c r="L267" s="18" t="n">
        <v>0.0443638113101073</v>
      </c>
      <c r="M267" s="18" t="n">
        <v>0.492442782240688</v>
      </c>
      <c r="N267" s="18" t="n">
        <v>111</v>
      </c>
      <c r="O267" s="18" t="n">
        <v>0.623378985634747</v>
      </c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 t="s">
        <v>402</v>
      </c>
      <c r="AI267" s="18"/>
      <c r="AJ267" s="18" t="s">
        <v>799</v>
      </c>
    </row>
    <row r="268" customFormat="false" ht="15" hidden="false" customHeight="false" outlineLevel="0" collapsed="false">
      <c r="A268" s="18" t="s">
        <v>273</v>
      </c>
      <c r="B268" s="18" t="s">
        <v>342</v>
      </c>
      <c r="C268" s="18" t="s">
        <v>789</v>
      </c>
      <c r="D268" s="18" t="s">
        <v>324</v>
      </c>
      <c r="E268" s="18" t="s">
        <v>404</v>
      </c>
      <c r="F268" s="18" t="s">
        <v>790</v>
      </c>
      <c r="G268" s="18" t="n">
        <v>0.4</v>
      </c>
      <c r="H268" s="18" t="n">
        <v>929</v>
      </c>
      <c r="I268" s="18" t="n">
        <v>40</v>
      </c>
      <c r="J268" s="18" t="n">
        <v>40</v>
      </c>
      <c r="K268" s="18" t="n">
        <v>-0.022805339477918</v>
      </c>
      <c r="L268" s="18" t="n">
        <v>0.0270750508972655</v>
      </c>
      <c r="M268" s="18" t="n">
        <v>-0.842300890382492</v>
      </c>
      <c r="N268" s="18" t="n">
        <v>38</v>
      </c>
      <c r="O268" s="18" t="n">
        <v>0.404889790647527</v>
      </c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 t="s">
        <v>402</v>
      </c>
      <c r="AI268" s="18"/>
      <c r="AJ268" s="18" t="s">
        <v>800</v>
      </c>
    </row>
    <row r="269" customFormat="false" ht="15" hidden="false" customHeight="false" outlineLevel="0" collapsed="false">
      <c r="A269" s="18" t="s">
        <v>273</v>
      </c>
      <c r="B269" s="18" t="s">
        <v>449</v>
      </c>
      <c r="C269" s="18" t="s">
        <v>789</v>
      </c>
      <c r="D269" s="18" t="s">
        <v>324</v>
      </c>
      <c r="E269" s="18" t="s">
        <v>404</v>
      </c>
      <c r="F269" s="18" t="s">
        <v>790</v>
      </c>
      <c r="G269" s="18" t="n">
        <v>0.4</v>
      </c>
      <c r="H269" s="18" t="n">
        <v>2692</v>
      </c>
      <c r="I269" s="18" t="n">
        <v>113</v>
      </c>
      <c r="J269" s="18" t="n">
        <v>112</v>
      </c>
      <c r="K269" s="18" t="n">
        <v>-0.0143012791964976</v>
      </c>
      <c r="L269" s="18" t="n">
        <v>0.0181168472953737</v>
      </c>
      <c r="M269" s="18" t="n">
        <v>-0.789391165213915</v>
      </c>
      <c r="N269" s="18" t="n">
        <v>111</v>
      </c>
      <c r="O269" s="18" t="n">
        <v>0.431566379323077</v>
      </c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 t="s">
        <v>402</v>
      </c>
      <c r="AI269" s="18"/>
      <c r="AJ269" s="18" t="s">
        <v>801</v>
      </c>
    </row>
    <row r="270" customFormat="false" ht="15" hidden="false" customHeight="false" outlineLevel="0" collapsed="false">
      <c r="A270" s="18" t="s">
        <v>273</v>
      </c>
      <c r="B270" s="18" t="s">
        <v>451</v>
      </c>
      <c r="C270" s="18" t="s">
        <v>789</v>
      </c>
      <c r="D270" s="18" t="s">
        <v>324</v>
      </c>
      <c r="E270" s="18" t="s">
        <v>404</v>
      </c>
      <c r="F270" s="18" t="s">
        <v>790</v>
      </c>
      <c r="G270" s="18" t="n">
        <v>0.4</v>
      </c>
      <c r="H270" s="18" t="n">
        <v>2692</v>
      </c>
      <c r="I270" s="18" t="n">
        <v>113</v>
      </c>
      <c r="J270" s="18" t="n">
        <v>112</v>
      </c>
      <c r="K270" s="18" t="n">
        <v>-0.0248913866659039</v>
      </c>
      <c r="L270" s="18" t="n">
        <v>0.0191452901956963</v>
      </c>
      <c r="M270" s="18" t="n">
        <v>-1.30013107200116</v>
      </c>
      <c r="N270" s="18" t="n">
        <v>111</v>
      </c>
      <c r="O270" s="18" t="n">
        <v>0.196249246167455</v>
      </c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 t="s">
        <v>402</v>
      </c>
      <c r="AI270" s="18"/>
      <c r="AJ270" s="18" t="s">
        <v>802</v>
      </c>
    </row>
    <row r="271" customFormat="false" ht="15" hidden="false" customHeight="false" outlineLevel="0" collapsed="false">
      <c r="A271" s="18" t="s">
        <v>273</v>
      </c>
      <c r="B271" s="18" t="s">
        <v>453</v>
      </c>
      <c r="C271" s="18" t="s">
        <v>789</v>
      </c>
      <c r="D271" s="18" t="s">
        <v>324</v>
      </c>
      <c r="E271" s="18" t="s">
        <v>404</v>
      </c>
      <c r="F271" s="18" t="s">
        <v>790</v>
      </c>
      <c r="G271" s="18" t="n">
        <v>0.4</v>
      </c>
      <c r="H271" s="18" t="n">
        <v>2692</v>
      </c>
      <c r="I271" s="18" t="n">
        <v>113</v>
      </c>
      <c r="J271" s="18" t="n">
        <v>112</v>
      </c>
      <c r="K271" s="18" t="n">
        <v>-0.0125923484080687</v>
      </c>
      <c r="L271" s="18" t="n">
        <v>0.019350921470876</v>
      </c>
      <c r="M271" s="18" t="n">
        <v>-0.650736370721196</v>
      </c>
      <c r="N271" s="18" t="n">
        <v>110</v>
      </c>
      <c r="O271" s="18" t="n">
        <v>0.516573649506269</v>
      </c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 t="s">
        <v>402</v>
      </c>
      <c r="AI271" s="18"/>
      <c r="AJ271" s="18" t="s">
        <v>803</v>
      </c>
    </row>
    <row r="272" customFormat="false" ht="15" hidden="false" customHeight="false" outlineLevel="0" collapsed="false">
      <c r="A272" s="18" t="s">
        <v>273</v>
      </c>
      <c r="B272" s="18" t="s">
        <v>455</v>
      </c>
      <c r="C272" s="18" t="s">
        <v>789</v>
      </c>
      <c r="D272" s="18" t="s">
        <v>324</v>
      </c>
      <c r="E272" s="18" t="s">
        <v>404</v>
      </c>
      <c r="F272" s="18" t="s">
        <v>790</v>
      </c>
      <c r="G272" s="18" t="n">
        <v>0.4</v>
      </c>
      <c r="H272" s="18" t="n">
        <v>2692</v>
      </c>
      <c r="I272" s="18" t="n">
        <v>113</v>
      </c>
      <c r="J272" s="18" t="n">
        <v>112</v>
      </c>
      <c r="K272" s="18" t="n">
        <v>-0.028414983911423</v>
      </c>
      <c r="L272" s="18" t="n">
        <v>0.0200018959454634</v>
      </c>
      <c r="M272" s="18" t="n">
        <v>-1.42061452518794</v>
      </c>
      <c r="N272" s="18" t="n">
        <v>111</v>
      </c>
      <c r="O272" s="18" t="n">
        <v>0.158231827174357</v>
      </c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 t="s">
        <v>402</v>
      </c>
      <c r="AI272" s="18"/>
      <c r="AJ272" s="18" t="s">
        <v>804</v>
      </c>
    </row>
    <row r="273" customFormat="false" ht="15" hidden="false" customHeight="false" outlineLevel="0" collapsed="false">
      <c r="A273" s="18" t="s">
        <v>273</v>
      </c>
      <c r="B273" s="18" t="s">
        <v>457</v>
      </c>
      <c r="C273" s="18" t="s">
        <v>789</v>
      </c>
      <c r="D273" s="18" t="s">
        <v>324</v>
      </c>
      <c r="E273" s="18" t="s">
        <v>404</v>
      </c>
      <c r="F273" s="18" t="s">
        <v>790</v>
      </c>
      <c r="G273" s="18" t="n">
        <v>0.4</v>
      </c>
      <c r="H273" s="18" t="n">
        <v>2692</v>
      </c>
      <c r="I273" s="18" t="n">
        <v>113</v>
      </c>
      <c r="J273" s="18" t="n">
        <v>112</v>
      </c>
      <c r="K273" s="18" t="n">
        <v>-0.00748309248753194</v>
      </c>
      <c r="L273" s="18" t="n">
        <v>0.0240367766128143</v>
      </c>
      <c r="M273" s="18" t="n">
        <v>-0.311318468697779</v>
      </c>
      <c r="N273" s="18" t="n">
        <v>110</v>
      </c>
      <c r="O273" s="18" t="n">
        <v>0.756147756762871</v>
      </c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 t="s">
        <v>402</v>
      </c>
      <c r="AI273" s="18"/>
      <c r="AJ273" s="18" t="s">
        <v>805</v>
      </c>
    </row>
    <row r="274" customFormat="false" ht="15" hidden="false" customHeight="false" outlineLevel="0" collapsed="false">
      <c r="A274" s="18" t="s">
        <v>273</v>
      </c>
      <c r="B274" s="18" t="s">
        <v>459</v>
      </c>
      <c r="C274" s="18" t="s">
        <v>789</v>
      </c>
      <c r="D274" s="18" t="s">
        <v>324</v>
      </c>
      <c r="E274" s="18" t="s">
        <v>404</v>
      </c>
      <c r="F274" s="18" t="s">
        <v>790</v>
      </c>
      <c r="G274" s="18" t="n">
        <v>0.4</v>
      </c>
      <c r="H274" s="18" t="n">
        <v>2692</v>
      </c>
      <c r="I274" s="18" t="n">
        <v>113</v>
      </c>
      <c r="J274" s="18" t="n">
        <v>112</v>
      </c>
      <c r="K274" s="18" t="n">
        <v>-0.00376691437112178</v>
      </c>
      <c r="L274" s="18" t="n">
        <v>0.0255566098086622</v>
      </c>
      <c r="M274" s="18" t="n">
        <v>-0.147394916591989</v>
      </c>
      <c r="N274" s="18" t="n">
        <v>110</v>
      </c>
      <c r="O274" s="18" t="n">
        <v>0.883090141072477</v>
      </c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 t="s">
        <v>402</v>
      </c>
      <c r="AI274" s="18"/>
      <c r="AJ274" s="18" t="s">
        <v>806</v>
      </c>
    </row>
    <row r="275" customFormat="false" ht="15" hidden="false" customHeight="false" outlineLevel="0" collapsed="false">
      <c r="A275" s="18" t="s">
        <v>273</v>
      </c>
      <c r="B275" s="18" t="s">
        <v>461</v>
      </c>
      <c r="C275" s="18" t="s">
        <v>789</v>
      </c>
      <c r="D275" s="18" t="s">
        <v>324</v>
      </c>
      <c r="E275" s="18" t="s">
        <v>404</v>
      </c>
      <c r="F275" s="18" t="s">
        <v>790</v>
      </c>
      <c r="G275" s="18" t="n">
        <v>0.4</v>
      </c>
      <c r="H275" s="18" t="n">
        <v>2692</v>
      </c>
      <c r="I275" s="18" t="n">
        <v>113</v>
      </c>
      <c r="J275" s="18" t="n">
        <v>112</v>
      </c>
      <c r="K275" s="18" t="n">
        <v>-0.0141997232797084</v>
      </c>
      <c r="L275" s="18" t="n">
        <v>0.0171390595667694</v>
      </c>
      <c r="M275" s="18" t="n">
        <v>-0.828500725164638</v>
      </c>
      <c r="N275" s="18" t="n">
        <v>111</v>
      </c>
      <c r="O275" s="18" t="n">
        <v>0.409164899468611</v>
      </c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 t="s">
        <v>402</v>
      </c>
      <c r="AI275" s="18"/>
      <c r="AJ275" s="18" t="s">
        <v>807</v>
      </c>
    </row>
    <row r="276" customFormat="false" ht="15" hidden="false" customHeight="false" outlineLevel="0" collapsed="false">
      <c r="A276" s="18" t="s">
        <v>273</v>
      </c>
      <c r="B276" s="18" t="s">
        <v>463</v>
      </c>
      <c r="C276" s="18" t="s">
        <v>789</v>
      </c>
      <c r="D276" s="18" t="s">
        <v>324</v>
      </c>
      <c r="E276" s="18" t="s">
        <v>404</v>
      </c>
      <c r="F276" s="18" t="s">
        <v>790</v>
      </c>
      <c r="G276" s="18" t="n">
        <v>0.4</v>
      </c>
      <c r="H276" s="18" t="n">
        <v>2692</v>
      </c>
      <c r="I276" s="18" t="n">
        <v>113</v>
      </c>
      <c r="J276" s="18" t="n">
        <v>112</v>
      </c>
      <c r="K276" s="18" t="n">
        <v>-0.0147178467573279</v>
      </c>
      <c r="L276" s="18" t="n">
        <v>0.0163375112596109</v>
      </c>
      <c r="M276" s="18" t="n">
        <v>-0.900862225797692</v>
      </c>
      <c r="N276" s="18" t="n">
        <v>111</v>
      </c>
      <c r="O276" s="18" t="n">
        <v>0.369612011498525</v>
      </c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 t="s">
        <v>402</v>
      </c>
      <c r="AI276" s="18"/>
      <c r="AJ276" s="18" t="s">
        <v>808</v>
      </c>
    </row>
    <row r="277" customFormat="false" ht="15" hidden="false" customHeight="false" outlineLevel="0" collapsed="false">
      <c r="A277" s="18" t="s">
        <v>273</v>
      </c>
      <c r="B277" s="18" t="s">
        <v>465</v>
      </c>
      <c r="C277" s="18" t="s">
        <v>789</v>
      </c>
      <c r="D277" s="18" t="s">
        <v>324</v>
      </c>
      <c r="E277" s="18" t="s">
        <v>404</v>
      </c>
      <c r="F277" s="18" t="s">
        <v>790</v>
      </c>
      <c r="G277" s="18" t="n">
        <v>0.4</v>
      </c>
      <c r="H277" s="18" t="n">
        <v>2692</v>
      </c>
      <c r="I277" s="18" t="n">
        <v>113</v>
      </c>
      <c r="J277" s="18" t="n">
        <v>112</v>
      </c>
      <c r="K277" s="18" t="n">
        <v>-0.0138095236186253</v>
      </c>
      <c r="L277" s="18" t="n">
        <v>0.0162678254424068</v>
      </c>
      <c r="M277" s="18" t="n">
        <v>-0.848885652696196</v>
      </c>
      <c r="N277" s="18" t="n">
        <v>111</v>
      </c>
      <c r="O277" s="18" t="n">
        <v>0.3977719424241</v>
      </c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 t="s">
        <v>402</v>
      </c>
      <c r="AI277" s="18"/>
      <c r="AJ277" s="18" t="s">
        <v>809</v>
      </c>
    </row>
    <row r="278" customFormat="false" ht="15" hidden="false" customHeight="false" outlineLevel="0" collapsed="false">
      <c r="A278" s="18" t="s">
        <v>273</v>
      </c>
      <c r="B278" s="18" t="s">
        <v>467</v>
      </c>
      <c r="C278" s="18" t="s">
        <v>789</v>
      </c>
      <c r="D278" s="18" t="s">
        <v>324</v>
      </c>
      <c r="E278" s="18" t="s">
        <v>404</v>
      </c>
      <c r="F278" s="18" t="s">
        <v>790</v>
      </c>
      <c r="G278" s="18" t="n">
        <v>0.4</v>
      </c>
      <c r="H278" s="18" t="n">
        <v>924</v>
      </c>
      <c r="I278" s="18" t="n">
        <v>40</v>
      </c>
      <c r="J278" s="18" t="n">
        <v>40</v>
      </c>
      <c r="K278" s="18" t="n">
        <v>-0.0262041719011764</v>
      </c>
      <c r="L278" s="18" t="n">
        <v>0.0267006030977321</v>
      </c>
      <c r="M278" s="18" t="n">
        <v>-0.981407491256336</v>
      </c>
      <c r="N278" s="18" t="n">
        <v>38</v>
      </c>
      <c r="O278" s="18" t="n">
        <v>0.332599244582545</v>
      </c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 t="s">
        <v>402</v>
      </c>
      <c r="AI278" s="18"/>
      <c r="AJ278" s="18" t="s">
        <v>810</v>
      </c>
    </row>
    <row r="279" customFormat="false" ht="15" hidden="false" customHeight="false" outlineLevel="0" collapsed="false">
      <c r="A279" s="18" t="s">
        <v>273</v>
      </c>
      <c r="B279" s="18" t="s">
        <v>469</v>
      </c>
      <c r="C279" s="18" t="s">
        <v>789</v>
      </c>
      <c r="D279" s="18" t="s">
        <v>324</v>
      </c>
      <c r="E279" s="18" t="s">
        <v>404</v>
      </c>
      <c r="F279" s="18" t="s">
        <v>790</v>
      </c>
      <c r="G279" s="18" t="n">
        <v>0.4</v>
      </c>
      <c r="H279" s="18" t="n">
        <v>2705</v>
      </c>
      <c r="I279" s="18" t="n">
        <v>113</v>
      </c>
      <c r="J279" s="18" t="n">
        <v>112</v>
      </c>
      <c r="K279" s="18" t="n">
        <v>-0.0110066654337514</v>
      </c>
      <c r="L279" s="18" t="n">
        <v>0.0182227319893948</v>
      </c>
      <c r="M279" s="18" t="n">
        <v>-0.604007425459422</v>
      </c>
      <c r="N279" s="18" t="n">
        <v>111</v>
      </c>
      <c r="O279" s="18" t="n">
        <v>0.547071188537372</v>
      </c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 t="s">
        <v>402</v>
      </c>
      <c r="AI279" s="18"/>
      <c r="AJ279" s="18" t="s">
        <v>811</v>
      </c>
    </row>
    <row r="280" customFormat="false" ht="15" hidden="false" customHeight="false" outlineLevel="0" collapsed="false">
      <c r="A280" s="18" t="s">
        <v>273</v>
      </c>
      <c r="B280" s="18" t="s">
        <v>471</v>
      </c>
      <c r="C280" s="18" t="s">
        <v>789</v>
      </c>
      <c r="D280" s="18" t="s">
        <v>324</v>
      </c>
      <c r="E280" s="18" t="s">
        <v>404</v>
      </c>
      <c r="F280" s="18" t="s">
        <v>790</v>
      </c>
      <c r="G280" s="18" t="n">
        <v>0.4</v>
      </c>
      <c r="H280" s="18" t="n">
        <v>2705</v>
      </c>
      <c r="I280" s="18" t="n">
        <v>113</v>
      </c>
      <c r="J280" s="18" t="n">
        <v>112</v>
      </c>
      <c r="K280" s="18" t="n">
        <v>-0.0190279808342346</v>
      </c>
      <c r="L280" s="18" t="n">
        <v>0.0192959276298033</v>
      </c>
      <c r="M280" s="18" t="n">
        <v>-0.986113816308325</v>
      </c>
      <c r="N280" s="18" t="n">
        <v>111</v>
      </c>
      <c r="O280" s="18" t="n">
        <v>0.326221900911718</v>
      </c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 t="s">
        <v>402</v>
      </c>
      <c r="AI280" s="18"/>
      <c r="AJ280" s="18" t="s">
        <v>812</v>
      </c>
    </row>
    <row r="281" customFormat="false" ht="15" hidden="false" customHeight="false" outlineLevel="0" collapsed="false">
      <c r="A281" s="18" t="s">
        <v>273</v>
      </c>
      <c r="B281" s="18" t="s">
        <v>473</v>
      </c>
      <c r="C281" s="18" t="s">
        <v>789</v>
      </c>
      <c r="D281" s="18" t="s">
        <v>324</v>
      </c>
      <c r="E281" s="18" t="s">
        <v>404</v>
      </c>
      <c r="F281" s="18" t="s">
        <v>790</v>
      </c>
      <c r="G281" s="18" t="n">
        <v>0.4</v>
      </c>
      <c r="H281" s="18" t="n">
        <v>2705</v>
      </c>
      <c r="I281" s="18" t="n">
        <v>113</v>
      </c>
      <c r="J281" s="18" t="n">
        <v>112</v>
      </c>
      <c r="K281" s="18" t="n">
        <v>-0.011942516664124</v>
      </c>
      <c r="L281" s="18" t="n">
        <v>0.019439039100467</v>
      </c>
      <c r="M281" s="18" t="n">
        <v>-0.614357355957841</v>
      </c>
      <c r="N281" s="18" t="n">
        <v>110</v>
      </c>
      <c r="O281" s="18" t="n">
        <v>0.540247831753824</v>
      </c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 t="s">
        <v>402</v>
      </c>
      <c r="AI281" s="18"/>
      <c r="AJ281" s="18" t="s">
        <v>813</v>
      </c>
    </row>
    <row r="282" customFormat="false" ht="15" hidden="false" customHeight="false" outlineLevel="0" collapsed="false">
      <c r="A282" s="18" t="s">
        <v>273</v>
      </c>
      <c r="B282" s="18" t="s">
        <v>475</v>
      </c>
      <c r="C282" s="18" t="s">
        <v>789</v>
      </c>
      <c r="D282" s="18" t="s">
        <v>324</v>
      </c>
      <c r="E282" s="18" t="s">
        <v>404</v>
      </c>
      <c r="F282" s="18" t="s">
        <v>790</v>
      </c>
      <c r="G282" s="18" t="n">
        <v>0.4</v>
      </c>
      <c r="H282" s="18" t="n">
        <v>2705</v>
      </c>
      <c r="I282" s="18" t="n">
        <v>113</v>
      </c>
      <c r="J282" s="18" t="n">
        <v>112</v>
      </c>
      <c r="K282" s="18" t="n">
        <v>-0.0227867305820786</v>
      </c>
      <c r="L282" s="18" t="n">
        <v>0.0201608344479591</v>
      </c>
      <c r="M282" s="18" t="n">
        <v>-1.13024739332579</v>
      </c>
      <c r="N282" s="18" t="n">
        <v>111</v>
      </c>
      <c r="O282" s="18" t="n">
        <v>0.260808348226085</v>
      </c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 t="s">
        <v>402</v>
      </c>
      <c r="AI282" s="18"/>
      <c r="AJ282" s="18" t="s">
        <v>814</v>
      </c>
    </row>
    <row r="283" customFormat="false" ht="15" hidden="false" customHeight="false" outlineLevel="0" collapsed="false">
      <c r="A283" s="18" t="s">
        <v>273</v>
      </c>
      <c r="B283" s="18" t="s">
        <v>477</v>
      </c>
      <c r="C283" s="18" t="s">
        <v>789</v>
      </c>
      <c r="D283" s="18" t="s">
        <v>324</v>
      </c>
      <c r="E283" s="18" t="s">
        <v>404</v>
      </c>
      <c r="F283" s="18" t="s">
        <v>790</v>
      </c>
      <c r="G283" s="18" t="n">
        <v>0.4</v>
      </c>
      <c r="H283" s="18" t="n">
        <v>2705</v>
      </c>
      <c r="I283" s="18" t="n">
        <v>113</v>
      </c>
      <c r="J283" s="18" t="n">
        <v>112</v>
      </c>
      <c r="K283" s="18" t="n">
        <v>-0.00238556417777973</v>
      </c>
      <c r="L283" s="18" t="n">
        <v>0.0241568438240714</v>
      </c>
      <c r="M283" s="18" t="n">
        <v>-0.0987531399032603</v>
      </c>
      <c r="N283" s="18" t="n">
        <v>110</v>
      </c>
      <c r="O283" s="18" t="n">
        <v>0.921514010545936</v>
      </c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 t="s">
        <v>402</v>
      </c>
      <c r="AI283" s="18"/>
      <c r="AJ283" s="18" t="s">
        <v>815</v>
      </c>
    </row>
    <row r="284" customFormat="false" ht="15" hidden="false" customHeight="false" outlineLevel="0" collapsed="false">
      <c r="A284" s="18" t="s">
        <v>273</v>
      </c>
      <c r="B284" s="18" t="s">
        <v>479</v>
      </c>
      <c r="C284" s="18" t="s">
        <v>789</v>
      </c>
      <c r="D284" s="18" t="s">
        <v>324</v>
      </c>
      <c r="E284" s="18" t="s">
        <v>404</v>
      </c>
      <c r="F284" s="18" t="s">
        <v>790</v>
      </c>
      <c r="G284" s="18" t="n">
        <v>0.4</v>
      </c>
      <c r="H284" s="18" t="n">
        <v>2705</v>
      </c>
      <c r="I284" s="18" t="n">
        <v>113</v>
      </c>
      <c r="J284" s="18" t="n">
        <v>112</v>
      </c>
      <c r="K284" s="18" t="n">
        <v>0.00113227231115372</v>
      </c>
      <c r="L284" s="18" t="n">
        <v>0.0256773295167823</v>
      </c>
      <c r="M284" s="18" t="n">
        <v>0.0440961864984319</v>
      </c>
      <c r="N284" s="18" t="n">
        <v>110</v>
      </c>
      <c r="O284" s="18" t="n">
        <v>0.964907680967834</v>
      </c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 t="s">
        <v>402</v>
      </c>
      <c r="AI284" s="18"/>
      <c r="AJ284" s="18" t="s">
        <v>816</v>
      </c>
    </row>
    <row r="285" customFormat="false" ht="15" hidden="false" customHeight="false" outlineLevel="0" collapsed="false">
      <c r="A285" s="18" t="s">
        <v>273</v>
      </c>
      <c r="B285" s="18" t="s">
        <v>481</v>
      </c>
      <c r="C285" s="18" t="s">
        <v>789</v>
      </c>
      <c r="D285" s="18" t="s">
        <v>324</v>
      </c>
      <c r="E285" s="18" t="s">
        <v>404</v>
      </c>
      <c r="F285" s="18" t="s">
        <v>790</v>
      </c>
      <c r="G285" s="18" t="n">
        <v>0.4</v>
      </c>
      <c r="H285" s="18" t="n">
        <v>2705</v>
      </c>
      <c r="I285" s="18" t="n">
        <v>113</v>
      </c>
      <c r="J285" s="18" t="n">
        <v>112</v>
      </c>
      <c r="K285" s="18" t="n">
        <v>-0.0110683548229407</v>
      </c>
      <c r="L285" s="18" t="n">
        <v>0.0172377868928392</v>
      </c>
      <c r="M285" s="18" t="n">
        <v>-0.642098367484668</v>
      </c>
      <c r="N285" s="18" t="n">
        <v>111</v>
      </c>
      <c r="O285" s="18" t="n">
        <v>0.52213320998681</v>
      </c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 t="s">
        <v>402</v>
      </c>
      <c r="AI285" s="18"/>
      <c r="AJ285" s="18" t="s">
        <v>817</v>
      </c>
    </row>
    <row r="286" customFormat="false" ht="15" hidden="false" customHeight="false" outlineLevel="0" collapsed="false">
      <c r="A286" s="18" t="s">
        <v>273</v>
      </c>
      <c r="B286" s="18" t="s">
        <v>483</v>
      </c>
      <c r="C286" s="18" t="s">
        <v>789</v>
      </c>
      <c r="D286" s="18" t="s">
        <v>324</v>
      </c>
      <c r="E286" s="18" t="s">
        <v>404</v>
      </c>
      <c r="F286" s="18" t="s">
        <v>790</v>
      </c>
      <c r="G286" s="18" t="n">
        <v>0.4</v>
      </c>
      <c r="H286" s="18" t="n">
        <v>2705</v>
      </c>
      <c r="I286" s="18" t="n">
        <v>113</v>
      </c>
      <c r="J286" s="18" t="n">
        <v>112</v>
      </c>
      <c r="K286" s="18" t="n">
        <v>-0.00415560470673537</v>
      </c>
      <c r="L286" s="18" t="n">
        <v>0.0164724722198342</v>
      </c>
      <c r="M286" s="18" t="n">
        <v>-0.252275714979302</v>
      </c>
      <c r="N286" s="18" t="n">
        <v>111</v>
      </c>
      <c r="O286" s="18" t="n">
        <v>0.801294499237532</v>
      </c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 t="s">
        <v>402</v>
      </c>
      <c r="AI286" s="18"/>
      <c r="AJ286" s="18" t="s">
        <v>818</v>
      </c>
    </row>
    <row r="287" customFormat="false" ht="15" hidden="false" customHeight="false" outlineLevel="0" collapsed="false">
      <c r="A287" s="18" t="s">
        <v>273</v>
      </c>
      <c r="B287" s="18" t="s">
        <v>485</v>
      </c>
      <c r="C287" s="18" t="s">
        <v>789</v>
      </c>
      <c r="D287" s="18" t="s">
        <v>324</v>
      </c>
      <c r="E287" s="18" t="s">
        <v>404</v>
      </c>
      <c r="F287" s="18" t="s">
        <v>790</v>
      </c>
      <c r="G287" s="18" t="n">
        <v>0.4</v>
      </c>
      <c r="H287" s="18" t="n">
        <v>2705</v>
      </c>
      <c r="I287" s="18" t="n">
        <v>113</v>
      </c>
      <c r="J287" s="18" t="n">
        <v>112</v>
      </c>
      <c r="K287" s="18" t="n">
        <v>-0.00554638874117607</v>
      </c>
      <c r="L287" s="18" t="n">
        <v>0.0163894497975239</v>
      </c>
      <c r="M287" s="18" t="n">
        <v>-0.338412137667613</v>
      </c>
      <c r="N287" s="18" t="n">
        <v>111</v>
      </c>
      <c r="O287" s="18" t="n">
        <v>0.735691896636653</v>
      </c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 t="s">
        <v>402</v>
      </c>
      <c r="AI287" s="18"/>
      <c r="AJ287" s="18" t="s">
        <v>819</v>
      </c>
    </row>
    <row r="288" customFormat="false" ht="15" hidden="false" customHeight="false" outlineLevel="0" collapsed="false">
      <c r="A288" s="18" t="s">
        <v>273</v>
      </c>
      <c r="B288" s="18" t="s">
        <v>487</v>
      </c>
      <c r="C288" s="18" t="s">
        <v>789</v>
      </c>
      <c r="D288" s="18" t="s">
        <v>324</v>
      </c>
      <c r="E288" s="18" t="s">
        <v>404</v>
      </c>
      <c r="F288" s="18" t="s">
        <v>790</v>
      </c>
      <c r="G288" s="18" t="n">
        <v>0.4</v>
      </c>
      <c r="H288" s="18" t="n">
        <v>929</v>
      </c>
      <c r="I288" s="18" t="n">
        <v>40</v>
      </c>
      <c r="J288" s="18" t="n">
        <v>40</v>
      </c>
      <c r="K288" s="18" t="n">
        <v>-0.021428271809879</v>
      </c>
      <c r="L288" s="18" t="n">
        <v>0.025804071332042</v>
      </c>
      <c r="M288" s="18" t="n">
        <v>-0.830422127351299</v>
      </c>
      <c r="N288" s="18" t="n">
        <v>38</v>
      </c>
      <c r="O288" s="18" t="n">
        <v>0.411487289897751</v>
      </c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 t="s">
        <v>402</v>
      </c>
      <c r="AI288" s="18"/>
      <c r="AJ288" s="18" t="s">
        <v>820</v>
      </c>
    </row>
    <row r="289" customFormat="false" ht="15" hidden="false" customHeight="false" outlineLevel="0" collapsed="false">
      <c r="A289" s="18" t="s">
        <v>273</v>
      </c>
      <c r="B289" s="18" t="s">
        <v>489</v>
      </c>
      <c r="C289" s="18" t="s">
        <v>789</v>
      </c>
      <c r="D289" s="18" t="s">
        <v>324</v>
      </c>
      <c r="E289" s="18" t="s">
        <v>404</v>
      </c>
      <c r="F289" s="18" t="s">
        <v>790</v>
      </c>
      <c r="G289" s="18" t="n">
        <v>0.4</v>
      </c>
      <c r="H289" s="18" t="n">
        <v>2607</v>
      </c>
      <c r="I289" s="18" t="n">
        <v>110</v>
      </c>
      <c r="J289" s="18" t="n">
        <v>109</v>
      </c>
      <c r="K289" s="18" t="n">
        <v>0.0105744411085973</v>
      </c>
      <c r="L289" s="18" t="n">
        <v>0.0506822410458494</v>
      </c>
      <c r="M289" s="18" t="n">
        <v>0.208641940261307</v>
      </c>
      <c r="N289" s="18" t="n">
        <v>108</v>
      </c>
      <c r="O289" s="18" t="n">
        <v>0.835120761587551</v>
      </c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 t="s">
        <v>402</v>
      </c>
      <c r="AI289" s="18"/>
      <c r="AJ289" s="18" t="s">
        <v>821</v>
      </c>
    </row>
    <row r="290" customFormat="false" ht="15" hidden="false" customHeight="false" outlineLevel="0" collapsed="false">
      <c r="A290" s="18" t="s">
        <v>273</v>
      </c>
      <c r="B290" s="18" t="s">
        <v>491</v>
      </c>
      <c r="C290" s="18" t="s">
        <v>789</v>
      </c>
      <c r="D290" s="18" t="s">
        <v>324</v>
      </c>
      <c r="E290" s="18" t="s">
        <v>404</v>
      </c>
      <c r="F290" s="18" t="s">
        <v>790</v>
      </c>
      <c r="G290" s="18" t="n">
        <v>0.4</v>
      </c>
      <c r="H290" s="18" t="n">
        <v>2607</v>
      </c>
      <c r="I290" s="18" t="n">
        <v>110</v>
      </c>
      <c r="J290" s="18" t="n">
        <v>109</v>
      </c>
      <c r="K290" s="18" t="n">
        <v>-0.0019906593000809</v>
      </c>
      <c r="L290" s="18" t="n">
        <v>0.0536887539457547</v>
      </c>
      <c r="M290" s="18" t="n">
        <v>-0.0370777705530696</v>
      </c>
      <c r="N290" s="18" t="n">
        <v>108</v>
      </c>
      <c r="O290" s="18" t="n">
        <v>0.970491444062799</v>
      </c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 t="s">
        <v>402</v>
      </c>
      <c r="AI290" s="18"/>
      <c r="AJ290" s="18" t="s">
        <v>822</v>
      </c>
    </row>
    <row r="291" customFormat="false" ht="15" hidden="false" customHeight="false" outlineLevel="0" collapsed="false">
      <c r="A291" s="18" t="s">
        <v>273</v>
      </c>
      <c r="B291" s="18" t="s">
        <v>493</v>
      </c>
      <c r="C291" s="18" t="s">
        <v>789</v>
      </c>
      <c r="D291" s="18" t="s">
        <v>324</v>
      </c>
      <c r="E291" s="18" t="s">
        <v>404</v>
      </c>
      <c r="F291" s="18" t="s">
        <v>790</v>
      </c>
      <c r="G291" s="18" t="n">
        <v>0.4</v>
      </c>
      <c r="H291" s="18" t="n">
        <v>2607</v>
      </c>
      <c r="I291" s="18" t="n">
        <v>110</v>
      </c>
      <c r="J291" s="18" t="n">
        <v>109</v>
      </c>
      <c r="K291" s="18" t="n">
        <v>-0.0399826327656523</v>
      </c>
      <c r="L291" s="18" t="n">
        <v>0.0547960327953697</v>
      </c>
      <c r="M291" s="18" t="n">
        <v>-0.729662910360016</v>
      </c>
      <c r="N291" s="18" t="n">
        <v>107</v>
      </c>
      <c r="O291" s="18" t="n">
        <v>0.467190608582823</v>
      </c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 t="s">
        <v>402</v>
      </c>
      <c r="AI291" s="18"/>
      <c r="AJ291" s="18" t="s">
        <v>823</v>
      </c>
    </row>
    <row r="292" customFormat="false" ht="15" hidden="false" customHeight="false" outlineLevel="0" collapsed="false">
      <c r="A292" s="18" t="s">
        <v>273</v>
      </c>
      <c r="B292" s="18" t="s">
        <v>495</v>
      </c>
      <c r="C292" s="18" t="s">
        <v>789</v>
      </c>
      <c r="D292" s="18" t="s">
        <v>324</v>
      </c>
      <c r="E292" s="18" t="s">
        <v>404</v>
      </c>
      <c r="F292" s="18" t="s">
        <v>790</v>
      </c>
      <c r="G292" s="18" t="n">
        <v>0.4</v>
      </c>
      <c r="H292" s="18" t="n">
        <v>2607</v>
      </c>
      <c r="I292" s="18" t="n">
        <v>110</v>
      </c>
      <c r="J292" s="18" t="n">
        <v>109</v>
      </c>
      <c r="K292" s="18" t="n">
        <v>-0.00683925939892924</v>
      </c>
      <c r="L292" s="18" t="n">
        <v>0.0560915618758761</v>
      </c>
      <c r="M292" s="18" t="n">
        <v>-0.121930272044549</v>
      </c>
      <c r="N292" s="18" t="n">
        <v>108</v>
      </c>
      <c r="O292" s="18" t="n">
        <v>0.903180827769262</v>
      </c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 t="s">
        <v>402</v>
      </c>
      <c r="AI292" s="18"/>
      <c r="AJ292" s="18" t="s">
        <v>824</v>
      </c>
    </row>
    <row r="293" customFormat="false" ht="15" hidden="false" customHeight="false" outlineLevel="0" collapsed="false">
      <c r="A293" s="18" t="s">
        <v>273</v>
      </c>
      <c r="B293" s="18" t="s">
        <v>497</v>
      </c>
      <c r="C293" s="18" t="s">
        <v>789</v>
      </c>
      <c r="D293" s="18" t="s">
        <v>324</v>
      </c>
      <c r="E293" s="18" t="s">
        <v>404</v>
      </c>
      <c r="F293" s="18" t="s">
        <v>790</v>
      </c>
      <c r="G293" s="18" t="n">
        <v>0.4</v>
      </c>
      <c r="H293" s="18" t="n">
        <v>2607</v>
      </c>
      <c r="I293" s="18" t="n">
        <v>110</v>
      </c>
      <c r="J293" s="18" t="n">
        <v>109</v>
      </c>
      <c r="K293" s="18" t="n">
        <v>0.0173715486107229</v>
      </c>
      <c r="L293" s="18" t="n">
        <v>0.0667879821482283</v>
      </c>
      <c r="M293" s="18" t="n">
        <v>0.26009991696064</v>
      </c>
      <c r="N293" s="18" t="n">
        <v>107</v>
      </c>
      <c r="O293" s="18" t="n">
        <v>0.795286547866242</v>
      </c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 t="s">
        <v>402</v>
      </c>
      <c r="AI293" s="18"/>
      <c r="AJ293" s="18" t="s">
        <v>825</v>
      </c>
    </row>
    <row r="294" customFormat="false" ht="15" hidden="false" customHeight="false" outlineLevel="0" collapsed="false">
      <c r="A294" s="18" t="s">
        <v>273</v>
      </c>
      <c r="B294" s="18" t="s">
        <v>499</v>
      </c>
      <c r="C294" s="18" t="s">
        <v>789</v>
      </c>
      <c r="D294" s="18" t="s">
        <v>324</v>
      </c>
      <c r="E294" s="18" t="s">
        <v>404</v>
      </c>
      <c r="F294" s="18" t="s">
        <v>790</v>
      </c>
      <c r="G294" s="18" t="n">
        <v>0.4</v>
      </c>
      <c r="H294" s="18" t="n">
        <v>2607</v>
      </c>
      <c r="I294" s="18" t="n">
        <v>110</v>
      </c>
      <c r="J294" s="18" t="n">
        <v>109</v>
      </c>
      <c r="K294" s="18" t="n">
        <v>0.0209627061062919</v>
      </c>
      <c r="L294" s="18" t="n">
        <v>0.0709804691777888</v>
      </c>
      <c r="M294" s="18" t="n">
        <v>0.295330621917775</v>
      </c>
      <c r="N294" s="18" t="n">
        <v>107</v>
      </c>
      <c r="O294" s="18" t="n">
        <v>0.768313640229217</v>
      </c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 t="s">
        <v>402</v>
      </c>
      <c r="AI294" s="18"/>
      <c r="AJ294" s="18" t="s">
        <v>826</v>
      </c>
    </row>
    <row r="295" customFormat="false" ht="15" hidden="false" customHeight="false" outlineLevel="0" collapsed="false">
      <c r="A295" s="18" t="s">
        <v>273</v>
      </c>
      <c r="B295" s="18" t="s">
        <v>501</v>
      </c>
      <c r="C295" s="18" t="s">
        <v>789</v>
      </c>
      <c r="D295" s="18" t="s">
        <v>324</v>
      </c>
      <c r="E295" s="18" t="s">
        <v>404</v>
      </c>
      <c r="F295" s="18" t="s">
        <v>790</v>
      </c>
      <c r="G295" s="18" t="n">
        <v>0.4</v>
      </c>
      <c r="H295" s="18" t="n">
        <v>2607</v>
      </c>
      <c r="I295" s="18" t="n">
        <v>110</v>
      </c>
      <c r="J295" s="18" t="n">
        <v>109</v>
      </c>
      <c r="K295" s="18" t="n">
        <v>-0.051481287934661</v>
      </c>
      <c r="L295" s="18" t="n">
        <v>0.0481156951171085</v>
      </c>
      <c r="M295" s="18" t="n">
        <v>-1.06994792051452</v>
      </c>
      <c r="N295" s="18" t="n">
        <v>108</v>
      </c>
      <c r="O295" s="18" t="n">
        <v>0.287028181802518</v>
      </c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 t="s">
        <v>402</v>
      </c>
      <c r="AI295" s="18"/>
      <c r="AJ295" s="18" t="s">
        <v>827</v>
      </c>
    </row>
    <row r="296" customFormat="false" ht="15" hidden="false" customHeight="false" outlineLevel="0" collapsed="false">
      <c r="A296" s="18" t="s">
        <v>273</v>
      </c>
      <c r="B296" s="18" t="s">
        <v>503</v>
      </c>
      <c r="C296" s="18" t="s">
        <v>789</v>
      </c>
      <c r="D296" s="18" t="s">
        <v>324</v>
      </c>
      <c r="E296" s="18" t="s">
        <v>404</v>
      </c>
      <c r="F296" s="18" t="s">
        <v>790</v>
      </c>
      <c r="G296" s="18" t="n">
        <v>0.4</v>
      </c>
      <c r="H296" s="18" t="n">
        <v>2607</v>
      </c>
      <c r="I296" s="18" t="n">
        <v>110</v>
      </c>
      <c r="J296" s="18" t="n">
        <v>109</v>
      </c>
      <c r="K296" s="18" t="n">
        <v>0.027089355668462</v>
      </c>
      <c r="L296" s="18" t="n">
        <v>0.0459669157275976</v>
      </c>
      <c r="M296" s="18" t="n">
        <v>0.589322891033084</v>
      </c>
      <c r="N296" s="18" t="n">
        <v>108</v>
      </c>
      <c r="O296" s="18" t="n">
        <v>0.556875458293348</v>
      </c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 t="s">
        <v>402</v>
      </c>
      <c r="AI296" s="18"/>
      <c r="AJ296" s="18" t="s">
        <v>828</v>
      </c>
    </row>
    <row r="297" customFormat="false" ht="15" hidden="false" customHeight="false" outlineLevel="0" collapsed="false">
      <c r="A297" s="18" t="s">
        <v>273</v>
      </c>
      <c r="B297" s="18" t="s">
        <v>505</v>
      </c>
      <c r="C297" s="18" t="s">
        <v>789</v>
      </c>
      <c r="D297" s="18" t="s">
        <v>324</v>
      </c>
      <c r="E297" s="18" t="s">
        <v>404</v>
      </c>
      <c r="F297" s="18" t="s">
        <v>790</v>
      </c>
      <c r="G297" s="18" t="n">
        <v>0.4</v>
      </c>
      <c r="H297" s="18" t="n">
        <v>2607</v>
      </c>
      <c r="I297" s="18" t="n">
        <v>110</v>
      </c>
      <c r="J297" s="18" t="n">
        <v>109</v>
      </c>
      <c r="K297" s="18" t="n">
        <v>0.0173918742164889</v>
      </c>
      <c r="L297" s="18" t="n">
        <v>0.0458653776742399</v>
      </c>
      <c r="M297" s="18" t="n">
        <v>0.379193960638788</v>
      </c>
      <c r="N297" s="18" t="n">
        <v>108</v>
      </c>
      <c r="O297" s="18" t="n">
        <v>0.70528834489485</v>
      </c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 t="s">
        <v>402</v>
      </c>
      <c r="AI297" s="18"/>
      <c r="AJ297" s="18" t="s">
        <v>829</v>
      </c>
    </row>
    <row r="298" customFormat="false" ht="15" hidden="false" customHeight="false" outlineLevel="0" collapsed="false">
      <c r="A298" s="18" t="s">
        <v>273</v>
      </c>
      <c r="B298" s="18" t="s">
        <v>507</v>
      </c>
      <c r="C298" s="18" t="s">
        <v>789</v>
      </c>
      <c r="D298" s="18" t="s">
        <v>324</v>
      </c>
      <c r="E298" s="18" t="s">
        <v>404</v>
      </c>
      <c r="F298" s="18" t="s">
        <v>790</v>
      </c>
      <c r="G298" s="18" t="n">
        <v>0.4</v>
      </c>
      <c r="H298" s="18" t="n">
        <v>905</v>
      </c>
      <c r="I298" s="18" t="n">
        <v>38</v>
      </c>
      <c r="J298" s="18" t="n">
        <v>38</v>
      </c>
      <c r="K298" s="18" t="n">
        <v>-0.0254305325129396</v>
      </c>
      <c r="L298" s="18" t="n">
        <v>0.0281594321603986</v>
      </c>
      <c r="M298" s="18" t="n">
        <v>-0.90309109814733</v>
      </c>
      <c r="N298" s="18" t="n">
        <v>36</v>
      </c>
      <c r="O298" s="18" t="n">
        <v>0.37248093677974</v>
      </c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 t="s">
        <v>402</v>
      </c>
      <c r="AI298" s="18"/>
      <c r="AJ298" s="18" t="s">
        <v>830</v>
      </c>
    </row>
    <row r="299" customFormat="false" ht="15" hidden="false" customHeight="false" outlineLevel="0" collapsed="false">
      <c r="A299" s="18" t="s">
        <v>273</v>
      </c>
      <c r="B299" s="18" t="s">
        <v>509</v>
      </c>
      <c r="C299" s="18" t="s">
        <v>789</v>
      </c>
      <c r="D299" s="18" t="s">
        <v>324</v>
      </c>
      <c r="E299" s="18" t="s">
        <v>404</v>
      </c>
      <c r="F299" s="18" t="s">
        <v>790</v>
      </c>
      <c r="G299" s="18" t="n">
        <v>0.4</v>
      </c>
      <c r="H299" s="18" t="n">
        <v>2594</v>
      </c>
      <c r="I299" s="18" t="n">
        <v>110</v>
      </c>
      <c r="J299" s="18" t="n">
        <v>109</v>
      </c>
      <c r="K299" s="18" t="n">
        <v>-0.0210765423148194</v>
      </c>
      <c r="L299" s="18" t="n">
        <v>0.019011334864644</v>
      </c>
      <c r="M299" s="18" t="n">
        <v>-1.10863032316663</v>
      </c>
      <c r="N299" s="18" t="n">
        <v>108</v>
      </c>
      <c r="O299" s="18" t="n">
        <v>0.270052393452949</v>
      </c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 t="s">
        <v>402</v>
      </c>
      <c r="AI299" s="18"/>
      <c r="AJ299" s="18" t="s">
        <v>831</v>
      </c>
    </row>
    <row r="300" customFormat="false" ht="15" hidden="false" customHeight="false" outlineLevel="0" collapsed="false">
      <c r="A300" s="18" t="s">
        <v>273</v>
      </c>
      <c r="B300" s="18" t="s">
        <v>511</v>
      </c>
      <c r="C300" s="18" t="s">
        <v>789</v>
      </c>
      <c r="D300" s="18" t="s">
        <v>324</v>
      </c>
      <c r="E300" s="18" t="s">
        <v>404</v>
      </c>
      <c r="F300" s="18" t="s">
        <v>790</v>
      </c>
      <c r="G300" s="18" t="n">
        <v>0.4</v>
      </c>
      <c r="H300" s="18" t="n">
        <v>2594</v>
      </c>
      <c r="I300" s="18" t="n">
        <v>110</v>
      </c>
      <c r="J300" s="18" t="n">
        <v>109</v>
      </c>
      <c r="K300" s="18" t="n">
        <v>-0.0320019614039614</v>
      </c>
      <c r="L300" s="18" t="n">
        <v>0.020038419826466</v>
      </c>
      <c r="M300" s="18" t="n">
        <v>-1.59703018906183</v>
      </c>
      <c r="N300" s="18" t="n">
        <v>108</v>
      </c>
      <c r="O300" s="18" t="n">
        <v>0.113180902298615</v>
      </c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 t="s">
        <v>402</v>
      </c>
      <c r="AI300" s="18"/>
      <c r="AJ300" s="18" t="s">
        <v>832</v>
      </c>
    </row>
    <row r="301" customFormat="false" ht="15" hidden="false" customHeight="false" outlineLevel="0" collapsed="false">
      <c r="A301" s="18" t="s">
        <v>273</v>
      </c>
      <c r="B301" s="18" t="s">
        <v>513</v>
      </c>
      <c r="C301" s="18" t="s">
        <v>789</v>
      </c>
      <c r="D301" s="18" t="s">
        <v>324</v>
      </c>
      <c r="E301" s="18" t="s">
        <v>404</v>
      </c>
      <c r="F301" s="18" t="s">
        <v>790</v>
      </c>
      <c r="G301" s="18" t="n">
        <v>0.4</v>
      </c>
      <c r="H301" s="18" t="n">
        <v>2594</v>
      </c>
      <c r="I301" s="18" t="n">
        <v>110</v>
      </c>
      <c r="J301" s="18" t="n">
        <v>109</v>
      </c>
      <c r="K301" s="18" t="n">
        <v>-0.0130271901475702</v>
      </c>
      <c r="L301" s="18" t="n">
        <v>0.0209114338229695</v>
      </c>
      <c r="M301" s="18" t="n">
        <v>-0.622969723542386</v>
      </c>
      <c r="N301" s="18" t="n">
        <v>107</v>
      </c>
      <c r="O301" s="18" t="n">
        <v>0.534629963171425</v>
      </c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 t="s">
        <v>402</v>
      </c>
      <c r="AI301" s="18"/>
      <c r="AJ301" s="18" t="s">
        <v>833</v>
      </c>
    </row>
    <row r="302" customFormat="false" ht="15" hidden="false" customHeight="false" outlineLevel="0" collapsed="false">
      <c r="A302" s="18" t="s">
        <v>273</v>
      </c>
      <c r="B302" s="18" t="s">
        <v>515</v>
      </c>
      <c r="C302" s="18" t="s">
        <v>789</v>
      </c>
      <c r="D302" s="18" t="s">
        <v>324</v>
      </c>
      <c r="E302" s="18" t="s">
        <v>404</v>
      </c>
      <c r="F302" s="18" t="s">
        <v>790</v>
      </c>
      <c r="G302" s="18" t="n">
        <v>0.4</v>
      </c>
      <c r="H302" s="18" t="n">
        <v>2594</v>
      </c>
      <c r="I302" s="18" t="n">
        <v>110</v>
      </c>
      <c r="J302" s="18" t="n">
        <v>109</v>
      </c>
      <c r="K302" s="18" t="n">
        <v>-0.0358298913110986</v>
      </c>
      <c r="L302" s="18" t="n">
        <v>0.0209146648801826</v>
      </c>
      <c r="M302" s="18" t="n">
        <v>-1.71314680471159</v>
      </c>
      <c r="N302" s="18" t="n">
        <v>108</v>
      </c>
      <c r="O302" s="18" t="n">
        <v>0.0895547985547509</v>
      </c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 t="s">
        <v>402</v>
      </c>
      <c r="AI302" s="18"/>
      <c r="AJ302" s="18" t="s">
        <v>834</v>
      </c>
    </row>
    <row r="303" customFormat="false" ht="15" hidden="false" customHeight="false" outlineLevel="0" collapsed="false">
      <c r="A303" s="18" t="s">
        <v>273</v>
      </c>
      <c r="B303" s="18" t="s">
        <v>517</v>
      </c>
      <c r="C303" s="18" t="s">
        <v>789</v>
      </c>
      <c r="D303" s="18" t="s">
        <v>324</v>
      </c>
      <c r="E303" s="18" t="s">
        <v>404</v>
      </c>
      <c r="F303" s="18" t="s">
        <v>790</v>
      </c>
      <c r="G303" s="18" t="n">
        <v>0.4</v>
      </c>
      <c r="H303" s="18" t="n">
        <v>2594</v>
      </c>
      <c r="I303" s="18" t="n">
        <v>110</v>
      </c>
      <c r="J303" s="18" t="n">
        <v>109</v>
      </c>
      <c r="K303" s="18" t="n">
        <v>-0.0101542059499687</v>
      </c>
      <c r="L303" s="18" t="n">
        <v>0.0252045573580772</v>
      </c>
      <c r="M303" s="18" t="n">
        <v>-0.402871822175231</v>
      </c>
      <c r="N303" s="18" t="n">
        <v>107</v>
      </c>
      <c r="O303" s="18" t="n">
        <v>0.68784633287731</v>
      </c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 t="s">
        <v>402</v>
      </c>
      <c r="AI303" s="18"/>
      <c r="AJ303" s="18" t="s">
        <v>835</v>
      </c>
    </row>
    <row r="304" customFormat="false" ht="15" hidden="false" customHeight="false" outlineLevel="0" collapsed="false">
      <c r="A304" s="18" t="s">
        <v>273</v>
      </c>
      <c r="B304" s="18" t="s">
        <v>519</v>
      </c>
      <c r="C304" s="18" t="s">
        <v>789</v>
      </c>
      <c r="D304" s="18" t="s">
        <v>324</v>
      </c>
      <c r="E304" s="18" t="s">
        <v>404</v>
      </c>
      <c r="F304" s="18" t="s">
        <v>790</v>
      </c>
      <c r="G304" s="18" t="n">
        <v>0.4</v>
      </c>
      <c r="H304" s="18" t="n">
        <v>2594</v>
      </c>
      <c r="I304" s="18" t="n">
        <v>110</v>
      </c>
      <c r="J304" s="18" t="n">
        <v>109</v>
      </c>
      <c r="K304" s="18" t="n">
        <v>-0.00638384662522248</v>
      </c>
      <c r="L304" s="18" t="n">
        <v>0.0267937456267786</v>
      </c>
      <c r="M304" s="18" t="n">
        <v>-0.238258835257517</v>
      </c>
      <c r="N304" s="18" t="n">
        <v>107</v>
      </c>
      <c r="O304" s="18" t="n">
        <v>0.812136029710819</v>
      </c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 t="s">
        <v>402</v>
      </c>
      <c r="AI304" s="18"/>
      <c r="AJ304" s="18" t="s">
        <v>836</v>
      </c>
    </row>
    <row r="305" customFormat="false" ht="15" hidden="false" customHeight="false" outlineLevel="0" collapsed="false">
      <c r="A305" s="18" t="s">
        <v>273</v>
      </c>
      <c r="B305" s="18" t="s">
        <v>521</v>
      </c>
      <c r="C305" s="18" t="s">
        <v>789</v>
      </c>
      <c r="D305" s="18" t="s">
        <v>324</v>
      </c>
      <c r="E305" s="18" t="s">
        <v>404</v>
      </c>
      <c r="F305" s="18" t="s">
        <v>790</v>
      </c>
      <c r="G305" s="18" t="n">
        <v>0.4</v>
      </c>
      <c r="H305" s="18" t="n">
        <v>2594</v>
      </c>
      <c r="I305" s="18" t="n">
        <v>110</v>
      </c>
      <c r="J305" s="18" t="n">
        <v>109</v>
      </c>
      <c r="K305" s="18" t="n">
        <v>-0.0224442677275156</v>
      </c>
      <c r="L305" s="18" t="n">
        <v>0.018243244801004</v>
      </c>
      <c r="M305" s="18" t="n">
        <v>-1.23027827408644</v>
      </c>
      <c r="N305" s="18" t="n">
        <v>108</v>
      </c>
      <c r="O305" s="18" t="n">
        <v>0.221265923754102</v>
      </c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 t="s">
        <v>402</v>
      </c>
      <c r="AI305" s="18"/>
      <c r="AJ305" s="18" t="s">
        <v>837</v>
      </c>
    </row>
    <row r="306" customFormat="false" ht="15" hidden="false" customHeight="false" outlineLevel="0" collapsed="false">
      <c r="A306" s="18" t="s">
        <v>273</v>
      </c>
      <c r="B306" s="18" t="s">
        <v>523</v>
      </c>
      <c r="C306" s="18" t="s">
        <v>789</v>
      </c>
      <c r="D306" s="18" t="s">
        <v>324</v>
      </c>
      <c r="E306" s="18" t="s">
        <v>404</v>
      </c>
      <c r="F306" s="18" t="s">
        <v>790</v>
      </c>
      <c r="G306" s="18" t="n">
        <v>0.4</v>
      </c>
      <c r="H306" s="18" t="n">
        <v>2594</v>
      </c>
      <c r="I306" s="18" t="n">
        <v>110</v>
      </c>
      <c r="J306" s="18" t="n">
        <v>109</v>
      </c>
      <c r="K306" s="18" t="n">
        <v>-0.0211831858546503</v>
      </c>
      <c r="L306" s="18" t="n">
        <v>0.0173094871014907</v>
      </c>
      <c r="M306" s="18" t="n">
        <v>-1.22379049884303</v>
      </c>
      <c r="N306" s="18" t="n">
        <v>108</v>
      </c>
      <c r="O306" s="18" t="n">
        <v>0.223694450016553</v>
      </c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 t="s">
        <v>402</v>
      </c>
      <c r="AI306" s="18"/>
      <c r="AJ306" s="18" t="s">
        <v>838</v>
      </c>
    </row>
    <row r="307" customFormat="false" ht="15" hidden="false" customHeight="false" outlineLevel="0" collapsed="false">
      <c r="A307" s="18" t="s">
        <v>273</v>
      </c>
      <c r="B307" s="18" t="s">
        <v>525</v>
      </c>
      <c r="C307" s="18" t="s">
        <v>789</v>
      </c>
      <c r="D307" s="18" t="s">
        <v>324</v>
      </c>
      <c r="E307" s="18" t="s">
        <v>404</v>
      </c>
      <c r="F307" s="18" t="s">
        <v>790</v>
      </c>
      <c r="G307" s="18" t="n">
        <v>0.4</v>
      </c>
      <c r="H307" s="18" t="n">
        <v>2594</v>
      </c>
      <c r="I307" s="18" t="n">
        <v>110</v>
      </c>
      <c r="J307" s="18" t="n">
        <v>109</v>
      </c>
      <c r="K307" s="18" t="n">
        <v>-0.0191463084768137</v>
      </c>
      <c r="L307" s="18" t="n">
        <v>0.0172080427334693</v>
      </c>
      <c r="M307" s="18" t="n">
        <v>-1.11263719955638</v>
      </c>
      <c r="N307" s="18" t="n">
        <v>108</v>
      </c>
      <c r="O307" s="18" t="n">
        <v>0.268334722083042</v>
      </c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 t="s">
        <v>402</v>
      </c>
      <c r="AI307" s="18"/>
      <c r="AJ307" s="18" t="s">
        <v>839</v>
      </c>
    </row>
    <row r="308" customFormat="false" ht="15" hidden="false" customHeight="false" outlineLevel="0" collapsed="false">
      <c r="A308" s="18" t="s">
        <v>273</v>
      </c>
      <c r="B308" s="18" t="s">
        <v>527</v>
      </c>
      <c r="C308" s="18" t="s">
        <v>789</v>
      </c>
      <c r="D308" s="18" t="s">
        <v>324</v>
      </c>
      <c r="E308" s="18" t="s">
        <v>404</v>
      </c>
      <c r="F308" s="18" t="s">
        <v>790</v>
      </c>
      <c r="G308" s="18" t="n">
        <v>0.4</v>
      </c>
      <c r="H308" s="18" t="n">
        <v>900</v>
      </c>
      <c r="I308" s="18" t="n">
        <v>38</v>
      </c>
      <c r="J308" s="18" t="n">
        <v>38</v>
      </c>
      <c r="K308" s="18" t="n">
        <v>-0.0290822820264305</v>
      </c>
      <c r="L308" s="18" t="n">
        <v>0.0277013782172229</v>
      </c>
      <c r="M308" s="18" t="n">
        <v>-1.04984964280041</v>
      </c>
      <c r="N308" s="18" t="n">
        <v>36</v>
      </c>
      <c r="O308" s="18" t="n">
        <v>0.300784195658637</v>
      </c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 t="s">
        <v>402</v>
      </c>
      <c r="AI308" s="18"/>
      <c r="AJ308" s="18" t="s">
        <v>840</v>
      </c>
    </row>
    <row r="309" customFormat="false" ht="15" hidden="false" customHeight="false" outlineLevel="0" collapsed="false">
      <c r="A309" s="18" t="s">
        <v>273</v>
      </c>
      <c r="B309" s="18" t="s">
        <v>529</v>
      </c>
      <c r="C309" s="18" t="s">
        <v>789</v>
      </c>
      <c r="D309" s="18" t="s">
        <v>324</v>
      </c>
      <c r="E309" s="18" t="s">
        <v>404</v>
      </c>
      <c r="F309" s="18" t="s">
        <v>790</v>
      </c>
      <c r="G309" s="18" t="n">
        <v>0.4</v>
      </c>
      <c r="H309" s="18" t="n">
        <v>2607</v>
      </c>
      <c r="I309" s="18" t="n">
        <v>110</v>
      </c>
      <c r="J309" s="18" t="n">
        <v>109</v>
      </c>
      <c r="K309" s="18" t="n">
        <v>-0.0172625611141405</v>
      </c>
      <c r="L309" s="18" t="n">
        <v>0.0190227358013387</v>
      </c>
      <c r="M309" s="18" t="n">
        <v>-0.907469950401443</v>
      </c>
      <c r="N309" s="18" t="n">
        <v>108</v>
      </c>
      <c r="O309" s="18" t="n">
        <v>0.366178718457515</v>
      </c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 t="s">
        <v>402</v>
      </c>
      <c r="AI309" s="18"/>
      <c r="AJ309" s="18" t="s">
        <v>841</v>
      </c>
    </row>
    <row r="310" customFormat="false" ht="15" hidden="false" customHeight="false" outlineLevel="0" collapsed="false">
      <c r="A310" s="18" t="s">
        <v>273</v>
      </c>
      <c r="B310" s="18" t="s">
        <v>531</v>
      </c>
      <c r="C310" s="18" t="s">
        <v>789</v>
      </c>
      <c r="D310" s="18" t="s">
        <v>324</v>
      </c>
      <c r="E310" s="18" t="s">
        <v>404</v>
      </c>
      <c r="F310" s="18" t="s">
        <v>790</v>
      </c>
      <c r="G310" s="18" t="n">
        <v>0.4</v>
      </c>
      <c r="H310" s="18" t="n">
        <v>2607</v>
      </c>
      <c r="I310" s="18" t="n">
        <v>110</v>
      </c>
      <c r="J310" s="18" t="n">
        <v>109</v>
      </c>
      <c r="K310" s="18" t="n">
        <v>-0.0256419685480303</v>
      </c>
      <c r="L310" s="18" t="n">
        <v>0.0200981630968834</v>
      </c>
      <c r="M310" s="18" t="n">
        <v>-1.27583642467338</v>
      </c>
      <c r="N310" s="18" t="n">
        <v>108</v>
      </c>
      <c r="O310" s="18" t="n">
        <v>0.204750525999259</v>
      </c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 t="s">
        <v>402</v>
      </c>
      <c r="AI310" s="18"/>
      <c r="AJ310" s="18" t="s">
        <v>842</v>
      </c>
    </row>
    <row r="311" customFormat="false" ht="15" hidden="false" customHeight="false" outlineLevel="0" collapsed="false">
      <c r="A311" s="18" t="s">
        <v>273</v>
      </c>
      <c r="B311" s="18" t="s">
        <v>533</v>
      </c>
      <c r="C311" s="18" t="s">
        <v>789</v>
      </c>
      <c r="D311" s="18" t="s">
        <v>324</v>
      </c>
      <c r="E311" s="18" t="s">
        <v>404</v>
      </c>
      <c r="F311" s="18" t="s">
        <v>790</v>
      </c>
      <c r="G311" s="18" t="n">
        <v>0.4</v>
      </c>
      <c r="H311" s="18" t="n">
        <v>2607</v>
      </c>
      <c r="I311" s="18" t="n">
        <v>110</v>
      </c>
      <c r="J311" s="18" t="n">
        <v>109</v>
      </c>
      <c r="K311" s="18" t="n">
        <v>-0.0121110378206827</v>
      </c>
      <c r="L311" s="18" t="n">
        <v>0.0208869532831156</v>
      </c>
      <c r="M311" s="18" t="n">
        <v>-0.579837454343947</v>
      </c>
      <c r="N311" s="18" t="n">
        <v>107</v>
      </c>
      <c r="O311" s="18" t="n">
        <v>0.563243191034269</v>
      </c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 t="s">
        <v>402</v>
      </c>
      <c r="AI311" s="18"/>
      <c r="AJ311" s="18" t="s">
        <v>843</v>
      </c>
    </row>
    <row r="312" customFormat="false" ht="15" hidden="false" customHeight="false" outlineLevel="0" collapsed="false">
      <c r="A312" s="18" t="s">
        <v>273</v>
      </c>
      <c r="B312" s="18" t="s">
        <v>535</v>
      </c>
      <c r="C312" s="18" t="s">
        <v>789</v>
      </c>
      <c r="D312" s="18" t="s">
        <v>324</v>
      </c>
      <c r="E312" s="18" t="s">
        <v>404</v>
      </c>
      <c r="F312" s="18" t="s">
        <v>790</v>
      </c>
      <c r="G312" s="18" t="n">
        <v>0.4</v>
      </c>
      <c r="H312" s="18" t="n">
        <v>2607</v>
      </c>
      <c r="I312" s="18" t="n">
        <v>110</v>
      </c>
      <c r="J312" s="18" t="n">
        <v>109</v>
      </c>
      <c r="K312" s="18" t="n">
        <v>-0.0297281023767794</v>
      </c>
      <c r="L312" s="18" t="n">
        <v>0.0209773852593417</v>
      </c>
      <c r="M312" s="18" t="n">
        <v>-1.41715004082984</v>
      </c>
      <c r="N312" s="18" t="n">
        <v>108</v>
      </c>
      <c r="O312" s="18" t="n">
        <v>0.159317425497386</v>
      </c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 t="s">
        <v>402</v>
      </c>
      <c r="AI312" s="18"/>
      <c r="AJ312" s="18" t="s">
        <v>844</v>
      </c>
    </row>
    <row r="313" customFormat="false" ht="15" hidden="false" customHeight="false" outlineLevel="0" collapsed="false">
      <c r="A313" s="18" t="s">
        <v>273</v>
      </c>
      <c r="B313" s="18" t="s">
        <v>537</v>
      </c>
      <c r="C313" s="18" t="s">
        <v>789</v>
      </c>
      <c r="D313" s="18" t="s">
        <v>324</v>
      </c>
      <c r="E313" s="18" t="s">
        <v>404</v>
      </c>
      <c r="F313" s="18" t="s">
        <v>790</v>
      </c>
      <c r="G313" s="18" t="n">
        <v>0.4</v>
      </c>
      <c r="H313" s="18" t="n">
        <v>2607</v>
      </c>
      <c r="I313" s="18" t="n">
        <v>110</v>
      </c>
      <c r="J313" s="18" t="n">
        <v>109</v>
      </c>
      <c r="K313" s="18" t="n">
        <v>-0.00462922477342712</v>
      </c>
      <c r="L313" s="18" t="n">
        <v>0.0251868084711739</v>
      </c>
      <c r="M313" s="18" t="n">
        <v>-0.18379560787645</v>
      </c>
      <c r="N313" s="18" t="n">
        <v>107</v>
      </c>
      <c r="O313" s="18" t="n">
        <v>0.854521657222362</v>
      </c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 t="s">
        <v>402</v>
      </c>
      <c r="AI313" s="18"/>
      <c r="AJ313" s="18" t="s">
        <v>845</v>
      </c>
    </row>
    <row r="314" customFormat="false" ht="15" hidden="false" customHeight="false" outlineLevel="0" collapsed="false">
      <c r="A314" s="18" t="s">
        <v>273</v>
      </c>
      <c r="B314" s="18" t="s">
        <v>539</v>
      </c>
      <c r="C314" s="18" t="s">
        <v>789</v>
      </c>
      <c r="D314" s="18" t="s">
        <v>324</v>
      </c>
      <c r="E314" s="18" t="s">
        <v>404</v>
      </c>
      <c r="F314" s="18" t="s">
        <v>790</v>
      </c>
      <c r="G314" s="18" t="n">
        <v>0.4</v>
      </c>
      <c r="H314" s="18" t="n">
        <v>2607</v>
      </c>
      <c r="I314" s="18" t="n">
        <v>110</v>
      </c>
      <c r="J314" s="18" t="n">
        <v>109</v>
      </c>
      <c r="K314" s="18" t="n">
        <v>-0.00107161754703251</v>
      </c>
      <c r="L314" s="18" t="n">
        <v>0.0267665587023342</v>
      </c>
      <c r="M314" s="18" t="n">
        <v>-0.0400356862811451</v>
      </c>
      <c r="N314" s="18" t="n">
        <v>107</v>
      </c>
      <c r="O314" s="18" t="n">
        <v>0.968139282102434</v>
      </c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 t="s">
        <v>402</v>
      </c>
      <c r="AI314" s="18"/>
      <c r="AJ314" s="18" t="s">
        <v>846</v>
      </c>
    </row>
    <row r="315" customFormat="false" ht="15" hidden="false" customHeight="false" outlineLevel="0" collapsed="false">
      <c r="A315" s="18" t="s">
        <v>273</v>
      </c>
      <c r="B315" s="18" t="s">
        <v>541</v>
      </c>
      <c r="C315" s="18" t="s">
        <v>789</v>
      </c>
      <c r="D315" s="18" t="s">
        <v>324</v>
      </c>
      <c r="E315" s="18" t="s">
        <v>404</v>
      </c>
      <c r="F315" s="18" t="s">
        <v>790</v>
      </c>
      <c r="G315" s="18" t="n">
        <v>0.4</v>
      </c>
      <c r="H315" s="18" t="n">
        <v>2607</v>
      </c>
      <c r="I315" s="18" t="n">
        <v>110</v>
      </c>
      <c r="J315" s="18" t="n">
        <v>109</v>
      </c>
      <c r="K315" s="18" t="n">
        <v>-0.018339204243744</v>
      </c>
      <c r="L315" s="18" t="n">
        <v>0.0182586051128244</v>
      </c>
      <c r="M315" s="18" t="n">
        <v>-1.00441430933095</v>
      </c>
      <c r="N315" s="18" t="n">
        <v>108</v>
      </c>
      <c r="O315" s="18" t="n">
        <v>0.317424061283892</v>
      </c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 t="s">
        <v>402</v>
      </c>
      <c r="AI315" s="18"/>
      <c r="AJ315" s="18" t="s">
        <v>847</v>
      </c>
    </row>
    <row r="316" customFormat="false" ht="15" hidden="false" customHeight="false" outlineLevel="0" collapsed="false">
      <c r="A316" s="18" t="s">
        <v>273</v>
      </c>
      <c r="B316" s="18" t="s">
        <v>543</v>
      </c>
      <c r="C316" s="18" t="s">
        <v>789</v>
      </c>
      <c r="D316" s="18" t="s">
        <v>324</v>
      </c>
      <c r="E316" s="18" t="s">
        <v>404</v>
      </c>
      <c r="F316" s="18" t="s">
        <v>790</v>
      </c>
      <c r="G316" s="18" t="n">
        <v>0.4</v>
      </c>
      <c r="H316" s="18" t="n">
        <v>2607</v>
      </c>
      <c r="I316" s="18" t="n">
        <v>110</v>
      </c>
      <c r="J316" s="18" t="n">
        <v>109</v>
      </c>
      <c r="K316" s="18" t="n">
        <v>-0.0096717595931566</v>
      </c>
      <c r="L316" s="18" t="n">
        <v>0.0173842075777458</v>
      </c>
      <c r="M316" s="18" t="n">
        <v>-0.556353204476101</v>
      </c>
      <c r="N316" s="18" t="n">
        <v>108</v>
      </c>
      <c r="O316" s="18" t="n">
        <v>0.579120348396224</v>
      </c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 t="s">
        <v>402</v>
      </c>
      <c r="AI316" s="18"/>
      <c r="AJ316" s="18" t="s">
        <v>848</v>
      </c>
    </row>
    <row r="317" customFormat="false" ht="15" hidden="false" customHeight="false" outlineLevel="0" collapsed="false">
      <c r="A317" s="18" t="s">
        <v>273</v>
      </c>
      <c r="B317" s="18" t="s">
        <v>545</v>
      </c>
      <c r="C317" s="18" t="s">
        <v>789</v>
      </c>
      <c r="D317" s="18" t="s">
        <v>324</v>
      </c>
      <c r="E317" s="18" t="s">
        <v>404</v>
      </c>
      <c r="F317" s="18" t="s">
        <v>790</v>
      </c>
      <c r="G317" s="18" t="n">
        <v>0.4</v>
      </c>
      <c r="H317" s="18" t="n">
        <v>2607</v>
      </c>
      <c r="I317" s="18" t="n">
        <v>110</v>
      </c>
      <c r="J317" s="18" t="n">
        <v>109</v>
      </c>
      <c r="K317" s="18" t="n">
        <v>-0.0102140007931249</v>
      </c>
      <c r="L317" s="18" t="n">
        <v>0.0172567689309628</v>
      </c>
      <c r="M317" s="18" t="n">
        <v>-0.591883731768495</v>
      </c>
      <c r="N317" s="18" t="n">
        <v>108</v>
      </c>
      <c r="O317" s="18" t="n">
        <v>0.55516546074085</v>
      </c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 t="s">
        <v>402</v>
      </c>
      <c r="AI317" s="18"/>
      <c r="AJ317" s="18" t="s">
        <v>849</v>
      </c>
    </row>
    <row r="318" customFormat="false" ht="15" hidden="false" customHeight="false" outlineLevel="0" collapsed="false">
      <c r="A318" s="18" t="s">
        <v>273</v>
      </c>
      <c r="B318" s="18" t="s">
        <v>547</v>
      </c>
      <c r="C318" s="18" t="s">
        <v>789</v>
      </c>
      <c r="D318" s="18" t="s">
        <v>324</v>
      </c>
      <c r="E318" s="18" t="s">
        <v>404</v>
      </c>
      <c r="F318" s="18" t="s">
        <v>790</v>
      </c>
      <c r="G318" s="18" t="n">
        <v>0.4</v>
      </c>
      <c r="H318" s="18" t="n">
        <v>905</v>
      </c>
      <c r="I318" s="18" t="n">
        <v>38</v>
      </c>
      <c r="J318" s="18" t="n">
        <v>38</v>
      </c>
      <c r="K318" s="18" t="n">
        <v>-0.0238112185958567</v>
      </c>
      <c r="L318" s="18" t="n">
        <v>0.0267940518921722</v>
      </c>
      <c r="M318" s="18" t="n">
        <v>-0.888675542306202</v>
      </c>
      <c r="N318" s="18" t="n">
        <v>36</v>
      </c>
      <c r="O318" s="18" t="n">
        <v>0.380077161758444</v>
      </c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 t="s">
        <v>402</v>
      </c>
      <c r="AI318" s="18"/>
      <c r="AJ318" s="18" t="s">
        <v>850</v>
      </c>
    </row>
    <row r="319" customFormat="false" ht="15" hidden="false" customHeight="false" outlineLevel="0" collapsed="false">
      <c r="A319" s="18" t="s">
        <v>273</v>
      </c>
      <c r="B319" s="18" t="s">
        <v>549</v>
      </c>
      <c r="C319" s="18" t="s">
        <v>789</v>
      </c>
      <c r="D319" s="18" t="s">
        <v>324</v>
      </c>
      <c r="E319" s="18" t="s">
        <v>404</v>
      </c>
      <c r="F319" s="18" t="s">
        <v>790</v>
      </c>
      <c r="G319" s="18" t="n">
        <v>0.4</v>
      </c>
      <c r="H319" s="18" t="n">
        <v>2705</v>
      </c>
      <c r="I319" s="18" t="n">
        <v>113</v>
      </c>
      <c r="J319" s="18" t="n">
        <v>112</v>
      </c>
      <c r="K319" s="18" t="n">
        <v>0.0158958372660667</v>
      </c>
      <c r="L319" s="18" t="n">
        <v>0.049516036452115</v>
      </c>
      <c r="M319" s="18" t="n">
        <v>0.321024023831935</v>
      </c>
      <c r="N319" s="18" t="n">
        <v>111</v>
      </c>
      <c r="O319" s="18" t="n">
        <v>0.748795825979541</v>
      </c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 t="s">
        <v>402</v>
      </c>
      <c r="AI319" s="18"/>
      <c r="AJ319" s="18" t="s">
        <v>851</v>
      </c>
    </row>
    <row r="320" customFormat="false" ht="15" hidden="false" customHeight="false" outlineLevel="0" collapsed="false">
      <c r="A320" s="18" t="s">
        <v>273</v>
      </c>
      <c r="B320" s="18" t="s">
        <v>551</v>
      </c>
      <c r="C320" s="18" t="s">
        <v>789</v>
      </c>
      <c r="D320" s="18" t="s">
        <v>324</v>
      </c>
      <c r="E320" s="18" t="s">
        <v>404</v>
      </c>
      <c r="F320" s="18" t="s">
        <v>790</v>
      </c>
      <c r="G320" s="18" t="n">
        <v>0.4</v>
      </c>
      <c r="H320" s="18" t="n">
        <v>2705</v>
      </c>
      <c r="I320" s="18" t="n">
        <v>113</v>
      </c>
      <c r="J320" s="18" t="n">
        <v>112</v>
      </c>
      <c r="K320" s="18" t="n">
        <v>0.00379966857970145</v>
      </c>
      <c r="L320" s="18" t="n">
        <v>0.0525237908419987</v>
      </c>
      <c r="M320" s="18" t="n">
        <v>0.0723418572572484</v>
      </c>
      <c r="N320" s="18" t="n">
        <v>111</v>
      </c>
      <c r="O320" s="18" t="n">
        <v>0.942460045576652</v>
      </c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 t="s">
        <v>402</v>
      </c>
      <c r="AI320" s="18"/>
      <c r="AJ320" s="18" t="s">
        <v>852</v>
      </c>
    </row>
    <row r="321" customFormat="false" ht="15" hidden="false" customHeight="false" outlineLevel="0" collapsed="false">
      <c r="A321" s="18" t="s">
        <v>273</v>
      </c>
      <c r="B321" s="18" t="s">
        <v>553</v>
      </c>
      <c r="C321" s="18" t="s">
        <v>789</v>
      </c>
      <c r="D321" s="18" t="s">
        <v>324</v>
      </c>
      <c r="E321" s="18" t="s">
        <v>404</v>
      </c>
      <c r="F321" s="18" t="s">
        <v>790</v>
      </c>
      <c r="G321" s="18" t="n">
        <v>0.4</v>
      </c>
      <c r="H321" s="18" t="n">
        <v>2705</v>
      </c>
      <c r="I321" s="18" t="n">
        <v>113</v>
      </c>
      <c r="J321" s="18" t="n">
        <v>112</v>
      </c>
      <c r="K321" s="18" t="n">
        <v>-0.0415035329222265</v>
      </c>
      <c r="L321" s="18" t="n">
        <v>0.0521782402670668</v>
      </c>
      <c r="M321" s="18" t="n">
        <v>-0.795418410237614</v>
      </c>
      <c r="N321" s="18" t="n">
        <v>110</v>
      </c>
      <c r="O321" s="18" t="n">
        <v>0.42808320183048</v>
      </c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 t="s">
        <v>402</v>
      </c>
      <c r="AI321" s="18"/>
      <c r="AJ321" s="18" t="s">
        <v>853</v>
      </c>
    </row>
    <row r="322" customFormat="false" ht="15" hidden="false" customHeight="false" outlineLevel="0" collapsed="false">
      <c r="A322" s="18" t="s">
        <v>273</v>
      </c>
      <c r="B322" s="18" t="s">
        <v>555</v>
      </c>
      <c r="C322" s="18" t="s">
        <v>789</v>
      </c>
      <c r="D322" s="18" t="s">
        <v>324</v>
      </c>
      <c r="E322" s="18" t="s">
        <v>404</v>
      </c>
      <c r="F322" s="18" t="s">
        <v>790</v>
      </c>
      <c r="G322" s="18" t="n">
        <v>0.4</v>
      </c>
      <c r="H322" s="18" t="n">
        <v>2705</v>
      </c>
      <c r="I322" s="18" t="n">
        <v>113</v>
      </c>
      <c r="J322" s="18" t="n">
        <v>112</v>
      </c>
      <c r="K322" s="18" t="n">
        <v>-0.000699126805525065</v>
      </c>
      <c r="L322" s="18" t="n">
        <v>0.0549118540548583</v>
      </c>
      <c r="M322" s="18" t="n">
        <v>-0.0127318011303465</v>
      </c>
      <c r="N322" s="18" t="n">
        <v>111</v>
      </c>
      <c r="O322" s="18" t="n">
        <v>0.989864622203266</v>
      </c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 t="s">
        <v>402</v>
      </c>
      <c r="AI322" s="18"/>
      <c r="AJ322" s="18" t="s">
        <v>854</v>
      </c>
    </row>
    <row r="323" customFormat="false" ht="15" hidden="false" customHeight="false" outlineLevel="0" collapsed="false">
      <c r="A323" s="18" t="s">
        <v>273</v>
      </c>
      <c r="B323" s="18" t="s">
        <v>557</v>
      </c>
      <c r="C323" s="18" t="s">
        <v>789</v>
      </c>
      <c r="D323" s="18" t="s">
        <v>324</v>
      </c>
      <c r="E323" s="18" t="s">
        <v>404</v>
      </c>
      <c r="F323" s="18" t="s">
        <v>790</v>
      </c>
      <c r="G323" s="18" t="n">
        <v>0.4</v>
      </c>
      <c r="H323" s="18" t="n">
        <v>2705</v>
      </c>
      <c r="I323" s="18" t="n">
        <v>113</v>
      </c>
      <c r="J323" s="18" t="n">
        <v>112</v>
      </c>
      <c r="K323" s="18" t="n">
        <v>0.0191204578240392</v>
      </c>
      <c r="L323" s="18" t="n">
        <v>0.0654542838806568</v>
      </c>
      <c r="M323" s="18" t="n">
        <v>0.292119273031872</v>
      </c>
      <c r="N323" s="18" t="n">
        <v>110</v>
      </c>
      <c r="O323" s="18" t="n">
        <v>0.770745666698224</v>
      </c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 t="s">
        <v>402</v>
      </c>
      <c r="AI323" s="18"/>
      <c r="AJ323" s="18" t="s">
        <v>855</v>
      </c>
    </row>
    <row r="324" customFormat="false" ht="15" hidden="false" customHeight="false" outlineLevel="0" collapsed="false">
      <c r="A324" s="18" t="s">
        <v>273</v>
      </c>
      <c r="B324" s="18" t="s">
        <v>559</v>
      </c>
      <c r="C324" s="18" t="s">
        <v>789</v>
      </c>
      <c r="D324" s="18" t="s">
        <v>324</v>
      </c>
      <c r="E324" s="18" t="s">
        <v>404</v>
      </c>
      <c r="F324" s="18" t="s">
        <v>790</v>
      </c>
      <c r="G324" s="18" t="n">
        <v>0.4</v>
      </c>
      <c r="H324" s="18" t="n">
        <v>2705</v>
      </c>
      <c r="I324" s="18" t="n">
        <v>113</v>
      </c>
      <c r="J324" s="18" t="n">
        <v>112</v>
      </c>
      <c r="K324" s="18" t="n">
        <v>0.0228651941213211</v>
      </c>
      <c r="L324" s="18" t="n">
        <v>0.0695845550116408</v>
      </c>
      <c r="M324" s="18" t="n">
        <v>0.328595822988247</v>
      </c>
      <c r="N324" s="18" t="n">
        <v>110</v>
      </c>
      <c r="O324" s="18" t="n">
        <v>0.743085932780718</v>
      </c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 t="s">
        <v>402</v>
      </c>
      <c r="AI324" s="18"/>
      <c r="AJ324" s="18" t="s">
        <v>856</v>
      </c>
    </row>
    <row r="325" customFormat="false" ht="15" hidden="false" customHeight="false" outlineLevel="0" collapsed="false">
      <c r="A325" s="18" t="s">
        <v>273</v>
      </c>
      <c r="B325" s="18" t="s">
        <v>561</v>
      </c>
      <c r="C325" s="18" t="s">
        <v>789</v>
      </c>
      <c r="D325" s="18" t="s">
        <v>324</v>
      </c>
      <c r="E325" s="18" t="s">
        <v>404</v>
      </c>
      <c r="F325" s="18" t="s">
        <v>790</v>
      </c>
      <c r="G325" s="18" t="n">
        <v>0.4</v>
      </c>
      <c r="H325" s="18" t="n">
        <v>2705</v>
      </c>
      <c r="I325" s="18" t="n">
        <v>113</v>
      </c>
      <c r="J325" s="18" t="n">
        <v>112</v>
      </c>
      <c r="K325" s="18" t="n">
        <v>-0.0439760545953292</v>
      </c>
      <c r="L325" s="18" t="n">
        <v>0.0464062155704653</v>
      </c>
      <c r="M325" s="18" t="n">
        <v>-0.947632855959865</v>
      </c>
      <c r="N325" s="18" t="n">
        <v>111</v>
      </c>
      <c r="O325" s="18" t="n">
        <v>0.345374893704387</v>
      </c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 t="s">
        <v>402</v>
      </c>
      <c r="AI325" s="18"/>
      <c r="AJ325" s="18" t="s">
        <v>857</v>
      </c>
    </row>
    <row r="326" customFormat="false" ht="15" hidden="false" customHeight="false" outlineLevel="0" collapsed="false">
      <c r="A326" s="18" t="s">
        <v>273</v>
      </c>
      <c r="B326" s="18" t="s">
        <v>563</v>
      </c>
      <c r="C326" s="18" t="s">
        <v>789</v>
      </c>
      <c r="D326" s="18" t="s">
        <v>324</v>
      </c>
      <c r="E326" s="18" t="s">
        <v>404</v>
      </c>
      <c r="F326" s="18" t="s">
        <v>790</v>
      </c>
      <c r="G326" s="18" t="n">
        <v>0.4</v>
      </c>
      <c r="H326" s="18" t="n">
        <v>2705</v>
      </c>
      <c r="I326" s="18" t="n">
        <v>113</v>
      </c>
      <c r="J326" s="18" t="n">
        <v>112</v>
      </c>
      <c r="K326" s="18" t="n">
        <v>0.0311054168120208</v>
      </c>
      <c r="L326" s="18" t="n">
        <v>0.0444612291818454</v>
      </c>
      <c r="M326" s="18" t="n">
        <v>0.699607666823614</v>
      </c>
      <c r="N326" s="18" t="n">
        <v>111</v>
      </c>
      <c r="O326" s="18" t="n">
        <v>0.485635910089568</v>
      </c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 t="s">
        <v>402</v>
      </c>
      <c r="AI326" s="18"/>
      <c r="AJ326" s="18" t="s">
        <v>858</v>
      </c>
    </row>
    <row r="327" customFormat="false" ht="15" hidden="false" customHeight="false" outlineLevel="0" collapsed="false">
      <c r="A327" s="18" t="s">
        <v>273</v>
      </c>
      <c r="B327" s="18" t="s">
        <v>565</v>
      </c>
      <c r="C327" s="18" t="s">
        <v>789</v>
      </c>
      <c r="D327" s="18" t="s">
        <v>324</v>
      </c>
      <c r="E327" s="18" t="s">
        <v>404</v>
      </c>
      <c r="F327" s="18" t="s">
        <v>790</v>
      </c>
      <c r="G327" s="18" t="n">
        <v>0.4</v>
      </c>
      <c r="H327" s="18" t="n">
        <v>2705</v>
      </c>
      <c r="I327" s="18" t="n">
        <v>113</v>
      </c>
      <c r="J327" s="18" t="n">
        <v>112</v>
      </c>
      <c r="K327" s="18" t="n">
        <v>0.0211386294208375</v>
      </c>
      <c r="L327" s="18" t="n">
        <v>0.0444697746547913</v>
      </c>
      <c r="M327" s="18" t="n">
        <v>0.475348246869516</v>
      </c>
      <c r="N327" s="18" t="n">
        <v>111</v>
      </c>
      <c r="O327" s="18" t="n">
        <v>0.635472849318237</v>
      </c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 t="s">
        <v>402</v>
      </c>
      <c r="AI327" s="18"/>
      <c r="AJ327" s="18" t="s">
        <v>859</v>
      </c>
    </row>
    <row r="328" customFormat="false" ht="15" hidden="false" customHeight="false" outlineLevel="0" collapsed="false">
      <c r="A328" s="18" t="s">
        <v>273</v>
      </c>
      <c r="B328" s="18" t="s">
        <v>567</v>
      </c>
      <c r="C328" s="18" t="s">
        <v>789</v>
      </c>
      <c r="D328" s="18" t="s">
        <v>324</v>
      </c>
      <c r="E328" s="18" t="s">
        <v>404</v>
      </c>
      <c r="F328" s="18" t="s">
        <v>790</v>
      </c>
      <c r="G328" s="18" t="n">
        <v>0.4</v>
      </c>
      <c r="H328" s="18" t="n">
        <v>929</v>
      </c>
      <c r="I328" s="18" t="n">
        <v>40</v>
      </c>
      <c r="J328" s="18" t="n">
        <v>40</v>
      </c>
      <c r="K328" s="18" t="n">
        <v>-0.0239348148135186</v>
      </c>
      <c r="L328" s="18" t="n">
        <v>0.0273843780524794</v>
      </c>
      <c r="M328" s="18" t="n">
        <v>-0.874031711351993</v>
      </c>
      <c r="N328" s="18" t="n">
        <v>38</v>
      </c>
      <c r="O328" s="18" t="n">
        <v>0.387591456521037</v>
      </c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 t="s">
        <v>402</v>
      </c>
      <c r="AI328" s="18"/>
      <c r="AJ328" s="18" t="s">
        <v>860</v>
      </c>
    </row>
    <row r="329" customFormat="false" ht="15" hidden="false" customHeight="false" outlineLevel="0" collapsed="false">
      <c r="A329" s="18" t="s">
        <v>273</v>
      </c>
      <c r="B329" s="18" t="s">
        <v>569</v>
      </c>
      <c r="C329" s="18" t="s">
        <v>789</v>
      </c>
      <c r="D329" s="18" t="s">
        <v>324</v>
      </c>
      <c r="E329" s="18" t="s">
        <v>404</v>
      </c>
      <c r="F329" s="18" t="s">
        <v>790</v>
      </c>
      <c r="G329" s="18" t="n">
        <v>0.4</v>
      </c>
      <c r="H329" s="18" t="n">
        <v>2692</v>
      </c>
      <c r="I329" s="18" t="n">
        <v>113</v>
      </c>
      <c r="J329" s="18" t="n">
        <v>112</v>
      </c>
      <c r="K329" s="18" t="n">
        <v>-0.0147431007461355</v>
      </c>
      <c r="L329" s="18" t="n">
        <v>0.0181869426521487</v>
      </c>
      <c r="M329" s="18" t="n">
        <v>-0.810642064920883</v>
      </c>
      <c r="N329" s="18" t="n">
        <v>111</v>
      </c>
      <c r="O329" s="18" t="n">
        <v>0.419305910471133</v>
      </c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 t="s">
        <v>402</v>
      </c>
      <c r="AI329" s="18"/>
      <c r="AJ329" s="18" t="s">
        <v>861</v>
      </c>
    </row>
    <row r="330" customFormat="false" ht="15" hidden="false" customHeight="false" outlineLevel="0" collapsed="false">
      <c r="A330" s="18" t="s">
        <v>273</v>
      </c>
      <c r="B330" s="18" t="s">
        <v>571</v>
      </c>
      <c r="C330" s="18" t="s">
        <v>789</v>
      </c>
      <c r="D330" s="18" t="s">
        <v>324</v>
      </c>
      <c r="E330" s="18" t="s">
        <v>404</v>
      </c>
      <c r="F330" s="18" t="s">
        <v>790</v>
      </c>
      <c r="G330" s="18" t="n">
        <v>0.4</v>
      </c>
      <c r="H330" s="18" t="n">
        <v>2692</v>
      </c>
      <c r="I330" s="18" t="n">
        <v>113</v>
      </c>
      <c r="J330" s="18" t="n">
        <v>112</v>
      </c>
      <c r="K330" s="18" t="n">
        <v>-0.0253076942506939</v>
      </c>
      <c r="L330" s="18" t="n">
        <v>0.0192182714923225</v>
      </c>
      <c r="M330" s="18" t="n">
        <v>-1.31685590250945</v>
      </c>
      <c r="N330" s="18" t="n">
        <v>111</v>
      </c>
      <c r="O330" s="18" t="n">
        <v>0.190599201006693</v>
      </c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 t="s">
        <v>402</v>
      </c>
      <c r="AI330" s="18"/>
      <c r="AJ330" s="18" t="s">
        <v>862</v>
      </c>
    </row>
    <row r="331" customFormat="false" ht="15" hidden="false" customHeight="false" outlineLevel="0" collapsed="false">
      <c r="A331" s="18" t="s">
        <v>273</v>
      </c>
      <c r="B331" s="18" t="s">
        <v>573</v>
      </c>
      <c r="C331" s="18" t="s">
        <v>789</v>
      </c>
      <c r="D331" s="18" t="s">
        <v>324</v>
      </c>
      <c r="E331" s="18" t="s">
        <v>404</v>
      </c>
      <c r="F331" s="18" t="s">
        <v>790</v>
      </c>
      <c r="G331" s="18" t="n">
        <v>0.4</v>
      </c>
      <c r="H331" s="18" t="n">
        <v>2692</v>
      </c>
      <c r="I331" s="18" t="n">
        <v>113</v>
      </c>
      <c r="J331" s="18" t="n">
        <v>112</v>
      </c>
      <c r="K331" s="18" t="n">
        <v>-0.0137666670710099</v>
      </c>
      <c r="L331" s="18" t="n">
        <v>0.0194376094611318</v>
      </c>
      <c r="M331" s="18" t="n">
        <v>-0.708248979821222</v>
      </c>
      <c r="N331" s="18" t="n">
        <v>110</v>
      </c>
      <c r="O331" s="18" t="n">
        <v>0.480288781863766</v>
      </c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 t="s">
        <v>402</v>
      </c>
      <c r="AI331" s="18"/>
      <c r="AJ331" s="18" t="s">
        <v>863</v>
      </c>
    </row>
    <row r="332" customFormat="false" ht="15" hidden="false" customHeight="false" outlineLevel="0" collapsed="false">
      <c r="A332" s="18" t="s">
        <v>273</v>
      </c>
      <c r="B332" s="18" t="s">
        <v>575</v>
      </c>
      <c r="C332" s="18" t="s">
        <v>789</v>
      </c>
      <c r="D332" s="18" t="s">
        <v>324</v>
      </c>
      <c r="E332" s="18" t="s">
        <v>404</v>
      </c>
      <c r="F332" s="18" t="s">
        <v>790</v>
      </c>
      <c r="G332" s="18" t="n">
        <v>0.4</v>
      </c>
      <c r="H332" s="18" t="n">
        <v>2692</v>
      </c>
      <c r="I332" s="18" t="n">
        <v>113</v>
      </c>
      <c r="J332" s="18" t="n">
        <v>112</v>
      </c>
      <c r="K332" s="18" t="n">
        <v>-0.0288215478576192</v>
      </c>
      <c r="L332" s="18" t="n">
        <v>0.0200781403059901</v>
      </c>
      <c r="M332" s="18" t="n">
        <v>-1.43546899356115</v>
      </c>
      <c r="N332" s="18" t="n">
        <v>111</v>
      </c>
      <c r="O332" s="18" t="n">
        <v>0.153965446466432</v>
      </c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 t="s">
        <v>402</v>
      </c>
      <c r="AI332" s="18"/>
      <c r="AJ332" s="18" t="s">
        <v>864</v>
      </c>
    </row>
    <row r="333" customFormat="false" ht="15" hidden="false" customHeight="false" outlineLevel="0" collapsed="false">
      <c r="A333" s="18" t="s">
        <v>273</v>
      </c>
      <c r="B333" s="18" t="s">
        <v>577</v>
      </c>
      <c r="C333" s="18" t="s">
        <v>789</v>
      </c>
      <c r="D333" s="18" t="s">
        <v>324</v>
      </c>
      <c r="E333" s="18" t="s">
        <v>404</v>
      </c>
      <c r="F333" s="18" t="s">
        <v>790</v>
      </c>
      <c r="G333" s="18" t="n">
        <v>0.4</v>
      </c>
      <c r="H333" s="18" t="n">
        <v>2692</v>
      </c>
      <c r="I333" s="18" t="n">
        <v>113</v>
      </c>
      <c r="J333" s="18" t="n">
        <v>112</v>
      </c>
      <c r="K333" s="18" t="n">
        <v>-0.00775568606324654</v>
      </c>
      <c r="L333" s="18" t="n">
        <v>0.0241306972245746</v>
      </c>
      <c r="M333" s="18" t="n">
        <v>-0.321403314254351</v>
      </c>
      <c r="N333" s="18" t="n">
        <v>110</v>
      </c>
      <c r="O333" s="18" t="n">
        <v>0.748514673213383</v>
      </c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 t="s">
        <v>402</v>
      </c>
      <c r="AI333" s="18"/>
      <c r="AJ333" s="18" t="s">
        <v>865</v>
      </c>
    </row>
    <row r="334" customFormat="false" ht="15" hidden="false" customHeight="false" outlineLevel="0" collapsed="false">
      <c r="A334" s="18" t="s">
        <v>273</v>
      </c>
      <c r="B334" s="18" t="s">
        <v>579</v>
      </c>
      <c r="C334" s="18" t="s">
        <v>789</v>
      </c>
      <c r="D334" s="18" t="s">
        <v>324</v>
      </c>
      <c r="E334" s="18" t="s">
        <v>404</v>
      </c>
      <c r="F334" s="18" t="s">
        <v>790</v>
      </c>
      <c r="G334" s="18" t="n">
        <v>0.4</v>
      </c>
      <c r="H334" s="18" t="n">
        <v>2692</v>
      </c>
      <c r="I334" s="18" t="n">
        <v>113</v>
      </c>
      <c r="J334" s="18" t="n">
        <v>112</v>
      </c>
      <c r="K334" s="18" t="n">
        <v>-0.0038761067922329</v>
      </c>
      <c r="L334" s="18" t="n">
        <v>0.0256571112331232</v>
      </c>
      <c r="M334" s="18" t="n">
        <v>-0.151073390804374</v>
      </c>
      <c r="N334" s="18" t="n">
        <v>110</v>
      </c>
      <c r="O334" s="18" t="n">
        <v>0.880194524879875</v>
      </c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 t="s">
        <v>402</v>
      </c>
      <c r="AI334" s="18"/>
      <c r="AJ334" s="18" t="s">
        <v>866</v>
      </c>
    </row>
    <row r="335" customFormat="false" ht="15" hidden="false" customHeight="false" outlineLevel="0" collapsed="false">
      <c r="A335" s="18" t="s">
        <v>273</v>
      </c>
      <c r="B335" s="18" t="s">
        <v>581</v>
      </c>
      <c r="C335" s="18" t="s">
        <v>789</v>
      </c>
      <c r="D335" s="18" t="s">
        <v>324</v>
      </c>
      <c r="E335" s="18" t="s">
        <v>404</v>
      </c>
      <c r="F335" s="18" t="s">
        <v>790</v>
      </c>
      <c r="G335" s="18" t="n">
        <v>0.4</v>
      </c>
      <c r="H335" s="18" t="n">
        <v>2692</v>
      </c>
      <c r="I335" s="18" t="n">
        <v>113</v>
      </c>
      <c r="J335" s="18" t="n">
        <v>112</v>
      </c>
      <c r="K335" s="18" t="n">
        <v>-0.0153421986597349</v>
      </c>
      <c r="L335" s="18" t="n">
        <v>0.0172075909100426</v>
      </c>
      <c r="M335" s="18" t="n">
        <v>-0.891594804870739</v>
      </c>
      <c r="N335" s="18" t="n">
        <v>111</v>
      </c>
      <c r="O335" s="18" t="n">
        <v>0.374538808768198</v>
      </c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 t="s">
        <v>402</v>
      </c>
      <c r="AI335" s="18"/>
      <c r="AJ335" s="18" t="s">
        <v>867</v>
      </c>
    </row>
    <row r="336" customFormat="false" ht="15" hidden="false" customHeight="false" outlineLevel="0" collapsed="false">
      <c r="A336" s="18" t="s">
        <v>273</v>
      </c>
      <c r="B336" s="18" t="s">
        <v>583</v>
      </c>
      <c r="C336" s="18" t="s">
        <v>789</v>
      </c>
      <c r="D336" s="18" t="s">
        <v>324</v>
      </c>
      <c r="E336" s="18" t="s">
        <v>404</v>
      </c>
      <c r="F336" s="18" t="s">
        <v>790</v>
      </c>
      <c r="G336" s="18" t="n">
        <v>0.4</v>
      </c>
      <c r="H336" s="18" t="n">
        <v>2692</v>
      </c>
      <c r="I336" s="18" t="n">
        <v>113</v>
      </c>
      <c r="J336" s="18" t="n">
        <v>112</v>
      </c>
      <c r="K336" s="18" t="n">
        <v>-0.0154948657592234</v>
      </c>
      <c r="L336" s="18" t="n">
        <v>0.0164017016922537</v>
      </c>
      <c r="M336" s="18" t="n">
        <v>-0.94471086293085</v>
      </c>
      <c r="N336" s="18" t="n">
        <v>111</v>
      </c>
      <c r="O336" s="18" t="n">
        <v>0.346858358931618</v>
      </c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 t="s">
        <v>402</v>
      </c>
      <c r="AI336" s="18"/>
      <c r="AJ336" s="18" t="s">
        <v>868</v>
      </c>
    </row>
    <row r="337" customFormat="false" ht="15" hidden="false" customHeight="false" outlineLevel="0" collapsed="false">
      <c r="A337" s="18" t="s">
        <v>273</v>
      </c>
      <c r="B337" s="18" t="s">
        <v>585</v>
      </c>
      <c r="C337" s="18" t="s">
        <v>789</v>
      </c>
      <c r="D337" s="18" t="s">
        <v>324</v>
      </c>
      <c r="E337" s="18" t="s">
        <v>404</v>
      </c>
      <c r="F337" s="18" t="s">
        <v>790</v>
      </c>
      <c r="G337" s="18" t="n">
        <v>0.4</v>
      </c>
      <c r="H337" s="18" t="n">
        <v>2692</v>
      </c>
      <c r="I337" s="18" t="n">
        <v>113</v>
      </c>
      <c r="J337" s="18" t="n">
        <v>112</v>
      </c>
      <c r="K337" s="18" t="n">
        <v>-0.0144290090153906</v>
      </c>
      <c r="L337" s="18" t="n">
        <v>0.0163307326946761</v>
      </c>
      <c r="M337" s="18" t="n">
        <v>-0.883549396414683</v>
      </c>
      <c r="N337" s="18" t="n">
        <v>111</v>
      </c>
      <c r="O337" s="18" t="n">
        <v>0.378849164606394</v>
      </c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 t="s">
        <v>402</v>
      </c>
      <c r="AI337" s="18"/>
      <c r="AJ337" s="18" t="s">
        <v>869</v>
      </c>
    </row>
    <row r="338" customFormat="false" ht="15" hidden="false" customHeight="false" outlineLevel="0" collapsed="false">
      <c r="A338" s="18" t="s">
        <v>273</v>
      </c>
      <c r="B338" s="18" t="s">
        <v>587</v>
      </c>
      <c r="C338" s="18" t="s">
        <v>789</v>
      </c>
      <c r="D338" s="18" t="s">
        <v>324</v>
      </c>
      <c r="E338" s="18" t="s">
        <v>404</v>
      </c>
      <c r="F338" s="18" t="s">
        <v>790</v>
      </c>
      <c r="G338" s="18" t="n">
        <v>0.4</v>
      </c>
      <c r="H338" s="18" t="n">
        <v>924</v>
      </c>
      <c r="I338" s="18" t="n">
        <v>40</v>
      </c>
      <c r="J338" s="18" t="n">
        <v>40</v>
      </c>
      <c r="K338" s="18" t="n">
        <v>-0.0273507781949125</v>
      </c>
      <c r="L338" s="18" t="n">
        <v>0.0270141923986832</v>
      </c>
      <c r="M338" s="18" t="n">
        <v>-1.01245959128675</v>
      </c>
      <c r="N338" s="18" t="n">
        <v>38</v>
      </c>
      <c r="O338" s="18" t="n">
        <v>0.317721912486943</v>
      </c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 t="s">
        <v>402</v>
      </c>
      <c r="AI338" s="18"/>
      <c r="AJ338" s="18" t="s">
        <v>870</v>
      </c>
    </row>
    <row r="339" customFormat="false" ht="15" hidden="false" customHeight="false" outlineLevel="0" collapsed="false">
      <c r="A339" s="18" t="s">
        <v>273</v>
      </c>
      <c r="B339" s="18" t="s">
        <v>589</v>
      </c>
      <c r="C339" s="18" t="s">
        <v>789</v>
      </c>
      <c r="D339" s="18" t="s">
        <v>324</v>
      </c>
      <c r="E339" s="18" t="s">
        <v>404</v>
      </c>
      <c r="F339" s="18" t="s">
        <v>790</v>
      </c>
      <c r="G339" s="18" t="n">
        <v>0.4</v>
      </c>
      <c r="H339" s="18" t="n">
        <v>2705</v>
      </c>
      <c r="I339" s="18" t="n">
        <v>113</v>
      </c>
      <c r="J339" s="18" t="n">
        <v>112</v>
      </c>
      <c r="K339" s="18" t="n">
        <v>-0.0113467212450549</v>
      </c>
      <c r="L339" s="18" t="n">
        <v>0.0182352820504347</v>
      </c>
      <c r="M339" s="18" t="n">
        <v>-0.622239963915687</v>
      </c>
      <c r="N339" s="18" t="n">
        <v>111</v>
      </c>
      <c r="O339" s="18" t="n">
        <v>0.535060194059515</v>
      </c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 t="s">
        <v>402</v>
      </c>
      <c r="AI339" s="18"/>
      <c r="AJ339" s="18" t="s">
        <v>871</v>
      </c>
    </row>
    <row r="340" customFormat="false" ht="15" hidden="false" customHeight="false" outlineLevel="0" collapsed="false">
      <c r="A340" s="18" t="s">
        <v>273</v>
      </c>
      <c r="B340" s="18" t="s">
        <v>591</v>
      </c>
      <c r="C340" s="18" t="s">
        <v>789</v>
      </c>
      <c r="D340" s="18" t="s">
        <v>324</v>
      </c>
      <c r="E340" s="18" t="s">
        <v>404</v>
      </c>
      <c r="F340" s="18" t="s">
        <v>790</v>
      </c>
      <c r="G340" s="18" t="n">
        <v>0.4</v>
      </c>
      <c r="H340" s="18" t="n">
        <v>2705</v>
      </c>
      <c r="I340" s="18" t="n">
        <v>113</v>
      </c>
      <c r="J340" s="18" t="n">
        <v>112</v>
      </c>
      <c r="K340" s="18" t="n">
        <v>-0.0193566327874754</v>
      </c>
      <c r="L340" s="18" t="n">
        <v>0.0193083903222969</v>
      </c>
      <c r="M340" s="18" t="n">
        <v>-1.00249852340735</v>
      </c>
      <c r="N340" s="18" t="n">
        <v>111</v>
      </c>
      <c r="O340" s="18" t="n">
        <v>0.318283298095744</v>
      </c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 t="s">
        <v>402</v>
      </c>
      <c r="AI340" s="18"/>
      <c r="AJ340" s="18" t="s">
        <v>872</v>
      </c>
    </row>
    <row r="341" customFormat="false" ht="15" hidden="false" customHeight="false" outlineLevel="0" collapsed="false">
      <c r="A341" s="18" t="s">
        <v>273</v>
      </c>
      <c r="B341" s="18" t="s">
        <v>593</v>
      </c>
      <c r="C341" s="18" t="s">
        <v>789</v>
      </c>
      <c r="D341" s="18" t="s">
        <v>324</v>
      </c>
      <c r="E341" s="18" t="s">
        <v>404</v>
      </c>
      <c r="F341" s="18" t="s">
        <v>790</v>
      </c>
      <c r="G341" s="18" t="n">
        <v>0.4</v>
      </c>
      <c r="H341" s="18" t="n">
        <v>2705</v>
      </c>
      <c r="I341" s="18" t="n">
        <v>113</v>
      </c>
      <c r="J341" s="18" t="n">
        <v>112</v>
      </c>
      <c r="K341" s="18" t="n">
        <v>-0.0127995913436723</v>
      </c>
      <c r="L341" s="18" t="n">
        <v>0.0194655301317595</v>
      </c>
      <c r="M341" s="18" t="n">
        <v>-0.657551644215885</v>
      </c>
      <c r="N341" s="18" t="n">
        <v>110</v>
      </c>
      <c r="O341" s="18" t="n">
        <v>0.512199891125617</v>
      </c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 t="s">
        <v>402</v>
      </c>
      <c r="AI341" s="18"/>
      <c r="AJ341" s="18" t="s">
        <v>873</v>
      </c>
    </row>
    <row r="342" customFormat="false" ht="15" hidden="false" customHeight="false" outlineLevel="0" collapsed="false">
      <c r="A342" s="18" t="s">
        <v>273</v>
      </c>
      <c r="B342" s="18" t="s">
        <v>595</v>
      </c>
      <c r="C342" s="18" t="s">
        <v>789</v>
      </c>
      <c r="D342" s="18" t="s">
        <v>324</v>
      </c>
      <c r="E342" s="18" t="s">
        <v>404</v>
      </c>
      <c r="F342" s="18" t="s">
        <v>790</v>
      </c>
      <c r="G342" s="18" t="n">
        <v>0.4</v>
      </c>
      <c r="H342" s="18" t="n">
        <v>2705</v>
      </c>
      <c r="I342" s="18" t="n">
        <v>113</v>
      </c>
      <c r="J342" s="18" t="n">
        <v>112</v>
      </c>
      <c r="K342" s="18" t="n">
        <v>-0.0231141385618756</v>
      </c>
      <c r="L342" s="18" t="n">
        <v>0.0201737016607618</v>
      </c>
      <c r="M342" s="18" t="n">
        <v>-1.14575594259099</v>
      </c>
      <c r="N342" s="18" t="n">
        <v>111</v>
      </c>
      <c r="O342" s="18" t="n">
        <v>0.254360312371139</v>
      </c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 t="s">
        <v>402</v>
      </c>
      <c r="AI342" s="18"/>
      <c r="AJ342" s="18" t="s">
        <v>874</v>
      </c>
    </row>
    <row r="343" customFormat="false" ht="15" hidden="false" customHeight="false" outlineLevel="0" collapsed="false">
      <c r="A343" s="18" t="s">
        <v>273</v>
      </c>
      <c r="B343" s="18" t="s">
        <v>597</v>
      </c>
      <c r="C343" s="18" t="s">
        <v>789</v>
      </c>
      <c r="D343" s="18" t="s">
        <v>324</v>
      </c>
      <c r="E343" s="18" t="s">
        <v>404</v>
      </c>
      <c r="F343" s="18" t="s">
        <v>790</v>
      </c>
      <c r="G343" s="18" t="n">
        <v>0.4</v>
      </c>
      <c r="H343" s="18" t="n">
        <v>2705</v>
      </c>
      <c r="I343" s="18" t="n">
        <v>113</v>
      </c>
      <c r="J343" s="18" t="n">
        <v>112</v>
      </c>
      <c r="K343" s="18" t="n">
        <v>-0.00261057225798517</v>
      </c>
      <c r="L343" s="18" t="n">
        <v>0.0241738004597594</v>
      </c>
      <c r="M343" s="18" t="n">
        <v>-0.107991801385588</v>
      </c>
      <c r="N343" s="18" t="n">
        <v>110</v>
      </c>
      <c r="O343" s="18" t="n">
        <v>0.914198929072597</v>
      </c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 t="s">
        <v>402</v>
      </c>
      <c r="AI343" s="18"/>
      <c r="AJ343" s="18" t="s">
        <v>875</v>
      </c>
    </row>
    <row r="344" customFormat="false" ht="15" hidden="false" customHeight="false" outlineLevel="0" collapsed="false">
      <c r="A344" s="18" t="s">
        <v>273</v>
      </c>
      <c r="B344" s="18" t="s">
        <v>599</v>
      </c>
      <c r="C344" s="18" t="s">
        <v>789</v>
      </c>
      <c r="D344" s="18" t="s">
        <v>324</v>
      </c>
      <c r="E344" s="18" t="s">
        <v>404</v>
      </c>
      <c r="F344" s="18" t="s">
        <v>790</v>
      </c>
      <c r="G344" s="18" t="n">
        <v>0.4</v>
      </c>
      <c r="H344" s="18" t="n">
        <v>2705</v>
      </c>
      <c r="I344" s="18" t="n">
        <v>113</v>
      </c>
      <c r="J344" s="18" t="n">
        <v>112</v>
      </c>
      <c r="K344" s="18" t="n">
        <v>0.00105795419909421</v>
      </c>
      <c r="L344" s="18" t="n">
        <v>0.0256956180350957</v>
      </c>
      <c r="M344" s="18" t="n">
        <v>0.0411725531430781</v>
      </c>
      <c r="N344" s="18" t="n">
        <v>110</v>
      </c>
      <c r="O344" s="18" t="n">
        <v>0.967232972998732</v>
      </c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 t="s">
        <v>402</v>
      </c>
      <c r="AI344" s="18"/>
      <c r="AJ344" s="18" t="s">
        <v>876</v>
      </c>
    </row>
    <row r="345" customFormat="false" ht="15" hidden="false" customHeight="false" outlineLevel="0" collapsed="false">
      <c r="A345" s="18" t="s">
        <v>273</v>
      </c>
      <c r="B345" s="18" t="s">
        <v>601</v>
      </c>
      <c r="C345" s="18" t="s">
        <v>789</v>
      </c>
      <c r="D345" s="18" t="s">
        <v>324</v>
      </c>
      <c r="E345" s="18" t="s">
        <v>404</v>
      </c>
      <c r="F345" s="18" t="s">
        <v>790</v>
      </c>
      <c r="G345" s="18" t="n">
        <v>0.4</v>
      </c>
      <c r="H345" s="18" t="n">
        <v>2705</v>
      </c>
      <c r="I345" s="18" t="n">
        <v>113</v>
      </c>
      <c r="J345" s="18" t="n">
        <v>112</v>
      </c>
      <c r="K345" s="18" t="n">
        <v>-0.0119782824885724</v>
      </c>
      <c r="L345" s="18" t="n">
        <v>0.0172539637180207</v>
      </c>
      <c r="M345" s="18" t="n">
        <v>-0.694233666207482</v>
      </c>
      <c r="N345" s="18" t="n">
        <v>111</v>
      </c>
      <c r="O345" s="18" t="n">
        <v>0.488986129851709</v>
      </c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 t="s">
        <v>402</v>
      </c>
      <c r="AI345" s="18"/>
      <c r="AJ345" s="18" t="s">
        <v>877</v>
      </c>
    </row>
    <row r="346" customFormat="false" ht="15" hidden="false" customHeight="false" outlineLevel="0" collapsed="false">
      <c r="A346" s="18" t="s">
        <v>273</v>
      </c>
      <c r="B346" s="18" t="s">
        <v>603</v>
      </c>
      <c r="C346" s="18" t="s">
        <v>789</v>
      </c>
      <c r="D346" s="18" t="s">
        <v>324</v>
      </c>
      <c r="E346" s="18" t="s">
        <v>404</v>
      </c>
      <c r="F346" s="18" t="s">
        <v>790</v>
      </c>
      <c r="G346" s="18" t="n">
        <v>0.4</v>
      </c>
      <c r="H346" s="18" t="n">
        <v>2705</v>
      </c>
      <c r="I346" s="18" t="n">
        <v>113</v>
      </c>
      <c r="J346" s="18" t="n">
        <v>112</v>
      </c>
      <c r="K346" s="18" t="n">
        <v>-0.00474733771143669</v>
      </c>
      <c r="L346" s="18" t="n">
        <v>0.0164882061614877</v>
      </c>
      <c r="M346" s="18" t="n">
        <v>-0.28792323827957</v>
      </c>
      <c r="N346" s="18" t="n">
        <v>111</v>
      </c>
      <c r="O346" s="18" t="n">
        <v>0.7739423991375</v>
      </c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 t="s">
        <v>402</v>
      </c>
      <c r="AI346" s="18"/>
      <c r="AJ346" s="18" t="s">
        <v>878</v>
      </c>
    </row>
    <row r="347" customFormat="false" ht="15" hidden="false" customHeight="false" outlineLevel="0" collapsed="false">
      <c r="A347" s="18" t="s">
        <v>273</v>
      </c>
      <c r="B347" s="18" t="s">
        <v>605</v>
      </c>
      <c r="C347" s="18" t="s">
        <v>789</v>
      </c>
      <c r="D347" s="18" t="s">
        <v>324</v>
      </c>
      <c r="E347" s="18" t="s">
        <v>404</v>
      </c>
      <c r="F347" s="18" t="s">
        <v>790</v>
      </c>
      <c r="G347" s="18" t="n">
        <v>0.4</v>
      </c>
      <c r="H347" s="18" t="n">
        <v>2705</v>
      </c>
      <c r="I347" s="18" t="n">
        <v>113</v>
      </c>
      <c r="J347" s="18" t="n">
        <v>112</v>
      </c>
      <c r="K347" s="18" t="n">
        <v>-0.00603431517052091</v>
      </c>
      <c r="L347" s="18" t="n">
        <v>0.0164023256923202</v>
      </c>
      <c r="M347" s="18" t="n">
        <v>-0.367893875765817</v>
      </c>
      <c r="N347" s="18" t="n">
        <v>111</v>
      </c>
      <c r="O347" s="18" t="n">
        <v>0.713652962355768</v>
      </c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 t="s">
        <v>402</v>
      </c>
      <c r="AI347" s="18"/>
      <c r="AJ347" s="18" t="s">
        <v>879</v>
      </c>
    </row>
    <row r="348" customFormat="false" ht="15" hidden="false" customHeight="false" outlineLevel="0" collapsed="false">
      <c r="A348" s="18" t="s">
        <v>273</v>
      </c>
      <c r="B348" s="18" t="s">
        <v>607</v>
      </c>
      <c r="C348" s="18" t="s">
        <v>789</v>
      </c>
      <c r="D348" s="18" t="s">
        <v>324</v>
      </c>
      <c r="E348" s="18" t="s">
        <v>404</v>
      </c>
      <c r="F348" s="18" t="s">
        <v>790</v>
      </c>
      <c r="G348" s="18" t="n">
        <v>0.4</v>
      </c>
      <c r="H348" s="18" t="n">
        <v>929</v>
      </c>
      <c r="I348" s="18" t="n">
        <v>40</v>
      </c>
      <c r="J348" s="18" t="n">
        <v>40</v>
      </c>
      <c r="K348" s="18" t="n">
        <v>-0.02223976718861</v>
      </c>
      <c r="L348" s="18" t="n">
        <v>0.025831763122236</v>
      </c>
      <c r="M348" s="18" t="n">
        <v>-0.860946544119786</v>
      </c>
      <c r="N348" s="18" t="n">
        <v>38</v>
      </c>
      <c r="O348" s="18" t="n">
        <v>0.394667478281518</v>
      </c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 t="s">
        <v>402</v>
      </c>
      <c r="AI348" s="18"/>
      <c r="AJ348" s="18" t="s">
        <v>880</v>
      </c>
    </row>
    <row r="349" customFormat="false" ht="15" hidden="false" customHeight="false" outlineLevel="0" collapsed="false">
      <c r="A349" s="18" t="s">
        <v>273</v>
      </c>
      <c r="B349" s="18" t="s">
        <v>609</v>
      </c>
      <c r="C349" s="18" t="s">
        <v>789</v>
      </c>
      <c r="D349" s="18" t="s">
        <v>324</v>
      </c>
      <c r="E349" s="18" t="s">
        <v>404</v>
      </c>
      <c r="F349" s="18" t="s">
        <v>790</v>
      </c>
      <c r="G349" s="18" t="n">
        <v>0.4</v>
      </c>
      <c r="H349" s="18" t="n">
        <v>2607</v>
      </c>
      <c r="I349" s="18" t="n">
        <v>110</v>
      </c>
      <c r="J349" s="18" t="n">
        <v>109</v>
      </c>
      <c r="K349" s="18" t="n">
        <v>0.0101803067015242</v>
      </c>
      <c r="L349" s="18" t="n">
        <v>0.0507942989127617</v>
      </c>
      <c r="M349" s="18" t="n">
        <v>0.200422230829658</v>
      </c>
      <c r="N349" s="18" t="n">
        <v>108</v>
      </c>
      <c r="O349" s="18" t="n">
        <v>0.841527304091663</v>
      </c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 t="s">
        <v>402</v>
      </c>
      <c r="AI349" s="18"/>
      <c r="AJ349" s="18" t="s">
        <v>881</v>
      </c>
    </row>
    <row r="350" customFormat="false" ht="15" hidden="false" customHeight="false" outlineLevel="0" collapsed="false">
      <c r="A350" s="18" t="s">
        <v>273</v>
      </c>
      <c r="B350" s="18" t="s">
        <v>611</v>
      </c>
      <c r="C350" s="18" t="s">
        <v>789</v>
      </c>
      <c r="D350" s="18" t="s">
        <v>324</v>
      </c>
      <c r="E350" s="18" t="s">
        <v>404</v>
      </c>
      <c r="F350" s="18" t="s">
        <v>790</v>
      </c>
      <c r="G350" s="18" t="n">
        <v>0.4</v>
      </c>
      <c r="H350" s="18" t="n">
        <v>2607</v>
      </c>
      <c r="I350" s="18" t="n">
        <v>110</v>
      </c>
      <c r="J350" s="18" t="n">
        <v>109</v>
      </c>
      <c r="K350" s="18" t="n">
        <v>-0.002363122212114</v>
      </c>
      <c r="L350" s="18" t="n">
        <v>0.0538059212719714</v>
      </c>
      <c r="M350" s="18" t="n">
        <v>-0.0439193708842785</v>
      </c>
      <c r="N350" s="18" t="n">
        <v>108</v>
      </c>
      <c r="O350" s="18" t="n">
        <v>0.9650497745073</v>
      </c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 t="s">
        <v>402</v>
      </c>
      <c r="AI350" s="18"/>
      <c r="AJ350" s="18" t="s">
        <v>882</v>
      </c>
    </row>
    <row r="351" customFormat="false" ht="15" hidden="false" customHeight="false" outlineLevel="0" collapsed="false">
      <c r="A351" s="18" t="s">
        <v>273</v>
      </c>
      <c r="B351" s="18" t="s">
        <v>613</v>
      </c>
      <c r="C351" s="18" t="s">
        <v>789</v>
      </c>
      <c r="D351" s="18" t="s">
        <v>324</v>
      </c>
      <c r="E351" s="18" t="s">
        <v>404</v>
      </c>
      <c r="F351" s="18" t="s">
        <v>790</v>
      </c>
      <c r="G351" s="18" t="n">
        <v>0.4</v>
      </c>
      <c r="H351" s="18" t="n">
        <v>2607</v>
      </c>
      <c r="I351" s="18" t="n">
        <v>110</v>
      </c>
      <c r="J351" s="18" t="n">
        <v>109</v>
      </c>
      <c r="K351" s="18" t="n">
        <v>-0.0417172017884607</v>
      </c>
      <c r="L351" s="18" t="n">
        <v>0.0549315208562235</v>
      </c>
      <c r="M351" s="18" t="n">
        <v>-0.7594401381613</v>
      </c>
      <c r="N351" s="18" t="n">
        <v>107</v>
      </c>
      <c r="O351" s="18" t="n">
        <v>0.449259208029227</v>
      </c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 t="s">
        <v>402</v>
      </c>
      <c r="AI351" s="18"/>
      <c r="AJ351" s="18" t="s">
        <v>883</v>
      </c>
    </row>
    <row r="352" customFormat="false" ht="15" hidden="false" customHeight="false" outlineLevel="0" collapsed="false">
      <c r="A352" s="18" t="s">
        <v>273</v>
      </c>
      <c r="B352" s="18" t="s">
        <v>615</v>
      </c>
      <c r="C352" s="18" t="s">
        <v>789</v>
      </c>
      <c r="D352" s="18" t="s">
        <v>324</v>
      </c>
      <c r="E352" s="18" t="s">
        <v>404</v>
      </c>
      <c r="F352" s="18" t="s">
        <v>790</v>
      </c>
      <c r="G352" s="18" t="n">
        <v>0.4</v>
      </c>
      <c r="H352" s="18" t="n">
        <v>2607</v>
      </c>
      <c r="I352" s="18" t="n">
        <v>110</v>
      </c>
      <c r="J352" s="18" t="n">
        <v>109</v>
      </c>
      <c r="K352" s="18" t="n">
        <v>-0.00720325391657669</v>
      </c>
      <c r="L352" s="18" t="n">
        <v>0.056213416438467</v>
      </c>
      <c r="M352" s="18" t="n">
        <v>-0.128141187157013</v>
      </c>
      <c r="N352" s="18" t="n">
        <v>108</v>
      </c>
      <c r="O352" s="18" t="n">
        <v>0.898275549904424</v>
      </c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 t="s">
        <v>402</v>
      </c>
      <c r="AI352" s="18"/>
      <c r="AJ352" s="18" t="s">
        <v>884</v>
      </c>
    </row>
    <row r="353" customFormat="false" ht="15" hidden="false" customHeight="false" outlineLevel="0" collapsed="false">
      <c r="A353" s="18" t="s">
        <v>273</v>
      </c>
      <c r="B353" s="18" t="s">
        <v>617</v>
      </c>
      <c r="C353" s="18" t="s">
        <v>789</v>
      </c>
      <c r="D353" s="18" t="s">
        <v>324</v>
      </c>
      <c r="E353" s="18" t="s">
        <v>404</v>
      </c>
      <c r="F353" s="18" t="s">
        <v>790</v>
      </c>
      <c r="G353" s="18" t="n">
        <v>0.4</v>
      </c>
      <c r="H353" s="18" t="n">
        <v>2607</v>
      </c>
      <c r="I353" s="18" t="n">
        <v>110</v>
      </c>
      <c r="J353" s="18" t="n">
        <v>109</v>
      </c>
      <c r="K353" s="18" t="n">
        <v>0.0171698991590838</v>
      </c>
      <c r="L353" s="18" t="n">
        <v>0.0669328139087526</v>
      </c>
      <c r="M353" s="18" t="n">
        <v>0.256524388508317</v>
      </c>
      <c r="N353" s="18" t="n">
        <v>107</v>
      </c>
      <c r="O353" s="18" t="n">
        <v>0.798038528347986</v>
      </c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 t="s">
        <v>402</v>
      </c>
      <c r="AI353" s="18"/>
      <c r="AJ353" s="18" t="s">
        <v>885</v>
      </c>
    </row>
    <row r="354" customFormat="false" ht="15" hidden="false" customHeight="false" outlineLevel="0" collapsed="false">
      <c r="A354" s="18" t="s">
        <v>273</v>
      </c>
      <c r="B354" s="18" t="s">
        <v>619</v>
      </c>
      <c r="C354" s="18" t="s">
        <v>789</v>
      </c>
      <c r="D354" s="18" t="s">
        <v>324</v>
      </c>
      <c r="E354" s="18" t="s">
        <v>404</v>
      </c>
      <c r="F354" s="18" t="s">
        <v>790</v>
      </c>
      <c r="G354" s="18" t="n">
        <v>0.4</v>
      </c>
      <c r="H354" s="18" t="n">
        <v>2607</v>
      </c>
      <c r="I354" s="18" t="n">
        <v>110</v>
      </c>
      <c r="J354" s="18" t="n">
        <v>109</v>
      </c>
      <c r="K354" s="18" t="n">
        <v>0.0209316804717007</v>
      </c>
      <c r="L354" s="18" t="n">
        <v>0.0711338451042561</v>
      </c>
      <c r="M354" s="18" t="n">
        <v>0.29425768339983</v>
      </c>
      <c r="N354" s="18" t="n">
        <v>107</v>
      </c>
      <c r="O354" s="18" t="n">
        <v>0.769131089252013</v>
      </c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 t="s">
        <v>402</v>
      </c>
      <c r="AI354" s="18"/>
      <c r="AJ354" s="18" t="s">
        <v>886</v>
      </c>
    </row>
    <row r="355" customFormat="false" ht="15" hidden="false" customHeight="false" outlineLevel="0" collapsed="false">
      <c r="A355" s="18" t="s">
        <v>273</v>
      </c>
      <c r="B355" s="18" t="s">
        <v>621</v>
      </c>
      <c r="C355" s="18" t="s">
        <v>789</v>
      </c>
      <c r="D355" s="18" t="s">
        <v>324</v>
      </c>
      <c r="E355" s="18" t="s">
        <v>404</v>
      </c>
      <c r="F355" s="18" t="s">
        <v>790</v>
      </c>
      <c r="G355" s="18" t="n">
        <v>0.4</v>
      </c>
      <c r="H355" s="18" t="n">
        <v>2607</v>
      </c>
      <c r="I355" s="18" t="n">
        <v>110</v>
      </c>
      <c r="J355" s="18" t="n">
        <v>109</v>
      </c>
      <c r="K355" s="18" t="n">
        <v>-0.0527590915047556</v>
      </c>
      <c r="L355" s="18" t="n">
        <v>0.0482223974009212</v>
      </c>
      <c r="M355" s="18" t="n">
        <v>-1.09407856822456</v>
      </c>
      <c r="N355" s="18" t="n">
        <v>108</v>
      </c>
      <c r="O355" s="18" t="n">
        <v>0.276354682511475</v>
      </c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 t="s">
        <v>402</v>
      </c>
      <c r="AI355" s="18"/>
      <c r="AJ355" s="18" t="s">
        <v>887</v>
      </c>
    </row>
    <row r="356" customFormat="false" ht="15" hidden="false" customHeight="false" outlineLevel="0" collapsed="false">
      <c r="A356" s="18" t="s">
        <v>273</v>
      </c>
      <c r="B356" s="18" t="s">
        <v>623</v>
      </c>
      <c r="C356" s="18" t="s">
        <v>789</v>
      </c>
      <c r="D356" s="18" t="s">
        <v>324</v>
      </c>
      <c r="E356" s="18" t="s">
        <v>404</v>
      </c>
      <c r="F356" s="18" t="s">
        <v>790</v>
      </c>
      <c r="G356" s="18" t="n">
        <v>0.4</v>
      </c>
      <c r="H356" s="18" t="n">
        <v>2607</v>
      </c>
      <c r="I356" s="18" t="n">
        <v>110</v>
      </c>
      <c r="J356" s="18" t="n">
        <v>109</v>
      </c>
      <c r="K356" s="18" t="n">
        <v>0.0263713891848777</v>
      </c>
      <c r="L356" s="18" t="n">
        <v>0.0460785940146438</v>
      </c>
      <c r="M356" s="18" t="n">
        <v>0.572313234568243</v>
      </c>
      <c r="N356" s="18" t="n">
        <v>108</v>
      </c>
      <c r="O356" s="18" t="n">
        <v>0.568299223445337</v>
      </c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 t="s">
        <v>402</v>
      </c>
      <c r="AI356" s="18"/>
      <c r="AJ356" s="18" t="s">
        <v>888</v>
      </c>
    </row>
    <row r="357" customFormat="false" ht="15" hidden="false" customHeight="false" outlineLevel="0" collapsed="false">
      <c r="A357" s="18" t="s">
        <v>273</v>
      </c>
      <c r="B357" s="18" t="s">
        <v>625</v>
      </c>
      <c r="C357" s="18" t="s">
        <v>789</v>
      </c>
      <c r="D357" s="18" t="s">
        <v>324</v>
      </c>
      <c r="E357" s="18" t="s">
        <v>404</v>
      </c>
      <c r="F357" s="18" t="s">
        <v>790</v>
      </c>
      <c r="G357" s="18" t="n">
        <v>0.4</v>
      </c>
      <c r="H357" s="18" t="n">
        <v>2607</v>
      </c>
      <c r="I357" s="18" t="n">
        <v>110</v>
      </c>
      <c r="J357" s="18" t="n">
        <v>109</v>
      </c>
      <c r="K357" s="18" t="n">
        <v>0.0168011054436435</v>
      </c>
      <c r="L357" s="18" t="n">
        <v>0.045971112481003</v>
      </c>
      <c r="M357" s="18" t="n">
        <v>0.365470934613261</v>
      </c>
      <c r="N357" s="18" t="n">
        <v>108</v>
      </c>
      <c r="O357" s="18" t="n">
        <v>0.715474704776289</v>
      </c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 t="s">
        <v>402</v>
      </c>
      <c r="AI357" s="18"/>
      <c r="AJ357" s="18" t="s">
        <v>889</v>
      </c>
    </row>
    <row r="358" customFormat="false" ht="15" hidden="false" customHeight="false" outlineLevel="0" collapsed="false">
      <c r="A358" s="18" t="s">
        <v>273</v>
      </c>
      <c r="B358" s="18" t="s">
        <v>627</v>
      </c>
      <c r="C358" s="18" t="s">
        <v>789</v>
      </c>
      <c r="D358" s="18" t="s">
        <v>324</v>
      </c>
      <c r="E358" s="18" t="s">
        <v>404</v>
      </c>
      <c r="F358" s="18" t="s">
        <v>790</v>
      </c>
      <c r="G358" s="18" t="n">
        <v>0.4</v>
      </c>
      <c r="H358" s="18" t="n">
        <v>905</v>
      </c>
      <c r="I358" s="18" t="n">
        <v>38</v>
      </c>
      <c r="J358" s="18" t="n">
        <v>38</v>
      </c>
      <c r="K358" s="18" t="n">
        <v>-0.0266788774428426</v>
      </c>
      <c r="L358" s="18" t="n">
        <v>0.0284819629632175</v>
      </c>
      <c r="M358" s="18" t="n">
        <v>-0.936693776243463</v>
      </c>
      <c r="N358" s="18" t="n">
        <v>36</v>
      </c>
      <c r="O358" s="18" t="n">
        <v>0.355157780313578</v>
      </c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 t="s">
        <v>402</v>
      </c>
      <c r="AI358" s="18"/>
      <c r="AJ358" s="18" t="s">
        <v>890</v>
      </c>
    </row>
    <row r="359" customFormat="false" ht="15" hidden="false" customHeight="false" outlineLevel="0" collapsed="false">
      <c r="A359" s="18" t="s">
        <v>273</v>
      </c>
      <c r="B359" s="18" t="s">
        <v>629</v>
      </c>
      <c r="C359" s="18" t="s">
        <v>789</v>
      </c>
      <c r="D359" s="18" t="s">
        <v>324</v>
      </c>
      <c r="E359" s="18" t="s">
        <v>404</v>
      </c>
      <c r="F359" s="18" t="s">
        <v>790</v>
      </c>
      <c r="G359" s="18" t="n">
        <v>0.4</v>
      </c>
      <c r="H359" s="18" t="n">
        <v>2594</v>
      </c>
      <c r="I359" s="18" t="n">
        <v>110</v>
      </c>
      <c r="J359" s="18" t="n">
        <v>109</v>
      </c>
      <c r="K359" s="18" t="n">
        <v>-0.0214492483648219</v>
      </c>
      <c r="L359" s="18" t="n">
        <v>0.0190835992399733</v>
      </c>
      <c r="M359" s="18" t="n">
        <v>-1.12396241899135</v>
      </c>
      <c r="N359" s="18" t="n">
        <v>108</v>
      </c>
      <c r="O359" s="18" t="n">
        <v>0.263521021060008</v>
      </c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 t="s">
        <v>402</v>
      </c>
      <c r="AI359" s="18"/>
      <c r="AJ359" s="18" t="s">
        <v>891</v>
      </c>
    </row>
    <row r="360" customFormat="false" ht="15" hidden="false" customHeight="false" outlineLevel="0" collapsed="false">
      <c r="A360" s="18" t="s">
        <v>273</v>
      </c>
      <c r="B360" s="18" t="s">
        <v>631</v>
      </c>
      <c r="C360" s="18" t="s">
        <v>789</v>
      </c>
      <c r="D360" s="18" t="s">
        <v>324</v>
      </c>
      <c r="E360" s="18" t="s">
        <v>404</v>
      </c>
      <c r="F360" s="18" t="s">
        <v>790</v>
      </c>
      <c r="G360" s="18" t="n">
        <v>0.4</v>
      </c>
      <c r="H360" s="18" t="n">
        <v>2594</v>
      </c>
      <c r="I360" s="18" t="n">
        <v>110</v>
      </c>
      <c r="J360" s="18" t="n">
        <v>109</v>
      </c>
      <c r="K360" s="18" t="n">
        <v>-0.0323527513113981</v>
      </c>
      <c r="L360" s="18" t="n">
        <v>0.0201139403373235</v>
      </c>
      <c r="M360" s="18" t="n">
        <v>-1.60847406171153</v>
      </c>
      <c r="N360" s="18" t="n">
        <v>108</v>
      </c>
      <c r="O360" s="18" t="n">
        <v>0.110650867053196</v>
      </c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 t="s">
        <v>402</v>
      </c>
      <c r="AI360" s="18"/>
      <c r="AJ360" s="18" t="s">
        <v>892</v>
      </c>
    </row>
    <row r="361" customFormat="false" ht="15" hidden="false" customHeight="false" outlineLevel="0" collapsed="false">
      <c r="A361" s="18" t="s">
        <v>273</v>
      </c>
      <c r="B361" s="18" t="s">
        <v>633</v>
      </c>
      <c r="C361" s="18" t="s">
        <v>789</v>
      </c>
      <c r="D361" s="18" t="s">
        <v>324</v>
      </c>
      <c r="E361" s="18" t="s">
        <v>404</v>
      </c>
      <c r="F361" s="18" t="s">
        <v>790</v>
      </c>
      <c r="G361" s="18" t="n">
        <v>0.4</v>
      </c>
      <c r="H361" s="18" t="n">
        <v>2594</v>
      </c>
      <c r="I361" s="18" t="n">
        <v>110</v>
      </c>
      <c r="J361" s="18" t="n">
        <v>109</v>
      </c>
      <c r="K361" s="18" t="n">
        <v>-0.0144250715446306</v>
      </c>
      <c r="L361" s="18" t="n">
        <v>0.0210048829088355</v>
      </c>
      <c r="M361" s="18" t="n">
        <v>-0.686748486398983</v>
      </c>
      <c r="N361" s="18" t="n">
        <v>107</v>
      </c>
      <c r="O361" s="18" t="n">
        <v>0.493726885122836</v>
      </c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 t="s">
        <v>402</v>
      </c>
      <c r="AI361" s="18"/>
      <c r="AJ361" s="18" t="s">
        <v>893</v>
      </c>
    </row>
    <row r="362" customFormat="false" ht="15" hidden="false" customHeight="false" outlineLevel="0" collapsed="false">
      <c r="A362" s="18" t="s">
        <v>273</v>
      </c>
      <c r="B362" s="18" t="s">
        <v>635</v>
      </c>
      <c r="C362" s="18" t="s">
        <v>789</v>
      </c>
      <c r="D362" s="18" t="s">
        <v>324</v>
      </c>
      <c r="E362" s="18" t="s">
        <v>404</v>
      </c>
      <c r="F362" s="18" t="s">
        <v>790</v>
      </c>
      <c r="G362" s="18" t="n">
        <v>0.4</v>
      </c>
      <c r="H362" s="18" t="n">
        <v>2594</v>
      </c>
      <c r="I362" s="18" t="n">
        <v>110</v>
      </c>
      <c r="J362" s="18" t="n">
        <v>109</v>
      </c>
      <c r="K362" s="18" t="n">
        <v>-0.0361730184760786</v>
      </c>
      <c r="L362" s="18" t="n">
        <v>0.0209937890020215</v>
      </c>
      <c r="M362" s="18" t="n">
        <v>-1.72303429707689</v>
      </c>
      <c r="N362" s="18" t="n">
        <v>108</v>
      </c>
      <c r="O362" s="18" t="n">
        <v>0.087744337040123</v>
      </c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 t="s">
        <v>402</v>
      </c>
      <c r="AI362" s="18"/>
      <c r="AJ362" s="18" t="s">
        <v>894</v>
      </c>
    </row>
    <row r="363" customFormat="false" ht="15" hidden="false" customHeight="false" outlineLevel="0" collapsed="false">
      <c r="A363" s="18" t="s">
        <v>273</v>
      </c>
      <c r="B363" s="18" t="s">
        <v>637</v>
      </c>
      <c r="C363" s="18" t="s">
        <v>789</v>
      </c>
      <c r="D363" s="18" t="s">
        <v>324</v>
      </c>
      <c r="E363" s="18" t="s">
        <v>404</v>
      </c>
      <c r="F363" s="18" t="s">
        <v>790</v>
      </c>
      <c r="G363" s="18" t="n">
        <v>0.4</v>
      </c>
      <c r="H363" s="18" t="n">
        <v>2594</v>
      </c>
      <c r="I363" s="18" t="n">
        <v>110</v>
      </c>
      <c r="J363" s="18" t="n">
        <v>109</v>
      </c>
      <c r="K363" s="18" t="n">
        <v>-0.0103638692728892</v>
      </c>
      <c r="L363" s="18" t="n">
        <v>0.0253017716229138</v>
      </c>
      <c r="M363" s="18" t="n">
        <v>-0.409610418880847</v>
      </c>
      <c r="N363" s="18" t="n">
        <v>107</v>
      </c>
      <c r="O363" s="18" t="n">
        <v>0.682910608673624</v>
      </c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 t="s">
        <v>402</v>
      </c>
      <c r="AI363" s="18"/>
      <c r="AJ363" s="18" t="s">
        <v>895</v>
      </c>
    </row>
    <row r="364" customFormat="false" ht="15" hidden="false" customHeight="false" outlineLevel="0" collapsed="false">
      <c r="A364" s="18" t="s">
        <v>273</v>
      </c>
      <c r="B364" s="18" t="s">
        <v>639</v>
      </c>
      <c r="C364" s="18" t="s">
        <v>789</v>
      </c>
      <c r="D364" s="18" t="s">
        <v>324</v>
      </c>
      <c r="E364" s="18" t="s">
        <v>404</v>
      </c>
      <c r="F364" s="18" t="s">
        <v>790</v>
      </c>
      <c r="G364" s="18" t="n">
        <v>0.4</v>
      </c>
      <c r="H364" s="18" t="n">
        <v>2594</v>
      </c>
      <c r="I364" s="18" t="n">
        <v>110</v>
      </c>
      <c r="J364" s="18" t="n">
        <v>109</v>
      </c>
      <c r="K364" s="18" t="n">
        <v>-0.00643029056370058</v>
      </c>
      <c r="L364" s="18" t="n">
        <v>0.0268978151145525</v>
      </c>
      <c r="M364" s="18" t="n">
        <v>-0.239063676224825</v>
      </c>
      <c r="N364" s="18" t="n">
        <v>107</v>
      </c>
      <c r="O364" s="18" t="n">
        <v>0.811513507818988</v>
      </c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 t="s">
        <v>402</v>
      </c>
      <c r="AI364" s="18"/>
      <c r="AJ364" s="18" t="s">
        <v>896</v>
      </c>
    </row>
    <row r="365" customFormat="false" ht="15" hidden="false" customHeight="false" outlineLevel="0" collapsed="false">
      <c r="A365" s="18" t="s">
        <v>273</v>
      </c>
      <c r="B365" s="18" t="s">
        <v>641</v>
      </c>
      <c r="C365" s="18" t="s">
        <v>789</v>
      </c>
      <c r="D365" s="18" t="s">
        <v>324</v>
      </c>
      <c r="E365" s="18" t="s">
        <v>404</v>
      </c>
      <c r="F365" s="18" t="s">
        <v>790</v>
      </c>
      <c r="G365" s="18" t="n">
        <v>0.4</v>
      </c>
      <c r="H365" s="18" t="n">
        <v>2594</v>
      </c>
      <c r="I365" s="18" t="n">
        <v>110</v>
      </c>
      <c r="J365" s="18" t="n">
        <v>109</v>
      </c>
      <c r="K365" s="18" t="n">
        <v>-0.0234607510176643</v>
      </c>
      <c r="L365" s="18" t="n">
        <v>0.0183143189447401</v>
      </c>
      <c r="M365" s="18" t="n">
        <v>-1.28100592156621</v>
      </c>
      <c r="N365" s="18" t="n">
        <v>108</v>
      </c>
      <c r="O365" s="18" t="n">
        <v>0.202935497242523</v>
      </c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 t="s">
        <v>402</v>
      </c>
      <c r="AI365" s="18"/>
      <c r="AJ365" s="18" t="s">
        <v>897</v>
      </c>
    </row>
    <row r="366" customFormat="false" ht="15" hidden="false" customHeight="false" outlineLevel="0" collapsed="false">
      <c r="A366" s="18" t="s">
        <v>273</v>
      </c>
      <c r="B366" s="18" t="s">
        <v>643</v>
      </c>
      <c r="C366" s="18" t="s">
        <v>789</v>
      </c>
      <c r="D366" s="18" t="s">
        <v>324</v>
      </c>
      <c r="E366" s="18" t="s">
        <v>404</v>
      </c>
      <c r="F366" s="18" t="s">
        <v>790</v>
      </c>
      <c r="G366" s="18" t="n">
        <v>0.4</v>
      </c>
      <c r="H366" s="18" t="n">
        <v>2594</v>
      </c>
      <c r="I366" s="18" t="n">
        <v>110</v>
      </c>
      <c r="J366" s="18" t="n">
        <v>109</v>
      </c>
      <c r="K366" s="18" t="n">
        <v>-0.0218460970227082</v>
      </c>
      <c r="L366" s="18" t="n">
        <v>0.0173767264903453</v>
      </c>
      <c r="M366" s="18" t="n">
        <v>-1.25720440123438</v>
      </c>
      <c r="N366" s="18" t="n">
        <v>108</v>
      </c>
      <c r="O366" s="18" t="n">
        <v>0.211391600796113</v>
      </c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 t="s">
        <v>402</v>
      </c>
      <c r="AI366" s="18"/>
      <c r="AJ366" s="18" t="s">
        <v>898</v>
      </c>
    </row>
    <row r="367" customFormat="false" ht="15" hidden="false" customHeight="false" outlineLevel="0" collapsed="false">
      <c r="A367" s="18" t="s">
        <v>273</v>
      </c>
      <c r="B367" s="18" t="s">
        <v>645</v>
      </c>
      <c r="C367" s="18" t="s">
        <v>789</v>
      </c>
      <c r="D367" s="18" t="s">
        <v>324</v>
      </c>
      <c r="E367" s="18" t="s">
        <v>404</v>
      </c>
      <c r="F367" s="18" t="s">
        <v>790</v>
      </c>
      <c r="G367" s="18" t="n">
        <v>0.4</v>
      </c>
      <c r="H367" s="18" t="n">
        <v>2594</v>
      </c>
      <c r="I367" s="18" t="n">
        <v>110</v>
      </c>
      <c r="J367" s="18" t="n">
        <v>109</v>
      </c>
      <c r="K367" s="18" t="n">
        <v>-0.0196706768914154</v>
      </c>
      <c r="L367" s="18" t="n">
        <v>0.0172737855237726</v>
      </c>
      <c r="M367" s="18" t="n">
        <v>-1.13875889360465</v>
      </c>
      <c r="N367" s="18" t="n">
        <v>108</v>
      </c>
      <c r="O367" s="18" t="n">
        <v>0.257323379314827</v>
      </c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 t="s">
        <v>402</v>
      </c>
      <c r="AI367" s="18"/>
      <c r="AJ367" s="18" t="s">
        <v>899</v>
      </c>
    </row>
    <row r="368" customFormat="false" ht="15" hidden="false" customHeight="false" outlineLevel="0" collapsed="false">
      <c r="A368" s="18" t="s">
        <v>273</v>
      </c>
      <c r="B368" s="18" t="s">
        <v>647</v>
      </c>
      <c r="C368" s="18" t="s">
        <v>789</v>
      </c>
      <c r="D368" s="18" t="s">
        <v>324</v>
      </c>
      <c r="E368" s="18" t="s">
        <v>404</v>
      </c>
      <c r="F368" s="18" t="s">
        <v>790</v>
      </c>
      <c r="G368" s="18" t="n">
        <v>0.4</v>
      </c>
      <c r="H368" s="18" t="n">
        <v>900</v>
      </c>
      <c r="I368" s="18" t="n">
        <v>38</v>
      </c>
      <c r="J368" s="18" t="n">
        <v>38</v>
      </c>
      <c r="K368" s="18" t="n">
        <v>-0.030344512599079</v>
      </c>
      <c r="L368" s="18" t="n">
        <v>0.0280288156239895</v>
      </c>
      <c r="M368" s="18" t="n">
        <v>-1.08261843832986</v>
      </c>
      <c r="N368" s="18" t="n">
        <v>36</v>
      </c>
      <c r="O368" s="18" t="n">
        <v>0.286176212893183</v>
      </c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 t="s">
        <v>402</v>
      </c>
      <c r="AI368" s="18"/>
      <c r="AJ368" s="18" t="s">
        <v>900</v>
      </c>
    </row>
    <row r="369" customFormat="false" ht="15" hidden="false" customHeight="false" outlineLevel="0" collapsed="false">
      <c r="A369" s="18" t="s">
        <v>273</v>
      </c>
      <c r="B369" s="18" t="s">
        <v>649</v>
      </c>
      <c r="C369" s="18" t="s">
        <v>789</v>
      </c>
      <c r="D369" s="18" t="s">
        <v>324</v>
      </c>
      <c r="E369" s="18" t="s">
        <v>404</v>
      </c>
      <c r="F369" s="18" t="s">
        <v>790</v>
      </c>
      <c r="G369" s="18" t="n">
        <v>0.4</v>
      </c>
      <c r="H369" s="18" t="n">
        <v>2607</v>
      </c>
      <c r="I369" s="18" t="n">
        <v>110</v>
      </c>
      <c r="J369" s="18" t="n">
        <v>109</v>
      </c>
      <c r="K369" s="18" t="n">
        <v>-0.0175324444963258</v>
      </c>
      <c r="L369" s="18" t="n">
        <v>0.019036984722831</v>
      </c>
      <c r="M369" s="18" t="n">
        <v>-0.920967514109478</v>
      </c>
      <c r="N369" s="18" t="n">
        <v>108</v>
      </c>
      <c r="O369" s="18" t="n">
        <v>0.359120037490755</v>
      </c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 t="s">
        <v>402</v>
      </c>
      <c r="AI369" s="18"/>
      <c r="AJ369" s="18" t="s">
        <v>901</v>
      </c>
    </row>
    <row r="370" customFormat="false" ht="15" hidden="false" customHeight="false" outlineLevel="0" collapsed="false">
      <c r="A370" s="18" t="s">
        <v>273</v>
      </c>
      <c r="B370" s="18" t="s">
        <v>651</v>
      </c>
      <c r="C370" s="18" t="s">
        <v>789</v>
      </c>
      <c r="D370" s="18" t="s">
        <v>324</v>
      </c>
      <c r="E370" s="18" t="s">
        <v>404</v>
      </c>
      <c r="F370" s="18" t="s">
        <v>790</v>
      </c>
      <c r="G370" s="18" t="n">
        <v>0.4</v>
      </c>
      <c r="H370" s="18" t="n">
        <v>2607</v>
      </c>
      <c r="I370" s="18" t="n">
        <v>110</v>
      </c>
      <c r="J370" s="18" t="n">
        <v>109</v>
      </c>
      <c r="K370" s="18" t="n">
        <v>-0.0259045358116933</v>
      </c>
      <c r="L370" s="18" t="n">
        <v>0.0201125564959446</v>
      </c>
      <c r="M370" s="18" t="n">
        <v>-1.28797827451307</v>
      </c>
      <c r="N370" s="18" t="n">
        <v>108</v>
      </c>
      <c r="O370" s="18" t="n">
        <v>0.200506337892537</v>
      </c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 t="s">
        <v>402</v>
      </c>
      <c r="AI370" s="18"/>
      <c r="AJ370" s="18" t="s">
        <v>902</v>
      </c>
    </row>
    <row r="371" customFormat="false" ht="15" hidden="false" customHeight="false" outlineLevel="0" collapsed="false">
      <c r="A371" s="18" t="s">
        <v>273</v>
      </c>
      <c r="B371" s="18" t="s">
        <v>653</v>
      </c>
      <c r="C371" s="18" t="s">
        <v>789</v>
      </c>
      <c r="D371" s="18" t="s">
        <v>324</v>
      </c>
      <c r="E371" s="18" t="s">
        <v>404</v>
      </c>
      <c r="F371" s="18" t="s">
        <v>790</v>
      </c>
      <c r="G371" s="18" t="n">
        <v>0.4</v>
      </c>
      <c r="H371" s="18" t="n">
        <v>2607</v>
      </c>
      <c r="I371" s="18" t="n">
        <v>110</v>
      </c>
      <c r="J371" s="18" t="n">
        <v>109</v>
      </c>
      <c r="K371" s="18" t="n">
        <v>-0.0131485936909457</v>
      </c>
      <c r="L371" s="18" t="n">
        <v>0.0209179992163862</v>
      </c>
      <c r="M371" s="18" t="n">
        <v>-0.628577979898082</v>
      </c>
      <c r="N371" s="18" t="n">
        <v>107</v>
      </c>
      <c r="O371" s="18" t="n">
        <v>0.530964899435087</v>
      </c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 t="s">
        <v>402</v>
      </c>
      <c r="AI371" s="18"/>
      <c r="AJ371" s="18" t="s">
        <v>903</v>
      </c>
    </row>
    <row r="372" customFormat="false" ht="15" hidden="false" customHeight="false" outlineLevel="0" collapsed="false">
      <c r="A372" s="18" t="s">
        <v>273</v>
      </c>
      <c r="B372" s="18" t="s">
        <v>655</v>
      </c>
      <c r="C372" s="18" t="s">
        <v>789</v>
      </c>
      <c r="D372" s="18" t="s">
        <v>324</v>
      </c>
      <c r="E372" s="18" t="s">
        <v>404</v>
      </c>
      <c r="F372" s="18" t="s">
        <v>790</v>
      </c>
      <c r="G372" s="18" t="n">
        <v>0.4</v>
      </c>
      <c r="H372" s="18" t="n">
        <v>2607</v>
      </c>
      <c r="I372" s="18" t="n">
        <v>110</v>
      </c>
      <c r="J372" s="18" t="n">
        <v>109</v>
      </c>
      <c r="K372" s="18" t="n">
        <v>-0.029991881453686</v>
      </c>
      <c r="L372" s="18" t="n">
        <v>0.0209922658541025</v>
      </c>
      <c r="M372" s="18" t="n">
        <v>-1.42871101491051</v>
      </c>
      <c r="N372" s="18" t="n">
        <v>108</v>
      </c>
      <c r="O372" s="18" t="n">
        <v>0.15597313409907</v>
      </c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 t="s">
        <v>402</v>
      </c>
      <c r="AI372" s="18"/>
      <c r="AJ372" s="18" t="s">
        <v>904</v>
      </c>
    </row>
    <row r="373" customFormat="false" ht="15" hidden="false" customHeight="false" outlineLevel="0" collapsed="false">
      <c r="A373" s="18" t="s">
        <v>273</v>
      </c>
      <c r="B373" s="18" t="s">
        <v>657</v>
      </c>
      <c r="C373" s="18" t="s">
        <v>789</v>
      </c>
      <c r="D373" s="18" t="s">
        <v>324</v>
      </c>
      <c r="E373" s="18" t="s">
        <v>404</v>
      </c>
      <c r="F373" s="18" t="s">
        <v>790</v>
      </c>
      <c r="G373" s="18" t="n">
        <v>0.4</v>
      </c>
      <c r="H373" s="18" t="n">
        <v>2607</v>
      </c>
      <c r="I373" s="18" t="n">
        <v>110</v>
      </c>
      <c r="J373" s="18" t="n">
        <v>109</v>
      </c>
      <c r="K373" s="18" t="n">
        <v>-0.00479129216402007</v>
      </c>
      <c r="L373" s="18" t="n">
        <v>0.0252059930175282</v>
      </c>
      <c r="M373" s="18" t="n">
        <v>-0.190085435661599</v>
      </c>
      <c r="N373" s="18" t="n">
        <v>107</v>
      </c>
      <c r="O373" s="18" t="n">
        <v>0.849602336197255</v>
      </c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 t="s">
        <v>402</v>
      </c>
      <c r="AI373" s="18"/>
      <c r="AJ373" s="18" t="s">
        <v>905</v>
      </c>
    </row>
    <row r="374" customFormat="false" ht="15" hidden="false" customHeight="false" outlineLevel="0" collapsed="false">
      <c r="A374" s="18" t="s">
        <v>273</v>
      </c>
      <c r="B374" s="18" t="s">
        <v>659</v>
      </c>
      <c r="C374" s="18" t="s">
        <v>789</v>
      </c>
      <c r="D374" s="18" t="s">
        <v>324</v>
      </c>
      <c r="E374" s="18" t="s">
        <v>404</v>
      </c>
      <c r="F374" s="18" t="s">
        <v>790</v>
      </c>
      <c r="G374" s="18" t="n">
        <v>0.4</v>
      </c>
      <c r="H374" s="18" t="n">
        <v>2607</v>
      </c>
      <c r="I374" s="18" t="n">
        <v>110</v>
      </c>
      <c r="J374" s="18" t="n">
        <v>109</v>
      </c>
      <c r="K374" s="18" t="n">
        <v>-0.00108329925871235</v>
      </c>
      <c r="L374" s="18" t="n">
        <v>0.0267872221649924</v>
      </c>
      <c r="M374" s="18" t="n">
        <v>-0.0404408957390175</v>
      </c>
      <c r="N374" s="18" t="n">
        <v>107</v>
      </c>
      <c r="O374" s="18" t="n">
        <v>0.967816989698773</v>
      </c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 t="s">
        <v>402</v>
      </c>
      <c r="AI374" s="18"/>
      <c r="AJ374" s="18" t="s">
        <v>906</v>
      </c>
    </row>
    <row r="375" customFormat="false" ht="15" hidden="false" customHeight="false" outlineLevel="0" collapsed="false">
      <c r="A375" s="18" t="s">
        <v>273</v>
      </c>
      <c r="B375" s="18" t="s">
        <v>661</v>
      </c>
      <c r="C375" s="18" t="s">
        <v>789</v>
      </c>
      <c r="D375" s="18" t="s">
        <v>324</v>
      </c>
      <c r="E375" s="18" t="s">
        <v>404</v>
      </c>
      <c r="F375" s="18" t="s">
        <v>790</v>
      </c>
      <c r="G375" s="18" t="n">
        <v>0.4</v>
      </c>
      <c r="H375" s="18" t="n">
        <v>2607</v>
      </c>
      <c r="I375" s="18" t="n">
        <v>110</v>
      </c>
      <c r="J375" s="18" t="n">
        <v>109</v>
      </c>
      <c r="K375" s="18" t="n">
        <v>-0.0191165793811058</v>
      </c>
      <c r="L375" s="18" t="n">
        <v>0.0182765088718386</v>
      </c>
      <c r="M375" s="18" t="n">
        <v>-1.0459644954711</v>
      </c>
      <c r="N375" s="18" t="n">
        <v>108</v>
      </c>
      <c r="O375" s="18" t="n">
        <v>0.297912786552948</v>
      </c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 t="s">
        <v>402</v>
      </c>
      <c r="AI375" s="18"/>
      <c r="AJ375" s="18" t="s">
        <v>907</v>
      </c>
    </row>
    <row r="376" customFormat="false" ht="15" hidden="false" customHeight="false" outlineLevel="0" collapsed="false">
      <c r="A376" s="18" t="s">
        <v>273</v>
      </c>
      <c r="B376" s="18" t="s">
        <v>663</v>
      </c>
      <c r="C376" s="18" t="s">
        <v>789</v>
      </c>
      <c r="D376" s="18" t="s">
        <v>324</v>
      </c>
      <c r="E376" s="18" t="s">
        <v>404</v>
      </c>
      <c r="F376" s="18" t="s">
        <v>790</v>
      </c>
      <c r="G376" s="18" t="n">
        <v>0.4</v>
      </c>
      <c r="H376" s="18" t="n">
        <v>2607</v>
      </c>
      <c r="I376" s="18" t="n">
        <v>110</v>
      </c>
      <c r="J376" s="18" t="n">
        <v>109</v>
      </c>
      <c r="K376" s="18" t="n">
        <v>-0.0101465574407625</v>
      </c>
      <c r="L376" s="18" t="n">
        <v>0.0174016432487276</v>
      </c>
      <c r="M376" s="18" t="n">
        <v>-0.583080419230198</v>
      </c>
      <c r="N376" s="18" t="n">
        <v>108</v>
      </c>
      <c r="O376" s="18" t="n">
        <v>0.561054731011055</v>
      </c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 t="s">
        <v>402</v>
      </c>
      <c r="AI376" s="18"/>
      <c r="AJ376" s="18" t="s">
        <v>908</v>
      </c>
    </row>
    <row r="377" customFormat="false" ht="15" hidden="false" customHeight="false" outlineLevel="0" collapsed="false">
      <c r="A377" s="18" t="s">
        <v>273</v>
      </c>
      <c r="B377" s="18" t="s">
        <v>665</v>
      </c>
      <c r="C377" s="18" t="s">
        <v>789</v>
      </c>
      <c r="D377" s="18" t="s">
        <v>324</v>
      </c>
      <c r="E377" s="18" t="s">
        <v>404</v>
      </c>
      <c r="F377" s="18" t="s">
        <v>790</v>
      </c>
      <c r="G377" s="18" t="n">
        <v>0.4</v>
      </c>
      <c r="H377" s="18" t="n">
        <v>2607</v>
      </c>
      <c r="I377" s="18" t="n">
        <v>110</v>
      </c>
      <c r="J377" s="18" t="n">
        <v>109</v>
      </c>
      <c r="K377" s="18" t="n">
        <v>-0.0106066359940329</v>
      </c>
      <c r="L377" s="18" t="n">
        <v>0.0172712160544135</v>
      </c>
      <c r="M377" s="18" t="n">
        <v>-0.614122130174065</v>
      </c>
      <c r="N377" s="18" t="n">
        <v>108</v>
      </c>
      <c r="O377" s="18" t="n">
        <v>0.540426124629829</v>
      </c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 t="s">
        <v>402</v>
      </c>
      <c r="AI377" s="18"/>
      <c r="AJ377" s="18" t="s">
        <v>909</v>
      </c>
    </row>
    <row r="378" customFormat="false" ht="15" hidden="false" customHeight="false" outlineLevel="0" collapsed="false">
      <c r="A378" s="18" t="s">
        <v>273</v>
      </c>
      <c r="B378" s="18" t="s">
        <v>667</v>
      </c>
      <c r="C378" s="18" t="s">
        <v>789</v>
      </c>
      <c r="D378" s="18" t="s">
        <v>324</v>
      </c>
      <c r="E378" s="18" t="s">
        <v>404</v>
      </c>
      <c r="F378" s="18" t="s">
        <v>790</v>
      </c>
      <c r="G378" s="18" t="n">
        <v>0.4</v>
      </c>
      <c r="H378" s="18" t="n">
        <v>905</v>
      </c>
      <c r="I378" s="18" t="n">
        <v>38</v>
      </c>
      <c r="J378" s="18" t="n">
        <v>38</v>
      </c>
      <c r="K378" s="18" t="n">
        <v>-0.0247103083189849</v>
      </c>
      <c r="L378" s="18" t="n">
        <v>0.0268203928392364</v>
      </c>
      <c r="M378" s="18" t="n">
        <v>-0.92132536861412</v>
      </c>
      <c r="N378" s="18" t="n">
        <v>36</v>
      </c>
      <c r="O378" s="18" t="n">
        <v>0.363013915612297</v>
      </c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 t="s">
        <v>402</v>
      </c>
      <c r="AI378" s="18"/>
      <c r="AJ378" s="18" t="s">
        <v>910</v>
      </c>
    </row>
    <row r="379" customFormat="false" ht="15" hidden="false" customHeight="false" outlineLevel="0" collapsed="false">
      <c r="A379" s="18" t="s">
        <v>273</v>
      </c>
      <c r="B379" s="18" t="s">
        <v>669</v>
      </c>
      <c r="C379" s="18" t="s">
        <v>789</v>
      </c>
      <c r="D379" s="18" t="s">
        <v>324</v>
      </c>
      <c r="E379" s="18" t="s">
        <v>404</v>
      </c>
      <c r="F379" s="18" t="s">
        <v>790</v>
      </c>
      <c r="G379" s="18" t="n">
        <v>0.4</v>
      </c>
      <c r="H379" s="18" t="n">
        <v>2704</v>
      </c>
      <c r="I379" s="18" t="n">
        <v>113</v>
      </c>
      <c r="J379" s="18" t="n">
        <v>112</v>
      </c>
      <c r="K379" s="18" t="n">
        <v>0.0152409714783909</v>
      </c>
      <c r="L379" s="18" t="n">
        <v>0.0496484549686348</v>
      </c>
      <c r="M379" s="18" t="n">
        <v>0.306977759690998</v>
      </c>
      <c r="N379" s="18" t="n">
        <v>111</v>
      </c>
      <c r="O379" s="18" t="n">
        <v>0.759435449606522</v>
      </c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 t="s">
        <v>402</v>
      </c>
      <c r="AI379" s="18"/>
      <c r="AJ379" s="18" t="s">
        <v>911</v>
      </c>
    </row>
    <row r="380" customFormat="false" ht="15" hidden="false" customHeight="false" outlineLevel="0" collapsed="false">
      <c r="A380" s="18" t="s">
        <v>273</v>
      </c>
      <c r="B380" s="18" t="s">
        <v>671</v>
      </c>
      <c r="C380" s="18" t="s">
        <v>789</v>
      </c>
      <c r="D380" s="18" t="s">
        <v>324</v>
      </c>
      <c r="E380" s="18" t="s">
        <v>404</v>
      </c>
      <c r="F380" s="18" t="s">
        <v>790</v>
      </c>
      <c r="G380" s="18" t="n">
        <v>0.4</v>
      </c>
      <c r="H380" s="18" t="n">
        <v>2704</v>
      </c>
      <c r="I380" s="18" t="n">
        <v>113</v>
      </c>
      <c r="J380" s="18" t="n">
        <v>112</v>
      </c>
      <c r="K380" s="18" t="n">
        <v>0.00317929160098975</v>
      </c>
      <c r="L380" s="18" t="n">
        <v>0.052661737720258</v>
      </c>
      <c r="M380" s="18" t="n">
        <v>0.0603719462862832</v>
      </c>
      <c r="N380" s="18" t="n">
        <v>111</v>
      </c>
      <c r="O380" s="18" t="n">
        <v>0.951967965254711</v>
      </c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 t="s">
        <v>402</v>
      </c>
      <c r="AI380" s="18"/>
      <c r="AJ380" s="18" t="s">
        <v>912</v>
      </c>
    </row>
    <row r="381" customFormat="false" ht="15" hidden="false" customHeight="false" outlineLevel="0" collapsed="false">
      <c r="A381" s="18" t="s">
        <v>273</v>
      </c>
      <c r="B381" s="18" t="s">
        <v>673</v>
      </c>
      <c r="C381" s="18" t="s">
        <v>789</v>
      </c>
      <c r="D381" s="18" t="s">
        <v>324</v>
      </c>
      <c r="E381" s="18" t="s">
        <v>404</v>
      </c>
      <c r="F381" s="18" t="s">
        <v>790</v>
      </c>
      <c r="G381" s="18" t="n">
        <v>0.4</v>
      </c>
      <c r="H381" s="18" t="n">
        <v>2704</v>
      </c>
      <c r="I381" s="18" t="n">
        <v>113</v>
      </c>
      <c r="J381" s="18" t="n">
        <v>112</v>
      </c>
      <c r="K381" s="18" t="n">
        <v>-0.0429056916994666</v>
      </c>
      <c r="L381" s="18" t="n">
        <v>0.0523396943879046</v>
      </c>
      <c r="M381" s="18" t="n">
        <v>-0.819754341350947</v>
      </c>
      <c r="N381" s="18" t="n">
        <v>110</v>
      </c>
      <c r="O381" s="18" t="n">
        <v>0.414128857783984</v>
      </c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 t="s">
        <v>402</v>
      </c>
      <c r="AI381" s="18"/>
      <c r="AJ381" s="18" t="s">
        <v>913</v>
      </c>
    </row>
    <row r="382" customFormat="false" ht="15" hidden="false" customHeight="false" outlineLevel="0" collapsed="false">
      <c r="A382" s="18" t="s">
        <v>273</v>
      </c>
      <c r="B382" s="18" t="s">
        <v>675</v>
      </c>
      <c r="C382" s="18" t="s">
        <v>789</v>
      </c>
      <c r="D382" s="18" t="s">
        <v>324</v>
      </c>
      <c r="E382" s="18" t="s">
        <v>404</v>
      </c>
      <c r="F382" s="18" t="s">
        <v>790</v>
      </c>
      <c r="G382" s="18" t="n">
        <v>0.4</v>
      </c>
      <c r="H382" s="18" t="n">
        <v>2704</v>
      </c>
      <c r="I382" s="18" t="n">
        <v>113</v>
      </c>
      <c r="J382" s="18" t="n">
        <v>112</v>
      </c>
      <c r="K382" s="18" t="n">
        <v>-0.00130406050586433</v>
      </c>
      <c r="L382" s="18" t="n">
        <v>0.0550551392860392</v>
      </c>
      <c r="M382" s="18" t="n">
        <v>-0.0236864445858375</v>
      </c>
      <c r="N382" s="18" t="n">
        <v>111</v>
      </c>
      <c r="O382" s="18" t="n">
        <v>0.981145247483259</v>
      </c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 t="s">
        <v>402</v>
      </c>
      <c r="AI382" s="18"/>
      <c r="AJ382" s="18" t="s">
        <v>914</v>
      </c>
    </row>
    <row r="383" customFormat="false" ht="15" hidden="false" customHeight="false" outlineLevel="0" collapsed="false">
      <c r="A383" s="18" t="s">
        <v>273</v>
      </c>
      <c r="B383" s="18" t="s">
        <v>677</v>
      </c>
      <c r="C383" s="18" t="s">
        <v>789</v>
      </c>
      <c r="D383" s="18" t="s">
        <v>324</v>
      </c>
      <c r="E383" s="18" t="s">
        <v>404</v>
      </c>
      <c r="F383" s="18" t="s">
        <v>790</v>
      </c>
      <c r="G383" s="18" t="n">
        <v>0.4</v>
      </c>
      <c r="H383" s="18" t="n">
        <v>2704</v>
      </c>
      <c r="I383" s="18" t="n">
        <v>113</v>
      </c>
      <c r="J383" s="18" t="n">
        <v>112</v>
      </c>
      <c r="K383" s="18" t="n">
        <v>0.0186957569292528</v>
      </c>
      <c r="L383" s="18" t="n">
        <v>0.0656248417940404</v>
      </c>
      <c r="M383" s="18" t="n">
        <v>0.284888411433102</v>
      </c>
      <c r="N383" s="18" t="n">
        <v>110</v>
      </c>
      <c r="O383" s="18" t="n">
        <v>0.77626530564496</v>
      </c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 t="s">
        <v>402</v>
      </c>
      <c r="AI383" s="18"/>
      <c r="AJ383" s="18" t="s">
        <v>915</v>
      </c>
    </row>
    <row r="384" customFormat="false" ht="15" hidden="false" customHeight="false" outlineLevel="0" collapsed="false">
      <c r="A384" s="18" t="s">
        <v>273</v>
      </c>
      <c r="B384" s="18" t="s">
        <v>679</v>
      </c>
      <c r="C384" s="18" t="s">
        <v>789</v>
      </c>
      <c r="D384" s="18" t="s">
        <v>324</v>
      </c>
      <c r="E384" s="18" t="s">
        <v>404</v>
      </c>
      <c r="F384" s="18" t="s">
        <v>790</v>
      </c>
      <c r="G384" s="18" t="n">
        <v>0.4</v>
      </c>
      <c r="H384" s="18" t="n">
        <v>2704</v>
      </c>
      <c r="I384" s="18" t="n">
        <v>113</v>
      </c>
      <c r="J384" s="18" t="n">
        <v>112</v>
      </c>
      <c r="K384" s="18" t="n">
        <v>0.0226238539943192</v>
      </c>
      <c r="L384" s="18" t="n">
        <v>0.0697652225229946</v>
      </c>
      <c r="M384" s="18" t="n">
        <v>0.324285556272144</v>
      </c>
      <c r="N384" s="18" t="n">
        <v>110</v>
      </c>
      <c r="O384" s="18" t="n">
        <v>0.746337688027471</v>
      </c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 t="s">
        <v>402</v>
      </c>
      <c r="AI384" s="18"/>
      <c r="AJ384" s="18" t="s">
        <v>916</v>
      </c>
    </row>
    <row r="385" customFormat="false" ht="15" hidden="false" customHeight="false" outlineLevel="0" collapsed="false">
      <c r="A385" s="18" t="s">
        <v>273</v>
      </c>
      <c r="B385" s="18" t="s">
        <v>681</v>
      </c>
      <c r="C385" s="18" t="s">
        <v>789</v>
      </c>
      <c r="D385" s="18" t="s">
        <v>324</v>
      </c>
      <c r="E385" s="18" t="s">
        <v>404</v>
      </c>
      <c r="F385" s="18" t="s">
        <v>790</v>
      </c>
      <c r="G385" s="18" t="n">
        <v>0.4</v>
      </c>
      <c r="H385" s="18" t="n">
        <v>2704</v>
      </c>
      <c r="I385" s="18" t="n">
        <v>113</v>
      </c>
      <c r="J385" s="18" t="n">
        <v>112</v>
      </c>
      <c r="K385" s="18" t="n">
        <v>-0.0452752892456806</v>
      </c>
      <c r="L385" s="18" t="n">
        <v>0.0465348236224753</v>
      </c>
      <c r="M385" s="18" t="n">
        <v>-0.972933509171262</v>
      </c>
      <c r="N385" s="18" t="n">
        <v>111</v>
      </c>
      <c r="O385" s="18" t="n">
        <v>0.332701799996815</v>
      </c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 t="s">
        <v>402</v>
      </c>
      <c r="AI385" s="18"/>
      <c r="AJ385" s="18" t="s">
        <v>917</v>
      </c>
    </row>
    <row r="386" customFormat="false" ht="15" hidden="false" customHeight="false" outlineLevel="0" collapsed="false">
      <c r="A386" s="18" t="s">
        <v>273</v>
      </c>
      <c r="B386" s="18" t="s">
        <v>683</v>
      </c>
      <c r="C386" s="18" t="s">
        <v>789</v>
      </c>
      <c r="D386" s="18" t="s">
        <v>324</v>
      </c>
      <c r="E386" s="18" t="s">
        <v>404</v>
      </c>
      <c r="F386" s="18" t="s">
        <v>790</v>
      </c>
      <c r="G386" s="18" t="n">
        <v>0.4</v>
      </c>
      <c r="H386" s="18" t="n">
        <v>2704</v>
      </c>
      <c r="I386" s="18" t="n">
        <v>113</v>
      </c>
      <c r="J386" s="18" t="n">
        <v>112</v>
      </c>
      <c r="K386" s="18" t="n">
        <v>0.0304381797541487</v>
      </c>
      <c r="L386" s="18" t="n">
        <v>0.0445918484360534</v>
      </c>
      <c r="M386" s="18" t="n">
        <v>0.682595156327694</v>
      </c>
      <c r="N386" s="18" t="n">
        <v>111</v>
      </c>
      <c r="O386" s="18" t="n">
        <v>0.496284783672779</v>
      </c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 t="s">
        <v>402</v>
      </c>
      <c r="AI386" s="18"/>
      <c r="AJ386" s="18" t="s">
        <v>918</v>
      </c>
    </row>
    <row r="387" customFormat="false" ht="15" hidden="false" customHeight="false" outlineLevel="0" collapsed="false">
      <c r="A387" s="18" t="s">
        <v>273</v>
      </c>
      <c r="B387" s="18" t="s">
        <v>685</v>
      </c>
      <c r="C387" s="18" t="s">
        <v>789</v>
      </c>
      <c r="D387" s="18" t="s">
        <v>324</v>
      </c>
      <c r="E387" s="18" t="s">
        <v>404</v>
      </c>
      <c r="F387" s="18" t="s">
        <v>790</v>
      </c>
      <c r="G387" s="18" t="n">
        <v>0.4</v>
      </c>
      <c r="H387" s="18" t="n">
        <v>2704</v>
      </c>
      <c r="I387" s="18" t="n">
        <v>113</v>
      </c>
      <c r="J387" s="18" t="n">
        <v>112</v>
      </c>
      <c r="K387" s="18" t="n">
        <v>0.0206775060494638</v>
      </c>
      <c r="L387" s="18" t="n">
        <v>0.0445932403439956</v>
      </c>
      <c r="M387" s="18" t="n">
        <v>0.463691489785356</v>
      </c>
      <c r="N387" s="18" t="n">
        <v>111</v>
      </c>
      <c r="O387" s="18" t="n">
        <v>0.643776795617159</v>
      </c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 t="s">
        <v>402</v>
      </c>
      <c r="AI387" s="18"/>
      <c r="AJ387" s="18" t="s">
        <v>919</v>
      </c>
    </row>
    <row r="388" customFormat="false" ht="15" hidden="false" customHeight="false" outlineLevel="0" collapsed="false">
      <c r="A388" s="18" t="s">
        <v>273</v>
      </c>
      <c r="B388" s="18" t="s">
        <v>687</v>
      </c>
      <c r="C388" s="18" t="s">
        <v>789</v>
      </c>
      <c r="D388" s="18" t="s">
        <v>324</v>
      </c>
      <c r="E388" s="18" t="s">
        <v>404</v>
      </c>
      <c r="F388" s="18" t="s">
        <v>790</v>
      </c>
      <c r="G388" s="18" t="n">
        <v>0.4</v>
      </c>
      <c r="H388" s="18" t="n">
        <v>929</v>
      </c>
      <c r="I388" s="18" t="n">
        <v>40</v>
      </c>
      <c r="J388" s="18" t="n">
        <v>40</v>
      </c>
      <c r="K388" s="18" t="n">
        <v>-0.0251018712092059</v>
      </c>
      <c r="L388" s="18" t="n">
        <v>0.0277320684729717</v>
      </c>
      <c r="M388" s="18" t="n">
        <v>-0.905156830752481</v>
      </c>
      <c r="N388" s="18" t="n">
        <v>38</v>
      </c>
      <c r="O388" s="18" t="n">
        <v>0.371085719212965</v>
      </c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 t="s">
        <v>402</v>
      </c>
      <c r="AI388" s="18"/>
      <c r="AJ388" s="18" t="s">
        <v>920</v>
      </c>
    </row>
    <row r="389" customFormat="false" ht="15" hidden="false" customHeight="false" outlineLevel="0" collapsed="false">
      <c r="A389" s="18" t="s">
        <v>273</v>
      </c>
      <c r="B389" s="18" t="s">
        <v>689</v>
      </c>
      <c r="C389" s="18" t="s">
        <v>789</v>
      </c>
      <c r="D389" s="18" t="s">
        <v>324</v>
      </c>
      <c r="E389" s="18" t="s">
        <v>404</v>
      </c>
      <c r="F389" s="18" t="s">
        <v>790</v>
      </c>
      <c r="G389" s="18" t="n">
        <v>0.4</v>
      </c>
      <c r="H389" s="18" t="n">
        <v>2691</v>
      </c>
      <c r="I389" s="18" t="n">
        <v>113</v>
      </c>
      <c r="J389" s="18" t="n">
        <v>112</v>
      </c>
      <c r="K389" s="18" t="n">
        <v>-0.0152881837037046</v>
      </c>
      <c r="L389" s="18" t="n">
        <v>0.0182737876878671</v>
      </c>
      <c r="M389" s="18" t="n">
        <v>-0.836618218666031</v>
      </c>
      <c r="N389" s="18" t="n">
        <v>111</v>
      </c>
      <c r="O389" s="18" t="n">
        <v>0.404604708792551</v>
      </c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 t="s">
        <v>402</v>
      </c>
      <c r="AI389" s="18"/>
      <c r="AJ389" s="18" t="s">
        <v>921</v>
      </c>
    </row>
    <row r="390" customFormat="false" ht="15" hidden="false" customHeight="false" outlineLevel="0" collapsed="false">
      <c r="A390" s="18" t="s">
        <v>273</v>
      </c>
      <c r="B390" s="18" t="s">
        <v>691</v>
      </c>
      <c r="C390" s="18" t="s">
        <v>789</v>
      </c>
      <c r="D390" s="18" t="s">
        <v>324</v>
      </c>
      <c r="E390" s="18" t="s">
        <v>404</v>
      </c>
      <c r="F390" s="18" t="s">
        <v>790</v>
      </c>
      <c r="G390" s="18" t="n">
        <v>0.4</v>
      </c>
      <c r="H390" s="18" t="n">
        <v>2691</v>
      </c>
      <c r="I390" s="18" t="n">
        <v>113</v>
      </c>
      <c r="J390" s="18" t="n">
        <v>112</v>
      </c>
      <c r="K390" s="18" t="n">
        <v>-0.0258221701917093</v>
      </c>
      <c r="L390" s="18" t="n">
        <v>0.0193085528435837</v>
      </c>
      <c r="M390" s="18" t="n">
        <v>-1.3373436321661</v>
      </c>
      <c r="N390" s="18" t="n">
        <v>111</v>
      </c>
      <c r="O390" s="18" t="n">
        <v>0.183844482954129</v>
      </c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 t="s">
        <v>402</v>
      </c>
      <c r="AI390" s="18"/>
      <c r="AJ390" s="18" t="s">
        <v>922</v>
      </c>
    </row>
    <row r="391" customFormat="false" ht="15" hidden="false" customHeight="false" outlineLevel="0" collapsed="false">
      <c r="A391" s="18" t="s">
        <v>273</v>
      </c>
      <c r="B391" s="18" t="s">
        <v>693</v>
      </c>
      <c r="C391" s="18" t="s">
        <v>789</v>
      </c>
      <c r="D391" s="18" t="s">
        <v>324</v>
      </c>
      <c r="E391" s="18" t="s">
        <v>404</v>
      </c>
      <c r="F391" s="18" t="s">
        <v>790</v>
      </c>
      <c r="G391" s="18" t="n">
        <v>0.4</v>
      </c>
      <c r="H391" s="18" t="n">
        <v>2691</v>
      </c>
      <c r="I391" s="18" t="n">
        <v>113</v>
      </c>
      <c r="J391" s="18" t="n">
        <v>112</v>
      </c>
      <c r="K391" s="18" t="n">
        <v>-0.0148830440688465</v>
      </c>
      <c r="L391" s="18" t="n">
        <v>0.0195452381989536</v>
      </c>
      <c r="M391" s="18" t="n">
        <v>-0.761466497228125</v>
      </c>
      <c r="N391" s="18" t="n">
        <v>110</v>
      </c>
      <c r="O391" s="18" t="n">
        <v>0.448007920424849</v>
      </c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 t="s">
        <v>402</v>
      </c>
      <c r="AI391" s="18"/>
      <c r="AJ391" s="18" t="s">
        <v>923</v>
      </c>
    </row>
    <row r="392" customFormat="false" ht="15" hidden="false" customHeight="false" outlineLevel="0" collapsed="false">
      <c r="A392" s="18" t="s">
        <v>273</v>
      </c>
      <c r="B392" s="18" t="s">
        <v>695</v>
      </c>
      <c r="C392" s="18" t="s">
        <v>789</v>
      </c>
      <c r="D392" s="18" t="s">
        <v>324</v>
      </c>
      <c r="E392" s="18" t="s">
        <v>404</v>
      </c>
      <c r="F392" s="18" t="s">
        <v>790</v>
      </c>
      <c r="G392" s="18" t="n">
        <v>0.4</v>
      </c>
      <c r="H392" s="18" t="n">
        <v>2691</v>
      </c>
      <c r="I392" s="18" t="n">
        <v>113</v>
      </c>
      <c r="J392" s="18" t="n">
        <v>112</v>
      </c>
      <c r="K392" s="18" t="n">
        <v>-0.0293240942397832</v>
      </c>
      <c r="L392" s="18" t="n">
        <v>0.0201723705521061</v>
      </c>
      <c r="M392" s="18" t="n">
        <v>-1.45367616384191</v>
      </c>
      <c r="N392" s="18" t="n">
        <v>111</v>
      </c>
      <c r="O392" s="18" t="n">
        <v>0.148857660662242</v>
      </c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 t="s">
        <v>402</v>
      </c>
      <c r="AI392" s="18"/>
      <c r="AJ392" s="18" t="s">
        <v>924</v>
      </c>
    </row>
    <row r="393" customFormat="false" ht="15" hidden="false" customHeight="false" outlineLevel="0" collapsed="false">
      <c r="A393" s="18" t="s">
        <v>273</v>
      </c>
      <c r="B393" s="18" t="s">
        <v>697</v>
      </c>
      <c r="C393" s="18" t="s">
        <v>789</v>
      </c>
      <c r="D393" s="18" t="s">
        <v>324</v>
      </c>
      <c r="E393" s="18" t="s">
        <v>404</v>
      </c>
      <c r="F393" s="18" t="s">
        <v>790</v>
      </c>
      <c r="G393" s="18" t="n">
        <v>0.4</v>
      </c>
      <c r="H393" s="18" t="n">
        <v>2691</v>
      </c>
      <c r="I393" s="18" t="n">
        <v>113</v>
      </c>
      <c r="J393" s="18" t="n">
        <v>112</v>
      </c>
      <c r="K393" s="18" t="n">
        <v>-0.00811564101620763</v>
      </c>
      <c r="L393" s="18" t="n">
        <v>0.0242470286572388</v>
      </c>
      <c r="M393" s="18" t="n">
        <v>-0.334706620383555</v>
      </c>
      <c r="N393" s="18" t="n">
        <v>110</v>
      </c>
      <c r="O393" s="18" t="n">
        <v>0.738483783973243</v>
      </c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 t="s">
        <v>402</v>
      </c>
      <c r="AI393" s="18"/>
      <c r="AJ393" s="18" t="s">
        <v>925</v>
      </c>
    </row>
    <row r="394" customFormat="false" ht="15" hidden="false" customHeight="false" outlineLevel="0" collapsed="false">
      <c r="A394" s="18" t="s">
        <v>273</v>
      </c>
      <c r="B394" s="18" t="s">
        <v>699</v>
      </c>
      <c r="C394" s="18" t="s">
        <v>789</v>
      </c>
      <c r="D394" s="18" t="s">
        <v>324</v>
      </c>
      <c r="E394" s="18" t="s">
        <v>404</v>
      </c>
      <c r="F394" s="18" t="s">
        <v>790</v>
      </c>
      <c r="G394" s="18" t="n">
        <v>0.4</v>
      </c>
      <c r="H394" s="18" t="n">
        <v>2691</v>
      </c>
      <c r="I394" s="18" t="n">
        <v>113</v>
      </c>
      <c r="J394" s="18" t="n">
        <v>112</v>
      </c>
      <c r="K394" s="18" t="n">
        <v>-0.0040614955080493</v>
      </c>
      <c r="L394" s="18" t="n">
        <v>0.0257816174997532</v>
      </c>
      <c r="M394" s="18" t="n">
        <v>-0.157534549881837</v>
      </c>
      <c r="N394" s="18" t="n">
        <v>110</v>
      </c>
      <c r="O394" s="18" t="n">
        <v>0.875112391240258</v>
      </c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 t="s">
        <v>402</v>
      </c>
      <c r="AI394" s="18"/>
      <c r="AJ394" s="18" t="s">
        <v>926</v>
      </c>
    </row>
    <row r="395" customFormat="false" ht="15" hidden="false" customHeight="false" outlineLevel="0" collapsed="false">
      <c r="A395" s="18" t="s">
        <v>273</v>
      </c>
      <c r="B395" s="18" t="s">
        <v>701</v>
      </c>
      <c r="C395" s="18" t="s">
        <v>789</v>
      </c>
      <c r="D395" s="18" t="s">
        <v>324</v>
      </c>
      <c r="E395" s="18" t="s">
        <v>404</v>
      </c>
      <c r="F395" s="18" t="s">
        <v>790</v>
      </c>
      <c r="G395" s="18" t="n">
        <v>0.4</v>
      </c>
      <c r="H395" s="18" t="n">
        <v>2691</v>
      </c>
      <c r="I395" s="18" t="n">
        <v>113</v>
      </c>
      <c r="J395" s="18" t="n">
        <v>112</v>
      </c>
      <c r="K395" s="18" t="n">
        <v>-0.0164115037400514</v>
      </c>
      <c r="L395" s="18" t="n">
        <v>0.0172939568165781</v>
      </c>
      <c r="M395" s="18" t="n">
        <v>-0.948973327163584</v>
      </c>
      <c r="N395" s="18" t="n">
        <v>111</v>
      </c>
      <c r="O395" s="18" t="n">
        <v>0.3446957242525</v>
      </c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 t="s">
        <v>402</v>
      </c>
      <c r="AI395" s="18"/>
      <c r="AJ395" s="18" t="s">
        <v>927</v>
      </c>
    </row>
    <row r="396" customFormat="false" ht="15" hidden="false" customHeight="false" outlineLevel="0" collapsed="false">
      <c r="A396" s="18" t="s">
        <v>273</v>
      </c>
      <c r="B396" s="18" t="s">
        <v>703</v>
      </c>
      <c r="C396" s="18" t="s">
        <v>789</v>
      </c>
      <c r="D396" s="18" t="s">
        <v>324</v>
      </c>
      <c r="E396" s="18" t="s">
        <v>404</v>
      </c>
      <c r="F396" s="18" t="s">
        <v>790</v>
      </c>
      <c r="G396" s="18" t="n">
        <v>0.4</v>
      </c>
      <c r="H396" s="18" t="n">
        <v>2691</v>
      </c>
      <c r="I396" s="18" t="n">
        <v>113</v>
      </c>
      <c r="J396" s="18" t="n">
        <v>112</v>
      </c>
      <c r="K396" s="18" t="n">
        <v>-0.0161709834183879</v>
      </c>
      <c r="L396" s="18" t="n">
        <v>0.0164832026129964</v>
      </c>
      <c r="M396" s="18" t="n">
        <v>-0.981058341516572</v>
      </c>
      <c r="N396" s="18" t="n">
        <v>111</v>
      </c>
      <c r="O396" s="18" t="n">
        <v>0.328697454995304</v>
      </c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 t="s">
        <v>402</v>
      </c>
      <c r="AI396" s="18"/>
      <c r="AJ396" s="18" t="s">
        <v>928</v>
      </c>
    </row>
    <row r="397" customFormat="false" ht="15" hidden="false" customHeight="false" outlineLevel="0" collapsed="false">
      <c r="A397" s="18" t="s">
        <v>273</v>
      </c>
      <c r="B397" s="18" t="s">
        <v>705</v>
      </c>
      <c r="C397" s="18" t="s">
        <v>789</v>
      </c>
      <c r="D397" s="18" t="s">
        <v>324</v>
      </c>
      <c r="E397" s="18" t="s">
        <v>404</v>
      </c>
      <c r="F397" s="18" t="s">
        <v>790</v>
      </c>
      <c r="G397" s="18" t="n">
        <v>0.4</v>
      </c>
      <c r="H397" s="18" t="n">
        <v>2691</v>
      </c>
      <c r="I397" s="18" t="n">
        <v>113</v>
      </c>
      <c r="J397" s="18" t="n">
        <v>112</v>
      </c>
      <c r="K397" s="18" t="n">
        <v>-0.0149161883220119</v>
      </c>
      <c r="L397" s="18" t="n">
        <v>0.0164109925624984</v>
      </c>
      <c r="M397" s="18" t="n">
        <v>-0.908914452627173</v>
      </c>
      <c r="N397" s="18" t="n">
        <v>111</v>
      </c>
      <c r="O397" s="18" t="n">
        <v>0.365364552022992</v>
      </c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 t="s">
        <v>402</v>
      </c>
      <c r="AI397" s="18"/>
      <c r="AJ397" s="18" t="s">
        <v>929</v>
      </c>
    </row>
    <row r="398" customFormat="false" ht="15" hidden="false" customHeight="false" outlineLevel="0" collapsed="false">
      <c r="A398" s="18" t="s">
        <v>273</v>
      </c>
      <c r="B398" s="18" t="s">
        <v>707</v>
      </c>
      <c r="C398" s="18" t="s">
        <v>789</v>
      </c>
      <c r="D398" s="18" t="s">
        <v>324</v>
      </c>
      <c r="E398" s="18" t="s">
        <v>404</v>
      </c>
      <c r="F398" s="18" t="s">
        <v>790</v>
      </c>
      <c r="G398" s="18" t="n">
        <v>0.4</v>
      </c>
      <c r="H398" s="18" t="n">
        <v>924</v>
      </c>
      <c r="I398" s="18" t="n">
        <v>40</v>
      </c>
      <c r="J398" s="18" t="n">
        <v>40</v>
      </c>
      <c r="K398" s="18" t="n">
        <v>-0.0285351819177566</v>
      </c>
      <c r="L398" s="18" t="n">
        <v>0.0273663632962474</v>
      </c>
      <c r="M398" s="18" t="n">
        <v>-1.04271004549843</v>
      </c>
      <c r="N398" s="18" t="n">
        <v>38</v>
      </c>
      <c r="O398" s="18" t="n">
        <v>0.303671123398462</v>
      </c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 t="s">
        <v>402</v>
      </c>
      <c r="AI398" s="18"/>
      <c r="AJ398" s="18" t="s">
        <v>930</v>
      </c>
    </row>
    <row r="399" customFormat="false" ht="15" hidden="false" customHeight="false" outlineLevel="0" collapsed="false">
      <c r="A399" s="18" t="s">
        <v>273</v>
      </c>
      <c r="B399" s="18" t="s">
        <v>709</v>
      </c>
      <c r="C399" s="18" t="s">
        <v>789</v>
      </c>
      <c r="D399" s="18" t="s">
        <v>324</v>
      </c>
      <c r="E399" s="18" t="s">
        <v>404</v>
      </c>
      <c r="F399" s="18" t="s">
        <v>790</v>
      </c>
      <c r="G399" s="18" t="n">
        <v>0.4</v>
      </c>
      <c r="H399" s="18" t="n">
        <v>2704</v>
      </c>
      <c r="I399" s="18" t="n">
        <v>113</v>
      </c>
      <c r="J399" s="18" t="n">
        <v>112</v>
      </c>
      <c r="K399" s="18" t="n">
        <v>-0.0118005752354981</v>
      </c>
      <c r="L399" s="18" t="n">
        <v>0.0182644919676272</v>
      </c>
      <c r="M399" s="18" t="n">
        <v>-0.646093811774995</v>
      </c>
      <c r="N399" s="18" t="n">
        <v>111</v>
      </c>
      <c r="O399" s="18" t="n">
        <v>0.519552144343388</v>
      </c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 t="s">
        <v>402</v>
      </c>
      <c r="AI399" s="18"/>
      <c r="AJ399" s="18" t="s">
        <v>931</v>
      </c>
    </row>
    <row r="400" customFormat="false" ht="15" hidden="false" customHeight="false" outlineLevel="0" collapsed="false">
      <c r="A400" s="18" t="s">
        <v>273</v>
      </c>
      <c r="B400" s="18" t="s">
        <v>711</v>
      </c>
      <c r="C400" s="18" t="s">
        <v>789</v>
      </c>
      <c r="D400" s="18" t="s">
        <v>324</v>
      </c>
      <c r="E400" s="18" t="s">
        <v>404</v>
      </c>
      <c r="F400" s="18" t="s">
        <v>790</v>
      </c>
      <c r="G400" s="18" t="n">
        <v>0.4</v>
      </c>
      <c r="H400" s="18" t="n">
        <v>2704</v>
      </c>
      <c r="I400" s="18" t="n">
        <v>113</v>
      </c>
      <c r="J400" s="18" t="n">
        <v>112</v>
      </c>
      <c r="K400" s="18" t="n">
        <v>-0.0197936074716707</v>
      </c>
      <c r="L400" s="18" t="n">
        <v>0.0193381116603593</v>
      </c>
      <c r="M400" s="18" t="n">
        <v>-1.02355430661025</v>
      </c>
      <c r="N400" s="18" t="n">
        <v>111</v>
      </c>
      <c r="O400" s="18" t="n">
        <v>0.30827136932392</v>
      </c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 t="s">
        <v>402</v>
      </c>
      <c r="AI400" s="18"/>
      <c r="AJ400" s="18" t="s">
        <v>932</v>
      </c>
    </row>
    <row r="401" customFormat="false" ht="15" hidden="false" customHeight="false" outlineLevel="0" collapsed="false">
      <c r="A401" s="18" t="s">
        <v>273</v>
      </c>
      <c r="B401" s="18" t="s">
        <v>713</v>
      </c>
      <c r="C401" s="18" t="s">
        <v>789</v>
      </c>
      <c r="D401" s="18" t="s">
        <v>324</v>
      </c>
      <c r="E401" s="18" t="s">
        <v>404</v>
      </c>
      <c r="F401" s="18" t="s">
        <v>790</v>
      </c>
      <c r="G401" s="18" t="n">
        <v>0.4</v>
      </c>
      <c r="H401" s="18" t="n">
        <v>2704</v>
      </c>
      <c r="I401" s="18" t="n">
        <v>113</v>
      </c>
      <c r="J401" s="18" t="n">
        <v>112</v>
      </c>
      <c r="K401" s="18" t="n">
        <v>-0.0136020868672231</v>
      </c>
      <c r="L401" s="18" t="n">
        <v>0.0195127797894892</v>
      </c>
      <c r="M401" s="18" t="n">
        <v>-0.69708606431104</v>
      </c>
      <c r="N401" s="18" t="n">
        <v>110</v>
      </c>
      <c r="O401" s="18" t="n">
        <v>0.4872195652648</v>
      </c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 t="s">
        <v>402</v>
      </c>
      <c r="AI401" s="18"/>
      <c r="AJ401" s="18" t="s">
        <v>933</v>
      </c>
    </row>
    <row r="402" customFormat="false" ht="15" hidden="false" customHeight="false" outlineLevel="0" collapsed="false">
      <c r="A402" s="18" t="s">
        <v>273</v>
      </c>
      <c r="B402" s="18" t="s">
        <v>715</v>
      </c>
      <c r="C402" s="18" t="s">
        <v>789</v>
      </c>
      <c r="D402" s="18" t="s">
        <v>324</v>
      </c>
      <c r="E402" s="18" t="s">
        <v>404</v>
      </c>
      <c r="F402" s="18" t="s">
        <v>790</v>
      </c>
      <c r="G402" s="18" t="n">
        <v>0.4</v>
      </c>
      <c r="H402" s="18" t="n">
        <v>2704</v>
      </c>
      <c r="I402" s="18" t="n">
        <v>113</v>
      </c>
      <c r="J402" s="18" t="n">
        <v>112</v>
      </c>
      <c r="K402" s="18" t="n">
        <v>-0.0235474863320776</v>
      </c>
      <c r="L402" s="18" t="n">
        <v>0.0202044728780381</v>
      </c>
      <c r="M402" s="18" t="n">
        <v>-1.16545907800808</v>
      </c>
      <c r="N402" s="18" t="n">
        <v>111</v>
      </c>
      <c r="O402" s="18" t="n">
        <v>0.246331547508221</v>
      </c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 t="s">
        <v>402</v>
      </c>
      <c r="AI402" s="18"/>
      <c r="AJ402" s="18" t="s">
        <v>934</v>
      </c>
    </row>
    <row r="403" customFormat="false" ht="15" hidden="false" customHeight="false" outlineLevel="0" collapsed="false">
      <c r="A403" s="18" t="s">
        <v>273</v>
      </c>
      <c r="B403" s="18" t="s">
        <v>717</v>
      </c>
      <c r="C403" s="18" t="s">
        <v>789</v>
      </c>
      <c r="D403" s="18" t="s">
        <v>324</v>
      </c>
      <c r="E403" s="18" t="s">
        <v>404</v>
      </c>
      <c r="F403" s="18" t="s">
        <v>790</v>
      </c>
      <c r="G403" s="18" t="n">
        <v>0.4</v>
      </c>
      <c r="H403" s="18" t="n">
        <v>2704</v>
      </c>
      <c r="I403" s="18" t="n">
        <v>113</v>
      </c>
      <c r="J403" s="18" t="n">
        <v>112</v>
      </c>
      <c r="K403" s="18" t="n">
        <v>-0.00293317534987807</v>
      </c>
      <c r="L403" s="18" t="n">
        <v>0.0242130880248409</v>
      </c>
      <c r="M403" s="18" t="n">
        <v>-0.121140077088426</v>
      </c>
      <c r="N403" s="18" t="n">
        <v>110</v>
      </c>
      <c r="O403" s="18" t="n">
        <v>0.903801095610774</v>
      </c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 t="s">
        <v>402</v>
      </c>
      <c r="AI403" s="18"/>
      <c r="AJ403" s="18" t="s">
        <v>935</v>
      </c>
    </row>
    <row r="404" customFormat="false" ht="15" hidden="false" customHeight="false" outlineLevel="0" collapsed="false">
      <c r="A404" s="18" t="s">
        <v>273</v>
      </c>
      <c r="B404" s="18" t="s">
        <v>719</v>
      </c>
      <c r="C404" s="18" t="s">
        <v>789</v>
      </c>
      <c r="D404" s="18" t="s">
        <v>324</v>
      </c>
      <c r="E404" s="18" t="s">
        <v>404</v>
      </c>
      <c r="F404" s="18" t="s">
        <v>790</v>
      </c>
      <c r="G404" s="18" t="n">
        <v>0.4</v>
      </c>
      <c r="H404" s="18" t="n">
        <v>2704</v>
      </c>
      <c r="I404" s="18" t="n">
        <v>113</v>
      </c>
      <c r="J404" s="18" t="n">
        <v>112</v>
      </c>
      <c r="K404" s="18" t="n">
        <v>0.000896944116589207</v>
      </c>
      <c r="L404" s="18" t="n">
        <v>0.0257377956316552</v>
      </c>
      <c r="M404" s="18" t="n">
        <v>0.0348492982625927</v>
      </c>
      <c r="N404" s="18" t="n">
        <v>110</v>
      </c>
      <c r="O404" s="18" t="n">
        <v>0.972263070577274</v>
      </c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 t="s">
        <v>402</v>
      </c>
      <c r="AI404" s="18"/>
      <c r="AJ404" s="18" t="s">
        <v>936</v>
      </c>
    </row>
    <row r="405" customFormat="false" ht="15" hidden="false" customHeight="false" outlineLevel="0" collapsed="false">
      <c r="A405" s="18" t="s">
        <v>273</v>
      </c>
      <c r="B405" s="18" t="s">
        <v>721</v>
      </c>
      <c r="C405" s="18" t="s">
        <v>789</v>
      </c>
      <c r="D405" s="18" t="s">
        <v>324</v>
      </c>
      <c r="E405" s="18" t="s">
        <v>404</v>
      </c>
      <c r="F405" s="18" t="s">
        <v>790</v>
      </c>
      <c r="G405" s="18" t="n">
        <v>0.4</v>
      </c>
      <c r="H405" s="18" t="n">
        <v>2704</v>
      </c>
      <c r="I405" s="18" t="n">
        <v>113</v>
      </c>
      <c r="J405" s="18" t="n">
        <v>112</v>
      </c>
      <c r="K405" s="18" t="n">
        <v>-0.0128133503833415</v>
      </c>
      <c r="L405" s="18" t="n">
        <v>0.0172877564896939</v>
      </c>
      <c r="M405" s="18" t="n">
        <v>-0.741180637926048</v>
      </c>
      <c r="N405" s="18" t="n">
        <v>111</v>
      </c>
      <c r="O405" s="18" t="n">
        <v>0.460149094304051</v>
      </c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 t="s">
        <v>402</v>
      </c>
      <c r="AI405" s="18"/>
      <c r="AJ405" s="18" t="s">
        <v>937</v>
      </c>
    </row>
    <row r="406" customFormat="false" ht="15" hidden="false" customHeight="false" outlineLevel="0" collapsed="false">
      <c r="A406" s="18" t="s">
        <v>273</v>
      </c>
      <c r="B406" s="18" t="s">
        <v>723</v>
      </c>
      <c r="C406" s="18" t="s">
        <v>789</v>
      </c>
      <c r="D406" s="18" t="s">
        <v>324</v>
      </c>
      <c r="E406" s="18" t="s">
        <v>404</v>
      </c>
      <c r="F406" s="18" t="s">
        <v>790</v>
      </c>
      <c r="G406" s="18" t="n">
        <v>0.4</v>
      </c>
      <c r="H406" s="18" t="n">
        <v>2704</v>
      </c>
      <c r="I406" s="18" t="n">
        <v>113</v>
      </c>
      <c r="J406" s="18" t="n">
        <v>112</v>
      </c>
      <c r="K406" s="18" t="n">
        <v>-0.00523324994459564</v>
      </c>
      <c r="L406" s="18" t="n">
        <v>0.0165204819658342</v>
      </c>
      <c r="M406" s="18" t="n">
        <v>-0.316773442531426</v>
      </c>
      <c r="N406" s="18" t="n">
        <v>111</v>
      </c>
      <c r="O406" s="18" t="n">
        <v>0.752010508784265</v>
      </c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 t="s">
        <v>402</v>
      </c>
      <c r="AI406" s="18"/>
      <c r="AJ406" s="18" t="s">
        <v>938</v>
      </c>
    </row>
    <row r="407" customFormat="false" ht="15" hidden="false" customHeight="false" outlineLevel="0" collapsed="false">
      <c r="A407" s="18" t="s">
        <v>273</v>
      </c>
      <c r="B407" s="18" t="s">
        <v>725</v>
      </c>
      <c r="C407" s="18" t="s">
        <v>789</v>
      </c>
      <c r="D407" s="18" t="s">
        <v>324</v>
      </c>
      <c r="E407" s="18" t="s">
        <v>404</v>
      </c>
      <c r="F407" s="18" t="s">
        <v>790</v>
      </c>
      <c r="G407" s="18" t="n">
        <v>0.4</v>
      </c>
      <c r="H407" s="18" t="n">
        <v>2704</v>
      </c>
      <c r="I407" s="18" t="n">
        <v>113</v>
      </c>
      <c r="J407" s="18" t="n">
        <v>112</v>
      </c>
      <c r="K407" s="18" t="n">
        <v>-0.00638177221039732</v>
      </c>
      <c r="L407" s="18" t="n">
        <v>0.0164317653843382</v>
      </c>
      <c r="M407" s="18" t="n">
        <v>-0.388380192945065</v>
      </c>
      <c r="N407" s="18" t="n">
        <v>111</v>
      </c>
      <c r="O407" s="18" t="n">
        <v>0.698478602932021</v>
      </c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 t="s">
        <v>402</v>
      </c>
      <c r="AI407" s="18"/>
      <c r="AJ407" s="18" t="s">
        <v>939</v>
      </c>
    </row>
    <row r="408" customFormat="false" ht="15" hidden="false" customHeight="false" outlineLevel="0" collapsed="false">
      <c r="A408" s="18" t="s">
        <v>273</v>
      </c>
      <c r="B408" s="18" t="s">
        <v>727</v>
      </c>
      <c r="C408" s="18" t="s">
        <v>789</v>
      </c>
      <c r="D408" s="18" t="s">
        <v>324</v>
      </c>
      <c r="E408" s="18" t="s">
        <v>404</v>
      </c>
      <c r="F408" s="18" t="s">
        <v>790</v>
      </c>
      <c r="G408" s="18" t="n">
        <v>0.4</v>
      </c>
      <c r="H408" s="18" t="n">
        <v>929</v>
      </c>
      <c r="I408" s="18" t="n">
        <v>40</v>
      </c>
      <c r="J408" s="18" t="n">
        <v>40</v>
      </c>
      <c r="K408" s="18" t="n">
        <v>-0.0230865808385004</v>
      </c>
      <c r="L408" s="18" t="n">
        <v>0.0258820751261289</v>
      </c>
      <c r="M408" s="18" t="n">
        <v>-0.891991106817926</v>
      </c>
      <c r="N408" s="18" t="n">
        <v>38</v>
      </c>
      <c r="O408" s="18" t="n">
        <v>0.378011460453899</v>
      </c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 t="s">
        <v>402</v>
      </c>
      <c r="AI408" s="18"/>
      <c r="AJ408" s="18" t="s">
        <v>940</v>
      </c>
    </row>
    <row r="409" customFormat="false" ht="15" hidden="false" customHeight="false" outlineLevel="0" collapsed="false">
      <c r="A409" s="18" t="s">
        <v>273</v>
      </c>
      <c r="B409" s="18" t="s">
        <v>729</v>
      </c>
      <c r="C409" s="18" t="s">
        <v>789</v>
      </c>
      <c r="D409" s="18" t="s">
        <v>324</v>
      </c>
      <c r="E409" s="18" t="s">
        <v>404</v>
      </c>
      <c r="F409" s="18" t="s">
        <v>790</v>
      </c>
      <c r="G409" s="18" t="n">
        <v>0.4</v>
      </c>
      <c r="H409" s="18" t="n">
        <v>2606</v>
      </c>
      <c r="I409" s="18" t="n">
        <v>110</v>
      </c>
      <c r="J409" s="18" t="n">
        <v>109</v>
      </c>
      <c r="K409" s="18" t="n">
        <v>0.0096101066953757</v>
      </c>
      <c r="L409" s="18" t="n">
        <v>0.0509255249843151</v>
      </c>
      <c r="M409" s="18" t="n">
        <v>0.188709035367541</v>
      </c>
      <c r="N409" s="18" t="n">
        <v>108</v>
      </c>
      <c r="O409" s="18" t="n">
        <v>0.850675022941066</v>
      </c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 t="s">
        <v>402</v>
      </c>
      <c r="AI409" s="18"/>
      <c r="AJ409" s="18" t="s">
        <v>941</v>
      </c>
    </row>
    <row r="410" customFormat="false" ht="15" hidden="false" customHeight="false" outlineLevel="0" collapsed="false">
      <c r="A410" s="18" t="s">
        <v>273</v>
      </c>
      <c r="B410" s="18" t="s">
        <v>731</v>
      </c>
      <c r="C410" s="18" t="s">
        <v>789</v>
      </c>
      <c r="D410" s="18" t="s">
        <v>324</v>
      </c>
      <c r="E410" s="18" t="s">
        <v>404</v>
      </c>
      <c r="F410" s="18" t="s">
        <v>790</v>
      </c>
      <c r="G410" s="18" t="n">
        <v>0.4</v>
      </c>
      <c r="H410" s="18" t="n">
        <v>2606</v>
      </c>
      <c r="I410" s="18" t="n">
        <v>110</v>
      </c>
      <c r="J410" s="18" t="n">
        <v>109</v>
      </c>
      <c r="K410" s="18" t="n">
        <v>-0.00290264933660631</v>
      </c>
      <c r="L410" s="18" t="n">
        <v>0.0539426704965075</v>
      </c>
      <c r="M410" s="18" t="n">
        <v>-0.0538098931678631</v>
      </c>
      <c r="N410" s="18" t="n">
        <v>108</v>
      </c>
      <c r="O410" s="18" t="n">
        <v>0.957186038610849</v>
      </c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 t="s">
        <v>402</v>
      </c>
      <c r="AI410" s="18"/>
      <c r="AJ410" s="18" t="s">
        <v>942</v>
      </c>
    </row>
    <row r="411" customFormat="false" ht="15" hidden="false" customHeight="false" outlineLevel="0" collapsed="false">
      <c r="A411" s="18" t="s">
        <v>273</v>
      </c>
      <c r="B411" s="18" t="s">
        <v>733</v>
      </c>
      <c r="C411" s="18" t="s">
        <v>789</v>
      </c>
      <c r="D411" s="18" t="s">
        <v>324</v>
      </c>
      <c r="E411" s="18" t="s">
        <v>404</v>
      </c>
      <c r="F411" s="18" t="s">
        <v>790</v>
      </c>
      <c r="G411" s="18" t="n">
        <v>0.4</v>
      </c>
      <c r="H411" s="18" t="n">
        <v>2606</v>
      </c>
      <c r="I411" s="18" t="n">
        <v>110</v>
      </c>
      <c r="J411" s="18" t="n">
        <v>109</v>
      </c>
      <c r="K411" s="18" t="n">
        <v>-0.0433570564600611</v>
      </c>
      <c r="L411" s="18" t="n">
        <v>0.0550989407728117</v>
      </c>
      <c r="M411" s="18" t="n">
        <v>-0.786894554630992</v>
      </c>
      <c r="N411" s="18" t="n">
        <v>107</v>
      </c>
      <c r="O411" s="18" t="n">
        <v>0.433083035064077</v>
      </c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 t="s">
        <v>402</v>
      </c>
      <c r="AI411" s="18"/>
      <c r="AJ411" s="18" t="s">
        <v>943</v>
      </c>
    </row>
    <row r="412" customFormat="false" ht="15" hidden="false" customHeight="false" outlineLevel="0" collapsed="false">
      <c r="A412" s="18" t="s">
        <v>273</v>
      </c>
      <c r="B412" s="18" t="s">
        <v>735</v>
      </c>
      <c r="C412" s="18" t="s">
        <v>789</v>
      </c>
      <c r="D412" s="18" t="s">
        <v>324</v>
      </c>
      <c r="E412" s="18" t="s">
        <v>404</v>
      </c>
      <c r="F412" s="18" t="s">
        <v>790</v>
      </c>
      <c r="G412" s="18" t="n">
        <v>0.4</v>
      </c>
      <c r="H412" s="18" t="n">
        <v>2606</v>
      </c>
      <c r="I412" s="18" t="n">
        <v>110</v>
      </c>
      <c r="J412" s="18" t="n">
        <v>109</v>
      </c>
      <c r="K412" s="18" t="n">
        <v>-0.00772951096542329</v>
      </c>
      <c r="L412" s="18" t="n">
        <v>0.0563554302790583</v>
      </c>
      <c r="M412" s="18" t="n">
        <v>-0.13715645372857</v>
      </c>
      <c r="N412" s="18" t="n">
        <v>108</v>
      </c>
      <c r="O412" s="18" t="n">
        <v>0.891162498354632</v>
      </c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 t="s">
        <v>402</v>
      </c>
      <c r="AI412" s="18"/>
      <c r="AJ412" s="18" t="s">
        <v>944</v>
      </c>
    </row>
    <row r="413" customFormat="false" ht="15" hidden="false" customHeight="false" outlineLevel="0" collapsed="false">
      <c r="A413" s="18" t="s">
        <v>273</v>
      </c>
      <c r="B413" s="18" t="s">
        <v>737</v>
      </c>
      <c r="C413" s="18" t="s">
        <v>789</v>
      </c>
      <c r="D413" s="18" t="s">
        <v>324</v>
      </c>
      <c r="E413" s="18" t="s">
        <v>404</v>
      </c>
      <c r="F413" s="18" t="s">
        <v>790</v>
      </c>
      <c r="G413" s="18" t="n">
        <v>0.4</v>
      </c>
      <c r="H413" s="18" t="n">
        <v>2606</v>
      </c>
      <c r="I413" s="18" t="n">
        <v>110</v>
      </c>
      <c r="J413" s="18" t="n">
        <v>109</v>
      </c>
      <c r="K413" s="18" t="n">
        <v>0.0168210633477159</v>
      </c>
      <c r="L413" s="18" t="n">
        <v>0.0671018361260257</v>
      </c>
      <c r="M413" s="18" t="n">
        <v>0.250679628440029</v>
      </c>
      <c r="N413" s="18" t="n">
        <v>107</v>
      </c>
      <c r="O413" s="18" t="n">
        <v>0.802542540845185</v>
      </c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 t="s">
        <v>402</v>
      </c>
      <c r="AI413" s="18"/>
      <c r="AJ413" s="18" t="s">
        <v>945</v>
      </c>
    </row>
    <row r="414" customFormat="false" ht="15" hidden="false" customHeight="false" outlineLevel="0" collapsed="false">
      <c r="A414" s="18" t="s">
        <v>273</v>
      </c>
      <c r="B414" s="18" t="s">
        <v>739</v>
      </c>
      <c r="C414" s="18" t="s">
        <v>789</v>
      </c>
      <c r="D414" s="18" t="s">
        <v>324</v>
      </c>
      <c r="E414" s="18" t="s">
        <v>404</v>
      </c>
      <c r="F414" s="18" t="s">
        <v>790</v>
      </c>
      <c r="G414" s="18" t="n">
        <v>0.4</v>
      </c>
      <c r="H414" s="18" t="n">
        <v>2606</v>
      </c>
      <c r="I414" s="18" t="n">
        <v>110</v>
      </c>
      <c r="J414" s="18" t="n">
        <v>109</v>
      </c>
      <c r="K414" s="18" t="n">
        <v>0.0207655208340977</v>
      </c>
      <c r="L414" s="18" t="n">
        <v>0.0713128377960296</v>
      </c>
      <c r="M414" s="18" t="n">
        <v>0.291189096884513</v>
      </c>
      <c r="N414" s="18" t="n">
        <v>107</v>
      </c>
      <c r="O414" s="18" t="n">
        <v>0.771470413996232</v>
      </c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 t="s">
        <v>402</v>
      </c>
      <c r="AI414" s="18"/>
      <c r="AJ414" s="18" t="s">
        <v>946</v>
      </c>
    </row>
    <row r="415" customFormat="false" ht="15" hidden="false" customHeight="false" outlineLevel="0" collapsed="false">
      <c r="A415" s="18" t="s">
        <v>273</v>
      </c>
      <c r="B415" s="18" t="s">
        <v>741</v>
      </c>
      <c r="C415" s="18" t="s">
        <v>789</v>
      </c>
      <c r="D415" s="18" t="s">
        <v>324</v>
      </c>
      <c r="E415" s="18" t="s">
        <v>404</v>
      </c>
      <c r="F415" s="18" t="s">
        <v>790</v>
      </c>
      <c r="G415" s="18" t="n">
        <v>0.4</v>
      </c>
      <c r="H415" s="18" t="n">
        <v>2606</v>
      </c>
      <c r="I415" s="18" t="n">
        <v>110</v>
      </c>
      <c r="J415" s="18" t="n">
        <v>109</v>
      </c>
      <c r="K415" s="18" t="n">
        <v>-0.0538977794163098</v>
      </c>
      <c r="L415" s="18" t="n">
        <v>0.0483536144111899</v>
      </c>
      <c r="M415" s="18" t="n">
        <v>-1.11465875038779</v>
      </c>
      <c r="N415" s="18" t="n">
        <v>108</v>
      </c>
      <c r="O415" s="18" t="n">
        <v>0.267471015866401</v>
      </c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 t="s">
        <v>402</v>
      </c>
      <c r="AI415" s="18"/>
      <c r="AJ415" s="18" t="s">
        <v>947</v>
      </c>
    </row>
    <row r="416" customFormat="false" ht="15" hidden="false" customHeight="false" outlineLevel="0" collapsed="false">
      <c r="A416" s="18" t="s">
        <v>273</v>
      </c>
      <c r="B416" s="18" t="s">
        <v>743</v>
      </c>
      <c r="C416" s="18" t="s">
        <v>789</v>
      </c>
      <c r="D416" s="18" t="s">
        <v>324</v>
      </c>
      <c r="E416" s="18" t="s">
        <v>404</v>
      </c>
      <c r="F416" s="18" t="s">
        <v>790</v>
      </c>
      <c r="G416" s="18" t="n">
        <v>0.4</v>
      </c>
      <c r="H416" s="18" t="n">
        <v>2606</v>
      </c>
      <c r="I416" s="18" t="n">
        <v>110</v>
      </c>
      <c r="J416" s="18" t="n">
        <v>109</v>
      </c>
      <c r="K416" s="18" t="n">
        <v>0.0258534502596694</v>
      </c>
      <c r="L416" s="18" t="n">
        <v>0.0462090784662652</v>
      </c>
      <c r="M416" s="18" t="n">
        <v>0.55948854895567</v>
      </c>
      <c r="N416" s="18" t="n">
        <v>108</v>
      </c>
      <c r="O416" s="18" t="n">
        <v>0.57698681468952</v>
      </c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 t="s">
        <v>402</v>
      </c>
      <c r="AI416" s="18"/>
      <c r="AJ416" s="18" t="s">
        <v>948</v>
      </c>
    </row>
    <row r="417" customFormat="false" ht="15" hidden="false" customHeight="false" outlineLevel="0" collapsed="false">
      <c r="A417" s="18" t="s">
        <v>273</v>
      </c>
      <c r="B417" s="18" t="s">
        <v>745</v>
      </c>
      <c r="C417" s="18" t="s">
        <v>789</v>
      </c>
      <c r="D417" s="18" t="s">
        <v>324</v>
      </c>
      <c r="E417" s="18" t="s">
        <v>404</v>
      </c>
      <c r="F417" s="18" t="s">
        <v>790</v>
      </c>
      <c r="G417" s="18" t="n">
        <v>0.4</v>
      </c>
      <c r="H417" s="18" t="n">
        <v>2606</v>
      </c>
      <c r="I417" s="18" t="n">
        <v>110</v>
      </c>
      <c r="J417" s="18" t="n">
        <v>109</v>
      </c>
      <c r="K417" s="18" t="n">
        <v>0.0164657274574244</v>
      </c>
      <c r="L417" s="18" t="n">
        <v>0.0460943897116391</v>
      </c>
      <c r="M417" s="18" t="n">
        <v>0.357217604147316</v>
      </c>
      <c r="N417" s="18" t="n">
        <v>108</v>
      </c>
      <c r="O417" s="18" t="n">
        <v>0.721625975408377</v>
      </c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 t="s">
        <v>402</v>
      </c>
      <c r="AI417" s="18"/>
      <c r="AJ417" s="18" t="s">
        <v>949</v>
      </c>
    </row>
    <row r="418" customFormat="false" ht="15" hidden="false" customHeight="false" outlineLevel="0" collapsed="false">
      <c r="A418" s="18" t="s">
        <v>273</v>
      </c>
      <c r="B418" s="18" t="s">
        <v>747</v>
      </c>
      <c r="C418" s="18" t="s">
        <v>789</v>
      </c>
      <c r="D418" s="18" t="s">
        <v>324</v>
      </c>
      <c r="E418" s="18" t="s">
        <v>404</v>
      </c>
      <c r="F418" s="18" t="s">
        <v>790</v>
      </c>
      <c r="G418" s="18" t="n">
        <v>0.4</v>
      </c>
      <c r="H418" s="18" t="n">
        <v>905</v>
      </c>
      <c r="I418" s="18" t="n">
        <v>38</v>
      </c>
      <c r="J418" s="18" t="n">
        <v>38</v>
      </c>
      <c r="K418" s="18" t="n">
        <v>-0.0279686929656178</v>
      </c>
      <c r="L418" s="18" t="n">
        <v>0.0288451971149779</v>
      </c>
      <c r="M418" s="18" t="n">
        <v>-0.969613515003333</v>
      </c>
      <c r="N418" s="18" t="n">
        <v>36</v>
      </c>
      <c r="O418" s="18" t="n">
        <v>0.338708850396567</v>
      </c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 t="s">
        <v>402</v>
      </c>
      <c r="AI418" s="18"/>
      <c r="AJ418" s="18" t="s">
        <v>950</v>
      </c>
    </row>
    <row r="419" customFormat="false" ht="15" hidden="false" customHeight="false" outlineLevel="0" collapsed="false">
      <c r="A419" s="18" t="s">
        <v>273</v>
      </c>
      <c r="B419" s="18" t="s">
        <v>749</v>
      </c>
      <c r="C419" s="18" t="s">
        <v>789</v>
      </c>
      <c r="D419" s="18" t="s">
        <v>324</v>
      </c>
      <c r="E419" s="18" t="s">
        <v>404</v>
      </c>
      <c r="F419" s="18" t="s">
        <v>790</v>
      </c>
      <c r="G419" s="18" t="n">
        <v>0.4</v>
      </c>
      <c r="H419" s="18" t="n">
        <v>2593</v>
      </c>
      <c r="I419" s="18" t="n">
        <v>110</v>
      </c>
      <c r="J419" s="18" t="n">
        <v>109</v>
      </c>
      <c r="K419" s="18" t="n">
        <v>-0.0219271588122256</v>
      </c>
      <c r="L419" s="18" t="n">
        <v>0.0191714832226215</v>
      </c>
      <c r="M419" s="18" t="n">
        <v>-1.14373825736929</v>
      </c>
      <c r="N419" s="18" t="n">
        <v>108</v>
      </c>
      <c r="O419" s="18" t="n">
        <v>0.255260972037495</v>
      </c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 t="s">
        <v>402</v>
      </c>
      <c r="AI419" s="18"/>
      <c r="AJ419" s="18" t="s">
        <v>951</v>
      </c>
    </row>
    <row r="420" customFormat="false" ht="15" hidden="false" customHeight="false" outlineLevel="0" collapsed="false">
      <c r="A420" s="18" t="s">
        <v>273</v>
      </c>
      <c r="B420" s="18" t="s">
        <v>751</v>
      </c>
      <c r="C420" s="18" t="s">
        <v>789</v>
      </c>
      <c r="D420" s="18" t="s">
        <v>324</v>
      </c>
      <c r="E420" s="18" t="s">
        <v>404</v>
      </c>
      <c r="F420" s="18" t="s">
        <v>790</v>
      </c>
      <c r="G420" s="18" t="n">
        <v>0.4</v>
      </c>
      <c r="H420" s="18" t="n">
        <v>2593</v>
      </c>
      <c r="I420" s="18" t="n">
        <v>110</v>
      </c>
      <c r="J420" s="18" t="n">
        <v>109</v>
      </c>
      <c r="K420" s="18" t="n">
        <v>-0.0328033055075329</v>
      </c>
      <c r="L420" s="18" t="n">
        <v>0.0202056354706731</v>
      </c>
      <c r="M420" s="18" t="n">
        <v>-1.62347309269952</v>
      </c>
      <c r="N420" s="18" t="n">
        <v>108</v>
      </c>
      <c r="O420" s="18" t="n">
        <v>0.107403648859409</v>
      </c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 t="s">
        <v>402</v>
      </c>
      <c r="AI420" s="18"/>
      <c r="AJ420" s="18" t="s">
        <v>952</v>
      </c>
    </row>
    <row r="421" customFormat="false" ht="15" hidden="false" customHeight="false" outlineLevel="0" collapsed="false">
      <c r="A421" s="18" t="s">
        <v>273</v>
      </c>
      <c r="B421" s="18" t="s">
        <v>753</v>
      </c>
      <c r="C421" s="18" t="s">
        <v>789</v>
      </c>
      <c r="D421" s="18" t="s">
        <v>324</v>
      </c>
      <c r="E421" s="18" t="s">
        <v>404</v>
      </c>
      <c r="F421" s="18" t="s">
        <v>790</v>
      </c>
      <c r="G421" s="18" t="n">
        <v>0.4</v>
      </c>
      <c r="H421" s="18" t="n">
        <v>2593</v>
      </c>
      <c r="I421" s="18" t="n">
        <v>110</v>
      </c>
      <c r="J421" s="18" t="n">
        <v>109</v>
      </c>
      <c r="K421" s="18" t="n">
        <v>-0.0157704784465456</v>
      </c>
      <c r="L421" s="18" t="n">
        <v>0.0211190223779719</v>
      </c>
      <c r="M421" s="18" t="n">
        <v>-0.746742825699877</v>
      </c>
      <c r="N421" s="18" t="n">
        <v>107</v>
      </c>
      <c r="O421" s="18" t="n">
        <v>0.456856501262404</v>
      </c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 t="s">
        <v>402</v>
      </c>
      <c r="AI421" s="18"/>
      <c r="AJ421" s="18" t="s">
        <v>953</v>
      </c>
    </row>
    <row r="422" customFormat="false" ht="15" hidden="false" customHeight="false" outlineLevel="0" collapsed="false">
      <c r="A422" s="18" t="s">
        <v>273</v>
      </c>
      <c r="B422" s="18" t="s">
        <v>755</v>
      </c>
      <c r="C422" s="18" t="s">
        <v>789</v>
      </c>
      <c r="D422" s="18" t="s">
        <v>324</v>
      </c>
      <c r="E422" s="18" t="s">
        <v>404</v>
      </c>
      <c r="F422" s="18" t="s">
        <v>790</v>
      </c>
      <c r="G422" s="18" t="n">
        <v>0.4</v>
      </c>
      <c r="H422" s="18" t="n">
        <v>2593</v>
      </c>
      <c r="I422" s="18" t="n">
        <v>110</v>
      </c>
      <c r="J422" s="18" t="n">
        <v>109</v>
      </c>
      <c r="K422" s="18" t="n">
        <v>-0.0366133994064799</v>
      </c>
      <c r="L422" s="18" t="n">
        <v>0.0210893112226043</v>
      </c>
      <c r="M422" s="18" t="n">
        <v>-1.73611167382443</v>
      </c>
      <c r="N422" s="18" t="n">
        <v>108</v>
      </c>
      <c r="O422" s="18" t="n">
        <v>0.0853958788703673</v>
      </c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 t="s">
        <v>402</v>
      </c>
      <c r="AI422" s="18"/>
      <c r="AJ422" s="18" t="s">
        <v>954</v>
      </c>
    </row>
    <row r="423" customFormat="false" ht="15" hidden="false" customHeight="false" outlineLevel="0" collapsed="false">
      <c r="A423" s="18" t="s">
        <v>273</v>
      </c>
      <c r="B423" s="18" t="s">
        <v>757</v>
      </c>
      <c r="C423" s="18" t="s">
        <v>789</v>
      </c>
      <c r="D423" s="18" t="s">
        <v>324</v>
      </c>
      <c r="E423" s="18" t="s">
        <v>404</v>
      </c>
      <c r="F423" s="18" t="s">
        <v>790</v>
      </c>
      <c r="G423" s="18" t="n">
        <v>0.4</v>
      </c>
      <c r="H423" s="18" t="n">
        <v>2593</v>
      </c>
      <c r="I423" s="18" t="n">
        <v>110</v>
      </c>
      <c r="J423" s="18" t="n">
        <v>109</v>
      </c>
      <c r="K423" s="18" t="n">
        <v>-0.010661703592713</v>
      </c>
      <c r="L423" s="18" t="n">
        <v>0.0254194965746127</v>
      </c>
      <c r="M423" s="18" t="n">
        <v>-0.419430163041119</v>
      </c>
      <c r="N423" s="18" t="n">
        <v>107</v>
      </c>
      <c r="O423" s="18" t="n">
        <v>0.675742677642518</v>
      </c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 t="s">
        <v>402</v>
      </c>
      <c r="AI423" s="18"/>
      <c r="AJ423" s="18" t="s">
        <v>955</v>
      </c>
    </row>
    <row r="424" customFormat="false" ht="15" hidden="false" customHeight="false" outlineLevel="0" collapsed="false">
      <c r="A424" s="18" t="s">
        <v>273</v>
      </c>
      <c r="B424" s="18" t="s">
        <v>759</v>
      </c>
      <c r="C424" s="18" t="s">
        <v>789</v>
      </c>
      <c r="D424" s="18" t="s">
        <v>324</v>
      </c>
      <c r="E424" s="18" t="s">
        <v>404</v>
      </c>
      <c r="F424" s="18" t="s">
        <v>790</v>
      </c>
      <c r="G424" s="18" t="n">
        <v>0.4</v>
      </c>
      <c r="H424" s="18" t="n">
        <v>2593</v>
      </c>
      <c r="I424" s="18" t="n">
        <v>110</v>
      </c>
      <c r="J424" s="18" t="n">
        <v>109</v>
      </c>
      <c r="K424" s="18" t="n">
        <v>-0.00655368075341303</v>
      </c>
      <c r="L424" s="18" t="n">
        <v>0.0270237169106476</v>
      </c>
      <c r="M424" s="18" t="n">
        <v>-0.242515889841594</v>
      </c>
      <c r="N424" s="18" t="n">
        <v>107</v>
      </c>
      <c r="O424" s="18" t="n">
        <v>0.80884469283736</v>
      </c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 t="s">
        <v>402</v>
      </c>
      <c r="AI424" s="18"/>
      <c r="AJ424" s="18" t="s">
        <v>956</v>
      </c>
    </row>
    <row r="425" customFormat="false" ht="15" hidden="false" customHeight="false" outlineLevel="0" collapsed="false">
      <c r="A425" s="18" t="s">
        <v>273</v>
      </c>
      <c r="B425" s="18" t="s">
        <v>761</v>
      </c>
      <c r="C425" s="18" t="s">
        <v>789</v>
      </c>
      <c r="D425" s="18" t="s">
        <v>324</v>
      </c>
      <c r="E425" s="18" t="s">
        <v>404</v>
      </c>
      <c r="F425" s="18" t="s">
        <v>790</v>
      </c>
      <c r="G425" s="18" t="n">
        <v>0.4</v>
      </c>
      <c r="H425" s="18" t="n">
        <v>2593</v>
      </c>
      <c r="I425" s="18" t="n">
        <v>110</v>
      </c>
      <c r="J425" s="18" t="n">
        <v>109</v>
      </c>
      <c r="K425" s="18" t="n">
        <v>-0.0243998300152653</v>
      </c>
      <c r="L425" s="18" t="n">
        <v>0.0184031309764083</v>
      </c>
      <c r="M425" s="18" t="n">
        <v>-1.32585210889084</v>
      </c>
      <c r="N425" s="18" t="n">
        <v>108</v>
      </c>
      <c r="O425" s="18" t="n">
        <v>0.187686150791149</v>
      </c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 t="s">
        <v>402</v>
      </c>
      <c r="AI425" s="18"/>
      <c r="AJ425" s="18" t="s">
        <v>957</v>
      </c>
    </row>
    <row r="426" customFormat="false" ht="15" hidden="false" customHeight="false" outlineLevel="0" collapsed="false">
      <c r="A426" s="18" t="s">
        <v>273</v>
      </c>
      <c r="B426" s="18" t="s">
        <v>763</v>
      </c>
      <c r="C426" s="18" t="s">
        <v>789</v>
      </c>
      <c r="D426" s="18" t="s">
        <v>324</v>
      </c>
      <c r="E426" s="18" t="s">
        <v>404</v>
      </c>
      <c r="F426" s="18" t="s">
        <v>790</v>
      </c>
      <c r="G426" s="18" t="n">
        <v>0.4</v>
      </c>
      <c r="H426" s="18" t="n">
        <v>2593</v>
      </c>
      <c r="I426" s="18" t="n">
        <v>110</v>
      </c>
      <c r="J426" s="18" t="n">
        <v>109</v>
      </c>
      <c r="K426" s="18" t="n">
        <v>-0.0224034184514315</v>
      </c>
      <c r="L426" s="18" t="n">
        <v>0.0174608359799918</v>
      </c>
      <c r="M426" s="18" t="n">
        <v>-1.28306677166565</v>
      </c>
      <c r="N426" s="18" t="n">
        <v>108</v>
      </c>
      <c r="O426" s="18" t="n">
        <v>0.202215247581212</v>
      </c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 t="s">
        <v>402</v>
      </c>
      <c r="AI426" s="18"/>
      <c r="AJ426" s="18" t="s">
        <v>958</v>
      </c>
    </row>
    <row r="427" customFormat="false" ht="15" hidden="false" customHeight="false" outlineLevel="0" collapsed="false">
      <c r="A427" s="18" t="s">
        <v>273</v>
      </c>
      <c r="B427" s="18" t="s">
        <v>765</v>
      </c>
      <c r="C427" s="18" t="s">
        <v>789</v>
      </c>
      <c r="D427" s="18" t="s">
        <v>324</v>
      </c>
      <c r="E427" s="18" t="s">
        <v>404</v>
      </c>
      <c r="F427" s="18" t="s">
        <v>790</v>
      </c>
      <c r="G427" s="18" t="n">
        <v>0.4</v>
      </c>
      <c r="H427" s="18" t="n">
        <v>2593</v>
      </c>
      <c r="I427" s="18" t="n">
        <v>110</v>
      </c>
      <c r="J427" s="18" t="n">
        <v>109</v>
      </c>
      <c r="K427" s="18" t="n">
        <v>-0.0200570759935721</v>
      </c>
      <c r="L427" s="18" t="n">
        <v>0.017356417673476</v>
      </c>
      <c r="M427" s="18" t="n">
        <v>-1.15559998444975</v>
      </c>
      <c r="N427" s="18" t="n">
        <v>108</v>
      </c>
      <c r="O427" s="18" t="n">
        <v>0.250394970408981</v>
      </c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 t="s">
        <v>402</v>
      </c>
      <c r="AI427" s="18"/>
      <c r="AJ427" s="18" t="s">
        <v>959</v>
      </c>
    </row>
    <row r="428" customFormat="false" ht="15" hidden="false" customHeight="false" outlineLevel="0" collapsed="false">
      <c r="A428" s="18" t="s">
        <v>273</v>
      </c>
      <c r="B428" s="18" t="s">
        <v>767</v>
      </c>
      <c r="C428" s="18" t="s">
        <v>789</v>
      </c>
      <c r="D428" s="18" t="s">
        <v>324</v>
      </c>
      <c r="E428" s="18" t="s">
        <v>404</v>
      </c>
      <c r="F428" s="18" t="s">
        <v>790</v>
      </c>
      <c r="G428" s="18" t="n">
        <v>0.4</v>
      </c>
      <c r="H428" s="18" t="n">
        <v>900</v>
      </c>
      <c r="I428" s="18" t="n">
        <v>38</v>
      </c>
      <c r="J428" s="18" t="n">
        <v>38</v>
      </c>
      <c r="K428" s="18" t="n">
        <v>-0.0316484804887675</v>
      </c>
      <c r="L428" s="18" t="n">
        <v>0.0283972150693395</v>
      </c>
      <c r="M428" s="18" t="n">
        <v>-1.11449240397304</v>
      </c>
      <c r="N428" s="18" t="n">
        <v>36</v>
      </c>
      <c r="O428" s="18" t="n">
        <v>0.272453384842596</v>
      </c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 t="s">
        <v>402</v>
      </c>
      <c r="AI428" s="18"/>
      <c r="AJ428" s="18" t="s">
        <v>960</v>
      </c>
    </row>
    <row r="429" customFormat="false" ht="15" hidden="false" customHeight="false" outlineLevel="0" collapsed="false">
      <c r="A429" s="18" t="s">
        <v>273</v>
      </c>
      <c r="B429" s="18" t="s">
        <v>769</v>
      </c>
      <c r="C429" s="18" t="s">
        <v>789</v>
      </c>
      <c r="D429" s="18" t="s">
        <v>324</v>
      </c>
      <c r="E429" s="18" t="s">
        <v>404</v>
      </c>
      <c r="F429" s="18" t="s">
        <v>790</v>
      </c>
      <c r="G429" s="18" t="n">
        <v>0.4</v>
      </c>
      <c r="H429" s="18" t="n">
        <v>2606</v>
      </c>
      <c r="I429" s="18" t="n">
        <v>110</v>
      </c>
      <c r="J429" s="18" t="n">
        <v>109</v>
      </c>
      <c r="K429" s="18" t="n">
        <v>-0.0179190313909342</v>
      </c>
      <c r="L429" s="18" t="n">
        <v>0.019066706369323</v>
      </c>
      <c r="M429" s="18" t="n">
        <v>-0.939807381717728</v>
      </c>
      <c r="N429" s="18" t="n">
        <v>108</v>
      </c>
      <c r="O429" s="18" t="n">
        <v>0.349413586499672</v>
      </c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 t="s">
        <v>402</v>
      </c>
      <c r="AI429" s="18"/>
      <c r="AJ429" s="18" t="s">
        <v>961</v>
      </c>
    </row>
    <row r="430" customFormat="false" ht="15" hidden="false" customHeight="false" outlineLevel="0" collapsed="false">
      <c r="A430" s="18" t="s">
        <v>273</v>
      </c>
      <c r="B430" s="18" t="s">
        <v>771</v>
      </c>
      <c r="C430" s="18" t="s">
        <v>789</v>
      </c>
      <c r="D430" s="18" t="s">
        <v>324</v>
      </c>
      <c r="E430" s="18" t="s">
        <v>404</v>
      </c>
      <c r="F430" s="18" t="s">
        <v>790</v>
      </c>
      <c r="G430" s="18" t="n">
        <v>0.4</v>
      </c>
      <c r="H430" s="18" t="n">
        <v>2606</v>
      </c>
      <c r="I430" s="18" t="n">
        <v>110</v>
      </c>
      <c r="J430" s="18" t="n">
        <v>109</v>
      </c>
      <c r="K430" s="18" t="n">
        <v>-0.0262778699001563</v>
      </c>
      <c r="L430" s="18" t="n">
        <v>0.0201429514031838</v>
      </c>
      <c r="M430" s="18" t="n">
        <v>-1.30456899657728</v>
      </c>
      <c r="N430" s="18" t="n">
        <v>108</v>
      </c>
      <c r="O430" s="18" t="n">
        <v>0.194812797465015</v>
      </c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 t="s">
        <v>402</v>
      </c>
      <c r="AI430" s="18"/>
      <c r="AJ430" s="18" t="s">
        <v>962</v>
      </c>
    </row>
    <row r="431" customFormat="false" ht="15" hidden="false" customHeight="false" outlineLevel="0" collapsed="false">
      <c r="A431" s="18" t="s">
        <v>273</v>
      </c>
      <c r="B431" s="18" t="s">
        <v>773</v>
      </c>
      <c r="C431" s="18" t="s">
        <v>789</v>
      </c>
      <c r="D431" s="18" t="s">
        <v>324</v>
      </c>
      <c r="E431" s="18" t="s">
        <v>404</v>
      </c>
      <c r="F431" s="18" t="s">
        <v>790</v>
      </c>
      <c r="G431" s="18" t="n">
        <v>0.4</v>
      </c>
      <c r="H431" s="18" t="n">
        <v>2606</v>
      </c>
      <c r="I431" s="18" t="n">
        <v>110</v>
      </c>
      <c r="J431" s="18" t="n">
        <v>109</v>
      </c>
      <c r="K431" s="18" t="n">
        <v>-0.0141380170217635</v>
      </c>
      <c r="L431" s="18" t="n">
        <v>0.0209698534760956</v>
      </c>
      <c r="M431" s="18" t="n">
        <v>-0.674206762478337</v>
      </c>
      <c r="N431" s="18" t="n">
        <v>107</v>
      </c>
      <c r="O431" s="18" t="n">
        <v>0.50163386013206</v>
      </c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 t="s">
        <v>402</v>
      </c>
      <c r="AI431" s="18"/>
      <c r="AJ431" s="18" t="s">
        <v>963</v>
      </c>
    </row>
    <row r="432" customFormat="false" ht="15" hidden="false" customHeight="false" outlineLevel="0" collapsed="false">
      <c r="A432" s="18" t="s">
        <v>273</v>
      </c>
      <c r="B432" s="18" t="s">
        <v>775</v>
      </c>
      <c r="C432" s="18" t="s">
        <v>789</v>
      </c>
      <c r="D432" s="18" t="s">
        <v>324</v>
      </c>
      <c r="E432" s="18" t="s">
        <v>404</v>
      </c>
      <c r="F432" s="18" t="s">
        <v>790</v>
      </c>
      <c r="G432" s="18" t="n">
        <v>0.4</v>
      </c>
      <c r="H432" s="18" t="n">
        <v>2606</v>
      </c>
      <c r="I432" s="18" t="n">
        <v>110</v>
      </c>
      <c r="J432" s="18" t="n">
        <v>109</v>
      </c>
      <c r="K432" s="18" t="n">
        <v>-0.0303637353730694</v>
      </c>
      <c r="L432" s="18" t="n">
        <v>0.0210237372552646</v>
      </c>
      <c r="M432" s="18" t="n">
        <v>-1.44425964824432</v>
      </c>
      <c r="N432" s="18" t="n">
        <v>108</v>
      </c>
      <c r="O432" s="18" t="n">
        <v>0.151560808263307</v>
      </c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 t="s">
        <v>402</v>
      </c>
      <c r="AI432" s="18"/>
      <c r="AJ432" s="18" t="s">
        <v>964</v>
      </c>
    </row>
    <row r="433" customFormat="false" ht="15" hidden="false" customHeight="false" outlineLevel="0" collapsed="false">
      <c r="A433" s="18" t="s">
        <v>273</v>
      </c>
      <c r="B433" s="18" t="s">
        <v>777</v>
      </c>
      <c r="C433" s="18" t="s">
        <v>789</v>
      </c>
      <c r="D433" s="18" t="s">
        <v>324</v>
      </c>
      <c r="E433" s="18" t="s">
        <v>404</v>
      </c>
      <c r="F433" s="18" t="s">
        <v>790</v>
      </c>
      <c r="G433" s="18" t="n">
        <v>0.4</v>
      </c>
      <c r="H433" s="18" t="n">
        <v>2606</v>
      </c>
      <c r="I433" s="18" t="n">
        <v>110</v>
      </c>
      <c r="J433" s="18" t="n">
        <v>109</v>
      </c>
      <c r="K433" s="18" t="n">
        <v>-0.00505259586276888</v>
      </c>
      <c r="L433" s="18" t="n">
        <v>0.0252461734103426</v>
      </c>
      <c r="M433" s="18" t="n">
        <v>-0.200133136243887</v>
      </c>
      <c r="N433" s="18" t="n">
        <v>107</v>
      </c>
      <c r="O433" s="18" t="n">
        <v>0.841756337522664</v>
      </c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 t="s">
        <v>402</v>
      </c>
      <c r="AI433" s="18"/>
      <c r="AJ433" s="18" t="s">
        <v>965</v>
      </c>
    </row>
    <row r="434" customFormat="false" ht="15" hidden="false" customHeight="false" outlineLevel="0" collapsed="false">
      <c r="A434" s="18" t="s">
        <v>273</v>
      </c>
      <c r="B434" s="18" t="s">
        <v>779</v>
      </c>
      <c r="C434" s="18" t="s">
        <v>789</v>
      </c>
      <c r="D434" s="18" t="s">
        <v>324</v>
      </c>
      <c r="E434" s="18" t="s">
        <v>404</v>
      </c>
      <c r="F434" s="18" t="s">
        <v>790</v>
      </c>
      <c r="G434" s="18" t="n">
        <v>0.4</v>
      </c>
      <c r="H434" s="18" t="n">
        <v>2606</v>
      </c>
      <c r="I434" s="18" t="n">
        <v>110</v>
      </c>
      <c r="J434" s="18" t="n">
        <v>109</v>
      </c>
      <c r="K434" s="18" t="n">
        <v>-0.00118322944791842</v>
      </c>
      <c r="L434" s="18" t="n">
        <v>0.026830351910542</v>
      </c>
      <c r="M434" s="18" t="n">
        <v>-0.0441004073246431</v>
      </c>
      <c r="N434" s="18" t="n">
        <v>107</v>
      </c>
      <c r="O434" s="18" t="n">
        <v>0.964906563249696</v>
      </c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 t="s">
        <v>402</v>
      </c>
      <c r="AI434" s="18"/>
      <c r="AJ434" s="18" t="s">
        <v>966</v>
      </c>
    </row>
    <row r="435" customFormat="false" ht="15" hidden="false" customHeight="false" outlineLevel="0" collapsed="false">
      <c r="A435" s="18" t="s">
        <v>273</v>
      </c>
      <c r="B435" s="18" t="s">
        <v>781</v>
      </c>
      <c r="C435" s="18" t="s">
        <v>789</v>
      </c>
      <c r="D435" s="18" t="s">
        <v>324</v>
      </c>
      <c r="E435" s="18" t="s">
        <v>404</v>
      </c>
      <c r="F435" s="18" t="s">
        <v>790</v>
      </c>
      <c r="G435" s="18" t="n">
        <v>0.4</v>
      </c>
      <c r="H435" s="18" t="n">
        <v>2606</v>
      </c>
      <c r="I435" s="18" t="n">
        <v>110</v>
      </c>
      <c r="J435" s="18" t="n">
        <v>109</v>
      </c>
      <c r="K435" s="18" t="n">
        <v>-0.0198162390542879</v>
      </c>
      <c r="L435" s="18" t="n">
        <v>0.0183120622709388</v>
      </c>
      <c r="M435" s="18" t="n">
        <v>-1.08214130997885</v>
      </c>
      <c r="N435" s="18" t="n">
        <v>108</v>
      </c>
      <c r="O435" s="18" t="n">
        <v>0.281600010396709</v>
      </c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 t="s">
        <v>402</v>
      </c>
      <c r="AI435" s="18"/>
      <c r="AJ435" s="18" t="s">
        <v>967</v>
      </c>
    </row>
    <row r="436" customFormat="false" ht="15" hidden="false" customHeight="false" outlineLevel="0" collapsed="false">
      <c r="A436" s="18" t="s">
        <v>273</v>
      </c>
      <c r="B436" s="18" t="s">
        <v>783</v>
      </c>
      <c r="C436" s="18" t="s">
        <v>789</v>
      </c>
      <c r="D436" s="18" t="s">
        <v>324</v>
      </c>
      <c r="E436" s="18" t="s">
        <v>404</v>
      </c>
      <c r="F436" s="18" t="s">
        <v>790</v>
      </c>
      <c r="G436" s="18" t="n">
        <v>0.4</v>
      </c>
      <c r="H436" s="18" t="n">
        <v>2606</v>
      </c>
      <c r="I436" s="18" t="n">
        <v>110</v>
      </c>
      <c r="J436" s="18" t="n">
        <v>109</v>
      </c>
      <c r="K436" s="18" t="n">
        <v>-0.010511665262969</v>
      </c>
      <c r="L436" s="18" t="n">
        <v>0.017435447291278</v>
      </c>
      <c r="M436" s="18" t="n">
        <v>-0.602890484388514</v>
      </c>
      <c r="N436" s="18" t="n">
        <v>108</v>
      </c>
      <c r="O436" s="18" t="n">
        <v>0.547845473194875</v>
      </c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 t="s">
        <v>402</v>
      </c>
      <c r="AI436" s="18"/>
      <c r="AJ436" s="18" t="s">
        <v>968</v>
      </c>
    </row>
    <row r="437" customFormat="false" ht="15" hidden="false" customHeight="false" outlineLevel="0" collapsed="false">
      <c r="A437" s="18" t="s">
        <v>273</v>
      </c>
      <c r="B437" s="18" t="s">
        <v>785</v>
      </c>
      <c r="C437" s="18" t="s">
        <v>789</v>
      </c>
      <c r="D437" s="18" t="s">
        <v>324</v>
      </c>
      <c r="E437" s="18" t="s">
        <v>404</v>
      </c>
      <c r="F437" s="18" t="s">
        <v>790</v>
      </c>
      <c r="G437" s="18" t="n">
        <v>0.4</v>
      </c>
      <c r="H437" s="18" t="n">
        <v>2606</v>
      </c>
      <c r="I437" s="18" t="n">
        <v>110</v>
      </c>
      <c r="J437" s="18" t="n">
        <v>109</v>
      </c>
      <c r="K437" s="18" t="n">
        <v>-0.0108538008884863</v>
      </c>
      <c r="L437" s="18" t="n">
        <v>0.0173019610931795</v>
      </c>
      <c r="M437" s="18" t="n">
        <v>-0.627316223290138</v>
      </c>
      <c r="N437" s="18" t="n">
        <v>108</v>
      </c>
      <c r="O437" s="18" t="n">
        <v>0.531775990972554</v>
      </c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 t="s">
        <v>402</v>
      </c>
      <c r="AI437" s="18"/>
      <c r="AJ437" s="18" t="s">
        <v>969</v>
      </c>
    </row>
    <row r="438" customFormat="false" ht="15" hidden="false" customHeight="false" outlineLevel="0" collapsed="false">
      <c r="A438" s="18" t="s">
        <v>273</v>
      </c>
      <c r="B438" s="18" t="s">
        <v>787</v>
      </c>
      <c r="C438" s="18" t="s">
        <v>789</v>
      </c>
      <c r="D438" s="18" t="s">
        <v>324</v>
      </c>
      <c r="E438" s="18" t="s">
        <v>404</v>
      </c>
      <c r="F438" s="18" t="s">
        <v>790</v>
      </c>
      <c r="G438" s="18" t="n">
        <v>0.4</v>
      </c>
      <c r="H438" s="18" t="n">
        <v>905</v>
      </c>
      <c r="I438" s="18" t="n">
        <v>38</v>
      </c>
      <c r="J438" s="18" t="n">
        <v>38</v>
      </c>
      <c r="K438" s="18" t="n">
        <v>-0.025648709249861</v>
      </c>
      <c r="L438" s="18" t="n">
        <v>0.0268708373879528</v>
      </c>
      <c r="M438" s="18" t="n">
        <v>-0.95451842008319</v>
      </c>
      <c r="N438" s="18" t="n">
        <v>36</v>
      </c>
      <c r="O438" s="18" t="n">
        <v>0.346187152152015</v>
      </c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 t="s">
        <v>402</v>
      </c>
      <c r="AI438" s="18"/>
      <c r="AJ438" s="18" t="s">
        <v>970</v>
      </c>
    </row>
    <row r="439" customFormat="false" ht="15" hidden="false" customHeight="false" outlineLevel="0" collapsed="false">
      <c r="A439" s="18" t="s">
        <v>273</v>
      </c>
      <c r="B439" s="18" t="s">
        <v>322</v>
      </c>
      <c r="C439" s="18" t="s">
        <v>323</v>
      </c>
      <c r="D439" s="18" t="s">
        <v>324</v>
      </c>
      <c r="E439" s="18" t="s">
        <v>404</v>
      </c>
      <c r="F439" s="18" t="s">
        <v>401</v>
      </c>
      <c r="G439" s="18" t="n">
        <v>0.6</v>
      </c>
      <c r="H439" s="18" t="n">
        <v>2705</v>
      </c>
      <c r="I439" s="18" t="n">
        <v>113</v>
      </c>
      <c r="J439" s="18" t="n">
        <v>112</v>
      </c>
      <c r="K439" s="18" t="n">
        <v>0.0101759067104026</v>
      </c>
      <c r="L439" s="18" t="n">
        <v>0.0181072824212575</v>
      </c>
      <c r="M439" s="18" t="n">
        <v>0.561978682038798</v>
      </c>
      <c r="N439" s="18" t="n">
        <v>14.9920663728925</v>
      </c>
      <c r="O439" s="18" t="n">
        <v>0.582435725630516</v>
      </c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 t="s">
        <v>408</v>
      </c>
      <c r="AI439" s="18" t="s">
        <v>971</v>
      </c>
      <c r="AJ439" s="18" t="s">
        <v>972</v>
      </c>
    </row>
    <row r="440" customFormat="false" ht="15" hidden="false" customHeight="false" outlineLevel="0" collapsed="false">
      <c r="A440" s="18" t="s">
        <v>273</v>
      </c>
      <c r="B440" s="18" t="s">
        <v>326</v>
      </c>
      <c r="C440" s="18" t="s">
        <v>323</v>
      </c>
      <c r="D440" s="18" t="s">
        <v>324</v>
      </c>
      <c r="E440" s="18" t="s">
        <v>404</v>
      </c>
      <c r="F440" s="18" t="s">
        <v>401</v>
      </c>
      <c r="G440" s="18" t="n">
        <v>0.6</v>
      </c>
      <c r="H440" s="18" t="n">
        <v>2705</v>
      </c>
      <c r="I440" s="18" t="n">
        <v>113</v>
      </c>
      <c r="J440" s="18" t="n">
        <v>112</v>
      </c>
      <c r="K440" s="18" t="n">
        <v>0.00980554090070676</v>
      </c>
      <c r="L440" s="18" t="n">
        <v>0.0177480274878596</v>
      </c>
      <c r="M440" s="18" t="n">
        <v>0.552486235859967</v>
      </c>
      <c r="N440" s="18" t="n">
        <v>12.2637097789956</v>
      </c>
      <c r="O440" s="18" t="n">
        <v>0.59054305378376</v>
      </c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 t="s">
        <v>408</v>
      </c>
      <c r="AI440" s="18" t="s">
        <v>973</v>
      </c>
      <c r="AJ440" s="18" t="s">
        <v>974</v>
      </c>
    </row>
    <row r="441" customFormat="false" ht="15" hidden="false" customHeight="false" outlineLevel="0" collapsed="false">
      <c r="A441" s="18" t="s">
        <v>273</v>
      </c>
      <c r="B441" s="18" t="s">
        <v>328</v>
      </c>
      <c r="C441" s="18" t="s">
        <v>323</v>
      </c>
      <c r="D441" s="18" t="s">
        <v>324</v>
      </c>
      <c r="E441" s="18" t="s">
        <v>404</v>
      </c>
      <c r="F441" s="18" t="s">
        <v>401</v>
      </c>
      <c r="G441" s="18" t="n">
        <v>0.6</v>
      </c>
      <c r="H441" s="18" t="n">
        <v>2705</v>
      </c>
      <c r="I441" s="18" t="n">
        <v>113</v>
      </c>
      <c r="J441" s="18" t="n">
        <v>112</v>
      </c>
      <c r="K441" s="18" t="n">
        <v>-0.0194034552449364</v>
      </c>
      <c r="L441" s="18" t="n">
        <v>0.0209317506949428</v>
      </c>
      <c r="M441" s="18" t="n">
        <v>-0.926986735496728</v>
      </c>
      <c r="N441" s="18" t="n">
        <v>41.6029095187179</v>
      </c>
      <c r="O441" s="18" t="n">
        <v>0.359280212535771</v>
      </c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 t="s">
        <v>408</v>
      </c>
      <c r="AI441" s="18" t="s">
        <v>975</v>
      </c>
      <c r="AJ441" s="18" t="s">
        <v>976</v>
      </c>
    </row>
    <row r="442" customFormat="false" ht="15" hidden="false" customHeight="false" outlineLevel="0" collapsed="false">
      <c r="A442" s="18" t="s">
        <v>273</v>
      </c>
      <c r="B442" s="18" t="s">
        <v>330</v>
      </c>
      <c r="C442" s="18" t="s">
        <v>323</v>
      </c>
      <c r="D442" s="18" t="s">
        <v>324</v>
      </c>
      <c r="E442" s="18" t="s">
        <v>404</v>
      </c>
      <c r="F442" s="18" t="s">
        <v>401</v>
      </c>
      <c r="G442" s="18" t="n">
        <v>0.6</v>
      </c>
      <c r="H442" s="18" t="n">
        <v>2705</v>
      </c>
      <c r="I442" s="18" t="n">
        <v>113</v>
      </c>
      <c r="J442" s="18" t="n">
        <v>112</v>
      </c>
      <c r="K442" s="18" t="n">
        <v>0.00803406938025233</v>
      </c>
      <c r="L442" s="18" t="n">
        <v>0.01800013275341</v>
      </c>
      <c r="M442" s="18" t="n">
        <v>0.446333895994757</v>
      </c>
      <c r="N442" s="18" t="n">
        <v>10.8521828308988</v>
      </c>
      <c r="O442" s="18" t="n">
        <v>0.664130799693444</v>
      </c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 t="s">
        <v>408</v>
      </c>
      <c r="AI442" s="18" t="s">
        <v>977</v>
      </c>
      <c r="AJ442" s="18" t="s">
        <v>978</v>
      </c>
    </row>
    <row r="443" customFormat="false" ht="15" hidden="false" customHeight="false" outlineLevel="0" collapsed="false">
      <c r="A443" s="18" t="s">
        <v>273</v>
      </c>
      <c r="B443" s="18" t="s">
        <v>332</v>
      </c>
      <c r="C443" s="18" t="s">
        <v>323</v>
      </c>
      <c r="D443" s="18" t="s">
        <v>324</v>
      </c>
      <c r="E443" s="18" t="s">
        <v>404</v>
      </c>
      <c r="F443" s="18" t="s">
        <v>401</v>
      </c>
      <c r="G443" s="18" t="n">
        <v>0.6</v>
      </c>
      <c r="H443" s="18" t="n">
        <v>2705</v>
      </c>
      <c r="I443" s="18" t="n">
        <v>113</v>
      </c>
      <c r="J443" s="18" t="n">
        <v>112</v>
      </c>
      <c r="K443" s="18" t="n">
        <v>0.00312304259512057</v>
      </c>
      <c r="L443" s="18" t="n">
        <v>0.0222382657452244</v>
      </c>
      <c r="M443" s="18" t="n">
        <v>0.140435528152245</v>
      </c>
      <c r="N443" s="18" t="n">
        <v>18.7761441211637</v>
      </c>
      <c r="O443" s="18" t="n">
        <v>0.889811509138402</v>
      </c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 t="s">
        <v>408</v>
      </c>
      <c r="AI443" s="18" t="s">
        <v>979</v>
      </c>
      <c r="AJ443" s="18" t="s">
        <v>980</v>
      </c>
    </row>
    <row r="444" customFormat="false" ht="15" hidden="false" customHeight="false" outlineLevel="0" collapsed="false">
      <c r="A444" s="18" t="s">
        <v>273</v>
      </c>
      <c r="B444" s="18" t="s">
        <v>334</v>
      </c>
      <c r="C444" s="18" t="s">
        <v>323</v>
      </c>
      <c r="D444" s="18" t="s">
        <v>324</v>
      </c>
      <c r="E444" s="18" t="s">
        <v>404</v>
      </c>
      <c r="F444" s="18" t="s">
        <v>401</v>
      </c>
      <c r="G444" s="18" t="n">
        <v>0.6</v>
      </c>
      <c r="H444" s="18" t="n">
        <v>2705</v>
      </c>
      <c r="I444" s="18" t="n">
        <v>113</v>
      </c>
      <c r="J444" s="18" t="n">
        <v>112</v>
      </c>
      <c r="K444" s="18" t="n">
        <v>0.0042056665621965</v>
      </c>
      <c r="L444" s="18" t="n">
        <v>0.0227844543571598</v>
      </c>
      <c r="M444" s="18" t="n">
        <v>0.184584914620741</v>
      </c>
      <c r="N444" s="18" t="n">
        <v>15.4439041670781</v>
      </c>
      <c r="O444" s="18" t="n">
        <v>0.855956667967861</v>
      </c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 t="s">
        <v>408</v>
      </c>
      <c r="AI444" s="18" t="s">
        <v>981</v>
      </c>
      <c r="AJ444" s="18" t="s">
        <v>982</v>
      </c>
    </row>
    <row r="445" customFormat="false" ht="15" hidden="false" customHeight="false" outlineLevel="0" collapsed="false">
      <c r="A445" s="18" t="s">
        <v>273</v>
      </c>
      <c r="B445" s="18" t="s">
        <v>336</v>
      </c>
      <c r="C445" s="18" t="s">
        <v>323</v>
      </c>
      <c r="D445" s="18" t="s">
        <v>324</v>
      </c>
      <c r="E445" s="18" t="s">
        <v>404</v>
      </c>
      <c r="F445" s="18" t="s">
        <v>401</v>
      </c>
      <c r="G445" s="18" t="n">
        <v>0.6</v>
      </c>
      <c r="H445" s="18" t="n">
        <v>2705</v>
      </c>
      <c r="I445" s="18" t="n">
        <v>113</v>
      </c>
      <c r="J445" s="18" t="n">
        <v>112</v>
      </c>
      <c r="K445" s="18" t="n">
        <v>-0.00636445665690057</v>
      </c>
      <c r="L445" s="18" t="n">
        <v>0.0206191866471172</v>
      </c>
      <c r="M445" s="18" t="n">
        <v>-0.308666717355235</v>
      </c>
      <c r="N445" s="18" t="n">
        <v>17.7558878107286</v>
      </c>
      <c r="O445" s="18" t="n">
        <v>0.7611672683926</v>
      </c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 t="s">
        <v>408</v>
      </c>
      <c r="AI445" s="18" t="s">
        <v>983</v>
      </c>
      <c r="AJ445" s="18" t="s">
        <v>984</v>
      </c>
    </row>
    <row r="446" customFormat="false" ht="15" hidden="false" customHeight="false" outlineLevel="0" collapsed="false">
      <c r="A446" s="18" t="s">
        <v>273</v>
      </c>
      <c r="B446" s="18" t="s">
        <v>338</v>
      </c>
      <c r="C446" s="18" t="s">
        <v>323</v>
      </c>
      <c r="D446" s="18" t="s">
        <v>324</v>
      </c>
      <c r="E446" s="18" t="s">
        <v>404</v>
      </c>
      <c r="F446" s="18" t="s">
        <v>401</v>
      </c>
      <c r="G446" s="18" t="n">
        <v>0.6</v>
      </c>
      <c r="H446" s="18" t="n">
        <v>2705</v>
      </c>
      <c r="I446" s="18" t="n">
        <v>113</v>
      </c>
      <c r="J446" s="18" t="n">
        <v>112</v>
      </c>
      <c r="K446" s="18" t="n">
        <v>0.0397895553527688</v>
      </c>
      <c r="L446" s="18" t="n">
        <v>0.0261407975073431</v>
      </c>
      <c r="M446" s="18" t="n">
        <v>1.52212476844257</v>
      </c>
      <c r="N446" s="18" t="n">
        <v>22.0108300678987</v>
      </c>
      <c r="O446" s="18" t="n">
        <v>0.14221586082545</v>
      </c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 t="s">
        <v>408</v>
      </c>
      <c r="AI446" s="18" t="s">
        <v>985</v>
      </c>
      <c r="AJ446" s="18" t="s">
        <v>986</v>
      </c>
    </row>
    <row r="447" customFormat="false" ht="15" hidden="false" customHeight="false" outlineLevel="0" collapsed="false">
      <c r="A447" s="18" t="s">
        <v>273</v>
      </c>
      <c r="B447" s="18" t="s">
        <v>340</v>
      </c>
      <c r="C447" s="18" t="s">
        <v>323</v>
      </c>
      <c r="D447" s="18" t="s">
        <v>324</v>
      </c>
      <c r="E447" s="18" t="s">
        <v>404</v>
      </c>
      <c r="F447" s="18" t="s">
        <v>401</v>
      </c>
      <c r="G447" s="18" t="n">
        <v>0.6</v>
      </c>
      <c r="H447" s="18" t="n">
        <v>2705</v>
      </c>
      <c r="I447" s="18" t="n">
        <v>113</v>
      </c>
      <c r="J447" s="18" t="n">
        <v>112</v>
      </c>
      <c r="K447" s="18" t="n">
        <v>0.0213188918890692</v>
      </c>
      <c r="L447" s="18" t="n">
        <v>0.0217628822200088</v>
      </c>
      <c r="M447" s="18" t="n">
        <v>0.979598734834334</v>
      </c>
      <c r="N447" s="18" t="n">
        <v>22.3049715472071</v>
      </c>
      <c r="O447" s="18" t="n">
        <v>0.337790635985211</v>
      </c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 t="s">
        <v>408</v>
      </c>
      <c r="AI447" s="18" t="s">
        <v>987</v>
      </c>
      <c r="AJ447" s="18" t="s">
        <v>988</v>
      </c>
    </row>
    <row r="448" customFormat="false" ht="15" hidden="false" customHeight="false" outlineLevel="0" collapsed="false">
      <c r="A448" s="18" t="s">
        <v>273</v>
      </c>
      <c r="B448" s="18" t="s">
        <v>342</v>
      </c>
      <c r="C448" s="18" t="s">
        <v>323</v>
      </c>
      <c r="D448" s="18" t="s">
        <v>324</v>
      </c>
      <c r="E448" s="18" t="s">
        <v>404</v>
      </c>
      <c r="F448" s="18" t="s">
        <v>401</v>
      </c>
      <c r="G448" s="18" t="n">
        <v>0.6</v>
      </c>
      <c r="H448" s="18" t="n">
        <v>929</v>
      </c>
      <c r="I448" s="18" t="n">
        <v>40</v>
      </c>
      <c r="J448" s="18" t="n">
        <v>40</v>
      </c>
      <c r="K448" s="18" t="n">
        <v>-0.0129210003638893</v>
      </c>
      <c r="L448" s="18" t="n">
        <v>0.0173319893452172</v>
      </c>
      <c r="M448" s="18" t="n">
        <v>-0.7455001331082</v>
      </c>
      <c r="N448" s="18" t="n">
        <v>23.4744834169779</v>
      </c>
      <c r="O448" s="18" t="n">
        <v>0.463369367453051</v>
      </c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 t="s">
        <v>408</v>
      </c>
      <c r="AI448" s="18" t="s">
        <v>989</v>
      </c>
      <c r="AJ448" s="18" t="s">
        <v>990</v>
      </c>
    </row>
    <row r="449" customFormat="false" ht="15" hidden="false" customHeight="false" outlineLevel="0" collapsed="false">
      <c r="A449" s="18" t="s">
        <v>273</v>
      </c>
      <c r="B449" s="18" t="s">
        <v>449</v>
      </c>
      <c r="C449" s="18" t="s">
        <v>323</v>
      </c>
      <c r="D449" s="18" t="s">
        <v>324</v>
      </c>
      <c r="E449" s="18" t="s">
        <v>404</v>
      </c>
      <c r="F449" s="18" t="s">
        <v>401</v>
      </c>
      <c r="G449" s="18" t="n">
        <v>0.6</v>
      </c>
      <c r="H449" s="18" t="n">
        <v>2692</v>
      </c>
      <c r="I449" s="18" t="n">
        <v>113</v>
      </c>
      <c r="J449" s="18" t="n">
        <v>112</v>
      </c>
      <c r="K449" s="18" t="n">
        <v>-0.0135773234723417</v>
      </c>
      <c r="L449" s="18" t="n">
        <v>0.0105512165204301</v>
      </c>
      <c r="M449" s="18" t="n">
        <v>-1.28680171106831</v>
      </c>
      <c r="N449" s="18" t="n">
        <v>39.8635541942367</v>
      </c>
      <c r="O449" s="18" t="n">
        <v>0.205585989184647</v>
      </c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 t="s">
        <v>402</v>
      </c>
      <c r="AI449" s="18"/>
      <c r="AJ449" s="18" t="s">
        <v>991</v>
      </c>
    </row>
    <row r="450" customFormat="false" ht="15" hidden="false" customHeight="false" outlineLevel="0" collapsed="false">
      <c r="A450" s="18" t="s">
        <v>273</v>
      </c>
      <c r="B450" s="18" t="s">
        <v>451</v>
      </c>
      <c r="C450" s="18" t="s">
        <v>323</v>
      </c>
      <c r="D450" s="18" t="s">
        <v>324</v>
      </c>
      <c r="E450" s="18" t="s">
        <v>404</v>
      </c>
      <c r="F450" s="18" t="s">
        <v>401</v>
      </c>
      <c r="G450" s="18" t="n">
        <v>0.6</v>
      </c>
      <c r="H450" s="18" t="n">
        <v>2692</v>
      </c>
      <c r="I450" s="18" t="n">
        <v>113</v>
      </c>
      <c r="J450" s="18" t="n">
        <v>112</v>
      </c>
      <c r="K450" s="18" t="n">
        <v>-0.0125378732681232</v>
      </c>
      <c r="L450" s="18" t="n">
        <v>0.0111384051755402</v>
      </c>
      <c r="M450" s="18" t="n">
        <v>-1.12564348939795</v>
      </c>
      <c r="N450" s="18" t="n">
        <v>30.306500810675</v>
      </c>
      <c r="O450" s="18" t="n">
        <v>0.269151900848435</v>
      </c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 t="s">
        <v>402</v>
      </c>
      <c r="AI450" s="18"/>
      <c r="AJ450" s="18" t="s">
        <v>992</v>
      </c>
    </row>
    <row r="451" customFormat="false" ht="15" hidden="false" customHeight="false" outlineLevel="0" collapsed="false">
      <c r="A451" s="18" t="s">
        <v>273</v>
      </c>
      <c r="B451" s="18" t="s">
        <v>453</v>
      </c>
      <c r="C451" s="18" t="s">
        <v>323</v>
      </c>
      <c r="D451" s="18" t="s">
        <v>324</v>
      </c>
      <c r="E451" s="18" t="s">
        <v>404</v>
      </c>
      <c r="F451" s="18" t="s">
        <v>401</v>
      </c>
      <c r="G451" s="18" t="n">
        <v>0.6</v>
      </c>
      <c r="H451" s="18" t="n">
        <v>2692</v>
      </c>
      <c r="I451" s="18" t="n">
        <v>113</v>
      </c>
      <c r="J451" s="18" t="n">
        <v>112</v>
      </c>
      <c r="K451" s="18" t="n">
        <v>0.00151170512284742</v>
      </c>
      <c r="L451" s="18" t="n">
        <v>0.0103269051781966</v>
      </c>
      <c r="M451" s="18" t="n">
        <v>0.146385107325195</v>
      </c>
      <c r="N451" s="18" t="n">
        <v>35.0928007460073</v>
      </c>
      <c r="O451" s="18" t="n">
        <v>0.884455080085708</v>
      </c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 t="s">
        <v>402</v>
      </c>
      <c r="AI451" s="18"/>
      <c r="AJ451" s="18" t="s">
        <v>993</v>
      </c>
    </row>
    <row r="452" customFormat="false" ht="15" hidden="false" customHeight="false" outlineLevel="0" collapsed="false">
      <c r="A452" s="18" t="s">
        <v>273</v>
      </c>
      <c r="B452" s="18" t="s">
        <v>455</v>
      </c>
      <c r="C452" s="18" t="s">
        <v>323</v>
      </c>
      <c r="D452" s="18" t="s">
        <v>324</v>
      </c>
      <c r="E452" s="18" t="s">
        <v>404</v>
      </c>
      <c r="F452" s="18" t="s">
        <v>401</v>
      </c>
      <c r="G452" s="18" t="n">
        <v>0.6</v>
      </c>
      <c r="H452" s="18" t="n">
        <v>2692</v>
      </c>
      <c r="I452" s="18" t="n">
        <v>113</v>
      </c>
      <c r="J452" s="18" t="n">
        <v>112</v>
      </c>
      <c r="K452" s="18" t="n">
        <v>-0.0129326965225322</v>
      </c>
      <c r="L452" s="18" t="n">
        <v>0.0116065049226364</v>
      </c>
      <c r="M452" s="18" t="n">
        <v>-1.11426278700915</v>
      </c>
      <c r="N452" s="18" t="n">
        <v>26.4843716280866</v>
      </c>
      <c r="O452" s="18" t="n">
        <v>0.275176653470295</v>
      </c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 t="s">
        <v>402</v>
      </c>
      <c r="AI452" s="18"/>
      <c r="AJ452" s="18" t="s">
        <v>994</v>
      </c>
    </row>
    <row r="453" customFormat="false" ht="15" hidden="false" customHeight="false" outlineLevel="0" collapsed="false">
      <c r="A453" s="18" t="s">
        <v>273</v>
      </c>
      <c r="B453" s="18" t="s">
        <v>457</v>
      </c>
      <c r="C453" s="18" t="s">
        <v>323</v>
      </c>
      <c r="D453" s="18" t="s">
        <v>324</v>
      </c>
      <c r="E453" s="18" t="s">
        <v>404</v>
      </c>
      <c r="F453" s="18" t="s">
        <v>401</v>
      </c>
      <c r="G453" s="18" t="n">
        <v>0.6</v>
      </c>
      <c r="H453" s="18" t="n">
        <v>2692</v>
      </c>
      <c r="I453" s="18" t="n">
        <v>113</v>
      </c>
      <c r="J453" s="18" t="n">
        <v>112</v>
      </c>
      <c r="K453" s="18" t="n">
        <v>-0.0138065177537534</v>
      </c>
      <c r="L453" s="18" t="n">
        <v>0.0148168991424893</v>
      </c>
      <c r="M453" s="18" t="n">
        <v>-0.931808850217619</v>
      </c>
      <c r="N453" s="18" t="n">
        <v>17.8608249893666</v>
      </c>
      <c r="O453" s="18" t="n">
        <v>0.363860799948445</v>
      </c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 t="s">
        <v>402</v>
      </c>
      <c r="AI453" s="18"/>
      <c r="AJ453" s="18" t="s">
        <v>995</v>
      </c>
    </row>
    <row r="454" customFormat="false" ht="15" hidden="false" customHeight="false" outlineLevel="0" collapsed="false">
      <c r="A454" s="18" t="s">
        <v>273</v>
      </c>
      <c r="B454" s="18" t="s">
        <v>459</v>
      </c>
      <c r="C454" s="18" t="s">
        <v>323</v>
      </c>
      <c r="D454" s="18" t="s">
        <v>324</v>
      </c>
      <c r="E454" s="18" t="s">
        <v>404</v>
      </c>
      <c r="F454" s="18" t="s">
        <v>401</v>
      </c>
      <c r="G454" s="18" t="n">
        <v>0.6</v>
      </c>
      <c r="H454" s="18" t="n">
        <v>2692</v>
      </c>
      <c r="I454" s="18" t="n">
        <v>113</v>
      </c>
      <c r="J454" s="18" t="n">
        <v>112</v>
      </c>
      <c r="K454" s="18" t="n">
        <v>-0.0136823402546033</v>
      </c>
      <c r="L454" s="18" t="n">
        <v>0.0160102904869629</v>
      </c>
      <c r="M454" s="18" t="n">
        <v>-0.854596627446875</v>
      </c>
      <c r="N454" s="18" t="n">
        <v>14.6909910577909</v>
      </c>
      <c r="O454" s="18" t="n">
        <v>0.406495398553319</v>
      </c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 t="s">
        <v>402</v>
      </c>
      <c r="AI454" s="18"/>
      <c r="AJ454" s="18" t="s">
        <v>996</v>
      </c>
    </row>
    <row r="455" customFormat="false" ht="15" hidden="false" customHeight="false" outlineLevel="0" collapsed="false">
      <c r="A455" s="18" t="s">
        <v>273</v>
      </c>
      <c r="B455" s="18" t="s">
        <v>461</v>
      </c>
      <c r="C455" s="18" t="s">
        <v>323</v>
      </c>
      <c r="D455" s="18" t="s">
        <v>324</v>
      </c>
      <c r="E455" s="18" t="s">
        <v>404</v>
      </c>
      <c r="F455" s="18" t="s">
        <v>401</v>
      </c>
      <c r="G455" s="18" t="n">
        <v>0.6</v>
      </c>
      <c r="H455" s="18" t="n">
        <v>2692</v>
      </c>
      <c r="I455" s="18" t="n">
        <v>113</v>
      </c>
      <c r="J455" s="18" t="n">
        <v>112</v>
      </c>
      <c r="K455" s="18" t="n">
        <v>0.00329677569786838</v>
      </c>
      <c r="L455" s="18" t="n">
        <v>0.00896093771817753</v>
      </c>
      <c r="M455" s="18" t="n">
        <v>0.367905212774861</v>
      </c>
      <c r="N455" s="18" t="n">
        <v>45.2504717331344</v>
      </c>
      <c r="O455" s="18" t="n">
        <v>0.714659304644551</v>
      </c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 t="s">
        <v>402</v>
      </c>
      <c r="AI455" s="18"/>
      <c r="AJ455" s="18" t="s">
        <v>997</v>
      </c>
    </row>
    <row r="456" customFormat="false" ht="15" hidden="false" customHeight="false" outlineLevel="0" collapsed="false">
      <c r="A456" s="18" t="s">
        <v>273</v>
      </c>
      <c r="B456" s="18" t="s">
        <v>463</v>
      </c>
      <c r="C456" s="18" t="s">
        <v>323</v>
      </c>
      <c r="D456" s="18" t="s">
        <v>324</v>
      </c>
      <c r="E456" s="18" t="s">
        <v>404</v>
      </c>
      <c r="F456" s="18" t="s">
        <v>401</v>
      </c>
      <c r="G456" s="18" t="n">
        <v>0.6</v>
      </c>
      <c r="H456" s="18" t="n">
        <v>2692</v>
      </c>
      <c r="I456" s="18" t="n">
        <v>113</v>
      </c>
      <c r="J456" s="18" t="n">
        <v>112</v>
      </c>
      <c r="K456" s="18" t="n">
        <v>0.0112771605127861</v>
      </c>
      <c r="L456" s="18" t="n">
        <v>0.00868948018306602</v>
      </c>
      <c r="M456" s="18" t="n">
        <v>1.29779460625999</v>
      </c>
      <c r="N456" s="18" t="n">
        <v>60.459427362443</v>
      </c>
      <c r="O456" s="18" t="n">
        <v>0.199287560970861</v>
      </c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 t="s">
        <v>402</v>
      </c>
      <c r="AI456" s="18"/>
      <c r="AJ456" s="18" t="s">
        <v>998</v>
      </c>
    </row>
    <row r="457" customFormat="false" ht="15" hidden="false" customHeight="false" outlineLevel="0" collapsed="false">
      <c r="A457" s="18" t="s">
        <v>273</v>
      </c>
      <c r="B457" s="18" t="s">
        <v>465</v>
      </c>
      <c r="C457" s="18" t="s">
        <v>323</v>
      </c>
      <c r="D457" s="18" t="s">
        <v>324</v>
      </c>
      <c r="E457" s="18" t="s">
        <v>404</v>
      </c>
      <c r="F457" s="18" t="s">
        <v>401</v>
      </c>
      <c r="G457" s="18" t="n">
        <v>0.6</v>
      </c>
      <c r="H457" s="18" t="n">
        <v>2692</v>
      </c>
      <c r="I457" s="18" t="n">
        <v>113</v>
      </c>
      <c r="J457" s="18" t="n">
        <v>112</v>
      </c>
      <c r="K457" s="18" t="n">
        <v>-0.000446328359048821</v>
      </c>
      <c r="L457" s="18" t="n">
        <v>0.00901700994106757</v>
      </c>
      <c r="M457" s="18" t="n">
        <v>-0.0494984880759683</v>
      </c>
      <c r="N457" s="18" t="n">
        <v>68.532558234232</v>
      </c>
      <c r="O457" s="18" t="n">
        <v>0.96066602043267</v>
      </c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 t="s">
        <v>402</v>
      </c>
      <c r="AI457" s="18"/>
      <c r="AJ457" s="18" t="s">
        <v>999</v>
      </c>
    </row>
    <row r="458" customFormat="false" ht="15" hidden="false" customHeight="false" outlineLevel="0" collapsed="false">
      <c r="A458" s="18" t="s">
        <v>273</v>
      </c>
      <c r="B458" s="18" t="s">
        <v>467</v>
      </c>
      <c r="C458" s="18" t="s">
        <v>323</v>
      </c>
      <c r="D458" s="18" t="s">
        <v>324</v>
      </c>
      <c r="E458" s="18" t="s">
        <v>404</v>
      </c>
      <c r="F458" s="18" t="s">
        <v>401</v>
      </c>
      <c r="G458" s="18" t="n">
        <v>0.6</v>
      </c>
      <c r="H458" s="18" t="n">
        <v>924</v>
      </c>
      <c r="I458" s="18" t="n">
        <v>40</v>
      </c>
      <c r="J458" s="18" t="n">
        <v>40</v>
      </c>
      <c r="K458" s="18" t="n">
        <v>-0.0205627806268973</v>
      </c>
      <c r="L458" s="18" t="n">
        <v>0.0193212771794914</v>
      </c>
      <c r="M458" s="18" t="n">
        <v>-1.0642557650756</v>
      </c>
      <c r="N458" s="18" t="n">
        <v>24.0231316885425</v>
      </c>
      <c r="O458" s="18" t="n">
        <v>0.297793750639469</v>
      </c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 t="s">
        <v>402</v>
      </c>
      <c r="AI458" s="18"/>
      <c r="AJ458" s="18" t="s">
        <v>1000</v>
      </c>
    </row>
    <row r="459" customFormat="false" ht="15" hidden="false" customHeight="false" outlineLevel="0" collapsed="false">
      <c r="A459" s="18" t="s">
        <v>273</v>
      </c>
      <c r="B459" s="18" t="s">
        <v>469</v>
      </c>
      <c r="C459" s="18" t="s">
        <v>323</v>
      </c>
      <c r="D459" s="18" t="s">
        <v>324</v>
      </c>
      <c r="E459" s="18" t="s">
        <v>404</v>
      </c>
      <c r="F459" s="18" t="s">
        <v>401</v>
      </c>
      <c r="G459" s="18" t="n">
        <v>0.6</v>
      </c>
      <c r="H459" s="18" t="n">
        <v>2705</v>
      </c>
      <c r="I459" s="18" t="n">
        <v>113</v>
      </c>
      <c r="J459" s="18" t="n">
        <v>112</v>
      </c>
      <c r="K459" s="18" t="n">
        <v>-0.00991596643345506</v>
      </c>
      <c r="L459" s="18" t="n">
        <v>0.0111055863745812</v>
      </c>
      <c r="M459" s="18" t="n">
        <v>-0.892880942887541</v>
      </c>
      <c r="N459" s="18" t="n">
        <v>34.8990252965796</v>
      </c>
      <c r="O459" s="18" t="n">
        <v>0.378036771817322</v>
      </c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 t="s">
        <v>402</v>
      </c>
      <c r="AI459" s="18"/>
      <c r="AJ459" s="18" t="s">
        <v>1001</v>
      </c>
    </row>
    <row r="460" customFormat="false" ht="15" hidden="false" customHeight="false" outlineLevel="0" collapsed="false">
      <c r="A460" s="18" t="s">
        <v>273</v>
      </c>
      <c r="B460" s="18" t="s">
        <v>471</v>
      </c>
      <c r="C460" s="18" t="s">
        <v>323</v>
      </c>
      <c r="D460" s="18" t="s">
        <v>324</v>
      </c>
      <c r="E460" s="18" t="s">
        <v>404</v>
      </c>
      <c r="F460" s="18" t="s">
        <v>401</v>
      </c>
      <c r="G460" s="18" t="n">
        <v>0.6</v>
      </c>
      <c r="H460" s="18" t="n">
        <v>2705</v>
      </c>
      <c r="I460" s="18" t="n">
        <v>113</v>
      </c>
      <c r="J460" s="18" t="n">
        <v>112</v>
      </c>
      <c r="K460" s="18" t="n">
        <v>-0.00790667870778979</v>
      </c>
      <c r="L460" s="18" t="n">
        <v>0.011465949410914</v>
      </c>
      <c r="M460" s="18" t="n">
        <v>-0.689579067936906</v>
      </c>
      <c r="N460" s="18" t="n">
        <v>26.7825748298102</v>
      </c>
      <c r="O460" s="18" t="n">
        <v>0.49639076882373</v>
      </c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 t="s">
        <v>402</v>
      </c>
      <c r="AI460" s="18"/>
      <c r="AJ460" s="18" t="s">
        <v>1002</v>
      </c>
    </row>
    <row r="461" customFormat="false" ht="15" hidden="false" customHeight="false" outlineLevel="0" collapsed="false">
      <c r="A461" s="18" t="s">
        <v>273</v>
      </c>
      <c r="B461" s="18" t="s">
        <v>473</v>
      </c>
      <c r="C461" s="18" t="s">
        <v>323</v>
      </c>
      <c r="D461" s="18" t="s">
        <v>324</v>
      </c>
      <c r="E461" s="18" t="s">
        <v>404</v>
      </c>
      <c r="F461" s="18" t="s">
        <v>401</v>
      </c>
      <c r="G461" s="18" t="n">
        <v>0.6</v>
      </c>
      <c r="H461" s="18" t="n">
        <v>2705</v>
      </c>
      <c r="I461" s="18" t="n">
        <v>113</v>
      </c>
      <c r="J461" s="18" t="n">
        <v>112</v>
      </c>
      <c r="K461" s="18" t="n">
        <v>0.00191892423895219</v>
      </c>
      <c r="L461" s="18" t="n">
        <v>0.0105871408011111</v>
      </c>
      <c r="M461" s="18" t="n">
        <v>0.181250469319422</v>
      </c>
      <c r="N461" s="18" t="n">
        <v>36.1131973261689</v>
      </c>
      <c r="O461" s="18" t="n">
        <v>0.857184439613621</v>
      </c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 t="s">
        <v>402</v>
      </c>
      <c r="AI461" s="18"/>
      <c r="AJ461" s="18" t="s">
        <v>1003</v>
      </c>
    </row>
    <row r="462" customFormat="false" ht="15" hidden="false" customHeight="false" outlineLevel="0" collapsed="false">
      <c r="A462" s="18" t="s">
        <v>273</v>
      </c>
      <c r="B462" s="18" t="s">
        <v>475</v>
      </c>
      <c r="C462" s="18" t="s">
        <v>323</v>
      </c>
      <c r="D462" s="18" t="s">
        <v>324</v>
      </c>
      <c r="E462" s="18" t="s">
        <v>404</v>
      </c>
      <c r="F462" s="18" t="s">
        <v>401</v>
      </c>
      <c r="G462" s="18" t="n">
        <v>0.6</v>
      </c>
      <c r="H462" s="18" t="n">
        <v>2705</v>
      </c>
      <c r="I462" s="18" t="n">
        <v>113</v>
      </c>
      <c r="J462" s="18" t="n">
        <v>112</v>
      </c>
      <c r="K462" s="18" t="n">
        <v>-0.00852285689810068</v>
      </c>
      <c r="L462" s="18" t="n">
        <v>0.0119821996361799</v>
      </c>
      <c r="M462" s="18" t="n">
        <v>-0.71129318129254</v>
      </c>
      <c r="N462" s="18" t="n">
        <v>23.381278005869</v>
      </c>
      <c r="O462" s="18" t="n">
        <v>0.483938990253339</v>
      </c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 t="s">
        <v>402</v>
      </c>
      <c r="AI462" s="18"/>
      <c r="AJ462" s="18" t="s">
        <v>1004</v>
      </c>
    </row>
    <row r="463" customFormat="false" ht="15" hidden="false" customHeight="false" outlineLevel="0" collapsed="false">
      <c r="A463" s="18" t="s">
        <v>273</v>
      </c>
      <c r="B463" s="18" t="s">
        <v>477</v>
      </c>
      <c r="C463" s="18" t="s">
        <v>323</v>
      </c>
      <c r="D463" s="18" t="s">
        <v>324</v>
      </c>
      <c r="E463" s="18" t="s">
        <v>404</v>
      </c>
      <c r="F463" s="18" t="s">
        <v>401</v>
      </c>
      <c r="G463" s="18" t="n">
        <v>0.6</v>
      </c>
      <c r="H463" s="18" t="n">
        <v>2705</v>
      </c>
      <c r="I463" s="18" t="n">
        <v>113</v>
      </c>
      <c r="J463" s="18" t="n">
        <v>112</v>
      </c>
      <c r="K463" s="18" t="n">
        <v>-0.0102689988884617</v>
      </c>
      <c r="L463" s="18" t="n">
        <v>0.0150202998795084</v>
      </c>
      <c r="M463" s="18" t="n">
        <v>-0.683674691639895</v>
      </c>
      <c r="N463" s="18" t="n">
        <v>18.0068405582947</v>
      </c>
      <c r="O463" s="18" t="n">
        <v>0.502884190605042</v>
      </c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 t="s">
        <v>402</v>
      </c>
      <c r="AI463" s="18"/>
      <c r="AJ463" s="18" t="s">
        <v>1005</v>
      </c>
    </row>
    <row r="464" customFormat="false" ht="15" hidden="false" customHeight="false" outlineLevel="0" collapsed="false">
      <c r="A464" s="18" t="s">
        <v>273</v>
      </c>
      <c r="B464" s="18" t="s">
        <v>479</v>
      </c>
      <c r="C464" s="18" t="s">
        <v>323</v>
      </c>
      <c r="D464" s="18" t="s">
        <v>324</v>
      </c>
      <c r="E464" s="18" t="s">
        <v>404</v>
      </c>
      <c r="F464" s="18" t="s">
        <v>401</v>
      </c>
      <c r="G464" s="18" t="n">
        <v>0.6</v>
      </c>
      <c r="H464" s="18" t="n">
        <v>2705</v>
      </c>
      <c r="I464" s="18" t="n">
        <v>113</v>
      </c>
      <c r="J464" s="18" t="n">
        <v>112</v>
      </c>
      <c r="K464" s="18" t="n">
        <v>-0.00992137611854214</v>
      </c>
      <c r="L464" s="18" t="n">
        <v>0.0162331081670874</v>
      </c>
      <c r="M464" s="18" t="n">
        <v>-0.611181544311871</v>
      </c>
      <c r="N464" s="18" t="n">
        <v>14.8123476771842</v>
      </c>
      <c r="O464" s="18" t="n">
        <v>0.550344459868319</v>
      </c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 t="s">
        <v>402</v>
      </c>
      <c r="AI464" s="18"/>
      <c r="AJ464" s="18" t="s">
        <v>1006</v>
      </c>
    </row>
    <row r="465" customFormat="false" ht="15" hidden="false" customHeight="false" outlineLevel="0" collapsed="false">
      <c r="A465" s="18" t="s">
        <v>273</v>
      </c>
      <c r="B465" s="18" t="s">
        <v>481</v>
      </c>
      <c r="C465" s="18" t="s">
        <v>323</v>
      </c>
      <c r="D465" s="18" t="s">
        <v>324</v>
      </c>
      <c r="E465" s="18" t="s">
        <v>404</v>
      </c>
      <c r="F465" s="18" t="s">
        <v>401</v>
      </c>
      <c r="G465" s="18" t="n">
        <v>0.6</v>
      </c>
      <c r="H465" s="18" t="n">
        <v>2705</v>
      </c>
      <c r="I465" s="18" t="n">
        <v>113</v>
      </c>
      <c r="J465" s="18" t="n">
        <v>112</v>
      </c>
      <c r="K465" s="18" t="n">
        <v>0.00596316174240154</v>
      </c>
      <c r="L465" s="18" t="n">
        <v>0.00941798244160516</v>
      </c>
      <c r="M465" s="18" t="n">
        <v>0.633167642791358</v>
      </c>
      <c r="N465" s="18" t="n">
        <v>39.4485619103489</v>
      </c>
      <c r="O465" s="18" t="n">
        <v>0.530277951965816</v>
      </c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 t="s">
        <v>402</v>
      </c>
      <c r="AI465" s="18"/>
      <c r="AJ465" s="18" t="s">
        <v>1007</v>
      </c>
    </row>
    <row r="466" customFormat="false" ht="15" hidden="false" customHeight="false" outlineLevel="0" collapsed="false">
      <c r="A466" s="18" t="s">
        <v>273</v>
      </c>
      <c r="B466" s="18" t="s">
        <v>483</v>
      </c>
      <c r="C466" s="18" t="s">
        <v>323</v>
      </c>
      <c r="D466" s="18" t="s">
        <v>324</v>
      </c>
      <c r="E466" s="18" t="s">
        <v>404</v>
      </c>
      <c r="F466" s="18" t="s">
        <v>401</v>
      </c>
      <c r="G466" s="18" t="n">
        <v>0.6</v>
      </c>
      <c r="H466" s="18" t="n">
        <v>2705</v>
      </c>
      <c r="I466" s="18" t="n">
        <v>113</v>
      </c>
      <c r="J466" s="18" t="n">
        <v>112</v>
      </c>
      <c r="K466" s="18" t="n">
        <v>0.0174828303368144</v>
      </c>
      <c r="L466" s="18" t="n">
        <v>0.00914566411802408</v>
      </c>
      <c r="M466" s="18" t="n">
        <v>1.91159768292383</v>
      </c>
      <c r="N466" s="18" t="n">
        <v>52.6628614785914</v>
      </c>
      <c r="O466" s="18" t="n">
        <v>0.061376031240635</v>
      </c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 t="s">
        <v>402</v>
      </c>
      <c r="AI466" s="18"/>
      <c r="AJ466" s="18" t="s">
        <v>1008</v>
      </c>
    </row>
    <row r="467" customFormat="false" ht="15" hidden="false" customHeight="false" outlineLevel="0" collapsed="false">
      <c r="A467" s="18" t="s">
        <v>273</v>
      </c>
      <c r="B467" s="18" t="s">
        <v>485</v>
      </c>
      <c r="C467" s="18" t="s">
        <v>323</v>
      </c>
      <c r="D467" s="18" t="s">
        <v>324</v>
      </c>
      <c r="E467" s="18" t="s">
        <v>404</v>
      </c>
      <c r="F467" s="18" t="s">
        <v>401</v>
      </c>
      <c r="G467" s="18" t="n">
        <v>0.6</v>
      </c>
      <c r="H467" s="18" t="n">
        <v>2705</v>
      </c>
      <c r="I467" s="18" t="n">
        <v>113</v>
      </c>
      <c r="J467" s="18" t="n">
        <v>112</v>
      </c>
      <c r="K467" s="18" t="n">
        <v>0.00500084713728698</v>
      </c>
      <c r="L467" s="18" t="n">
        <v>0.00918868440925711</v>
      </c>
      <c r="M467" s="18" t="n">
        <v>0.544239731669192</v>
      </c>
      <c r="N467" s="18" t="n">
        <v>58.0525200149253</v>
      </c>
      <c r="O467" s="18" t="n">
        <v>0.588360899807289</v>
      </c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 t="s">
        <v>402</v>
      </c>
      <c r="AI467" s="18"/>
      <c r="AJ467" s="18" t="s">
        <v>1009</v>
      </c>
    </row>
    <row r="468" customFormat="false" ht="15" hidden="false" customHeight="false" outlineLevel="0" collapsed="false">
      <c r="A468" s="18" t="s">
        <v>273</v>
      </c>
      <c r="B468" s="18" t="s">
        <v>487</v>
      </c>
      <c r="C468" s="18" t="s">
        <v>323</v>
      </c>
      <c r="D468" s="18" t="s">
        <v>324</v>
      </c>
      <c r="E468" s="18" t="s">
        <v>404</v>
      </c>
      <c r="F468" s="18" t="s">
        <v>401</v>
      </c>
      <c r="G468" s="18" t="n">
        <v>0.6</v>
      </c>
      <c r="H468" s="18" t="n">
        <v>929</v>
      </c>
      <c r="I468" s="18" t="n">
        <v>40</v>
      </c>
      <c r="J468" s="18" t="n">
        <v>40</v>
      </c>
      <c r="K468" s="18" t="n">
        <v>-0.0163573223351061</v>
      </c>
      <c r="L468" s="18" t="n">
        <v>0.0188963206312048</v>
      </c>
      <c r="M468" s="18" t="n">
        <v>-0.865635308288223</v>
      </c>
      <c r="N468" s="18" t="n">
        <v>23.9442610457931</v>
      </c>
      <c r="O468" s="18" t="n">
        <v>0.395280984425831</v>
      </c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 t="s">
        <v>402</v>
      </c>
      <c r="AI468" s="18"/>
      <c r="AJ468" s="18" t="s">
        <v>1010</v>
      </c>
    </row>
    <row r="469" customFormat="false" ht="15" hidden="false" customHeight="false" outlineLevel="0" collapsed="false">
      <c r="A469" s="18" t="s">
        <v>273</v>
      </c>
      <c r="B469" s="18" t="s">
        <v>489</v>
      </c>
      <c r="C469" s="18" t="s">
        <v>323</v>
      </c>
      <c r="D469" s="18" t="s">
        <v>324</v>
      </c>
      <c r="E469" s="18" t="s">
        <v>404</v>
      </c>
      <c r="F469" s="18" t="s">
        <v>401</v>
      </c>
      <c r="G469" s="18" t="n">
        <v>0.6</v>
      </c>
      <c r="H469" s="18" t="n">
        <v>2607</v>
      </c>
      <c r="I469" s="18" t="n">
        <v>110</v>
      </c>
      <c r="J469" s="18" t="n">
        <v>109</v>
      </c>
      <c r="K469" s="18" t="n">
        <v>0.00609469701854765</v>
      </c>
      <c r="L469" s="18" t="n">
        <v>0.0191576202120202</v>
      </c>
      <c r="M469" s="18" t="n">
        <v>0.318134348165207</v>
      </c>
      <c r="N469" s="18" t="n">
        <v>14.2775557304727</v>
      </c>
      <c r="O469" s="18" t="n">
        <v>0.754988708548796</v>
      </c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 t="s">
        <v>402</v>
      </c>
      <c r="AI469" s="18"/>
      <c r="AJ469" s="18" t="s">
        <v>1011</v>
      </c>
    </row>
    <row r="470" customFormat="false" ht="15" hidden="false" customHeight="false" outlineLevel="0" collapsed="false">
      <c r="A470" s="18" t="s">
        <v>273</v>
      </c>
      <c r="B470" s="18" t="s">
        <v>491</v>
      </c>
      <c r="C470" s="18" t="s">
        <v>323</v>
      </c>
      <c r="D470" s="18" t="s">
        <v>324</v>
      </c>
      <c r="E470" s="18" t="s">
        <v>404</v>
      </c>
      <c r="F470" s="18" t="s">
        <v>401</v>
      </c>
      <c r="G470" s="18" t="n">
        <v>0.6</v>
      </c>
      <c r="H470" s="18" t="n">
        <v>2607</v>
      </c>
      <c r="I470" s="18" t="n">
        <v>110</v>
      </c>
      <c r="J470" s="18" t="n">
        <v>109</v>
      </c>
      <c r="K470" s="18" t="n">
        <v>0.00569476192228931</v>
      </c>
      <c r="L470" s="18" t="n">
        <v>0.0188554212965895</v>
      </c>
      <c r="M470" s="18" t="n">
        <v>0.302022523533822</v>
      </c>
      <c r="N470" s="18" t="n">
        <v>11.7241504663606</v>
      </c>
      <c r="O470" s="18" t="n">
        <v>0.767925388491869</v>
      </c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 t="s">
        <v>402</v>
      </c>
      <c r="AI470" s="18"/>
      <c r="AJ470" s="18" t="s">
        <v>1012</v>
      </c>
    </row>
    <row r="471" customFormat="false" ht="15" hidden="false" customHeight="false" outlineLevel="0" collapsed="false">
      <c r="A471" s="18" t="s">
        <v>273</v>
      </c>
      <c r="B471" s="18" t="s">
        <v>493</v>
      </c>
      <c r="C471" s="18" t="s">
        <v>323</v>
      </c>
      <c r="D471" s="18" t="s">
        <v>324</v>
      </c>
      <c r="E471" s="18" t="s">
        <v>404</v>
      </c>
      <c r="F471" s="18" t="s">
        <v>401</v>
      </c>
      <c r="G471" s="18" t="n">
        <v>0.6</v>
      </c>
      <c r="H471" s="18" t="n">
        <v>2607</v>
      </c>
      <c r="I471" s="18" t="n">
        <v>110</v>
      </c>
      <c r="J471" s="18" t="n">
        <v>109</v>
      </c>
      <c r="K471" s="18" t="n">
        <v>-0.018021592478881</v>
      </c>
      <c r="L471" s="18" t="n">
        <v>0.0218428271536319</v>
      </c>
      <c r="M471" s="18" t="n">
        <v>-0.825057688371831</v>
      </c>
      <c r="N471" s="18" t="n">
        <v>37.452123425861</v>
      </c>
      <c r="O471" s="18" t="n">
        <v>0.41456322598196</v>
      </c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 t="s">
        <v>402</v>
      </c>
      <c r="AI471" s="18"/>
      <c r="AJ471" s="18" t="s">
        <v>1013</v>
      </c>
    </row>
    <row r="472" customFormat="false" ht="15" hidden="false" customHeight="false" outlineLevel="0" collapsed="false">
      <c r="A472" s="18" t="s">
        <v>273</v>
      </c>
      <c r="B472" s="18" t="s">
        <v>495</v>
      </c>
      <c r="C472" s="18" t="s">
        <v>323</v>
      </c>
      <c r="D472" s="18" t="s">
        <v>324</v>
      </c>
      <c r="E472" s="18" t="s">
        <v>404</v>
      </c>
      <c r="F472" s="18" t="s">
        <v>401</v>
      </c>
      <c r="G472" s="18" t="n">
        <v>0.6</v>
      </c>
      <c r="H472" s="18" t="n">
        <v>2607</v>
      </c>
      <c r="I472" s="18" t="n">
        <v>110</v>
      </c>
      <c r="J472" s="18" t="n">
        <v>109</v>
      </c>
      <c r="K472" s="18" t="n">
        <v>0.00385427210372386</v>
      </c>
      <c r="L472" s="18" t="n">
        <v>0.019207730023561</v>
      </c>
      <c r="M472" s="18" t="n">
        <v>0.200662550910287</v>
      </c>
      <c r="N472" s="18" t="n">
        <v>10.389151519438</v>
      </c>
      <c r="O472" s="18" t="n">
        <v>0.844836452102158</v>
      </c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 t="s">
        <v>402</v>
      </c>
      <c r="AI472" s="18"/>
      <c r="AJ472" s="18" t="s">
        <v>1014</v>
      </c>
    </row>
    <row r="473" customFormat="false" ht="15" hidden="false" customHeight="false" outlineLevel="0" collapsed="false">
      <c r="A473" s="18" t="s">
        <v>273</v>
      </c>
      <c r="B473" s="18" t="s">
        <v>497</v>
      </c>
      <c r="C473" s="18" t="s">
        <v>323</v>
      </c>
      <c r="D473" s="18" t="s">
        <v>324</v>
      </c>
      <c r="E473" s="18" t="s">
        <v>404</v>
      </c>
      <c r="F473" s="18" t="s">
        <v>401</v>
      </c>
      <c r="G473" s="18" t="n">
        <v>0.6</v>
      </c>
      <c r="H473" s="18" t="n">
        <v>2607</v>
      </c>
      <c r="I473" s="18" t="n">
        <v>110</v>
      </c>
      <c r="J473" s="18" t="n">
        <v>109</v>
      </c>
      <c r="K473" s="18" t="n">
        <v>-0.00310811966295703</v>
      </c>
      <c r="L473" s="18" t="n">
        <v>0.0228329950274861</v>
      </c>
      <c r="M473" s="18" t="n">
        <v>-0.136124045891286</v>
      </c>
      <c r="N473" s="18" t="n">
        <v>18.9415272473445</v>
      </c>
      <c r="O473" s="18" t="n">
        <v>0.893159543929225</v>
      </c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 t="s">
        <v>402</v>
      </c>
      <c r="AI473" s="18"/>
      <c r="AJ473" s="18" t="s">
        <v>1015</v>
      </c>
    </row>
    <row r="474" customFormat="false" ht="15" hidden="false" customHeight="false" outlineLevel="0" collapsed="false">
      <c r="A474" s="18" t="s">
        <v>273</v>
      </c>
      <c r="B474" s="18" t="s">
        <v>499</v>
      </c>
      <c r="C474" s="18" t="s">
        <v>323</v>
      </c>
      <c r="D474" s="18" t="s">
        <v>324</v>
      </c>
      <c r="E474" s="18" t="s">
        <v>404</v>
      </c>
      <c r="F474" s="18" t="s">
        <v>401</v>
      </c>
      <c r="G474" s="18" t="n">
        <v>0.6</v>
      </c>
      <c r="H474" s="18" t="n">
        <v>2607</v>
      </c>
      <c r="I474" s="18" t="n">
        <v>110</v>
      </c>
      <c r="J474" s="18" t="n">
        <v>109</v>
      </c>
      <c r="K474" s="18" t="n">
        <v>-0.00246339632674209</v>
      </c>
      <c r="L474" s="18" t="n">
        <v>0.0233532325640297</v>
      </c>
      <c r="M474" s="18" t="n">
        <v>-0.105484168839923</v>
      </c>
      <c r="N474" s="18" t="n">
        <v>15.5604288440839</v>
      </c>
      <c r="O474" s="18" t="n">
        <v>0.917339450583346</v>
      </c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 t="s">
        <v>402</v>
      </c>
      <c r="AI474" s="18"/>
      <c r="AJ474" s="18" t="s">
        <v>1016</v>
      </c>
    </row>
    <row r="475" customFormat="false" ht="15" hidden="false" customHeight="false" outlineLevel="0" collapsed="false">
      <c r="A475" s="18" t="s">
        <v>273</v>
      </c>
      <c r="B475" s="18" t="s">
        <v>501</v>
      </c>
      <c r="C475" s="18" t="s">
        <v>323</v>
      </c>
      <c r="D475" s="18" t="s">
        <v>324</v>
      </c>
      <c r="E475" s="18" t="s">
        <v>404</v>
      </c>
      <c r="F475" s="18" t="s">
        <v>401</v>
      </c>
      <c r="G475" s="18" t="n">
        <v>0.6</v>
      </c>
      <c r="H475" s="18" t="n">
        <v>2607</v>
      </c>
      <c r="I475" s="18" t="n">
        <v>110</v>
      </c>
      <c r="J475" s="18" t="n">
        <v>109</v>
      </c>
      <c r="K475" s="18" t="n">
        <v>-0.012717106978013</v>
      </c>
      <c r="L475" s="18" t="n">
        <v>0.0223881315035953</v>
      </c>
      <c r="M475" s="18" t="n">
        <v>-0.568028956591167</v>
      </c>
      <c r="N475" s="18" t="n">
        <v>16.0548139969211</v>
      </c>
      <c r="O475" s="18" t="n">
        <v>0.577873866531703</v>
      </c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 t="s">
        <v>402</v>
      </c>
      <c r="AI475" s="18"/>
      <c r="AJ475" s="18" t="s">
        <v>1017</v>
      </c>
    </row>
    <row r="476" customFormat="false" ht="15" hidden="false" customHeight="false" outlineLevel="0" collapsed="false">
      <c r="A476" s="18" t="s">
        <v>273</v>
      </c>
      <c r="B476" s="18" t="s">
        <v>503</v>
      </c>
      <c r="C476" s="18" t="s">
        <v>323</v>
      </c>
      <c r="D476" s="18" t="s">
        <v>324</v>
      </c>
      <c r="E476" s="18" t="s">
        <v>404</v>
      </c>
      <c r="F476" s="18" t="s">
        <v>401</v>
      </c>
      <c r="G476" s="18" t="n">
        <v>0.6</v>
      </c>
      <c r="H476" s="18" t="n">
        <v>2607</v>
      </c>
      <c r="I476" s="18" t="n">
        <v>110</v>
      </c>
      <c r="J476" s="18" t="n">
        <v>109</v>
      </c>
      <c r="K476" s="18" t="n">
        <v>0.0358336280487531</v>
      </c>
      <c r="L476" s="18" t="n">
        <v>0.027354811025066</v>
      </c>
      <c r="M476" s="18" t="n">
        <v>1.30995706809737</v>
      </c>
      <c r="N476" s="18" t="n">
        <v>19.995672545246</v>
      </c>
      <c r="O476" s="18" t="n">
        <v>0.205060990386795</v>
      </c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 t="s">
        <v>402</v>
      </c>
      <c r="AI476" s="18"/>
      <c r="AJ476" s="18" t="s">
        <v>1018</v>
      </c>
    </row>
    <row r="477" customFormat="false" ht="15" hidden="false" customHeight="false" outlineLevel="0" collapsed="false">
      <c r="A477" s="18" t="s">
        <v>273</v>
      </c>
      <c r="B477" s="18" t="s">
        <v>505</v>
      </c>
      <c r="C477" s="18" t="s">
        <v>323</v>
      </c>
      <c r="D477" s="18" t="s">
        <v>324</v>
      </c>
      <c r="E477" s="18" t="s">
        <v>404</v>
      </c>
      <c r="F477" s="18" t="s">
        <v>401</v>
      </c>
      <c r="G477" s="18" t="n">
        <v>0.6</v>
      </c>
      <c r="H477" s="18" t="n">
        <v>2607</v>
      </c>
      <c r="I477" s="18" t="n">
        <v>110</v>
      </c>
      <c r="J477" s="18" t="n">
        <v>109</v>
      </c>
      <c r="K477" s="18" t="n">
        <v>0.0176989177141395</v>
      </c>
      <c r="L477" s="18" t="n">
        <v>0.0226830642670106</v>
      </c>
      <c r="M477" s="18" t="n">
        <v>0.780270139245698</v>
      </c>
      <c r="N477" s="18" t="n">
        <v>20.5811061509749</v>
      </c>
      <c r="O477" s="18" t="n">
        <v>0.444113720342206</v>
      </c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 t="s">
        <v>402</v>
      </c>
      <c r="AI477" s="18"/>
      <c r="AJ477" s="18" t="s">
        <v>1019</v>
      </c>
    </row>
    <row r="478" customFormat="false" ht="15" hidden="false" customHeight="false" outlineLevel="0" collapsed="false">
      <c r="A478" s="18" t="s">
        <v>273</v>
      </c>
      <c r="B478" s="18" t="s">
        <v>507</v>
      </c>
      <c r="C478" s="18" t="s">
        <v>323</v>
      </c>
      <c r="D478" s="18" t="s">
        <v>324</v>
      </c>
      <c r="E478" s="18" t="s">
        <v>404</v>
      </c>
      <c r="F478" s="18" t="s">
        <v>401</v>
      </c>
      <c r="G478" s="18" t="n">
        <v>0.6</v>
      </c>
      <c r="H478" s="18" t="n">
        <v>905</v>
      </c>
      <c r="I478" s="18" t="n">
        <v>38</v>
      </c>
      <c r="J478" s="18" t="n">
        <v>38</v>
      </c>
      <c r="K478" s="18" t="n">
        <v>-0.0188251830072446</v>
      </c>
      <c r="L478" s="18" t="n">
        <v>0.0180504326283088</v>
      </c>
      <c r="M478" s="18" t="n">
        <v>-1.04292142991192</v>
      </c>
      <c r="N478" s="18" t="n">
        <v>24.0606816160507</v>
      </c>
      <c r="O478" s="18" t="n">
        <v>0.307350827772186</v>
      </c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 t="s">
        <v>402</v>
      </c>
      <c r="AI478" s="18"/>
      <c r="AJ478" s="18" t="s">
        <v>1020</v>
      </c>
    </row>
    <row r="479" customFormat="false" ht="15" hidden="false" customHeight="false" outlineLevel="0" collapsed="false">
      <c r="A479" s="18" t="s">
        <v>273</v>
      </c>
      <c r="B479" s="18" t="s">
        <v>509</v>
      </c>
      <c r="C479" s="18" t="s">
        <v>323</v>
      </c>
      <c r="D479" s="18" t="s">
        <v>324</v>
      </c>
      <c r="E479" s="18" t="s">
        <v>404</v>
      </c>
      <c r="F479" s="18" t="s">
        <v>401</v>
      </c>
      <c r="G479" s="18" t="n">
        <v>0.6</v>
      </c>
      <c r="H479" s="18" t="n">
        <v>2594</v>
      </c>
      <c r="I479" s="18" t="n">
        <v>110</v>
      </c>
      <c r="J479" s="18" t="n">
        <v>109</v>
      </c>
      <c r="K479" s="18" t="n">
        <v>-0.0178374783784033</v>
      </c>
      <c r="L479" s="18" t="n">
        <v>0.0110026136611413</v>
      </c>
      <c r="M479" s="18" t="n">
        <v>-1.62120373647228</v>
      </c>
      <c r="N479" s="18" t="n">
        <v>38.769770352528</v>
      </c>
      <c r="O479" s="18" t="n">
        <v>0.113079946405774</v>
      </c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 t="s">
        <v>402</v>
      </c>
      <c r="AI479" s="18"/>
      <c r="AJ479" s="18" t="s">
        <v>1021</v>
      </c>
    </row>
    <row r="480" customFormat="false" ht="15" hidden="false" customHeight="false" outlineLevel="0" collapsed="false">
      <c r="A480" s="18" t="s">
        <v>273</v>
      </c>
      <c r="B480" s="18" t="s">
        <v>511</v>
      </c>
      <c r="C480" s="18" t="s">
        <v>323</v>
      </c>
      <c r="D480" s="18" t="s">
        <v>324</v>
      </c>
      <c r="E480" s="18" t="s">
        <v>404</v>
      </c>
      <c r="F480" s="18" t="s">
        <v>401</v>
      </c>
      <c r="G480" s="18" t="n">
        <v>0.6</v>
      </c>
      <c r="H480" s="18" t="n">
        <v>2594</v>
      </c>
      <c r="I480" s="18" t="n">
        <v>110</v>
      </c>
      <c r="J480" s="18" t="n">
        <v>109</v>
      </c>
      <c r="K480" s="18" t="n">
        <v>-0.0169635337968766</v>
      </c>
      <c r="L480" s="18" t="n">
        <v>0.0116483842239471</v>
      </c>
      <c r="M480" s="18" t="n">
        <v>-1.45629930046456</v>
      </c>
      <c r="N480" s="18" t="n">
        <v>29.4719158552569</v>
      </c>
      <c r="O480" s="18" t="n">
        <v>0.155881582404753</v>
      </c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 t="s">
        <v>402</v>
      </c>
      <c r="AI480" s="18"/>
      <c r="AJ480" s="18" t="s">
        <v>1022</v>
      </c>
    </row>
    <row r="481" customFormat="false" ht="15" hidden="false" customHeight="false" outlineLevel="0" collapsed="false">
      <c r="A481" s="18" t="s">
        <v>273</v>
      </c>
      <c r="B481" s="18" t="s">
        <v>513</v>
      </c>
      <c r="C481" s="18" t="s">
        <v>323</v>
      </c>
      <c r="D481" s="18" t="s">
        <v>324</v>
      </c>
      <c r="E481" s="18" t="s">
        <v>404</v>
      </c>
      <c r="F481" s="18" t="s">
        <v>401</v>
      </c>
      <c r="G481" s="18" t="n">
        <v>0.6</v>
      </c>
      <c r="H481" s="18" t="n">
        <v>2594</v>
      </c>
      <c r="I481" s="18" t="n">
        <v>110</v>
      </c>
      <c r="J481" s="18" t="n">
        <v>109</v>
      </c>
      <c r="K481" s="18" t="n">
        <v>0.000765855763134996</v>
      </c>
      <c r="L481" s="18" t="n">
        <v>0.0111743244415823</v>
      </c>
      <c r="M481" s="18" t="n">
        <v>0.0685370974450199</v>
      </c>
      <c r="N481" s="18" t="n">
        <v>31.5937730872784</v>
      </c>
      <c r="O481" s="18" t="n">
        <v>0.945790031585366</v>
      </c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 t="s">
        <v>402</v>
      </c>
      <c r="AI481" s="18"/>
      <c r="AJ481" s="18" t="s">
        <v>1023</v>
      </c>
    </row>
    <row r="482" customFormat="false" ht="15" hidden="false" customHeight="false" outlineLevel="0" collapsed="false">
      <c r="A482" s="18" t="s">
        <v>273</v>
      </c>
      <c r="B482" s="18" t="s">
        <v>515</v>
      </c>
      <c r="C482" s="18" t="s">
        <v>323</v>
      </c>
      <c r="D482" s="18" t="s">
        <v>324</v>
      </c>
      <c r="E482" s="18" t="s">
        <v>404</v>
      </c>
      <c r="F482" s="18" t="s">
        <v>401</v>
      </c>
      <c r="G482" s="18" t="n">
        <v>0.6</v>
      </c>
      <c r="H482" s="18" t="n">
        <v>2594</v>
      </c>
      <c r="I482" s="18" t="n">
        <v>110</v>
      </c>
      <c r="J482" s="18" t="n">
        <v>109</v>
      </c>
      <c r="K482" s="18" t="n">
        <v>-0.0175280399159398</v>
      </c>
      <c r="L482" s="18" t="n">
        <v>0.0121698180803633</v>
      </c>
      <c r="M482" s="18" t="n">
        <v>-1.44028775123781</v>
      </c>
      <c r="N482" s="18" t="n">
        <v>25.6974602633355</v>
      </c>
      <c r="O482" s="18" t="n">
        <v>0.161859297517343</v>
      </c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 t="s">
        <v>402</v>
      </c>
      <c r="AI482" s="18"/>
      <c r="AJ482" s="18" t="s">
        <v>1024</v>
      </c>
    </row>
    <row r="483" customFormat="false" ht="15" hidden="false" customHeight="false" outlineLevel="0" collapsed="false">
      <c r="A483" s="18" t="s">
        <v>273</v>
      </c>
      <c r="B483" s="18" t="s">
        <v>517</v>
      </c>
      <c r="C483" s="18" t="s">
        <v>323</v>
      </c>
      <c r="D483" s="18" t="s">
        <v>324</v>
      </c>
      <c r="E483" s="18" t="s">
        <v>404</v>
      </c>
      <c r="F483" s="18" t="s">
        <v>401</v>
      </c>
      <c r="G483" s="18" t="n">
        <v>0.6</v>
      </c>
      <c r="H483" s="18" t="n">
        <v>2594</v>
      </c>
      <c r="I483" s="18" t="n">
        <v>110</v>
      </c>
      <c r="J483" s="18" t="n">
        <v>109</v>
      </c>
      <c r="K483" s="18" t="n">
        <v>-0.0196428535629871</v>
      </c>
      <c r="L483" s="18" t="n">
        <v>0.0147236163068357</v>
      </c>
      <c r="M483" s="18" t="n">
        <v>-1.33410523295609</v>
      </c>
      <c r="N483" s="18" t="n">
        <v>18.1008759864089</v>
      </c>
      <c r="O483" s="18" t="n">
        <v>0.198712490823207</v>
      </c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 t="s">
        <v>402</v>
      </c>
      <c r="AI483" s="18"/>
      <c r="AJ483" s="18" t="s">
        <v>1025</v>
      </c>
    </row>
    <row r="484" customFormat="false" ht="15" hidden="false" customHeight="false" outlineLevel="0" collapsed="false">
      <c r="A484" s="18" t="s">
        <v>273</v>
      </c>
      <c r="B484" s="18" t="s">
        <v>519</v>
      </c>
      <c r="C484" s="18" t="s">
        <v>323</v>
      </c>
      <c r="D484" s="18" t="s">
        <v>324</v>
      </c>
      <c r="E484" s="18" t="s">
        <v>404</v>
      </c>
      <c r="F484" s="18" t="s">
        <v>401</v>
      </c>
      <c r="G484" s="18" t="n">
        <v>0.6</v>
      </c>
      <c r="H484" s="18" t="n">
        <v>2594</v>
      </c>
      <c r="I484" s="18" t="n">
        <v>110</v>
      </c>
      <c r="J484" s="18" t="n">
        <v>109</v>
      </c>
      <c r="K484" s="18" t="n">
        <v>-0.0199287533242279</v>
      </c>
      <c r="L484" s="18" t="n">
        <v>0.0158154925107258</v>
      </c>
      <c r="M484" s="18" t="n">
        <v>-1.2600779464005</v>
      </c>
      <c r="N484" s="18" t="n">
        <v>14.8643645889341</v>
      </c>
      <c r="O484" s="18" t="n">
        <v>0.227065404659283</v>
      </c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 t="s">
        <v>402</v>
      </c>
      <c r="AI484" s="18"/>
      <c r="AJ484" s="18" t="s">
        <v>1026</v>
      </c>
    </row>
    <row r="485" customFormat="false" ht="15" hidden="false" customHeight="false" outlineLevel="0" collapsed="false">
      <c r="A485" s="18" t="s">
        <v>273</v>
      </c>
      <c r="B485" s="18" t="s">
        <v>521</v>
      </c>
      <c r="C485" s="18" t="s">
        <v>323</v>
      </c>
      <c r="D485" s="18" t="s">
        <v>324</v>
      </c>
      <c r="E485" s="18" t="s">
        <v>404</v>
      </c>
      <c r="F485" s="18" t="s">
        <v>401</v>
      </c>
      <c r="G485" s="18" t="n">
        <v>0.6</v>
      </c>
      <c r="H485" s="18" t="n">
        <v>2594</v>
      </c>
      <c r="I485" s="18" t="n">
        <v>110</v>
      </c>
      <c r="J485" s="18" t="n">
        <v>109</v>
      </c>
      <c r="K485" s="18" t="n">
        <v>-0.00214287556682183</v>
      </c>
      <c r="L485" s="18" t="n">
        <v>0.010026314570966</v>
      </c>
      <c r="M485" s="18" t="n">
        <v>-0.213725148124429</v>
      </c>
      <c r="N485" s="18" t="n">
        <v>40.333364739068</v>
      </c>
      <c r="O485" s="18" t="n">
        <v>0.831838154016402</v>
      </c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 t="s">
        <v>402</v>
      </c>
      <c r="AI485" s="18"/>
      <c r="AJ485" s="18" t="s">
        <v>1027</v>
      </c>
    </row>
    <row r="486" customFormat="false" ht="15" hidden="false" customHeight="false" outlineLevel="0" collapsed="false">
      <c r="A486" s="18" t="s">
        <v>273</v>
      </c>
      <c r="B486" s="18" t="s">
        <v>523</v>
      </c>
      <c r="C486" s="18" t="s">
        <v>323</v>
      </c>
      <c r="D486" s="18" t="s">
        <v>324</v>
      </c>
      <c r="E486" s="18" t="s">
        <v>404</v>
      </c>
      <c r="F486" s="18" t="s">
        <v>401</v>
      </c>
      <c r="G486" s="18" t="n">
        <v>0.6</v>
      </c>
      <c r="H486" s="18" t="n">
        <v>2594</v>
      </c>
      <c r="I486" s="18" t="n">
        <v>110</v>
      </c>
      <c r="J486" s="18" t="n">
        <v>109</v>
      </c>
      <c r="K486" s="18" t="n">
        <v>0.00717860547928428</v>
      </c>
      <c r="L486" s="18" t="n">
        <v>0.00941624074818918</v>
      </c>
      <c r="M486" s="18" t="n">
        <v>0.762364267360601</v>
      </c>
      <c r="N486" s="18" t="n">
        <v>54.8506710378313</v>
      </c>
      <c r="O486" s="18" t="n">
        <v>0.449108680107819</v>
      </c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 t="s">
        <v>402</v>
      </c>
      <c r="AI486" s="18"/>
      <c r="AJ486" s="18" t="s">
        <v>1028</v>
      </c>
    </row>
    <row r="487" customFormat="false" ht="15" hidden="false" customHeight="false" outlineLevel="0" collapsed="false">
      <c r="A487" s="18" t="s">
        <v>273</v>
      </c>
      <c r="B487" s="18" t="s">
        <v>525</v>
      </c>
      <c r="C487" s="18" t="s">
        <v>323</v>
      </c>
      <c r="D487" s="18" t="s">
        <v>324</v>
      </c>
      <c r="E487" s="18" t="s">
        <v>404</v>
      </c>
      <c r="F487" s="18" t="s">
        <v>401</v>
      </c>
      <c r="G487" s="18" t="n">
        <v>0.6</v>
      </c>
      <c r="H487" s="18" t="n">
        <v>2594</v>
      </c>
      <c r="I487" s="18" t="n">
        <v>110</v>
      </c>
      <c r="J487" s="18" t="n">
        <v>109</v>
      </c>
      <c r="K487" s="18" t="n">
        <v>-0.00417587986127269</v>
      </c>
      <c r="L487" s="18" t="n">
        <v>0.00954486005723203</v>
      </c>
      <c r="M487" s="18" t="n">
        <v>-0.437500375724071</v>
      </c>
      <c r="N487" s="18" t="n">
        <v>63.6303170339916</v>
      </c>
      <c r="O487" s="18" t="n">
        <v>0.663229912149099</v>
      </c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 t="s">
        <v>402</v>
      </c>
      <c r="AI487" s="18"/>
      <c r="AJ487" s="18" t="s">
        <v>1029</v>
      </c>
    </row>
    <row r="488" customFormat="false" ht="15" hidden="false" customHeight="false" outlineLevel="0" collapsed="false">
      <c r="A488" s="18" t="s">
        <v>273</v>
      </c>
      <c r="B488" s="18" t="s">
        <v>527</v>
      </c>
      <c r="C488" s="18" t="s">
        <v>323</v>
      </c>
      <c r="D488" s="18" t="s">
        <v>324</v>
      </c>
      <c r="E488" s="18" t="s">
        <v>404</v>
      </c>
      <c r="F488" s="18" t="s">
        <v>401</v>
      </c>
      <c r="G488" s="18" t="n">
        <v>0.6</v>
      </c>
      <c r="H488" s="18" t="n">
        <v>900</v>
      </c>
      <c r="I488" s="18" t="n">
        <v>38</v>
      </c>
      <c r="J488" s="18" t="n">
        <v>38</v>
      </c>
      <c r="K488" s="18" t="n">
        <v>-0.0265978097876581</v>
      </c>
      <c r="L488" s="18" t="n">
        <v>0.0192930285694774</v>
      </c>
      <c r="M488" s="18" t="n">
        <v>-1.37862283735677</v>
      </c>
      <c r="N488" s="18" t="n">
        <v>24.6054734712955</v>
      </c>
      <c r="O488" s="18" t="n">
        <v>0.180417219731299</v>
      </c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 t="s">
        <v>402</v>
      </c>
      <c r="AI488" s="18"/>
      <c r="AJ488" s="18" t="s">
        <v>1030</v>
      </c>
    </row>
    <row r="489" customFormat="false" ht="15" hidden="false" customHeight="false" outlineLevel="0" collapsed="false">
      <c r="A489" s="18" t="s">
        <v>273</v>
      </c>
      <c r="B489" s="18" t="s">
        <v>529</v>
      </c>
      <c r="C489" s="18" t="s">
        <v>323</v>
      </c>
      <c r="D489" s="18" t="s">
        <v>324</v>
      </c>
      <c r="E489" s="18" t="s">
        <v>404</v>
      </c>
      <c r="F489" s="18" t="s">
        <v>401</v>
      </c>
      <c r="G489" s="18" t="n">
        <v>0.6</v>
      </c>
      <c r="H489" s="18" t="n">
        <v>2607</v>
      </c>
      <c r="I489" s="18" t="n">
        <v>110</v>
      </c>
      <c r="J489" s="18" t="n">
        <v>109</v>
      </c>
      <c r="K489" s="18" t="n">
        <v>-0.0138711446995754</v>
      </c>
      <c r="L489" s="18" t="n">
        <v>0.0115628119000268</v>
      </c>
      <c r="M489" s="18" t="n">
        <v>-1.19963420831426</v>
      </c>
      <c r="N489" s="18" t="n">
        <v>33.7291060737447</v>
      </c>
      <c r="O489" s="18" t="n">
        <v>0.238640691966528</v>
      </c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 t="s">
        <v>402</v>
      </c>
      <c r="AI489" s="18"/>
      <c r="AJ489" s="18" t="s">
        <v>1031</v>
      </c>
    </row>
    <row r="490" customFormat="false" ht="15" hidden="false" customHeight="false" outlineLevel="0" collapsed="false">
      <c r="A490" s="18" t="s">
        <v>273</v>
      </c>
      <c r="B490" s="18" t="s">
        <v>531</v>
      </c>
      <c r="C490" s="18" t="s">
        <v>323</v>
      </c>
      <c r="D490" s="18" t="s">
        <v>324</v>
      </c>
      <c r="E490" s="18" t="s">
        <v>404</v>
      </c>
      <c r="F490" s="18" t="s">
        <v>401</v>
      </c>
      <c r="G490" s="18" t="n">
        <v>0.6</v>
      </c>
      <c r="H490" s="18" t="n">
        <v>2607</v>
      </c>
      <c r="I490" s="18" t="n">
        <v>110</v>
      </c>
      <c r="J490" s="18" t="n">
        <v>109</v>
      </c>
      <c r="K490" s="18" t="n">
        <v>-0.0120003542678126</v>
      </c>
      <c r="L490" s="18" t="n">
        <v>0.0119807464426172</v>
      </c>
      <c r="M490" s="18" t="n">
        <v>-1.00163661131544</v>
      </c>
      <c r="N490" s="18" t="n">
        <v>25.8730419130343</v>
      </c>
      <c r="O490" s="18" t="n">
        <v>0.325795474550411</v>
      </c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 t="s">
        <v>402</v>
      </c>
      <c r="AI490" s="18"/>
      <c r="AJ490" s="18" t="s">
        <v>1032</v>
      </c>
    </row>
    <row r="491" customFormat="false" ht="15" hidden="false" customHeight="false" outlineLevel="0" collapsed="false">
      <c r="A491" s="18" t="s">
        <v>273</v>
      </c>
      <c r="B491" s="18" t="s">
        <v>533</v>
      </c>
      <c r="C491" s="18" t="s">
        <v>323</v>
      </c>
      <c r="D491" s="18" t="s">
        <v>324</v>
      </c>
      <c r="E491" s="18" t="s">
        <v>404</v>
      </c>
      <c r="F491" s="18" t="s">
        <v>401</v>
      </c>
      <c r="G491" s="18" t="n">
        <v>0.6</v>
      </c>
      <c r="H491" s="18" t="n">
        <v>2607</v>
      </c>
      <c r="I491" s="18" t="n">
        <v>110</v>
      </c>
      <c r="J491" s="18" t="n">
        <v>109</v>
      </c>
      <c r="K491" s="18" t="n">
        <v>0.00153800910202551</v>
      </c>
      <c r="L491" s="18" t="n">
        <v>0.0114267427005356</v>
      </c>
      <c r="M491" s="18" t="n">
        <v>0.134597333845053</v>
      </c>
      <c r="N491" s="18" t="n">
        <v>32.4473270817967</v>
      </c>
      <c r="O491" s="18" t="n">
        <v>0.89376170796458</v>
      </c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 t="s">
        <v>402</v>
      </c>
      <c r="AI491" s="18"/>
      <c r="AJ491" s="18" t="s">
        <v>1033</v>
      </c>
    </row>
    <row r="492" customFormat="false" ht="15" hidden="false" customHeight="false" outlineLevel="0" collapsed="false">
      <c r="A492" s="18" t="s">
        <v>273</v>
      </c>
      <c r="B492" s="18" t="s">
        <v>535</v>
      </c>
      <c r="C492" s="18" t="s">
        <v>323</v>
      </c>
      <c r="D492" s="18" t="s">
        <v>324</v>
      </c>
      <c r="E492" s="18" t="s">
        <v>404</v>
      </c>
      <c r="F492" s="18" t="s">
        <v>401</v>
      </c>
      <c r="G492" s="18" t="n">
        <v>0.6</v>
      </c>
      <c r="H492" s="18" t="n">
        <v>2607</v>
      </c>
      <c r="I492" s="18" t="n">
        <v>110</v>
      </c>
      <c r="J492" s="18" t="n">
        <v>109</v>
      </c>
      <c r="K492" s="18" t="n">
        <v>-0.0127796706983308</v>
      </c>
      <c r="L492" s="18" t="n">
        <v>0.0125509130549554</v>
      </c>
      <c r="M492" s="18" t="n">
        <v>-1.01822637463694</v>
      </c>
      <c r="N492" s="18" t="n">
        <v>22.5602448682852</v>
      </c>
      <c r="O492" s="18" t="n">
        <v>0.319366341117568</v>
      </c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 t="s">
        <v>402</v>
      </c>
      <c r="AI492" s="18"/>
      <c r="AJ492" s="18" t="s">
        <v>1034</v>
      </c>
    </row>
    <row r="493" customFormat="false" ht="15" hidden="false" customHeight="false" outlineLevel="0" collapsed="false">
      <c r="A493" s="18" t="s">
        <v>273</v>
      </c>
      <c r="B493" s="18" t="s">
        <v>537</v>
      </c>
      <c r="C493" s="18" t="s">
        <v>323</v>
      </c>
      <c r="D493" s="18" t="s">
        <v>324</v>
      </c>
      <c r="E493" s="18" t="s">
        <v>404</v>
      </c>
      <c r="F493" s="18" t="s">
        <v>401</v>
      </c>
      <c r="G493" s="18" t="n">
        <v>0.6</v>
      </c>
      <c r="H493" s="18" t="n">
        <v>2607</v>
      </c>
      <c r="I493" s="18" t="n">
        <v>110</v>
      </c>
      <c r="J493" s="18" t="n">
        <v>109</v>
      </c>
      <c r="K493" s="18" t="n">
        <v>-0.0158230716306988</v>
      </c>
      <c r="L493" s="18" t="n">
        <v>0.01479271533652</v>
      </c>
      <c r="M493" s="18" t="n">
        <v>-1.06965295219567</v>
      </c>
      <c r="N493" s="18" t="n">
        <v>18.2222079620972</v>
      </c>
      <c r="O493" s="18" t="n">
        <v>0.298740530379978</v>
      </c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 t="s">
        <v>402</v>
      </c>
      <c r="AI493" s="18"/>
      <c r="AJ493" s="18" t="s">
        <v>1035</v>
      </c>
    </row>
    <row r="494" customFormat="false" ht="15" hidden="false" customHeight="false" outlineLevel="0" collapsed="false">
      <c r="A494" s="18" t="s">
        <v>273</v>
      </c>
      <c r="B494" s="18" t="s">
        <v>539</v>
      </c>
      <c r="C494" s="18" t="s">
        <v>323</v>
      </c>
      <c r="D494" s="18" t="s">
        <v>324</v>
      </c>
      <c r="E494" s="18" t="s">
        <v>404</v>
      </c>
      <c r="F494" s="18" t="s">
        <v>401</v>
      </c>
      <c r="G494" s="18" t="n">
        <v>0.6</v>
      </c>
      <c r="H494" s="18" t="n">
        <v>2607</v>
      </c>
      <c r="I494" s="18" t="n">
        <v>110</v>
      </c>
      <c r="J494" s="18" t="n">
        <v>109</v>
      </c>
      <c r="K494" s="18" t="n">
        <v>-0.0159053303228227</v>
      </c>
      <c r="L494" s="18" t="n">
        <v>0.0158848597606735</v>
      </c>
      <c r="M494" s="18" t="n">
        <v>-1.00128868384471</v>
      </c>
      <c r="N494" s="18" t="n">
        <v>14.9675642222345</v>
      </c>
      <c r="O494" s="18" t="n">
        <v>0.332600914412763</v>
      </c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 t="s">
        <v>402</v>
      </c>
      <c r="AI494" s="18"/>
      <c r="AJ494" s="18" t="s">
        <v>1036</v>
      </c>
    </row>
    <row r="495" customFormat="false" ht="15" hidden="false" customHeight="false" outlineLevel="0" collapsed="false">
      <c r="A495" s="18" t="s">
        <v>273</v>
      </c>
      <c r="B495" s="18" t="s">
        <v>541</v>
      </c>
      <c r="C495" s="18" t="s">
        <v>323</v>
      </c>
      <c r="D495" s="18" t="s">
        <v>324</v>
      </c>
      <c r="E495" s="18" t="s">
        <v>404</v>
      </c>
      <c r="F495" s="18" t="s">
        <v>401</v>
      </c>
      <c r="G495" s="18" t="n">
        <v>0.6</v>
      </c>
      <c r="H495" s="18" t="n">
        <v>2607</v>
      </c>
      <c r="I495" s="18" t="n">
        <v>110</v>
      </c>
      <c r="J495" s="18" t="n">
        <v>109</v>
      </c>
      <c r="K495" s="18" t="n">
        <v>0.00119520835373979</v>
      </c>
      <c r="L495" s="18" t="n">
        <v>0.0104361872383489</v>
      </c>
      <c r="M495" s="18" t="n">
        <v>0.114525384265612</v>
      </c>
      <c r="N495" s="18" t="n">
        <v>35.0096084274902</v>
      </c>
      <c r="O495" s="18" t="n">
        <v>0.909475635255925</v>
      </c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 t="s">
        <v>402</v>
      </c>
      <c r="AI495" s="18"/>
      <c r="AJ495" s="18" t="s">
        <v>1037</v>
      </c>
    </row>
    <row r="496" customFormat="false" ht="15" hidden="false" customHeight="false" outlineLevel="0" collapsed="false">
      <c r="A496" s="18" t="s">
        <v>273</v>
      </c>
      <c r="B496" s="18" t="s">
        <v>543</v>
      </c>
      <c r="C496" s="18" t="s">
        <v>323</v>
      </c>
      <c r="D496" s="18" t="s">
        <v>324</v>
      </c>
      <c r="E496" s="18" t="s">
        <v>404</v>
      </c>
      <c r="F496" s="18" t="s">
        <v>401</v>
      </c>
      <c r="G496" s="18" t="n">
        <v>0.6</v>
      </c>
      <c r="H496" s="18" t="n">
        <v>2607</v>
      </c>
      <c r="I496" s="18" t="n">
        <v>110</v>
      </c>
      <c r="J496" s="18" t="n">
        <v>109</v>
      </c>
      <c r="K496" s="18" t="n">
        <v>0.0140748820783508</v>
      </c>
      <c r="L496" s="18" t="n">
        <v>0.00981030797641989</v>
      </c>
      <c r="M496" s="18" t="n">
        <v>1.43470338670114</v>
      </c>
      <c r="N496" s="18" t="n">
        <v>47.433960832083</v>
      </c>
      <c r="O496" s="18" t="n">
        <v>0.157932370189143</v>
      </c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 t="s">
        <v>402</v>
      </c>
      <c r="AI496" s="18"/>
      <c r="AJ496" s="18" t="s">
        <v>1038</v>
      </c>
    </row>
    <row r="497" customFormat="false" ht="15" hidden="false" customHeight="false" outlineLevel="0" collapsed="false">
      <c r="A497" s="18" t="s">
        <v>273</v>
      </c>
      <c r="B497" s="18" t="s">
        <v>545</v>
      </c>
      <c r="C497" s="18" t="s">
        <v>323</v>
      </c>
      <c r="D497" s="18" t="s">
        <v>324</v>
      </c>
      <c r="E497" s="18" t="s">
        <v>404</v>
      </c>
      <c r="F497" s="18" t="s">
        <v>401</v>
      </c>
      <c r="G497" s="18" t="n">
        <v>0.6</v>
      </c>
      <c r="H497" s="18" t="n">
        <v>2607</v>
      </c>
      <c r="I497" s="18" t="n">
        <v>110</v>
      </c>
      <c r="J497" s="18" t="n">
        <v>109</v>
      </c>
      <c r="K497" s="18" t="n">
        <v>0.00179331231047979</v>
      </c>
      <c r="L497" s="18" t="n">
        <v>0.00968937480152239</v>
      </c>
      <c r="M497" s="18" t="n">
        <v>0.18508029126895</v>
      </c>
      <c r="N497" s="18" t="n">
        <v>53.4769405124968</v>
      </c>
      <c r="O497" s="18" t="n">
        <v>0.853866221630794</v>
      </c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 t="s">
        <v>402</v>
      </c>
      <c r="AI497" s="18"/>
      <c r="AJ497" s="18" t="s">
        <v>1039</v>
      </c>
    </row>
    <row r="498" customFormat="false" ht="15" hidden="false" customHeight="false" outlineLevel="0" collapsed="false">
      <c r="A498" s="18" t="s">
        <v>273</v>
      </c>
      <c r="B498" s="18" t="s">
        <v>547</v>
      </c>
      <c r="C498" s="18" t="s">
        <v>323</v>
      </c>
      <c r="D498" s="18" t="s">
        <v>324</v>
      </c>
      <c r="E498" s="18" t="s">
        <v>404</v>
      </c>
      <c r="F498" s="18" t="s">
        <v>401</v>
      </c>
      <c r="G498" s="18" t="n">
        <v>0.6</v>
      </c>
      <c r="H498" s="18" t="n">
        <v>905</v>
      </c>
      <c r="I498" s="18" t="n">
        <v>38</v>
      </c>
      <c r="J498" s="18" t="n">
        <v>38</v>
      </c>
      <c r="K498" s="18" t="n">
        <v>-0.0219821844403671</v>
      </c>
      <c r="L498" s="18" t="n">
        <v>0.0188124645364263</v>
      </c>
      <c r="M498" s="18" t="n">
        <v>-1.16849041218408</v>
      </c>
      <c r="N498" s="18" t="n">
        <v>24.5334484338385</v>
      </c>
      <c r="O498" s="18" t="n">
        <v>0.253838560856864</v>
      </c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 t="s">
        <v>402</v>
      </c>
      <c r="AI498" s="18"/>
      <c r="AJ498" s="18" t="s">
        <v>1040</v>
      </c>
    </row>
    <row r="499" customFormat="false" ht="15" hidden="false" customHeight="false" outlineLevel="0" collapsed="false">
      <c r="A499" s="18" t="s">
        <v>273</v>
      </c>
      <c r="B499" s="18" t="s">
        <v>549</v>
      </c>
      <c r="C499" s="18" t="s">
        <v>323</v>
      </c>
      <c r="D499" s="18" t="s">
        <v>324</v>
      </c>
      <c r="E499" s="18" t="s">
        <v>404</v>
      </c>
      <c r="F499" s="18" t="s">
        <v>401</v>
      </c>
      <c r="G499" s="18" t="n">
        <v>0.6</v>
      </c>
      <c r="H499" s="18" t="n">
        <v>2705</v>
      </c>
      <c r="I499" s="18" t="n">
        <v>113</v>
      </c>
      <c r="J499" s="18" t="n">
        <v>112</v>
      </c>
      <c r="K499" s="18" t="n">
        <v>0.0101261790323394</v>
      </c>
      <c r="L499" s="18" t="n">
        <v>0.0181421674655171</v>
      </c>
      <c r="M499" s="18" t="n">
        <v>0.558157069798099</v>
      </c>
      <c r="N499" s="18" t="n">
        <v>14.8296509235327</v>
      </c>
      <c r="O499" s="18" t="n">
        <v>0.585066087800653</v>
      </c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 t="s">
        <v>402</v>
      </c>
      <c r="AI499" s="18"/>
      <c r="AJ499" s="18" t="s">
        <v>1041</v>
      </c>
    </row>
    <row r="500" customFormat="false" ht="15" hidden="false" customHeight="false" outlineLevel="0" collapsed="false">
      <c r="A500" s="18" t="s">
        <v>273</v>
      </c>
      <c r="B500" s="18" t="s">
        <v>551</v>
      </c>
      <c r="C500" s="18" t="s">
        <v>323</v>
      </c>
      <c r="D500" s="18" t="s">
        <v>324</v>
      </c>
      <c r="E500" s="18" t="s">
        <v>404</v>
      </c>
      <c r="F500" s="18" t="s">
        <v>401</v>
      </c>
      <c r="G500" s="18" t="n">
        <v>0.6</v>
      </c>
      <c r="H500" s="18" t="n">
        <v>2705</v>
      </c>
      <c r="I500" s="18" t="n">
        <v>113</v>
      </c>
      <c r="J500" s="18" t="n">
        <v>112</v>
      </c>
      <c r="K500" s="18" t="n">
        <v>0.00978120974120001</v>
      </c>
      <c r="L500" s="18" t="n">
        <v>0.0177858460201753</v>
      </c>
      <c r="M500" s="18" t="n">
        <v>0.549943462352296</v>
      </c>
      <c r="N500" s="18" t="n">
        <v>12.1369067430675</v>
      </c>
      <c r="O500" s="18" t="n">
        <v>0.592334781713553</v>
      </c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 t="s">
        <v>402</v>
      </c>
      <c r="AI500" s="18"/>
      <c r="AJ500" s="18" t="s">
        <v>1042</v>
      </c>
    </row>
    <row r="501" customFormat="false" ht="15" hidden="false" customHeight="false" outlineLevel="0" collapsed="false">
      <c r="A501" s="18" t="s">
        <v>273</v>
      </c>
      <c r="B501" s="18" t="s">
        <v>553</v>
      </c>
      <c r="C501" s="18" t="s">
        <v>323</v>
      </c>
      <c r="D501" s="18" t="s">
        <v>324</v>
      </c>
      <c r="E501" s="18" t="s">
        <v>404</v>
      </c>
      <c r="F501" s="18" t="s">
        <v>401</v>
      </c>
      <c r="G501" s="18" t="n">
        <v>0.6</v>
      </c>
      <c r="H501" s="18" t="n">
        <v>2705</v>
      </c>
      <c r="I501" s="18" t="n">
        <v>113</v>
      </c>
      <c r="J501" s="18" t="n">
        <v>112</v>
      </c>
      <c r="K501" s="18" t="n">
        <v>-0.020022869827965</v>
      </c>
      <c r="L501" s="18" t="n">
        <v>0.0210209168491797</v>
      </c>
      <c r="M501" s="18" t="n">
        <v>-0.952521242133468</v>
      </c>
      <c r="N501" s="18" t="n">
        <v>41.5076405332328</v>
      </c>
      <c r="O501" s="18" t="n">
        <v>0.346346871278508</v>
      </c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 t="s">
        <v>402</v>
      </c>
      <c r="AI501" s="18"/>
      <c r="AJ501" s="18" t="s">
        <v>1043</v>
      </c>
    </row>
    <row r="502" customFormat="false" ht="15" hidden="false" customHeight="false" outlineLevel="0" collapsed="false">
      <c r="A502" s="18" t="s">
        <v>273</v>
      </c>
      <c r="B502" s="18" t="s">
        <v>555</v>
      </c>
      <c r="C502" s="18" t="s">
        <v>323</v>
      </c>
      <c r="D502" s="18" t="s">
        <v>324</v>
      </c>
      <c r="E502" s="18" t="s">
        <v>404</v>
      </c>
      <c r="F502" s="18" t="s">
        <v>401</v>
      </c>
      <c r="G502" s="18" t="n">
        <v>0.6</v>
      </c>
      <c r="H502" s="18" t="n">
        <v>2705</v>
      </c>
      <c r="I502" s="18" t="n">
        <v>113</v>
      </c>
      <c r="J502" s="18" t="n">
        <v>112</v>
      </c>
      <c r="K502" s="18" t="n">
        <v>0.00802272158630486</v>
      </c>
      <c r="L502" s="18" t="n">
        <v>0.0180437567983051</v>
      </c>
      <c r="M502" s="18" t="n">
        <v>0.444625898918039</v>
      </c>
      <c r="N502" s="18" t="n">
        <v>10.7415342228079</v>
      </c>
      <c r="O502" s="18" t="n">
        <v>0.665415529971801</v>
      </c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 t="s">
        <v>402</v>
      </c>
      <c r="AI502" s="18"/>
      <c r="AJ502" s="18" t="s">
        <v>1044</v>
      </c>
    </row>
    <row r="503" customFormat="false" ht="15" hidden="false" customHeight="false" outlineLevel="0" collapsed="false">
      <c r="A503" s="18" t="s">
        <v>273</v>
      </c>
      <c r="B503" s="18" t="s">
        <v>557</v>
      </c>
      <c r="C503" s="18" t="s">
        <v>323</v>
      </c>
      <c r="D503" s="18" t="s">
        <v>324</v>
      </c>
      <c r="E503" s="18" t="s">
        <v>404</v>
      </c>
      <c r="F503" s="18" t="s">
        <v>401</v>
      </c>
      <c r="G503" s="18" t="n">
        <v>0.6</v>
      </c>
      <c r="H503" s="18" t="n">
        <v>2705</v>
      </c>
      <c r="I503" s="18" t="n">
        <v>113</v>
      </c>
      <c r="J503" s="18" t="n">
        <v>112</v>
      </c>
      <c r="K503" s="18" t="n">
        <v>0.00307427840520514</v>
      </c>
      <c r="L503" s="18" t="n">
        <v>0.0223179366746753</v>
      </c>
      <c r="M503" s="18" t="n">
        <v>0.137749221624668</v>
      </c>
      <c r="N503" s="18" t="n">
        <v>18.7759975084191</v>
      </c>
      <c r="O503" s="18" t="n">
        <v>0.891905117761794</v>
      </c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 t="s">
        <v>402</v>
      </c>
      <c r="AI503" s="18"/>
      <c r="AJ503" s="18" t="s">
        <v>1045</v>
      </c>
    </row>
    <row r="504" customFormat="false" ht="15" hidden="false" customHeight="false" outlineLevel="0" collapsed="false">
      <c r="A504" s="18" t="s">
        <v>273</v>
      </c>
      <c r="B504" s="18" t="s">
        <v>559</v>
      </c>
      <c r="C504" s="18" t="s">
        <v>323</v>
      </c>
      <c r="D504" s="18" t="s">
        <v>324</v>
      </c>
      <c r="E504" s="18" t="s">
        <v>404</v>
      </c>
      <c r="F504" s="18" t="s">
        <v>401</v>
      </c>
      <c r="G504" s="18" t="n">
        <v>0.6</v>
      </c>
      <c r="H504" s="18" t="n">
        <v>2705</v>
      </c>
      <c r="I504" s="18" t="n">
        <v>113</v>
      </c>
      <c r="J504" s="18" t="n">
        <v>112</v>
      </c>
      <c r="K504" s="18" t="n">
        <v>0.00412975636669002</v>
      </c>
      <c r="L504" s="18" t="n">
        <v>0.0228881429075438</v>
      </c>
      <c r="M504" s="18" t="n">
        <v>0.1804321295691</v>
      </c>
      <c r="N504" s="18" t="n">
        <v>15.4434704653665</v>
      </c>
      <c r="O504" s="18" t="n">
        <v>0.859159761752644</v>
      </c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 t="s">
        <v>402</v>
      </c>
      <c r="AI504" s="18"/>
      <c r="AJ504" s="18" t="s">
        <v>1046</v>
      </c>
    </row>
    <row r="505" customFormat="false" ht="15" hidden="false" customHeight="false" outlineLevel="0" collapsed="false">
      <c r="A505" s="18" t="s">
        <v>273</v>
      </c>
      <c r="B505" s="18" t="s">
        <v>561</v>
      </c>
      <c r="C505" s="18" t="s">
        <v>323</v>
      </c>
      <c r="D505" s="18" t="s">
        <v>324</v>
      </c>
      <c r="E505" s="18" t="s">
        <v>404</v>
      </c>
      <c r="F505" s="18" t="s">
        <v>401</v>
      </c>
      <c r="G505" s="18" t="n">
        <v>0.6</v>
      </c>
      <c r="H505" s="18" t="n">
        <v>2705</v>
      </c>
      <c r="I505" s="18" t="n">
        <v>113</v>
      </c>
      <c r="J505" s="18" t="n">
        <v>112</v>
      </c>
      <c r="K505" s="18" t="n">
        <v>-0.00673020560547747</v>
      </c>
      <c r="L505" s="18" t="n">
        <v>0.020714967459666</v>
      </c>
      <c r="M505" s="18" t="n">
        <v>-0.324895784585799</v>
      </c>
      <c r="N505" s="18" t="n">
        <v>17.5370929704097</v>
      </c>
      <c r="O505" s="18" t="n">
        <v>0.749103660378073</v>
      </c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 t="s">
        <v>402</v>
      </c>
      <c r="AI505" s="18"/>
      <c r="AJ505" s="18" t="s">
        <v>1047</v>
      </c>
    </row>
    <row r="506" customFormat="false" ht="15" hidden="false" customHeight="false" outlineLevel="0" collapsed="false">
      <c r="A506" s="18" t="s">
        <v>273</v>
      </c>
      <c r="B506" s="18" t="s">
        <v>563</v>
      </c>
      <c r="C506" s="18" t="s">
        <v>323</v>
      </c>
      <c r="D506" s="18" t="s">
        <v>324</v>
      </c>
      <c r="E506" s="18" t="s">
        <v>404</v>
      </c>
      <c r="F506" s="18" t="s">
        <v>401</v>
      </c>
      <c r="G506" s="18" t="n">
        <v>0.6</v>
      </c>
      <c r="H506" s="18" t="n">
        <v>2705</v>
      </c>
      <c r="I506" s="18" t="n">
        <v>113</v>
      </c>
      <c r="J506" s="18" t="n">
        <v>112</v>
      </c>
      <c r="K506" s="18" t="n">
        <v>0.0395384518257904</v>
      </c>
      <c r="L506" s="18" t="n">
        <v>0.0261745000488963</v>
      </c>
      <c r="M506" s="18" t="n">
        <v>1.51057142455173</v>
      </c>
      <c r="N506" s="18" t="n">
        <v>21.722267854276</v>
      </c>
      <c r="O506" s="18" t="n">
        <v>0.145308665510813</v>
      </c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 t="s">
        <v>402</v>
      </c>
      <c r="AI506" s="18"/>
      <c r="AJ506" s="18" t="s">
        <v>1048</v>
      </c>
    </row>
    <row r="507" customFormat="false" ht="15" hidden="false" customHeight="false" outlineLevel="0" collapsed="false">
      <c r="A507" s="18" t="s">
        <v>273</v>
      </c>
      <c r="B507" s="18" t="s">
        <v>565</v>
      </c>
      <c r="C507" s="18" t="s">
        <v>323</v>
      </c>
      <c r="D507" s="18" t="s">
        <v>324</v>
      </c>
      <c r="E507" s="18" t="s">
        <v>404</v>
      </c>
      <c r="F507" s="18" t="s">
        <v>401</v>
      </c>
      <c r="G507" s="18" t="n">
        <v>0.6</v>
      </c>
      <c r="H507" s="18" t="n">
        <v>2705</v>
      </c>
      <c r="I507" s="18" t="n">
        <v>113</v>
      </c>
      <c r="J507" s="18" t="n">
        <v>112</v>
      </c>
      <c r="K507" s="18" t="n">
        <v>0.0211059259499051</v>
      </c>
      <c r="L507" s="18" t="n">
        <v>0.0217939414270456</v>
      </c>
      <c r="M507" s="18" t="n">
        <v>0.968430883443292</v>
      </c>
      <c r="N507" s="18" t="n">
        <v>22.0275123256581</v>
      </c>
      <c r="O507" s="18" t="n">
        <v>0.343343087090463</v>
      </c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 t="s">
        <v>402</v>
      </c>
      <c r="AI507" s="18"/>
      <c r="AJ507" s="18" t="s">
        <v>1049</v>
      </c>
    </row>
    <row r="508" customFormat="false" ht="15" hidden="false" customHeight="false" outlineLevel="0" collapsed="false">
      <c r="A508" s="18" t="s">
        <v>273</v>
      </c>
      <c r="B508" s="18" t="s">
        <v>567</v>
      </c>
      <c r="C508" s="18" t="s">
        <v>323</v>
      </c>
      <c r="D508" s="18" t="s">
        <v>324</v>
      </c>
      <c r="E508" s="18" t="s">
        <v>404</v>
      </c>
      <c r="F508" s="18" t="s">
        <v>401</v>
      </c>
      <c r="G508" s="18" t="n">
        <v>0.6</v>
      </c>
      <c r="H508" s="18" t="n">
        <v>929</v>
      </c>
      <c r="I508" s="18" t="n">
        <v>40</v>
      </c>
      <c r="J508" s="18" t="n">
        <v>40</v>
      </c>
      <c r="K508" s="18" t="n">
        <v>-0.0135205368055129</v>
      </c>
      <c r="L508" s="18" t="n">
        <v>0.0175070406912912</v>
      </c>
      <c r="M508" s="18" t="n">
        <v>-0.772291390871027</v>
      </c>
      <c r="N508" s="18" t="n">
        <v>23.5190077186965</v>
      </c>
      <c r="O508" s="18" t="n">
        <v>0.447633526712951</v>
      </c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 t="s">
        <v>402</v>
      </c>
      <c r="AI508" s="18"/>
      <c r="AJ508" s="18" t="s">
        <v>1050</v>
      </c>
    </row>
    <row r="509" customFormat="false" ht="15" hidden="false" customHeight="false" outlineLevel="0" collapsed="false">
      <c r="A509" s="18" t="s">
        <v>273</v>
      </c>
      <c r="B509" s="18" t="s">
        <v>569</v>
      </c>
      <c r="C509" s="18" t="s">
        <v>323</v>
      </c>
      <c r="D509" s="18" t="s">
        <v>324</v>
      </c>
      <c r="E509" s="18" t="s">
        <v>404</v>
      </c>
      <c r="F509" s="18" t="s">
        <v>401</v>
      </c>
      <c r="G509" s="18" t="n">
        <v>0.6</v>
      </c>
      <c r="H509" s="18" t="n">
        <v>2692</v>
      </c>
      <c r="I509" s="18" t="n">
        <v>113</v>
      </c>
      <c r="J509" s="18" t="n">
        <v>112</v>
      </c>
      <c r="K509" s="18" t="n">
        <v>-0.0136869818609062</v>
      </c>
      <c r="L509" s="18" t="n">
        <v>0.0106344865958973</v>
      </c>
      <c r="M509" s="18" t="n">
        <v>-1.28703738892167</v>
      </c>
      <c r="N509" s="18" t="n">
        <v>39.4517538036564</v>
      </c>
      <c r="O509" s="18" t="n">
        <v>0.205581602689872</v>
      </c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 t="s">
        <v>402</v>
      </c>
      <c r="AI509" s="18"/>
      <c r="AJ509" s="18" t="s">
        <v>1051</v>
      </c>
    </row>
    <row r="510" customFormat="false" ht="15" hidden="false" customHeight="false" outlineLevel="0" collapsed="false">
      <c r="A510" s="18" t="s">
        <v>273</v>
      </c>
      <c r="B510" s="18" t="s">
        <v>571</v>
      </c>
      <c r="C510" s="18" t="s">
        <v>323</v>
      </c>
      <c r="D510" s="18" t="s">
        <v>324</v>
      </c>
      <c r="E510" s="18" t="s">
        <v>404</v>
      </c>
      <c r="F510" s="18" t="s">
        <v>401</v>
      </c>
      <c r="G510" s="18" t="n">
        <v>0.6</v>
      </c>
      <c r="H510" s="18" t="n">
        <v>2692</v>
      </c>
      <c r="I510" s="18" t="n">
        <v>113</v>
      </c>
      <c r="J510" s="18" t="n">
        <v>112</v>
      </c>
      <c r="K510" s="18" t="n">
        <v>-0.0126193839690819</v>
      </c>
      <c r="L510" s="18" t="n">
        <v>0.011237507651239</v>
      </c>
      <c r="M510" s="18" t="n">
        <v>-1.1229700001753</v>
      </c>
      <c r="N510" s="18" t="n">
        <v>30.011860397151</v>
      </c>
      <c r="O510" s="18" t="n">
        <v>0.270353639844848</v>
      </c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 t="s">
        <v>402</v>
      </c>
      <c r="AI510" s="18"/>
      <c r="AJ510" s="18" t="s">
        <v>1052</v>
      </c>
    </row>
    <row r="511" customFormat="false" ht="15" hidden="false" customHeight="false" outlineLevel="0" collapsed="false">
      <c r="A511" s="18" t="s">
        <v>273</v>
      </c>
      <c r="B511" s="18" t="s">
        <v>573</v>
      </c>
      <c r="C511" s="18" t="s">
        <v>323</v>
      </c>
      <c r="D511" s="18" t="s">
        <v>324</v>
      </c>
      <c r="E511" s="18" t="s">
        <v>404</v>
      </c>
      <c r="F511" s="18" t="s">
        <v>401</v>
      </c>
      <c r="G511" s="18" t="n">
        <v>0.6</v>
      </c>
      <c r="H511" s="18" t="n">
        <v>2692</v>
      </c>
      <c r="I511" s="18" t="n">
        <v>113</v>
      </c>
      <c r="J511" s="18" t="n">
        <v>112</v>
      </c>
      <c r="K511" s="18" t="n">
        <v>0.000929468180156177</v>
      </c>
      <c r="L511" s="18" t="n">
        <v>0.0105053945775694</v>
      </c>
      <c r="M511" s="18" t="n">
        <v>0.0884753231583257</v>
      </c>
      <c r="N511" s="18" t="n">
        <v>35.1213888195742</v>
      </c>
      <c r="O511" s="18" t="n">
        <v>0.930001477614918</v>
      </c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 t="s">
        <v>402</v>
      </c>
      <c r="AI511" s="18"/>
      <c r="AJ511" s="18" t="s">
        <v>1053</v>
      </c>
    </row>
    <row r="512" customFormat="false" ht="15" hidden="false" customHeight="false" outlineLevel="0" collapsed="false">
      <c r="A512" s="18" t="s">
        <v>273</v>
      </c>
      <c r="B512" s="18" t="s">
        <v>575</v>
      </c>
      <c r="C512" s="18" t="s">
        <v>323</v>
      </c>
      <c r="D512" s="18" t="s">
        <v>324</v>
      </c>
      <c r="E512" s="18" t="s">
        <v>404</v>
      </c>
      <c r="F512" s="18" t="s">
        <v>401</v>
      </c>
      <c r="G512" s="18" t="n">
        <v>0.6</v>
      </c>
      <c r="H512" s="18" t="n">
        <v>2692</v>
      </c>
      <c r="I512" s="18" t="n">
        <v>113</v>
      </c>
      <c r="J512" s="18" t="n">
        <v>112</v>
      </c>
      <c r="K512" s="18" t="n">
        <v>-0.0130208182639161</v>
      </c>
      <c r="L512" s="18" t="n">
        <v>0.0117169467193982</v>
      </c>
      <c r="M512" s="18" t="n">
        <v>-1.11128082902001</v>
      </c>
      <c r="N512" s="18" t="n">
        <v>26.2184338282827</v>
      </c>
      <c r="O512" s="18" t="n">
        <v>0.27653477185113</v>
      </c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 t="s">
        <v>402</v>
      </c>
      <c r="AI512" s="18"/>
      <c r="AJ512" s="18" t="s">
        <v>1054</v>
      </c>
    </row>
    <row r="513" customFormat="false" ht="15" hidden="false" customHeight="false" outlineLevel="0" collapsed="false">
      <c r="A513" s="18" t="s">
        <v>273</v>
      </c>
      <c r="B513" s="18" t="s">
        <v>577</v>
      </c>
      <c r="C513" s="18" t="s">
        <v>323</v>
      </c>
      <c r="D513" s="18" t="s">
        <v>324</v>
      </c>
      <c r="E513" s="18" t="s">
        <v>404</v>
      </c>
      <c r="F513" s="18" t="s">
        <v>401</v>
      </c>
      <c r="G513" s="18" t="n">
        <v>0.6</v>
      </c>
      <c r="H513" s="18" t="n">
        <v>2692</v>
      </c>
      <c r="I513" s="18" t="n">
        <v>113</v>
      </c>
      <c r="J513" s="18" t="n">
        <v>112</v>
      </c>
      <c r="K513" s="18" t="n">
        <v>-0.0140033720171772</v>
      </c>
      <c r="L513" s="18" t="n">
        <v>0.0149462607935559</v>
      </c>
      <c r="M513" s="18" t="n">
        <v>-0.936914738113948</v>
      </c>
      <c r="N513" s="18" t="n">
        <v>17.8693989762392</v>
      </c>
      <c r="O513" s="18" t="n">
        <v>0.361293448756007</v>
      </c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 t="s">
        <v>402</v>
      </c>
      <c r="AI513" s="18"/>
      <c r="AJ513" s="18" t="s">
        <v>1055</v>
      </c>
    </row>
    <row r="514" customFormat="false" ht="15" hidden="false" customHeight="false" outlineLevel="0" collapsed="false">
      <c r="A514" s="18" t="s">
        <v>273</v>
      </c>
      <c r="B514" s="18" t="s">
        <v>579</v>
      </c>
      <c r="C514" s="18" t="s">
        <v>323</v>
      </c>
      <c r="D514" s="18" t="s">
        <v>324</v>
      </c>
      <c r="E514" s="18" t="s">
        <v>404</v>
      </c>
      <c r="F514" s="18" t="s">
        <v>401</v>
      </c>
      <c r="G514" s="18" t="n">
        <v>0.6</v>
      </c>
      <c r="H514" s="18" t="n">
        <v>2692</v>
      </c>
      <c r="I514" s="18" t="n">
        <v>113</v>
      </c>
      <c r="J514" s="18" t="n">
        <v>112</v>
      </c>
      <c r="K514" s="18" t="n">
        <v>-0.0138038694373106</v>
      </c>
      <c r="L514" s="18" t="n">
        <v>0.0161766059398221</v>
      </c>
      <c r="M514" s="18" t="n">
        <v>-0.853322970755533</v>
      </c>
      <c r="N514" s="18" t="n">
        <v>14.6952249890948</v>
      </c>
      <c r="O514" s="18" t="n">
        <v>0.407174699933825</v>
      </c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 t="s">
        <v>402</v>
      </c>
      <c r="AI514" s="18"/>
      <c r="AJ514" s="18" t="s">
        <v>1056</v>
      </c>
    </row>
    <row r="515" customFormat="false" ht="15" hidden="false" customHeight="false" outlineLevel="0" collapsed="false">
      <c r="A515" s="18" t="s">
        <v>273</v>
      </c>
      <c r="B515" s="18" t="s">
        <v>581</v>
      </c>
      <c r="C515" s="18" t="s">
        <v>323</v>
      </c>
      <c r="D515" s="18" t="s">
        <v>324</v>
      </c>
      <c r="E515" s="18" t="s">
        <v>404</v>
      </c>
      <c r="F515" s="18" t="s">
        <v>401</v>
      </c>
      <c r="G515" s="18" t="n">
        <v>0.6</v>
      </c>
      <c r="H515" s="18" t="n">
        <v>2692</v>
      </c>
      <c r="I515" s="18" t="n">
        <v>113</v>
      </c>
      <c r="J515" s="18" t="n">
        <v>112</v>
      </c>
      <c r="K515" s="18" t="n">
        <v>0.00282285531924988</v>
      </c>
      <c r="L515" s="18" t="n">
        <v>0.00906118999805024</v>
      </c>
      <c r="M515" s="18" t="n">
        <v>0.311532516132792</v>
      </c>
      <c r="N515" s="18" t="n">
        <v>44.6771175491517</v>
      </c>
      <c r="O515" s="18" t="n">
        <v>0.756844958547069</v>
      </c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 t="s">
        <v>402</v>
      </c>
      <c r="AI515" s="18"/>
      <c r="AJ515" s="18" t="s">
        <v>1057</v>
      </c>
    </row>
    <row r="516" customFormat="false" ht="15" hidden="false" customHeight="false" outlineLevel="0" collapsed="false">
      <c r="A516" s="18" t="s">
        <v>273</v>
      </c>
      <c r="B516" s="18" t="s">
        <v>583</v>
      </c>
      <c r="C516" s="18" t="s">
        <v>323</v>
      </c>
      <c r="D516" s="18" t="s">
        <v>324</v>
      </c>
      <c r="E516" s="18" t="s">
        <v>404</v>
      </c>
      <c r="F516" s="18" t="s">
        <v>401</v>
      </c>
      <c r="G516" s="18" t="n">
        <v>0.6</v>
      </c>
      <c r="H516" s="18" t="n">
        <v>2692</v>
      </c>
      <c r="I516" s="18" t="n">
        <v>113</v>
      </c>
      <c r="J516" s="18" t="n">
        <v>112</v>
      </c>
      <c r="K516" s="18" t="n">
        <v>0.0109351530850449</v>
      </c>
      <c r="L516" s="18" t="n">
        <v>0.00875635836965473</v>
      </c>
      <c r="M516" s="18" t="n">
        <v>1.24882429697496</v>
      </c>
      <c r="N516" s="18" t="n">
        <v>59.6132281448044</v>
      </c>
      <c r="O516" s="18" t="n">
        <v>0.216611273801657</v>
      </c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 t="s">
        <v>402</v>
      </c>
      <c r="AI516" s="18"/>
      <c r="AJ516" s="18" t="s">
        <v>1058</v>
      </c>
    </row>
    <row r="517" customFormat="false" ht="15" hidden="false" customHeight="false" outlineLevel="0" collapsed="false">
      <c r="A517" s="18" t="s">
        <v>273</v>
      </c>
      <c r="B517" s="18" t="s">
        <v>585</v>
      </c>
      <c r="C517" s="18" t="s">
        <v>323</v>
      </c>
      <c r="D517" s="18" t="s">
        <v>324</v>
      </c>
      <c r="E517" s="18" t="s">
        <v>404</v>
      </c>
      <c r="F517" s="18" t="s">
        <v>401</v>
      </c>
      <c r="G517" s="18" t="n">
        <v>0.6</v>
      </c>
      <c r="H517" s="18" t="n">
        <v>2692</v>
      </c>
      <c r="I517" s="18" t="n">
        <v>113</v>
      </c>
      <c r="J517" s="18" t="n">
        <v>112</v>
      </c>
      <c r="K517" s="18" t="n">
        <v>-0.000709877787067631</v>
      </c>
      <c r="L517" s="18" t="n">
        <v>0.00907514621769104</v>
      </c>
      <c r="M517" s="18" t="n">
        <v>-0.0782221872837486</v>
      </c>
      <c r="N517" s="18" t="n">
        <v>67.552616101572</v>
      </c>
      <c r="O517" s="18" t="n">
        <v>0.937882554782686</v>
      </c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 t="s">
        <v>402</v>
      </c>
      <c r="AI517" s="18"/>
      <c r="AJ517" s="18" t="s">
        <v>1059</v>
      </c>
    </row>
    <row r="518" customFormat="false" ht="15" hidden="false" customHeight="false" outlineLevel="0" collapsed="false">
      <c r="A518" s="18" t="s">
        <v>273</v>
      </c>
      <c r="B518" s="18" t="s">
        <v>587</v>
      </c>
      <c r="C518" s="18" t="s">
        <v>323</v>
      </c>
      <c r="D518" s="18" t="s">
        <v>324</v>
      </c>
      <c r="E518" s="18" t="s">
        <v>404</v>
      </c>
      <c r="F518" s="18" t="s">
        <v>401</v>
      </c>
      <c r="G518" s="18" t="n">
        <v>0.6</v>
      </c>
      <c r="H518" s="18" t="n">
        <v>924</v>
      </c>
      <c r="I518" s="18" t="n">
        <v>40</v>
      </c>
      <c r="J518" s="18" t="n">
        <v>40</v>
      </c>
      <c r="K518" s="18" t="n">
        <v>-0.0216206677177903</v>
      </c>
      <c r="L518" s="18" t="n">
        <v>0.0197061336334792</v>
      </c>
      <c r="M518" s="18" t="n">
        <v>-1.09715422212801</v>
      </c>
      <c r="N518" s="18" t="n">
        <v>24.0676144161052</v>
      </c>
      <c r="O518" s="18" t="n">
        <v>0.283430389239589</v>
      </c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 t="s">
        <v>402</v>
      </c>
      <c r="AI518" s="18"/>
      <c r="AJ518" s="18" t="s">
        <v>1060</v>
      </c>
    </row>
    <row r="519" customFormat="false" ht="15" hidden="false" customHeight="false" outlineLevel="0" collapsed="false">
      <c r="A519" s="18" t="s">
        <v>273</v>
      </c>
      <c r="B519" s="18" t="s">
        <v>589</v>
      </c>
      <c r="C519" s="18" t="s">
        <v>323</v>
      </c>
      <c r="D519" s="18" t="s">
        <v>324</v>
      </c>
      <c r="E519" s="18" t="s">
        <v>404</v>
      </c>
      <c r="F519" s="18" t="s">
        <v>401</v>
      </c>
      <c r="G519" s="18" t="n">
        <v>0.6</v>
      </c>
      <c r="H519" s="18" t="n">
        <v>2705</v>
      </c>
      <c r="I519" s="18" t="n">
        <v>113</v>
      </c>
      <c r="J519" s="18" t="n">
        <v>112</v>
      </c>
      <c r="K519" s="18" t="n">
        <v>-0.00999974101418089</v>
      </c>
      <c r="L519" s="18" t="n">
        <v>0.0111645000507781</v>
      </c>
      <c r="M519" s="18" t="n">
        <v>-0.895672978521235</v>
      </c>
      <c r="N519" s="18" t="n">
        <v>34.5777118593903</v>
      </c>
      <c r="O519" s="18" t="n">
        <v>0.376620651352357</v>
      </c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 t="s">
        <v>402</v>
      </c>
      <c r="AI519" s="18"/>
      <c r="AJ519" s="18" t="s">
        <v>1061</v>
      </c>
    </row>
    <row r="520" customFormat="false" ht="15" hidden="false" customHeight="false" outlineLevel="0" collapsed="false">
      <c r="A520" s="18" t="s">
        <v>273</v>
      </c>
      <c r="B520" s="18" t="s">
        <v>591</v>
      </c>
      <c r="C520" s="18" t="s">
        <v>323</v>
      </c>
      <c r="D520" s="18" t="s">
        <v>324</v>
      </c>
      <c r="E520" s="18" t="s">
        <v>404</v>
      </c>
      <c r="F520" s="18" t="s">
        <v>401</v>
      </c>
      <c r="G520" s="18" t="n">
        <v>0.6</v>
      </c>
      <c r="H520" s="18" t="n">
        <v>2705</v>
      </c>
      <c r="I520" s="18" t="n">
        <v>113</v>
      </c>
      <c r="J520" s="18" t="n">
        <v>112</v>
      </c>
      <c r="K520" s="18" t="n">
        <v>-0.00797110146976424</v>
      </c>
      <c r="L520" s="18" t="n">
        <v>0.0115381043580563</v>
      </c>
      <c r="M520" s="18" t="n">
        <v>-0.69085017975232</v>
      </c>
      <c r="N520" s="18" t="n">
        <v>26.5439561451657</v>
      </c>
      <c r="O520" s="18" t="n">
        <v>0.495657303991415</v>
      </c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 t="s">
        <v>402</v>
      </c>
      <c r="AI520" s="18"/>
      <c r="AJ520" s="18" t="s">
        <v>1062</v>
      </c>
    </row>
    <row r="521" customFormat="false" ht="15" hidden="false" customHeight="false" outlineLevel="0" collapsed="false">
      <c r="A521" s="18" t="s">
        <v>273</v>
      </c>
      <c r="B521" s="18" t="s">
        <v>593</v>
      </c>
      <c r="C521" s="18" t="s">
        <v>323</v>
      </c>
      <c r="D521" s="18" t="s">
        <v>324</v>
      </c>
      <c r="E521" s="18" t="s">
        <v>404</v>
      </c>
      <c r="F521" s="18" t="s">
        <v>401</v>
      </c>
      <c r="G521" s="18" t="n">
        <v>0.6</v>
      </c>
      <c r="H521" s="18" t="n">
        <v>2705</v>
      </c>
      <c r="I521" s="18" t="n">
        <v>113</v>
      </c>
      <c r="J521" s="18" t="n">
        <v>112</v>
      </c>
      <c r="K521" s="18" t="n">
        <v>0.00152983571975651</v>
      </c>
      <c r="L521" s="18" t="n">
        <v>0.010615785191878</v>
      </c>
      <c r="M521" s="18" t="n">
        <v>0.144109521067454</v>
      </c>
      <c r="N521" s="18" t="n">
        <v>36.0702118980511</v>
      </c>
      <c r="O521" s="18" t="n">
        <v>0.886216145797012</v>
      </c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 t="s">
        <v>402</v>
      </c>
      <c r="AI521" s="18"/>
      <c r="AJ521" s="18" t="s">
        <v>1063</v>
      </c>
    </row>
    <row r="522" customFormat="false" ht="15" hidden="false" customHeight="false" outlineLevel="0" collapsed="false">
      <c r="A522" s="18" t="s">
        <v>273</v>
      </c>
      <c r="B522" s="18" t="s">
        <v>595</v>
      </c>
      <c r="C522" s="18" t="s">
        <v>323</v>
      </c>
      <c r="D522" s="18" t="s">
        <v>324</v>
      </c>
      <c r="E522" s="18" t="s">
        <v>404</v>
      </c>
      <c r="F522" s="18" t="s">
        <v>401</v>
      </c>
      <c r="G522" s="18" t="n">
        <v>0.6</v>
      </c>
      <c r="H522" s="18" t="n">
        <v>2705</v>
      </c>
      <c r="I522" s="18" t="n">
        <v>113</v>
      </c>
      <c r="J522" s="18" t="n">
        <v>112</v>
      </c>
      <c r="K522" s="18" t="n">
        <v>-0.00858802520412875</v>
      </c>
      <c r="L522" s="18" t="n">
        <v>0.0120643574071252</v>
      </c>
      <c r="M522" s="18" t="n">
        <v>-0.711851026483735</v>
      </c>
      <c r="N522" s="18" t="n">
        <v>23.1704899971089</v>
      </c>
      <c r="O522" s="18" t="n">
        <v>0.483663359429037</v>
      </c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 t="s">
        <v>402</v>
      </c>
      <c r="AI522" s="18"/>
      <c r="AJ522" s="18" t="s">
        <v>1064</v>
      </c>
    </row>
    <row r="523" customFormat="false" ht="15" hidden="false" customHeight="false" outlineLevel="0" collapsed="false">
      <c r="A523" s="18" t="s">
        <v>273</v>
      </c>
      <c r="B523" s="18" t="s">
        <v>597</v>
      </c>
      <c r="C523" s="18" t="s">
        <v>323</v>
      </c>
      <c r="D523" s="18" t="s">
        <v>324</v>
      </c>
      <c r="E523" s="18" t="s">
        <v>404</v>
      </c>
      <c r="F523" s="18" t="s">
        <v>401</v>
      </c>
      <c r="G523" s="18" t="n">
        <v>0.6</v>
      </c>
      <c r="H523" s="18" t="n">
        <v>2705</v>
      </c>
      <c r="I523" s="18" t="n">
        <v>113</v>
      </c>
      <c r="J523" s="18" t="n">
        <v>112</v>
      </c>
      <c r="K523" s="18" t="n">
        <v>-0.0104183277000037</v>
      </c>
      <c r="L523" s="18" t="n">
        <v>0.0151249237721201</v>
      </c>
      <c r="M523" s="18" t="n">
        <v>-0.688818526094518</v>
      </c>
      <c r="N523" s="18" t="n">
        <v>18.0040564180428</v>
      </c>
      <c r="O523" s="18" t="n">
        <v>0.499718544536712</v>
      </c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 t="s">
        <v>402</v>
      </c>
      <c r="AI523" s="18"/>
      <c r="AJ523" s="18" t="s">
        <v>1065</v>
      </c>
    </row>
    <row r="524" customFormat="false" ht="15" hidden="false" customHeight="false" outlineLevel="0" collapsed="false">
      <c r="A524" s="18" t="s">
        <v>273</v>
      </c>
      <c r="B524" s="18" t="s">
        <v>599</v>
      </c>
      <c r="C524" s="18" t="s">
        <v>323</v>
      </c>
      <c r="D524" s="18" t="s">
        <v>324</v>
      </c>
      <c r="E524" s="18" t="s">
        <v>404</v>
      </c>
      <c r="F524" s="18" t="s">
        <v>401</v>
      </c>
      <c r="G524" s="18" t="n">
        <v>0.6</v>
      </c>
      <c r="H524" s="18" t="n">
        <v>2705</v>
      </c>
      <c r="I524" s="18" t="n">
        <v>113</v>
      </c>
      <c r="J524" s="18" t="n">
        <v>112</v>
      </c>
      <c r="K524" s="18" t="n">
        <v>-0.0100011023178915</v>
      </c>
      <c r="L524" s="18" t="n">
        <v>0.0163691328479773</v>
      </c>
      <c r="M524" s="18" t="n">
        <v>-0.610973251348941</v>
      </c>
      <c r="N524" s="18" t="n">
        <v>14.8073555060295</v>
      </c>
      <c r="O524" s="18" t="n">
        <v>0.550481757946502</v>
      </c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 t="s">
        <v>402</v>
      </c>
      <c r="AI524" s="18"/>
      <c r="AJ524" s="18" t="s">
        <v>1066</v>
      </c>
    </row>
    <row r="525" customFormat="false" ht="15" hidden="false" customHeight="false" outlineLevel="0" collapsed="false">
      <c r="A525" s="18" t="s">
        <v>273</v>
      </c>
      <c r="B525" s="18" t="s">
        <v>601</v>
      </c>
      <c r="C525" s="18" t="s">
        <v>323</v>
      </c>
      <c r="D525" s="18" t="s">
        <v>324</v>
      </c>
      <c r="E525" s="18" t="s">
        <v>404</v>
      </c>
      <c r="F525" s="18" t="s">
        <v>401</v>
      </c>
      <c r="G525" s="18" t="n">
        <v>0.6</v>
      </c>
      <c r="H525" s="18" t="n">
        <v>2705</v>
      </c>
      <c r="I525" s="18" t="n">
        <v>113</v>
      </c>
      <c r="J525" s="18" t="n">
        <v>112</v>
      </c>
      <c r="K525" s="18" t="n">
        <v>0.0055924224088963</v>
      </c>
      <c r="L525" s="18" t="n">
        <v>0.00944766868614567</v>
      </c>
      <c r="M525" s="18" t="n">
        <v>0.591936761827517</v>
      </c>
      <c r="N525" s="18" t="n">
        <v>39.0112150348921</v>
      </c>
      <c r="O525" s="18" t="n">
        <v>0.55730815793052</v>
      </c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 t="s">
        <v>402</v>
      </c>
      <c r="AI525" s="18"/>
      <c r="AJ525" s="18" t="s">
        <v>1067</v>
      </c>
    </row>
    <row r="526" customFormat="false" ht="15" hidden="false" customHeight="false" outlineLevel="0" collapsed="false">
      <c r="A526" s="18" t="s">
        <v>273</v>
      </c>
      <c r="B526" s="18" t="s">
        <v>603</v>
      </c>
      <c r="C526" s="18" t="s">
        <v>323</v>
      </c>
      <c r="D526" s="18" t="s">
        <v>324</v>
      </c>
      <c r="E526" s="18" t="s">
        <v>404</v>
      </c>
      <c r="F526" s="18" t="s">
        <v>401</v>
      </c>
      <c r="G526" s="18" t="n">
        <v>0.6</v>
      </c>
      <c r="H526" s="18" t="n">
        <v>2705</v>
      </c>
      <c r="I526" s="18" t="n">
        <v>113</v>
      </c>
      <c r="J526" s="18" t="n">
        <v>112</v>
      </c>
      <c r="K526" s="18" t="n">
        <v>0.0172293741613209</v>
      </c>
      <c r="L526" s="18" t="n">
        <v>0.00916258983614792</v>
      </c>
      <c r="M526" s="18" t="n">
        <v>1.88040439105417</v>
      </c>
      <c r="N526" s="18" t="n">
        <v>52.0259577474513</v>
      </c>
      <c r="O526" s="18" t="n">
        <v>0.0656564142994178</v>
      </c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 t="s">
        <v>402</v>
      </c>
      <c r="AI526" s="18"/>
      <c r="AJ526" s="18" t="s">
        <v>1068</v>
      </c>
    </row>
    <row r="527" customFormat="false" ht="15" hidden="false" customHeight="false" outlineLevel="0" collapsed="false">
      <c r="A527" s="18" t="s">
        <v>273</v>
      </c>
      <c r="B527" s="18" t="s">
        <v>605</v>
      </c>
      <c r="C527" s="18" t="s">
        <v>323</v>
      </c>
      <c r="D527" s="18" t="s">
        <v>324</v>
      </c>
      <c r="E527" s="18" t="s">
        <v>404</v>
      </c>
      <c r="F527" s="18" t="s">
        <v>401</v>
      </c>
      <c r="G527" s="18" t="n">
        <v>0.6</v>
      </c>
      <c r="H527" s="18" t="n">
        <v>2705</v>
      </c>
      <c r="I527" s="18" t="n">
        <v>113</v>
      </c>
      <c r="J527" s="18" t="n">
        <v>112</v>
      </c>
      <c r="K527" s="18" t="n">
        <v>0.00481718412352352</v>
      </c>
      <c r="L527" s="18" t="n">
        <v>0.00921359028045548</v>
      </c>
      <c r="M527" s="18" t="n">
        <v>0.522834636324352</v>
      </c>
      <c r="N527" s="18" t="n">
        <v>57.3707419206614</v>
      </c>
      <c r="O527" s="18" t="n">
        <v>0.603102739773222</v>
      </c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 t="s">
        <v>402</v>
      </c>
      <c r="AI527" s="18"/>
      <c r="AJ527" s="18" t="s">
        <v>1069</v>
      </c>
    </row>
    <row r="528" customFormat="false" ht="15" hidden="false" customHeight="false" outlineLevel="0" collapsed="false">
      <c r="A528" s="18" t="s">
        <v>273</v>
      </c>
      <c r="B528" s="18" t="s">
        <v>607</v>
      </c>
      <c r="C528" s="18" t="s">
        <v>323</v>
      </c>
      <c r="D528" s="18" t="s">
        <v>324</v>
      </c>
      <c r="E528" s="18" t="s">
        <v>404</v>
      </c>
      <c r="F528" s="18" t="s">
        <v>401</v>
      </c>
      <c r="G528" s="18" t="n">
        <v>0.6</v>
      </c>
      <c r="H528" s="18" t="n">
        <v>929</v>
      </c>
      <c r="I528" s="18" t="n">
        <v>40</v>
      </c>
      <c r="J528" s="18" t="n">
        <v>40</v>
      </c>
      <c r="K528" s="18" t="n">
        <v>-0.0169248961423498</v>
      </c>
      <c r="L528" s="18" t="n">
        <v>0.019071348372618</v>
      </c>
      <c r="M528" s="18" t="n">
        <v>-0.887451469695242</v>
      </c>
      <c r="N528" s="18" t="n">
        <v>23.9448499804801</v>
      </c>
      <c r="O528" s="18" t="n">
        <v>0.383663448782998</v>
      </c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 t="s">
        <v>402</v>
      </c>
      <c r="AI528" s="18"/>
      <c r="AJ528" s="18" t="s">
        <v>1070</v>
      </c>
    </row>
    <row r="529" customFormat="false" ht="15" hidden="false" customHeight="false" outlineLevel="0" collapsed="false">
      <c r="A529" s="18" t="s">
        <v>273</v>
      </c>
      <c r="B529" s="18" t="s">
        <v>609</v>
      </c>
      <c r="C529" s="18" t="s">
        <v>323</v>
      </c>
      <c r="D529" s="18" t="s">
        <v>324</v>
      </c>
      <c r="E529" s="18" t="s">
        <v>404</v>
      </c>
      <c r="F529" s="18" t="s">
        <v>401</v>
      </c>
      <c r="G529" s="18" t="n">
        <v>0.6</v>
      </c>
      <c r="H529" s="18" t="n">
        <v>2607</v>
      </c>
      <c r="I529" s="18" t="n">
        <v>110</v>
      </c>
      <c r="J529" s="18" t="n">
        <v>109</v>
      </c>
      <c r="K529" s="18" t="n">
        <v>0.00606673894674176</v>
      </c>
      <c r="L529" s="18" t="n">
        <v>0.019195428510402</v>
      </c>
      <c r="M529" s="18" t="n">
        <v>0.316051238108813</v>
      </c>
      <c r="N529" s="18" t="n">
        <v>14.1242671087864</v>
      </c>
      <c r="O529" s="18" t="n">
        <v>0.756585797791629</v>
      </c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 t="s">
        <v>402</v>
      </c>
      <c r="AI529" s="18"/>
      <c r="AJ529" s="18" t="s">
        <v>1071</v>
      </c>
    </row>
    <row r="530" customFormat="false" ht="15" hidden="false" customHeight="false" outlineLevel="0" collapsed="false">
      <c r="A530" s="18" t="s">
        <v>273</v>
      </c>
      <c r="B530" s="18" t="s">
        <v>611</v>
      </c>
      <c r="C530" s="18" t="s">
        <v>323</v>
      </c>
      <c r="D530" s="18" t="s">
        <v>324</v>
      </c>
      <c r="E530" s="18" t="s">
        <v>404</v>
      </c>
      <c r="F530" s="18" t="s">
        <v>401</v>
      </c>
      <c r="G530" s="18" t="n">
        <v>0.6</v>
      </c>
      <c r="H530" s="18" t="n">
        <v>2607</v>
      </c>
      <c r="I530" s="18" t="n">
        <v>110</v>
      </c>
      <c r="J530" s="18" t="n">
        <v>109</v>
      </c>
      <c r="K530" s="18" t="n">
        <v>0.00569222835740845</v>
      </c>
      <c r="L530" s="18" t="n">
        <v>0.0188960821224807</v>
      </c>
      <c r="M530" s="18" t="n">
        <v>0.301238548843752</v>
      </c>
      <c r="N530" s="18" t="n">
        <v>11.604186236531</v>
      </c>
      <c r="O530" s="18" t="n">
        <v>0.768562132557084</v>
      </c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 t="s">
        <v>402</v>
      </c>
      <c r="AI530" s="18"/>
      <c r="AJ530" s="18" t="s">
        <v>1072</v>
      </c>
    </row>
    <row r="531" customFormat="false" ht="15" hidden="false" customHeight="false" outlineLevel="0" collapsed="false">
      <c r="A531" s="18" t="s">
        <v>273</v>
      </c>
      <c r="B531" s="18" t="s">
        <v>613</v>
      </c>
      <c r="C531" s="18" t="s">
        <v>323</v>
      </c>
      <c r="D531" s="18" t="s">
        <v>324</v>
      </c>
      <c r="E531" s="18" t="s">
        <v>404</v>
      </c>
      <c r="F531" s="18" t="s">
        <v>401</v>
      </c>
      <c r="G531" s="18" t="n">
        <v>0.6</v>
      </c>
      <c r="H531" s="18" t="n">
        <v>2607</v>
      </c>
      <c r="I531" s="18" t="n">
        <v>110</v>
      </c>
      <c r="J531" s="18" t="n">
        <v>109</v>
      </c>
      <c r="K531" s="18" t="n">
        <v>-0.0187141448309038</v>
      </c>
      <c r="L531" s="18" t="n">
        <v>0.0219367745552611</v>
      </c>
      <c r="M531" s="18" t="n">
        <v>-0.853094641774289</v>
      </c>
      <c r="N531" s="18" t="n">
        <v>37.3621392729533</v>
      </c>
      <c r="O531" s="18" t="n">
        <v>0.399042991879303</v>
      </c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 t="s">
        <v>402</v>
      </c>
      <c r="AI531" s="18"/>
      <c r="AJ531" s="18" t="s">
        <v>1073</v>
      </c>
    </row>
    <row r="532" customFormat="false" ht="15" hidden="false" customHeight="false" outlineLevel="0" collapsed="false">
      <c r="A532" s="18" t="s">
        <v>273</v>
      </c>
      <c r="B532" s="18" t="s">
        <v>615</v>
      </c>
      <c r="C532" s="18" t="s">
        <v>323</v>
      </c>
      <c r="D532" s="18" t="s">
        <v>324</v>
      </c>
      <c r="E532" s="18" t="s">
        <v>404</v>
      </c>
      <c r="F532" s="18" t="s">
        <v>401</v>
      </c>
      <c r="G532" s="18" t="n">
        <v>0.6</v>
      </c>
      <c r="H532" s="18" t="n">
        <v>2607</v>
      </c>
      <c r="I532" s="18" t="n">
        <v>110</v>
      </c>
      <c r="J532" s="18" t="n">
        <v>109</v>
      </c>
      <c r="K532" s="18" t="n">
        <v>0.00386522019527203</v>
      </c>
      <c r="L532" s="18" t="n">
        <v>0.0192545017857303</v>
      </c>
      <c r="M532" s="18" t="n">
        <v>0.200743713770698</v>
      </c>
      <c r="N532" s="18" t="n">
        <v>10.2844870685939</v>
      </c>
      <c r="O532" s="18" t="n">
        <v>0.844813443633098</v>
      </c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 t="s">
        <v>402</v>
      </c>
      <c r="AI532" s="18"/>
      <c r="AJ532" s="18" t="s">
        <v>1074</v>
      </c>
    </row>
    <row r="533" customFormat="false" ht="15" hidden="false" customHeight="false" outlineLevel="0" collapsed="false">
      <c r="A533" s="18" t="s">
        <v>273</v>
      </c>
      <c r="B533" s="18" t="s">
        <v>617</v>
      </c>
      <c r="C533" s="18" t="s">
        <v>323</v>
      </c>
      <c r="D533" s="18" t="s">
        <v>324</v>
      </c>
      <c r="E533" s="18" t="s">
        <v>404</v>
      </c>
      <c r="F533" s="18" t="s">
        <v>401</v>
      </c>
      <c r="G533" s="18" t="n">
        <v>0.6</v>
      </c>
      <c r="H533" s="18" t="n">
        <v>2607</v>
      </c>
      <c r="I533" s="18" t="n">
        <v>110</v>
      </c>
      <c r="J533" s="18" t="n">
        <v>109</v>
      </c>
      <c r="K533" s="18" t="n">
        <v>-0.00314535046332531</v>
      </c>
      <c r="L533" s="18" t="n">
        <v>0.0229049839323814</v>
      </c>
      <c r="M533" s="18" t="n">
        <v>-0.137321662071923</v>
      </c>
      <c r="N533" s="18" t="n">
        <v>18.9413960034984</v>
      </c>
      <c r="O533" s="18" t="n">
        <v>0.892225747279137</v>
      </c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 t="s">
        <v>402</v>
      </c>
      <c r="AI533" s="18"/>
      <c r="AJ533" s="18" t="s">
        <v>1075</v>
      </c>
    </row>
    <row r="534" customFormat="false" ht="15" hidden="false" customHeight="false" outlineLevel="0" collapsed="false">
      <c r="A534" s="18" t="s">
        <v>273</v>
      </c>
      <c r="B534" s="18" t="s">
        <v>619</v>
      </c>
      <c r="C534" s="18" t="s">
        <v>323</v>
      </c>
      <c r="D534" s="18" t="s">
        <v>324</v>
      </c>
      <c r="E534" s="18" t="s">
        <v>404</v>
      </c>
      <c r="F534" s="18" t="s">
        <v>401</v>
      </c>
      <c r="G534" s="18" t="n">
        <v>0.6</v>
      </c>
      <c r="H534" s="18" t="n">
        <v>2607</v>
      </c>
      <c r="I534" s="18" t="n">
        <v>110</v>
      </c>
      <c r="J534" s="18" t="n">
        <v>109</v>
      </c>
      <c r="K534" s="18" t="n">
        <v>-0.00252987082640581</v>
      </c>
      <c r="L534" s="18" t="n">
        <v>0.023445767081058</v>
      </c>
      <c r="M534" s="18" t="n">
        <v>-0.107903094731744</v>
      </c>
      <c r="N534" s="18" t="n">
        <v>15.5600165739861</v>
      </c>
      <c r="O534" s="18" t="n">
        <v>0.915451669540358</v>
      </c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 t="s">
        <v>402</v>
      </c>
      <c r="AI534" s="18"/>
      <c r="AJ534" s="18" t="s">
        <v>1076</v>
      </c>
    </row>
    <row r="535" customFormat="false" ht="15" hidden="false" customHeight="false" outlineLevel="0" collapsed="false">
      <c r="A535" s="18" t="s">
        <v>273</v>
      </c>
      <c r="B535" s="18" t="s">
        <v>621</v>
      </c>
      <c r="C535" s="18" t="s">
        <v>323</v>
      </c>
      <c r="D535" s="18" t="s">
        <v>324</v>
      </c>
      <c r="E535" s="18" t="s">
        <v>404</v>
      </c>
      <c r="F535" s="18" t="s">
        <v>401</v>
      </c>
      <c r="G535" s="18" t="n">
        <v>0.6</v>
      </c>
      <c r="H535" s="18" t="n">
        <v>2607</v>
      </c>
      <c r="I535" s="18" t="n">
        <v>110</v>
      </c>
      <c r="J535" s="18" t="n">
        <v>109</v>
      </c>
      <c r="K535" s="18" t="n">
        <v>-0.0130522493056419</v>
      </c>
      <c r="L535" s="18" t="n">
        <v>0.0225036034009268</v>
      </c>
      <c r="M535" s="18" t="n">
        <v>-0.580007080337381</v>
      </c>
      <c r="N535" s="18" t="n">
        <v>15.8615637599425</v>
      </c>
      <c r="O535" s="18" t="n">
        <v>0.570057985395306</v>
      </c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 t="s">
        <v>402</v>
      </c>
      <c r="AI535" s="18"/>
      <c r="AJ535" s="18" t="s">
        <v>1077</v>
      </c>
    </row>
    <row r="536" customFormat="false" ht="15" hidden="false" customHeight="false" outlineLevel="0" collapsed="false">
      <c r="A536" s="18" t="s">
        <v>273</v>
      </c>
      <c r="B536" s="18" t="s">
        <v>623</v>
      </c>
      <c r="C536" s="18" t="s">
        <v>323</v>
      </c>
      <c r="D536" s="18" t="s">
        <v>324</v>
      </c>
      <c r="E536" s="18" t="s">
        <v>404</v>
      </c>
      <c r="F536" s="18" t="s">
        <v>401</v>
      </c>
      <c r="G536" s="18" t="n">
        <v>0.6</v>
      </c>
      <c r="H536" s="18" t="n">
        <v>2607</v>
      </c>
      <c r="I536" s="18" t="n">
        <v>110</v>
      </c>
      <c r="J536" s="18" t="n">
        <v>109</v>
      </c>
      <c r="K536" s="18" t="n">
        <v>0.0356050774398069</v>
      </c>
      <c r="L536" s="18" t="n">
        <v>0.027387649413296</v>
      </c>
      <c r="M536" s="18" t="n">
        <v>1.30004137640675</v>
      </c>
      <c r="N536" s="18" t="n">
        <v>19.7396989857353</v>
      </c>
      <c r="O536" s="18" t="n">
        <v>0.208562863840863</v>
      </c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 t="s">
        <v>402</v>
      </c>
      <c r="AI536" s="18"/>
      <c r="AJ536" s="18" t="s">
        <v>1078</v>
      </c>
    </row>
    <row r="537" customFormat="false" ht="15" hidden="false" customHeight="false" outlineLevel="0" collapsed="false">
      <c r="A537" s="18" t="s">
        <v>273</v>
      </c>
      <c r="B537" s="18" t="s">
        <v>625</v>
      </c>
      <c r="C537" s="18" t="s">
        <v>323</v>
      </c>
      <c r="D537" s="18" t="s">
        <v>324</v>
      </c>
      <c r="E537" s="18" t="s">
        <v>404</v>
      </c>
      <c r="F537" s="18" t="s">
        <v>401</v>
      </c>
      <c r="G537" s="18" t="n">
        <v>0.6</v>
      </c>
      <c r="H537" s="18" t="n">
        <v>2607</v>
      </c>
      <c r="I537" s="18" t="n">
        <v>110</v>
      </c>
      <c r="J537" s="18" t="n">
        <v>109</v>
      </c>
      <c r="K537" s="18" t="n">
        <v>0.0175068049097134</v>
      </c>
      <c r="L537" s="18" t="n">
        <v>0.0227156891863874</v>
      </c>
      <c r="M537" s="18" t="n">
        <v>0.770692219199956</v>
      </c>
      <c r="N537" s="18" t="n">
        <v>20.3296122313938</v>
      </c>
      <c r="O537" s="18" t="n">
        <v>0.449754017606192</v>
      </c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 t="s">
        <v>402</v>
      </c>
      <c r="AI537" s="18"/>
      <c r="AJ537" s="18" t="s">
        <v>1079</v>
      </c>
    </row>
    <row r="538" customFormat="false" ht="15" hidden="false" customHeight="false" outlineLevel="0" collapsed="false">
      <c r="A538" s="18" t="s">
        <v>273</v>
      </c>
      <c r="B538" s="18" t="s">
        <v>627</v>
      </c>
      <c r="C538" s="18" t="s">
        <v>323</v>
      </c>
      <c r="D538" s="18" t="s">
        <v>324</v>
      </c>
      <c r="E538" s="18" t="s">
        <v>404</v>
      </c>
      <c r="F538" s="18" t="s">
        <v>401</v>
      </c>
      <c r="G538" s="18" t="n">
        <v>0.6</v>
      </c>
      <c r="H538" s="18" t="n">
        <v>905</v>
      </c>
      <c r="I538" s="18" t="n">
        <v>38</v>
      </c>
      <c r="J538" s="18" t="n">
        <v>38</v>
      </c>
      <c r="K538" s="18" t="n">
        <v>-0.0194811468374881</v>
      </c>
      <c r="L538" s="18" t="n">
        <v>0.0182040565769635</v>
      </c>
      <c r="M538" s="18" t="n">
        <v>-1.07015415795514</v>
      </c>
      <c r="N538" s="18" t="n">
        <v>24.0998665011263</v>
      </c>
      <c r="O538" s="18" t="n">
        <v>0.29515130923486</v>
      </c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 t="s">
        <v>402</v>
      </c>
      <c r="AI538" s="18"/>
      <c r="AJ538" s="18" t="s">
        <v>1080</v>
      </c>
    </row>
    <row r="539" customFormat="false" ht="15" hidden="false" customHeight="false" outlineLevel="0" collapsed="false">
      <c r="A539" s="18" t="s">
        <v>273</v>
      </c>
      <c r="B539" s="18" t="s">
        <v>629</v>
      </c>
      <c r="C539" s="18" t="s">
        <v>323</v>
      </c>
      <c r="D539" s="18" t="s">
        <v>324</v>
      </c>
      <c r="E539" s="18" t="s">
        <v>404</v>
      </c>
      <c r="F539" s="18" t="s">
        <v>401</v>
      </c>
      <c r="G539" s="18" t="n">
        <v>0.6</v>
      </c>
      <c r="H539" s="18" t="n">
        <v>2594</v>
      </c>
      <c r="I539" s="18" t="n">
        <v>110</v>
      </c>
      <c r="J539" s="18" t="n">
        <v>109</v>
      </c>
      <c r="K539" s="18" t="n">
        <v>-0.0179089179787999</v>
      </c>
      <c r="L539" s="18" t="n">
        <v>0.0110991452836198</v>
      </c>
      <c r="M539" s="18" t="n">
        <v>-1.61354027910871</v>
      </c>
      <c r="N539" s="18" t="n">
        <v>38.2925665739078</v>
      </c>
      <c r="O539" s="18" t="n">
        <v>0.114839090296577</v>
      </c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 t="s">
        <v>402</v>
      </c>
      <c r="AI539" s="18"/>
      <c r="AJ539" s="18" t="s">
        <v>1081</v>
      </c>
    </row>
    <row r="540" customFormat="false" ht="15" hidden="false" customHeight="false" outlineLevel="0" collapsed="false">
      <c r="A540" s="18" t="s">
        <v>273</v>
      </c>
      <c r="B540" s="18" t="s">
        <v>631</v>
      </c>
      <c r="C540" s="18" t="s">
        <v>323</v>
      </c>
      <c r="D540" s="18" t="s">
        <v>324</v>
      </c>
      <c r="E540" s="18" t="s">
        <v>404</v>
      </c>
      <c r="F540" s="18" t="s">
        <v>401</v>
      </c>
      <c r="G540" s="18" t="n">
        <v>0.6</v>
      </c>
      <c r="H540" s="18" t="n">
        <v>2594</v>
      </c>
      <c r="I540" s="18" t="n">
        <v>110</v>
      </c>
      <c r="J540" s="18" t="n">
        <v>109</v>
      </c>
      <c r="K540" s="18" t="n">
        <v>-0.0170048873754711</v>
      </c>
      <c r="L540" s="18" t="n">
        <v>0.0117611759123759</v>
      </c>
      <c r="M540" s="18" t="n">
        <v>-1.44584925029285</v>
      </c>
      <c r="N540" s="18" t="n">
        <v>29.1311387374817</v>
      </c>
      <c r="O540" s="18" t="n">
        <v>0.158893091152745</v>
      </c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 t="s">
        <v>402</v>
      </c>
      <c r="AI540" s="18"/>
      <c r="AJ540" s="18" t="s">
        <v>1082</v>
      </c>
    </row>
    <row r="541" customFormat="false" ht="15" hidden="false" customHeight="false" outlineLevel="0" collapsed="false">
      <c r="A541" s="18" t="s">
        <v>273</v>
      </c>
      <c r="B541" s="18" t="s">
        <v>633</v>
      </c>
      <c r="C541" s="18" t="s">
        <v>323</v>
      </c>
      <c r="D541" s="18" t="s">
        <v>324</v>
      </c>
      <c r="E541" s="18" t="s">
        <v>404</v>
      </c>
      <c r="F541" s="18" t="s">
        <v>401</v>
      </c>
      <c r="G541" s="18" t="n">
        <v>0.6</v>
      </c>
      <c r="H541" s="18" t="n">
        <v>2594</v>
      </c>
      <c r="I541" s="18" t="n">
        <v>110</v>
      </c>
      <c r="J541" s="18" t="n">
        <v>109</v>
      </c>
      <c r="K541" s="18" t="n">
        <v>7.14761471961312E-005</v>
      </c>
      <c r="L541" s="18" t="n">
        <v>0.0113856831901842</v>
      </c>
      <c r="M541" s="18" t="n">
        <v>0.00627772141576467</v>
      </c>
      <c r="N541" s="18" t="n">
        <v>31.6183350840328</v>
      </c>
      <c r="O541" s="18" t="n">
        <v>0.99503057834564</v>
      </c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 t="s">
        <v>402</v>
      </c>
      <c r="AI541" s="18"/>
      <c r="AJ541" s="18" t="s">
        <v>1083</v>
      </c>
    </row>
    <row r="542" customFormat="false" ht="15" hidden="false" customHeight="false" outlineLevel="0" collapsed="false">
      <c r="A542" s="18" t="s">
        <v>273</v>
      </c>
      <c r="B542" s="18" t="s">
        <v>635</v>
      </c>
      <c r="C542" s="18" t="s">
        <v>323</v>
      </c>
      <c r="D542" s="18" t="s">
        <v>324</v>
      </c>
      <c r="E542" s="18" t="s">
        <v>404</v>
      </c>
      <c r="F542" s="18" t="s">
        <v>401</v>
      </c>
      <c r="G542" s="18" t="n">
        <v>0.6</v>
      </c>
      <c r="H542" s="18" t="n">
        <v>2594</v>
      </c>
      <c r="I542" s="18" t="n">
        <v>110</v>
      </c>
      <c r="J542" s="18" t="n">
        <v>109</v>
      </c>
      <c r="K542" s="18" t="n">
        <v>-0.0175772978826843</v>
      </c>
      <c r="L542" s="18" t="n">
        <v>0.0122949765120895</v>
      </c>
      <c r="M542" s="18" t="n">
        <v>-1.42963248977343</v>
      </c>
      <c r="N542" s="18" t="n">
        <v>25.3941717716123</v>
      </c>
      <c r="O542" s="18" t="n">
        <v>0.165010821657364</v>
      </c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 t="s">
        <v>402</v>
      </c>
      <c r="AI542" s="18"/>
      <c r="AJ542" s="18" t="s">
        <v>1084</v>
      </c>
    </row>
    <row r="543" customFormat="false" ht="15" hidden="false" customHeight="false" outlineLevel="0" collapsed="false">
      <c r="A543" s="18" t="s">
        <v>273</v>
      </c>
      <c r="B543" s="18" t="s">
        <v>637</v>
      </c>
      <c r="C543" s="18" t="s">
        <v>323</v>
      </c>
      <c r="D543" s="18" t="s">
        <v>324</v>
      </c>
      <c r="E543" s="18" t="s">
        <v>404</v>
      </c>
      <c r="F543" s="18" t="s">
        <v>401</v>
      </c>
      <c r="G543" s="18" t="n">
        <v>0.6</v>
      </c>
      <c r="H543" s="18" t="n">
        <v>2594</v>
      </c>
      <c r="I543" s="18" t="n">
        <v>110</v>
      </c>
      <c r="J543" s="18" t="n">
        <v>109</v>
      </c>
      <c r="K543" s="18" t="n">
        <v>-0.0198257741133786</v>
      </c>
      <c r="L543" s="18" t="n">
        <v>0.014845670180546</v>
      </c>
      <c r="M543" s="18" t="n">
        <v>-1.33545834389872</v>
      </c>
      <c r="N543" s="18" t="n">
        <v>18.1112245641516</v>
      </c>
      <c r="O543" s="18" t="n">
        <v>0.198268772538761</v>
      </c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 t="s">
        <v>402</v>
      </c>
      <c r="AI543" s="18"/>
      <c r="AJ543" s="18" t="s">
        <v>1085</v>
      </c>
    </row>
    <row r="544" customFormat="false" ht="15" hidden="false" customHeight="false" outlineLevel="0" collapsed="false">
      <c r="A544" s="18" t="s">
        <v>273</v>
      </c>
      <c r="B544" s="18" t="s">
        <v>639</v>
      </c>
      <c r="C544" s="18" t="s">
        <v>323</v>
      </c>
      <c r="D544" s="18" t="s">
        <v>324</v>
      </c>
      <c r="E544" s="18" t="s">
        <v>404</v>
      </c>
      <c r="F544" s="18" t="s">
        <v>401</v>
      </c>
      <c r="G544" s="18" t="n">
        <v>0.6</v>
      </c>
      <c r="H544" s="18" t="n">
        <v>2594</v>
      </c>
      <c r="I544" s="18" t="n">
        <v>110</v>
      </c>
      <c r="J544" s="18" t="n">
        <v>109</v>
      </c>
      <c r="K544" s="18" t="n">
        <v>-0.0200365532877825</v>
      </c>
      <c r="L544" s="18" t="n">
        <v>0.0159738202908615</v>
      </c>
      <c r="M544" s="18" t="n">
        <v>-1.25433696654552</v>
      </c>
      <c r="N544" s="18" t="n">
        <v>14.8703755139011</v>
      </c>
      <c r="O544" s="18" t="n">
        <v>0.229078494070819</v>
      </c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 t="s">
        <v>402</v>
      </c>
      <c r="AI544" s="18"/>
      <c r="AJ544" s="18" t="s">
        <v>1086</v>
      </c>
    </row>
    <row r="545" customFormat="false" ht="15" hidden="false" customHeight="false" outlineLevel="0" collapsed="false">
      <c r="A545" s="18" t="s">
        <v>273</v>
      </c>
      <c r="B545" s="18" t="s">
        <v>641</v>
      </c>
      <c r="C545" s="18" t="s">
        <v>323</v>
      </c>
      <c r="D545" s="18" t="s">
        <v>324</v>
      </c>
      <c r="E545" s="18" t="s">
        <v>404</v>
      </c>
      <c r="F545" s="18" t="s">
        <v>401</v>
      </c>
      <c r="G545" s="18" t="n">
        <v>0.6</v>
      </c>
      <c r="H545" s="18" t="n">
        <v>2594</v>
      </c>
      <c r="I545" s="18" t="n">
        <v>110</v>
      </c>
      <c r="J545" s="18" t="n">
        <v>109</v>
      </c>
      <c r="K545" s="18" t="n">
        <v>-0.00256238286330865</v>
      </c>
      <c r="L545" s="18" t="n">
        <v>0.0101609250669603</v>
      </c>
      <c r="M545" s="18" t="n">
        <v>-0.252180076757048</v>
      </c>
      <c r="N545" s="18" t="n">
        <v>39.7437279629585</v>
      </c>
      <c r="O545" s="18" t="n">
        <v>0.802201489330923</v>
      </c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 t="s">
        <v>402</v>
      </c>
      <c r="AI545" s="18"/>
      <c r="AJ545" s="18" t="s">
        <v>1087</v>
      </c>
    </row>
    <row r="546" customFormat="false" ht="15" hidden="false" customHeight="false" outlineLevel="0" collapsed="false">
      <c r="A546" s="18" t="s">
        <v>273</v>
      </c>
      <c r="B546" s="18" t="s">
        <v>643</v>
      </c>
      <c r="C546" s="18" t="s">
        <v>323</v>
      </c>
      <c r="D546" s="18" t="s">
        <v>324</v>
      </c>
      <c r="E546" s="18" t="s">
        <v>404</v>
      </c>
      <c r="F546" s="18" t="s">
        <v>401</v>
      </c>
      <c r="G546" s="18" t="n">
        <v>0.6</v>
      </c>
      <c r="H546" s="18" t="n">
        <v>2594</v>
      </c>
      <c r="I546" s="18" t="n">
        <v>110</v>
      </c>
      <c r="J546" s="18" t="n">
        <v>109</v>
      </c>
      <c r="K546" s="18" t="n">
        <v>0.00688639030832887</v>
      </c>
      <c r="L546" s="18" t="n">
        <v>0.00950334983777912</v>
      </c>
      <c r="M546" s="18" t="n">
        <v>0.724627676122484</v>
      </c>
      <c r="N546" s="18" t="n">
        <v>53.9432934097349</v>
      </c>
      <c r="O546" s="18" t="n">
        <v>0.471811941703111</v>
      </c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 t="s">
        <v>402</v>
      </c>
      <c r="AI546" s="18"/>
      <c r="AJ546" s="18" t="s">
        <v>1088</v>
      </c>
    </row>
    <row r="547" customFormat="false" ht="15" hidden="false" customHeight="false" outlineLevel="0" collapsed="false">
      <c r="A547" s="18" t="s">
        <v>273</v>
      </c>
      <c r="B547" s="18" t="s">
        <v>645</v>
      </c>
      <c r="C547" s="18" t="s">
        <v>323</v>
      </c>
      <c r="D547" s="18" t="s">
        <v>324</v>
      </c>
      <c r="E547" s="18" t="s">
        <v>404</v>
      </c>
      <c r="F547" s="18" t="s">
        <v>401</v>
      </c>
      <c r="G547" s="18" t="n">
        <v>0.6</v>
      </c>
      <c r="H547" s="18" t="n">
        <v>2594</v>
      </c>
      <c r="I547" s="18" t="n">
        <v>110</v>
      </c>
      <c r="J547" s="18" t="n">
        <v>109</v>
      </c>
      <c r="K547" s="18" t="n">
        <v>-0.00439429514864106</v>
      </c>
      <c r="L547" s="18" t="n">
        <v>0.00961833185561052</v>
      </c>
      <c r="M547" s="18" t="n">
        <v>-0.456866659895686</v>
      </c>
      <c r="N547" s="18" t="n">
        <v>62.5472761597542</v>
      </c>
      <c r="O547" s="18" t="n">
        <v>0.649349648059896</v>
      </c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 t="s">
        <v>402</v>
      </c>
      <c r="AI547" s="18"/>
      <c r="AJ547" s="18" t="s">
        <v>1089</v>
      </c>
    </row>
    <row r="548" customFormat="false" ht="15" hidden="false" customHeight="false" outlineLevel="0" collapsed="false">
      <c r="A548" s="18" t="s">
        <v>273</v>
      </c>
      <c r="B548" s="18" t="s">
        <v>647</v>
      </c>
      <c r="C548" s="18" t="s">
        <v>323</v>
      </c>
      <c r="D548" s="18" t="s">
        <v>324</v>
      </c>
      <c r="E548" s="18" t="s">
        <v>404</v>
      </c>
      <c r="F548" s="18" t="s">
        <v>401</v>
      </c>
      <c r="G548" s="18" t="n">
        <v>0.6</v>
      </c>
      <c r="H548" s="18" t="n">
        <v>900</v>
      </c>
      <c r="I548" s="18" t="n">
        <v>38</v>
      </c>
      <c r="J548" s="18" t="n">
        <v>38</v>
      </c>
      <c r="K548" s="18" t="n">
        <v>-0.0277166454869511</v>
      </c>
      <c r="L548" s="18" t="n">
        <v>0.0196723189491672</v>
      </c>
      <c r="M548" s="18" t="n">
        <v>-1.40891602858668</v>
      </c>
      <c r="N548" s="18" t="n">
        <v>24.6575861048837</v>
      </c>
      <c r="O548" s="18" t="n">
        <v>0.171346537049425</v>
      </c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 t="s">
        <v>402</v>
      </c>
      <c r="AI548" s="18"/>
      <c r="AJ548" s="18" t="s">
        <v>1090</v>
      </c>
    </row>
    <row r="549" customFormat="false" ht="15" hidden="false" customHeight="false" outlineLevel="0" collapsed="false">
      <c r="A549" s="18" t="s">
        <v>273</v>
      </c>
      <c r="B549" s="18" t="s">
        <v>649</v>
      </c>
      <c r="C549" s="18" t="s">
        <v>323</v>
      </c>
      <c r="D549" s="18" t="s">
        <v>324</v>
      </c>
      <c r="E549" s="18" t="s">
        <v>404</v>
      </c>
      <c r="F549" s="18" t="s">
        <v>401</v>
      </c>
      <c r="G549" s="18" t="n">
        <v>0.6</v>
      </c>
      <c r="H549" s="18" t="n">
        <v>2607</v>
      </c>
      <c r="I549" s="18" t="n">
        <v>110</v>
      </c>
      <c r="J549" s="18" t="n">
        <v>109</v>
      </c>
      <c r="K549" s="18" t="n">
        <v>-0.0139075677432472</v>
      </c>
      <c r="L549" s="18" t="n">
        <v>0.0116287821258015</v>
      </c>
      <c r="M549" s="18" t="n">
        <v>-1.19596081453704</v>
      </c>
      <c r="N549" s="18" t="n">
        <v>33.3734732294741</v>
      </c>
      <c r="O549" s="18" t="n">
        <v>0.240140214428705</v>
      </c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 t="s">
        <v>402</v>
      </c>
      <c r="AI549" s="18"/>
      <c r="AJ549" s="18" t="s">
        <v>1091</v>
      </c>
    </row>
    <row r="550" customFormat="false" ht="15" hidden="false" customHeight="false" outlineLevel="0" collapsed="false">
      <c r="A550" s="18" t="s">
        <v>273</v>
      </c>
      <c r="B550" s="18" t="s">
        <v>651</v>
      </c>
      <c r="C550" s="18" t="s">
        <v>323</v>
      </c>
      <c r="D550" s="18" t="s">
        <v>324</v>
      </c>
      <c r="E550" s="18" t="s">
        <v>404</v>
      </c>
      <c r="F550" s="18" t="s">
        <v>401</v>
      </c>
      <c r="G550" s="18" t="n">
        <v>0.6</v>
      </c>
      <c r="H550" s="18" t="n">
        <v>2607</v>
      </c>
      <c r="I550" s="18" t="n">
        <v>110</v>
      </c>
      <c r="J550" s="18" t="n">
        <v>109</v>
      </c>
      <c r="K550" s="18" t="n">
        <v>-0.0120181410109692</v>
      </c>
      <c r="L550" s="18" t="n">
        <v>0.0120600492588312</v>
      </c>
      <c r="M550" s="18" t="n">
        <v>-0.996525035100387</v>
      </c>
      <c r="N550" s="18" t="n">
        <v>25.610253813537</v>
      </c>
      <c r="O550" s="18" t="n">
        <v>0.328318123996227</v>
      </c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 t="s">
        <v>402</v>
      </c>
      <c r="AI550" s="18"/>
      <c r="AJ550" s="18" t="s">
        <v>1092</v>
      </c>
    </row>
    <row r="551" customFormat="false" ht="15" hidden="false" customHeight="false" outlineLevel="0" collapsed="false">
      <c r="A551" s="18" t="s">
        <v>273</v>
      </c>
      <c r="B551" s="18" t="s">
        <v>653</v>
      </c>
      <c r="C551" s="18" t="s">
        <v>323</v>
      </c>
      <c r="D551" s="18" t="s">
        <v>324</v>
      </c>
      <c r="E551" s="18" t="s">
        <v>404</v>
      </c>
      <c r="F551" s="18" t="s">
        <v>401</v>
      </c>
      <c r="G551" s="18" t="n">
        <v>0.6</v>
      </c>
      <c r="H551" s="18" t="n">
        <v>2607</v>
      </c>
      <c r="I551" s="18" t="n">
        <v>110</v>
      </c>
      <c r="J551" s="18" t="n">
        <v>109</v>
      </c>
      <c r="K551" s="18" t="n">
        <v>0.00105762358024668</v>
      </c>
      <c r="L551" s="18" t="n">
        <v>0.0114599135846802</v>
      </c>
      <c r="M551" s="18" t="n">
        <v>0.0922889664421664</v>
      </c>
      <c r="N551" s="18" t="n">
        <v>32.4020004757368</v>
      </c>
      <c r="O551" s="18" t="n">
        <v>0.927036704674578</v>
      </c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 t="s">
        <v>402</v>
      </c>
      <c r="AI551" s="18"/>
      <c r="AJ551" s="18" t="s">
        <v>1093</v>
      </c>
    </row>
    <row r="552" customFormat="false" ht="15" hidden="false" customHeight="false" outlineLevel="0" collapsed="false">
      <c r="A552" s="18" t="s">
        <v>273</v>
      </c>
      <c r="B552" s="18" t="s">
        <v>655</v>
      </c>
      <c r="C552" s="18" t="s">
        <v>323</v>
      </c>
      <c r="D552" s="18" t="s">
        <v>324</v>
      </c>
      <c r="E552" s="18" t="s">
        <v>404</v>
      </c>
      <c r="F552" s="18" t="s">
        <v>401</v>
      </c>
      <c r="G552" s="18" t="n">
        <v>0.6</v>
      </c>
      <c r="H552" s="18" t="n">
        <v>2607</v>
      </c>
      <c r="I552" s="18" t="n">
        <v>110</v>
      </c>
      <c r="J552" s="18" t="n">
        <v>109</v>
      </c>
      <c r="K552" s="18" t="n">
        <v>-0.012799112653241</v>
      </c>
      <c r="L552" s="18" t="n">
        <v>0.0126409548290978</v>
      </c>
      <c r="M552" s="18" t="n">
        <v>-1.01251154096201</v>
      </c>
      <c r="N552" s="18" t="n">
        <v>22.3299868656883</v>
      </c>
      <c r="O552" s="18" t="n">
        <v>0.322139691146943</v>
      </c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 t="s">
        <v>402</v>
      </c>
      <c r="AI552" s="18"/>
      <c r="AJ552" s="18" t="s">
        <v>1094</v>
      </c>
    </row>
    <row r="553" customFormat="false" ht="15" hidden="false" customHeight="false" outlineLevel="0" collapsed="false">
      <c r="A553" s="18" t="s">
        <v>273</v>
      </c>
      <c r="B553" s="18" t="s">
        <v>657</v>
      </c>
      <c r="C553" s="18" t="s">
        <v>323</v>
      </c>
      <c r="D553" s="18" t="s">
        <v>324</v>
      </c>
      <c r="E553" s="18" t="s">
        <v>404</v>
      </c>
      <c r="F553" s="18" t="s">
        <v>401</v>
      </c>
      <c r="G553" s="18" t="n">
        <v>0.6</v>
      </c>
      <c r="H553" s="18" t="n">
        <v>2607</v>
      </c>
      <c r="I553" s="18" t="n">
        <v>110</v>
      </c>
      <c r="J553" s="18" t="n">
        <v>109</v>
      </c>
      <c r="K553" s="18" t="n">
        <v>-0.0159400003030648</v>
      </c>
      <c r="L553" s="18" t="n">
        <v>0.0148901217301321</v>
      </c>
      <c r="M553" s="18" t="n">
        <v>-1.07050839422005</v>
      </c>
      <c r="N553" s="18" t="n">
        <v>18.2203785005331</v>
      </c>
      <c r="O553" s="18" t="n">
        <v>0.298367119525803</v>
      </c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 t="s">
        <v>402</v>
      </c>
      <c r="AI553" s="18"/>
      <c r="AJ553" s="18" t="s">
        <v>1095</v>
      </c>
    </row>
    <row r="554" customFormat="false" ht="15" hidden="false" customHeight="false" outlineLevel="0" collapsed="false">
      <c r="A554" s="18" t="s">
        <v>273</v>
      </c>
      <c r="B554" s="18" t="s">
        <v>659</v>
      </c>
      <c r="C554" s="18" t="s">
        <v>323</v>
      </c>
      <c r="D554" s="18" t="s">
        <v>324</v>
      </c>
      <c r="E554" s="18" t="s">
        <v>404</v>
      </c>
      <c r="F554" s="18" t="s">
        <v>401</v>
      </c>
      <c r="G554" s="18" t="n">
        <v>0.6</v>
      </c>
      <c r="H554" s="18" t="n">
        <v>2607</v>
      </c>
      <c r="I554" s="18" t="n">
        <v>110</v>
      </c>
      <c r="J554" s="18" t="n">
        <v>109</v>
      </c>
      <c r="K554" s="18" t="n">
        <v>-0.0159534653990617</v>
      </c>
      <c r="L554" s="18" t="n">
        <v>0.0160132099977211</v>
      </c>
      <c r="M554" s="18" t="n">
        <v>-0.996269042954665</v>
      </c>
      <c r="N554" s="18" t="n">
        <v>14.9635790873267</v>
      </c>
      <c r="O554" s="18" t="n">
        <v>0.334958207610935</v>
      </c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 t="s">
        <v>402</v>
      </c>
      <c r="AI554" s="18"/>
      <c r="AJ554" s="18" t="s">
        <v>1096</v>
      </c>
    </row>
    <row r="555" customFormat="false" ht="15" hidden="false" customHeight="false" outlineLevel="0" collapsed="false">
      <c r="A555" s="18" t="s">
        <v>273</v>
      </c>
      <c r="B555" s="18" t="s">
        <v>661</v>
      </c>
      <c r="C555" s="18" t="s">
        <v>323</v>
      </c>
      <c r="D555" s="18" t="s">
        <v>324</v>
      </c>
      <c r="E555" s="18" t="s">
        <v>404</v>
      </c>
      <c r="F555" s="18" t="s">
        <v>401</v>
      </c>
      <c r="G555" s="18" t="n">
        <v>0.6</v>
      </c>
      <c r="H555" s="18" t="n">
        <v>2607</v>
      </c>
      <c r="I555" s="18" t="n">
        <v>110</v>
      </c>
      <c r="J555" s="18" t="n">
        <v>109</v>
      </c>
      <c r="K555" s="18" t="n">
        <v>0.000903205803477927</v>
      </c>
      <c r="L555" s="18" t="n">
        <v>0.010483507824299</v>
      </c>
      <c r="M555" s="18" t="n">
        <v>0.0861549224377407</v>
      </c>
      <c r="N555" s="18" t="n">
        <v>34.5860734436593</v>
      </c>
      <c r="O555" s="18" t="n">
        <v>0.931840110674743</v>
      </c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 t="s">
        <v>402</v>
      </c>
      <c r="AI555" s="18"/>
      <c r="AJ555" s="18" t="s">
        <v>1097</v>
      </c>
    </row>
    <row r="556" customFormat="false" ht="15" hidden="false" customHeight="false" outlineLevel="0" collapsed="false">
      <c r="A556" s="18" t="s">
        <v>273</v>
      </c>
      <c r="B556" s="18" t="s">
        <v>663</v>
      </c>
      <c r="C556" s="18" t="s">
        <v>323</v>
      </c>
      <c r="D556" s="18" t="s">
        <v>324</v>
      </c>
      <c r="E556" s="18" t="s">
        <v>404</v>
      </c>
      <c r="F556" s="18" t="s">
        <v>401</v>
      </c>
      <c r="G556" s="18" t="n">
        <v>0.6</v>
      </c>
      <c r="H556" s="18" t="n">
        <v>2607</v>
      </c>
      <c r="I556" s="18" t="n">
        <v>110</v>
      </c>
      <c r="J556" s="18" t="n">
        <v>109</v>
      </c>
      <c r="K556" s="18" t="n">
        <v>0.0138875782404721</v>
      </c>
      <c r="L556" s="18" t="n">
        <v>0.00983561960925079</v>
      </c>
      <c r="M556" s="18" t="n">
        <v>1.41196780601501</v>
      </c>
      <c r="N556" s="18" t="n">
        <v>46.7965823975499</v>
      </c>
      <c r="O556" s="18" t="n">
        <v>0.164574791606278</v>
      </c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 t="s">
        <v>402</v>
      </c>
      <c r="AI556" s="18"/>
      <c r="AJ556" s="18" t="s">
        <v>1098</v>
      </c>
    </row>
    <row r="557" customFormat="false" ht="15" hidden="false" customHeight="false" outlineLevel="0" collapsed="false">
      <c r="A557" s="18" t="s">
        <v>273</v>
      </c>
      <c r="B557" s="18" t="s">
        <v>665</v>
      </c>
      <c r="C557" s="18" t="s">
        <v>323</v>
      </c>
      <c r="D557" s="18" t="s">
        <v>324</v>
      </c>
      <c r="E557" s="18" t="s">
        <v>404</v>
      </c>
      <c r="F557" s="18" t="s">
        <v>401</v>
      </c>
      <c r="G557" s="18" t="n">
        <v>0.6</v>
      </c>
      <c r="H557" s="18" t="n">
        <v>2607</v>
      </c>
      <c r="I557" s="18" t="n">
        <v>110</v>
      </c>
      <c r="J557" s="18" t="n">
        <v>109</v>
      </c>
      <c r="K557" s="18" t="n">
        <v>0.00166685767795768</v>
      </c>
      <c r="L557" s="18" t="n">
        <v>0.00972149036825999</v>
      </c>
      <c r="M557" s="18" t="n">
        <v>0.171461125281763</v>
      </c>
      <c r="N557" s="18" t="n">
        <v>52.7648540355303</v>
      </c>
      <c r="O557" s="18" t="n">
        <v>0.864517076773226</v>
      </c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 t="s">
        <v>402</v>
      </c>
      <c r="AI557" s="18"/>
      <c r="AJ557" s="18" t="s">
        <v>1099</v>
      </c>
    </row>
    <row r="558" customFormat="false" ht="15" hidden="false" customHeight="false" outlineLevel="0" collapsed="false">
      <c r="A558" s="18" t="s">
        <v>273</v>
      </c>
      <c r="B558" s="18" t="s">
        <v>667</v>
      </c>
      <c r="C558" s="18" t="s">
        <v>323</v>
      </c>
      <c r="D558" s="18" t="s">
        <v>324</v>
      </c>
      <c r="E558" s="18" t="s">
        <v>404</v>
      </c>
      <c r="F558" s="18" t="s">
        <v>401</v>
      </c>
      <c r="G558" s="18" t="n">
        <v>0.6</v>
      </c>
      <c r="H558" s="18" t="n">
        <v>905</v>
      </c>
      <c r="I558" s="18" t="n">
        <v>38</v>
      </c>
      <c r="J558" s="18" t="n">
        <v>38</v>
      </c>
      <c r="K558" s="18" t="n">
        <v>-0.022579426735978</v>
      </c>
      <c r="L558" s="18" t="n">
        <v>0.0189643715818689</v>
      </c>
      <c r="M558" s="18" t="n">
        <v>-1.19062351412505</v>
      </c>
      <c r="N558" s="18" t="n">
        <v>24.533101400172</v>
      </c>
      <c r="O558" s="18" t="n">
        <v>0.245194785718625</v>
      </c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 t="s">
        <v>402</v>
      </c>
      <c r="AI558" s="18"/>
      <c r="AJ558" s="18" t="s">
        <v>1100</v>
      </c>
    </row>
    <row r="559" customFormat="false" ht="15" hidden="false" customHeight="false" outlineLevel="0" collapsed="false">
      <c r="A559" s="18" t="s">
        <v>273</v>
      </c>
      <c r="B559" s="18" t="s">
        <v>669</v>
      </c>
      <c r="C559" s="18" t="s">
        <v>323</v>
      </c>
      <c r="D559" s="18" t="s">
        <v>324</v>
      </c>
      <c r="E559" s="18" t="s">
        <v>404</v>
      </c>
      <c r="F559" s="18" t="s">
        <v>401</v>
      </c>
      <c r="G559" s="18" t="n">
        <v>0.6</v>
      </c>
      <c r="H559" s="18" t="n">
        <v>2704</v>
      </c>
      <c r="I559" s="18" t="n">
        <v>113</v>
      </c>
      <c r="J559" s="18" t="n">
        <v>112</v>
      </c>
      <c r="K559" s="18" t="n">
        <v>0.00964105175552084</v>
      </c>
      <c r="L559" s="18" t="n">
        <v>0.018230209465395</v>
      </c>
      <c r="M559" s="18" t="n">
        <v>0.528850300586051</v>
      </c>
      <c r="N559" s="18" t="n">
        <v>14.6299755777905</v>
      </c>
      <c r="O559" s="18" t="n">
        <v>0.604840714283331</v>
      </c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 t="s">
        <v>402</v>
      </c>
      <c r="AI559" s="18"/>
      <c r="AJ559" s="18" t="s">
        <v>1101</v>
      </c>
    </row>
    <row r="560" customFormat="false" ht="15" hidden="false" customHeight="false" outlineLevel="0" collapsed="false">
      <c r="A560" s="18" t="s">
        <v>273</v>
      </c>
      <c r="B560" s="18" t="s">
        <v>671</v>
      </c>
      <c r="C560" s="18" t="s">
        <v>323</v>
      </c>
      <c r="D560" s="18" t="s">
        <v>324</v>
      </c>
      <c r="E560" s="18" t="s">
        <v>404</v>
      </c>
      <c r="F560" s="18" t="s">
        <v>401</v>
      </c>
      <c r="G560" s="18" t="n">
        <v>0.6</v>
      </c>
      <c r="H560" s="18" t="n">
        <v>2704</v>
      </c>
      <c r="I560" s="18" t="n">
        <v>113</v>
      </c>
      <c r="J560" s="18" t="n">
        <v>112</v>
      </c>
      <c r="K560" s="18" t="n">
        <v>0.00936020689644854</v>
      </c>
      <c r="L560" s="18" t="n">
        <v>0.0178846187420744</v>
      </c>
      <c r="M560" s="18" t="n">
        <v>0.523366308862275</v>
      </c>
      <c r="N560" s="18" t="n">
        <v>11.9816289698825</v>
      </c>
      <c r="O560" s="18" t="n">
        <v>0.610262604850798</v>
      </c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 t="s">
        <v>402</v>
      </c>
      <c r="AI560" s="18"/>
      <c r="AJ560" s="18" t="s">
        <v>1102</v>
      </c>
    </row>
    <row r="561" customFormat="false" ht="15" hidden="false" customHeight="false" outlineLevel="0" collapsed="false">
      <c r="A561" s="18" t="s">
        <v>273</v>
      </c>
      <c r="B561" s="18" t="s">
        <v>673</v>
      </c>
      <c r="C561" s="18" t="s">
        <v>323</v>
      </c>
      <c r="D561" s="18" t="s">
        <v>324</v>
      </c>
      <c r="E561" s="18" t="s">
        <v>404</v>
      </c>
      <c r="F561" s="18" t="s">
        <v>401</v>
      </c>
      <c r="G561" s="18" t="n">
        <v>0.6</v>
      </c>
      <c r="H561" s="18" t="n">
        <v>2704</v>
      </c>
      <c r="I561" s="18" t="n">
        <v>113</v>
      </c>
      <c r="J561" s="18" t="n">
        <v>112</v>
      </c>
      <c r="K561" s="18" t="n">
        <v>-0.0202055517228917</v>
      </c>
      <c r="L561" s="18" t="n">
        <v>0.0211474067738541</v>
      </c>
      <c r="M561" s="18" t="n">
        <v>-0.955462385481374</v>
      </c>
      <c r="N561" s="18" t="n">
        <v>41.3820986741015</v>
      </c>
      <c r="O561" s="18" t="n">
        <v>0.344892458941629</v>
      </c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 t="s">
        <v>402</v>
      </c>
      <c r="AI561" s="18"/>
      <c r="AJ561" s="18" t="s">
        <v>1103</v>
      </c>
    </row>
    <row r="562" customFormat="false" ht="15" hidden="false" customHeight="false" outlineLevel="0" collapsed="false">
      <c r="A562" s="18" t="s">
        <v>273</v>
      </c>
      <c r="B562" s="18" t="s">
        <v>675</v>
      </c>
      <c r="C562" s="18" t="s">
        <v>323</v>
      </c>
      <c r="D562" s="18" t="s">
        <v>324</v>
      </c>
      <c r="E562" s="18" t="s">
        <v>404</v>
      </c>
      <c r="F562" s="18" t="s">
        <v>401</v>
      </c>
      <c r="G562" s="18" t="n">
        <v>0.6</v>
      </c>
      <c r="H562" s="18" t="n">
        <v>2704</v>
      </c>
      <c r="I562" s="18" t="n">
        <v>113</v>
      </c>
      <c r="J562" s="18" t="n">
        <v>112</v>
      </c>
      <c r="K562" s="18" t="n">
        <v>0.00763369892433926</v>
      </c>
      <c r="L562" s="18" t="n">
        <v>0.018156902765382</v>
      </c>
      <c r="M562" s="18" t="n">
        <v>0.420429575626394</v>
      </c>
      <c r="N562" s="18" t="n">
        <v>10.6065147145351</v>
      </c>
      <c r="O562" s="18" t="n">
        <v>0.682563022824109</v>
      </c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 t="s">
        <v>402</v>
      </c>
      <c r="AI562" s="18"/>
      <c r="AJ562" s="18" t="s">
        <v>1104</v>
      </c>
    </row>
    <row r="563" customFormat="false" ht="15" hidden="false" customHeight="false" outlineLevel="0" collapsed="false">
      <c r="A563" s="18" t="s">
        <v>273</v>
      </c>
      <c r="B563" s="18" t="s">
        <v>677</v>
      </c>
      <c r="C563" s="18" t="s">
        <v>323</v>
      </c>
      <c r="D563" s="18" t="s">
        <v>324</v>
      </c>
      <c r="E563" s="18" t="s">
        <v>404</v>
      </c>
      <c r="F563" s="18" t="s">
        <v>401</v>
      </c>
      <c r="G563" s="18" t="n">
        <v>0.6</v>
      </c>
      <c r="H563" s="18" t="n">
        <v>2704</v>
      </c>
      <c r="I563" s="18" t="n">
        <v>113</v>
      </c>
      <c r="J563" s="18" t="n">
        <v>112</v>
      </c>
      <c r="K563" s="18" t="n">
        <v>0.00252709984764858</v>
      </c>
      <c r="L563" s="18" t="n">
        <v>0.0224084012305234</v>
      </c>
      <c r="M563" s="18" t="n">
        <v>0.112774660791343</v>
      </c>
      <c r="N563" s="18" t="n">
        <v>18.7780679835242</v>
      </c>
      <c r="O563" s="18" t="n">
        <v>0.911406094602767</v>
      </c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 t="s">
        <v>402</v>
      </c>
      <c r="AI563" s="18"/>
      <c r="AJ563" s="18" t="s">
        <v>1105</v>
      </c>
    </row>
    <row r="564" customFormat="false" ht="15" hidden="false" customHeight="false" outlineLevel="0" collapsed="false">
      <c r="A564" s="18" t="s">
        <v>273</v>
      </c>
      <c r="B564" s="18" t="s">
        <v>679</v>
      </c>
      <c r="C564" s="18" t="s">
        <v>323</v>
      </c>
      <c r="D564" s="18" t="s">
        <v>324</v>
      </c>
      <c r="E564" s="18" t="s">
        <v>404</v>
      </c>
      <c r="F564" s="18" t="s">
        <v>401</v>
      </c>
      <c r="G564" s="18" t="n">
        <v>0.6</v>
      </c>
      <c r="H564" s="18" t="n">
        <v>2704</v>
      </c>
      <c r="I564" s="18" t="n">
        <v>113</v>
      </c>
      <c r="J564" s="18" t="n">
        <v>112</v>
      </c>
      <c r="K564" s="18" t="n">
        <v>0.00358867062186518</v>
      </c>
      <c r="L564" s="18" t="n">
        <v>0.0230081367341874</v>
      </c>
      <c r="M564" s="18" t="n">
        <v>0.155973978394037</v>
      </c>
      <c r="N564" s="18" t="n">
        <v>15.4445408100105</v>
      </c>
      <c r="O564" s="18" t="n">
        <v>0.87807398319581</v>
      </c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 t="s">
        <v>402</v>
      </c>
      <c r="AI564" s="18"/>
      <c r="AJ564" s="18" t="s">
        <v>1106</v>
      </c>
    </row>
    <row r="565" customFormat="false" ht="15" hidden="false" customHeight="false" outlineLevel="0" collapsed="false">
      <c r="A565" s="18" t="s">
        <v>273</v>
      </c>
      <c r="B565" s="18" t="s">
        <v>681</v>
      </c>
      <c r="C565" s="18" t="s">
        <v>323</v>
      </c>
      <c r="D565" s="18" t="s">
        <v>324</v>
      </c>
      <c r="E565" s="18" t="s">
        <v>404</v>
      </c>
      <c r="F565" s="18" t="s">
        <v>401</v>
      </c>
      <c r="G565" s="18" t="n">
        <v>0.6</v>
      </c>
      <c r="H565" s="18" t="n">
        <v>2704</v>
      </c>
      <c r="I565" s="18" t="n">
        <v>113</v>
      </c>
      <c r="J565" s="18" t="n">
        <v>112</v>
      </c>
      <c r="K565" s="18" t="n">
        <v>-0.00664666016708733</v>
      </c>
      <c r="L565" s="18" t="n">
        <v>0.0207800096228424</v>
      </c>
      <c r="M565" s="18" t="n">
        <v>-0.319858377725725</v>
      </c>
      <c r="N565" s="18" t="n">
        <v>17.2632971067331</v>
      </c>
      <c r="O565" s="18" t="n">
        <v>0.752914310236445</v>
      </c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 t="s">
        <v>402</v>
      </c>
      <c r="AI565" s="18"/>
      <c r="AJ565" s="18" t="s">
        <v>1107</v>
      </c>
    </row>
    <row r="566" customFormat="false" ht="15" hidden="false" customHeight="false" outlineLevel="0" collapsed="false">
      <c r="A566" s="18" t="s">
        <v>273</v>
      </c>
      <c r="B566" s="18" t="s">
        <v>683</v>
      </c>
      <c r="C566" s="18" t="s">
        <v>323</v>
      </c>
      <c r="D566" s="18" t="s">
        <v>324</v>
      </c>
      <c r="E566" s="18" t="s">
        <v>404</v>
      </c>
      <c r="F566" s="18" t="s">
        <v>401</v>
      </c>
      <c r="G566" s="18" t="n">
        <v>0.6</v>
      </c>
      <c r="H566" s="18" t="n">
        <v>2704</v>
      </c>
      <c r="I566" s="18" t="n">
        <v>113</v>
      </c>
      <c r="J566" s="18" t="n">
        <v>112</v>
      </c>
      <c r="K566" s="18" t="n">
        <v>0.0398401539544936</v>
      </c>
      <c r="L566" s="18" t="n">
        <v>0.0262126830463637</v>
      </c>
      <c r="M566" s="18" t="n">
        <v>1.51988081052315</v>
      </c>
      <c r="N566" s="18" t="n">
        <v>21.3887979167617</v>
      </c>
      <c r="O566" s="18" t="n">
        <v>0.14318645426282</v>
      </c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 t="s">
        <v>402</v>
      </c>
      <c r="AI566" s="18"/>
      <c r="AJ566" s="18" t="s">
        <v>1108</v>
      </c>
    </row>
    <row r="567" customFormat="false" ht="15" hidden="false" customHeight="false" outlineLevel="0" collapsed="false">
      <c r="A567" s="18" t="s">
        <v>273</v>
      </c>
      <c r="B567" s="18" t="s">
        <v>685</v>
      </c>
      <c r="C567" s="18" t="s">
        <v>323</v>
      </c>
      <c r="D567" s="18" t="s">
        <v>324</v>
      </c>
      <c r="E567" s="18" t="s">
        <v>404</v>
      </c>
      <c r="F567" s="18" t="s">
        <v>401</v>
      </c>
      <c r="G567" s="18" t="n">
        <v>0.6</v>
      </c>
      <c r="H567" s="18" t="n">
        <v>2704</v>
      </c>
      <c r="I567" s="18" t="n">
        <v>113</v>
      </c>
      <c r="J567" s="18" t="n">
        <v>112</v>
      </c>
      <c r="K567" s="18" t="n">
        <v>0.0215977542928241</v>
      </c>
      <c r="L567" s="18" t="n">
        <v>0.0217962165029826</v>
      </c>
      <c r="M567" s="18" t="n">
        <v>0.990894648613379</v>
      </c>
      <c r="N567" s="18" t="n">
        <v>21.6916324548446</v>
      </c>
      <c r="O567" s="18" t="n">
        <v>0.332662423684979</v>
      </c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 t="s">
        <v>402</v>
      </c>
      <c r="AI567" s="18"/>
      <c r="AJ567" s="18" t="s">
        <v>1109</v>
      </c>
    </row>
    <row r="568" customFormat="false" ht="15" hidden="false" customHeight="false" outlineLevel="0" collapsed="false">
      <c r="A568" s="18" t="s">
        <v>273</v>
      </c>
      <c r="B568" s="18" t="s">
        <v>687</v>
      </c>
      <c r="C568" s="18" t="s">
        <v>323</v>
      </c>
      <c r="D568" s="18" t="s">
        <v>324</v>
      </c>
      <c r="E568" s="18" t="s">
        <v>404</v>
      </c>
      <c r="F568" s="18" t="s">
        <v>401</v>
      </c>
      <c r="G568" s="18" t="n">
        <v>0.6</v>
      </c>
      <c r="H568" s="18" t="n">
        <v>929</v>
      </c>
      <c r="I568" s="18" t="n">
        <v>40</v>
      </c>
      <c r="J568" s="18" t="n">
        <v>40</v>
      </c>
      <c r="K568" s="18" t="n">
        <v>-0.0142513411796596</v>
      </c>
      <c r="L568" s="18" t="n">
        <v>0.0177365426804549</v>
      </c>
      <c r="M568" s="18" t="n">
        <v>-0.803501642705382</v>
      </c>
      <c r="N568" s="18" t="n">
        <v>23.5832165662414</v>
      </c>
      <c r="O568" s="18" t="n">
        <v>0.429709605239538</v>
      </c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 t="s">
        <v>402</v>
      </c>
      <c r="AI568" s="18"/>
      <c r="AJ568" s="18" t="s">
        <v>1110</v>
      </c>
    </row>
    <row r="569" customFormat="false" ht="15" hidden="false" customHeight="false" outlineLevel="0" collapsed="false">
      <c r="A569" s="18" t="s">
        <v>273</v>
      </c>
      <c r="B569" s="18" t="s">
        <v>689</v>
      </c>
      <c r="C569" s="18" t="s">
        <v>323</v>
      </c>
      <c r="D569" s="18" t="s">
        <v>324</v>
      </c>
      <c r="E569" s="18" t="s">
        <v>404</v>
      </c>
      <c r="F569" s="18" t="s">
        <v>401</v>
      </c>
      <c r="G569" s="18" t="n">
        <v>0.6</v>
      </c>
      <c r="H569" s="18" t="n">
        <v>2691</v>
      </c>
      <c r="I569" s="18" t="n">
        <v>113</v>
      </c>
      <c r="J569" s="18" t="n">
        <v>112</v>
      </c>
      <c r="K569" s="18" t="n">
        <v>-0.0139515174080528</v>
      </c>
      <c r="L569" s="18" t="n">
        <v>0.010735100947808</v>
      </c>
      <c r="M569" s="18" t="n">
        <v>-1.29961678757214</v>
      </c>
      <c r="N569" s="18" t="n">
        <v>39.0093702201888</v>
      </c>
      <c r="O569" s="18" t="n">
        <v>0.201360288223394</v>
      </c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 t="s">
        <v>402</v>
      </c>
      <c r="AI569" s="18"/>
      <c r="AJ569" s="18" t="s">
        <v>1111</v>
      </c>
    </row>
    <row r="570" customFormat="false" ht="15" hidden="false" customHeight="false" outlineLevel="0" collapsed="false">
      <c r="A570" s="18" t="s">
        <v>273</v>
      </c>
      <c r="B570" s="18" t="s">
        <v>691</v>
      </c>
      <c r="C570" s="18" t="s">
        <v>323</v>
      </c>
      <c r="D570" s="18" t="s">
        <v>324</v>
      </c>
      <c r="E570" s="18" t="s">
        <v>404</v>
      </c>
      <c r="F570" s="18" t="s">
        <v>401</v>
      </c>
      <c r="G570" s="18" t="n">
        <v>0.6</v>
      </c>
      <c r="H570" s="18" t="n">
        <v>2691</v>
      </c>
      <c r="I570" s="18" t="n">
        <v>113</v>
      </c>
      <c r="J570" s="18" t="n">
        <v>112</v>
      </c>
      <c r="K570" s="18" t="n">
        <v>-0.0128470175335043</v>
      </c>
      <c r="L570" s="18" t="n">
        <v>0.0113563432583844</v>
      </c>
      <c r="M570" s="18" t="n">
        <v>-1.13126358029195</v>
      </c>
      <c r="N570" s="18" t="n">
        <v>29.6955686694936</v>
      </c>
      <c r="O570" s="18" t="n">
        <v>0.266997712909235</v>
      </c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 t="s">
        <v>402</v>
      </c>
      <c r="AI570" s="18"/>
      <c r="AJ570" s="18" t="s">
        <v>1112</v>
      </c>
    </row>
    <row r="571" customFormat="false" ht="15" hidden="false" customHeight="false" outlineLevel="0" collapsed="false">
      <c r="A571" s="18" t="s">
        <v>273</v>
      </c>
      <c r="B571" s="18" t="s">
        <v>693</v>
      </c>
      <c r="C571" s="18" t="s">
        <v>323</v>
      </c>
      <c r="D571" s="18" t="s">
        <v>324</v>
      </c>
      <c r="E571" s="18" t="s">
        <v>404</v>
      </c>
      <c r="F571" s="18" t="s">
        <v>401</v>
      </c>
      <c r="G571" s="18" t="n">
        <v>0.6</v>
      </c>
      <c r="H571" s="18" t="n">
        <v>2691</v>
      </c>
      <c r="I571" s="18" t="n">
        <v>113</v>
      </c>
      <c r="J571" s="18" t="n">
        <v>112</v>
      </c>
      <c r="K571" s="18" t="n">
        <v>0.000432015737488245</v>
      </c>
      <c r="L571" s="18" t="n">
        <v>0.0107101417014955</v>
      </c>
      <c r="M571" s="18" t="n">
        <v>0.0403370701834807</v>
      </c>
      <c r="N571" s="18" t="n">
        <v>35.1831967095005</v>
      </c>
      <c r="O571" s="18" t="n">
        <v>0.968052434278162</v>
      </c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 t="s">
        <v>402</v>
      </c>
      <c r="AI571" s="18"/>
      <c r="AJ571" s="18" t="s">
        <v>1113</v>
      </c>
    </row>
    <row r="572" customFormat="false" ht="15" hidden="false" customHeight="false" outlineLevel="0" collapsed="false">
      <c r="A572" s="18" t="s">
        <v>273</v>
      </c>
      <c r="B572" s="18" t="s">
        <v>695</v>
      </c>
      <c r="C572" s="18" t="s">
        <v>323</v>
      </c>
      <c r="D572" s="18" t="s">
        <v>324</v>
      </c>
      <c r="E572" s="18" t="s">
        <v>404</v>
      </c>
      <c r="F572" s="18" t="s">
        <v>401</v>
      </c>
      <c r="G572" s="18" t="n">
        <v>0.6</v>
      </c>
      <c r="H572" s="18" t="n">
        <v>2691</v>
      </c>
      <c r="I572" s="18" t="n">
        <v>113</v>
      </c>
      <c r="J572" s="18" t="n">
        <v>112</v>
      </c>
      <c r="K572" s="18" t="n">
        <v>-0.0132536854323458</v>
      </c>
      <c r="L572" s="18" t="n">
        <v>0.011848754739248</v>
      </c>
      <c r="M572" s="18" t="n">
        <v>-1.11857201233511</v>
      </c>
      <c r="N572" s="18" t="n">
        <v>25.9338121402364</v>
      </c>
      <c r="O572" s="18" t="n">
        <v>0.273577223983646</v>
      </c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 t="s">
        <v>402</v>
      </c>
      <c r="AI572" s="18"/>
      <c r="AJ572" s="18" t="s">
        <v>1114</v>
      </c>
    </row>
    <row r="573" customFormat="false" ht="15" hidden="false" customHeight="false" outlineLevel="0" collapsed="false">
      <c r="A573" s="18" t="s">
        <v>273</v>
      </c>
      <c r="B573" s="18" t="s">
        <v>697</v>
      </c>
      <c r="C573" s="18" t="s">
        <v>323</v>
      </c>
      <c r="D573" s="18" t="s">
        <v>324</v>
      </c>
      <c r="E573" s="18" t="s">
        <v>404</v>
      </c>
      <c r="F573" s="18" t="s">
        <v>401</v>
      </c>
      <c r="G573" s="18" t="n">
        <v>0.6</v>
      </c>
      <c r="H573" s="18" t="n">
        <v>2691</v>
      </c>
      <c r="I573" s="18" t="n">
        <v>113</v>
      </c>
      <c r="J573" s="18" t="n">
        <v>112</v>
      </c>
      <c r="K573" s="18" t="n">
        <v>-0.0143702310771642</v>
      </c>
      <c r="L573" s="18" t="n">
        <v>0.015088318082992</v>
      </c>
      <c r="M573" s="18" t="n">
        <v>-0.952407750030315</v>
      </c>
      <c r="N573" s="18" t="n">
        <v>17.8893340190699</v>
      </c>
      <c r="O573" s="18" t="n">
        <v>0.353582418590363</v>
      </c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 t="s">
        <v>402</v>
      </c>
      <c r="AI573" s="18"/>
      <c r="AJ573" s="18" t="s">
        <v>1115</v>
      </c>
    </row>
    <row r="574" customFormat="false" ht="15" hidden="false" customHeight="false" outlineLevel="0" collapsed="false">
      <c r="A574" s="18" t="s">
        <v>273</v>
      </c>
      <c r="B574" s="18" t="s">
        <v>699</v>
      </c>
      <c r="C574" s="18" t="s">
        <v>323</v>
      </c>
      <c r="D574" s="18" t="s">
        <v>324</v>
      </c>
      <c r="E574" s="18" t="s">
        <v>404</v>
      </c>
      <c r="F574" s="18" t="s">
        <v>401</v>
      </c>
      <c r="G574" s="18" t="n">
        <v>0.6</v>
      </c>
      <c r="H574" s="18" t="n">
        <v>2691</v>
      </c>
      <c r="I574" s="18" t="n">
        <v>113</v>
      </c>
      <c r="J574" s="18" t="n">
        <v>112</v>
      </c>
      <c r="K574" s="18" t="n">
        <v>-0.0140597967471835</v>
      </c>
      <c r="L574" s="18" t="n">
        <v>0.016360543202521</v>
      </c>
      <c r="M574" s="18" t="n">
        <v>-0.859372245355342</v>
      </c>
      <c r="N574" s="18" t="n">
        <v>14.7076166237989</v>
      </c>
      <c r="O574" s="18" t="n">
        <v>0.403925152073082</v>
      </c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 t="s">
        <v>402</v>
      </c>
      <c r="AI574" s="18"/>
      <c r="AJ574" s="18" t="s">
        <v>1116</v>
      </c>
    </row>
    <row r="575" customFormat="false" ht="15" hidden="false" customHeight="false" outlineLevel="0" collapsed="false">
      <c r="A575" s="18" t="s">
        <v>273</v>
      </c>
      <c r="B575" s="18" t="s">
        <v>701</v>
      </c>
      <c r="C575" s="18" t="s">
        <v>323</v>
      </c>
      <c r="D575" s="18" t="s">
        <v>324</v>
      </c>
      <c r="E575" s="18" t="s">
        <v>404</v>
      </c>
      <c r="F575" s="18" t="s">
        <v>401</v>
      </c>
      <c r="G575" s="18" t="n">
        <v>0.6</v>
      </c>
      <c r="H575" s="18" t="n">
        <v>2691</v>
      </c>
      <c r="I575" s="18" t="n">
        <v>113</v>
      </c>
      <c r="J575" s="18" t="n">
        <v>112</v>
      </c>
      <c r="K575" s="18" t="n">
        <v>0.00246415906785353</v>
      </c>
      <c r="L575" s="18" t="n">
        <v>0.00917598400099708</v>
      </c>
      <c r="M575" s="18" t="n">
        <v>0.268544394539677</v>
      </c>
      <c r="N575" s="18" t="n">
        <v>44.0561634819844</v>
      </c>
      <c r="O575" s="18" t="n">
        <v>0.789533840152302</v>
      </c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 t="s">
        <v>402</v>
      </c>
      <c r="AI575" s="18"/>
      <c r="AJ575" s="18" t="s">
        <v>1117</v>
      </c>
    </row>
    <row r="576" customFormat="false" ht="15" hidden="false" customHeight="false" outlineLevel="0" collapsed="false">
      <c r="A576" s="18" t="s">
        <v>273</v>
      </c>
      <c r="B576" s="18" t="s">
        <v>703</v>
      </c>
      <c r="C576" s="18" t="s">
        <v>323</v>
      </c>
      <c r="D576" s="18" t="s">
        <v>324</v>
      </c>
      <c r="E576" s="18" t="s">
        <v>404</v>
      </c>
      <c r="F576" s="18" t="s">
        <v>401</v>
      </c>
      <c r="G576" s="18" t="n">
        <v>0.6</v>
      </c>
      <c r="H576" s="18" t="n">
        <v>2691</v>
      </c>
      <c r="I576" s="18" t="n">
        <v>113</v>
      </c>
      <c r="J576" s="18" t="n">
        <v>112</v>
      </c>
      <c r="K576" s="18" t="n">
        <v>0.0107376175840457</v>
      </c>
      <c r="L576" s="18" t="n">
        <v>0.00883347644705857</v>
      </c>
      <c r="M576" s="18" t="n">
        <v>1.2155596551821</v>
      </c>
      <c r="N576" s="18" t="n">
        <v>58.6778774212871</v>
      </c>
      <c r="O576" s="18" t="n">
        <v>0.229020797473367</v>
      </c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 t="s">
        <v>402</v>
      </c>
      <c r="AI576" s="18"/>
      <c r="AJ576" s="18" t="s">
        <v>1118</v>
      </c>
    </row>
    <row r="577" customFormat="false" ht="15" hidden="false" customHeight="false" outlineLevel="0" collapsed="false">
      <c r="A577" s="18" t="s">
        <v>273</v>
      </c>
      <c r="B577" s="18" t="s">
        <v>705</v>
      </c>
      <c r="C577" s="18" t="s">
        <v>323</v>
      </c>
      <c r="D577" s="18" t="s">
        <v>324</v>
      </c>
      <c r="E577" s="18" t="s">
        <v>404</v>
      </c>
      <c r="F577" s="18" t="s">
        <v>401</v>
      </c>
      <c r="G577" s="18" t="n">
        <v>0.6</v>
      </c>
      <c r="H577" s="18" t="n">
        <v>2691</v>
      </c>
      <c r="I577" s="18" t="n">
        <v>113</v>
      </c>
      <c r="J577" s="18" t="n">
        <v>112</v>
      </c>
      <c r="K577" s="18" t="n">
        <v>-0.000790912782444968</v>
      </c>
      <c r="L577" s="18" t="n">
        <v>0.00914437993745045</v>
      </c>
      <c r="M577" s="18" t="n">
        <v>-0.0864916799012053</v>
      </c>
      <c r="N577" s="18" t="n">
        <v>66.3720881915951</v>
      </c>
      <c r="O577" s="18" t="n">
        <v>0.931335971060328</v>
      </c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 t="s">
        <v>402</v>
      </c>
      <c r="AI577" s="18"/>
      <c r="AJ577" s="18" t="s">
        <v>1119</v>
      </c>
    </row>
    <row r="578" customFormat="false" ht="15" hidden="false" customHeight="false" outlineLevel="0" collapsed="false">
      <c r="A578" s="18" t="s">
        <v>273</v>
      </c>
      <c r="B578" s="18" t="s">
        <v>707</v>
      </c>
      <c r="C578" s="18" t="s">
        <v>323</v>
      </c>
      <c r="D578" s="18" t="s">
        <v>324</v>
      </c>
      <c r="E578" s="18" t="s">
        <v>404</v>
      </c>
      <c r="F578" s="18" t="s">
        <v>401</v>
      </c>
      <c r="G578" s="18" t="n">
        <v>0.6</v>
      </c>
      <c r="H578" s="18" t="n">
        <v>924</v>
      </c>
      <c r="I578" s="18" t="n">
        <v>40</v>
      </c>
      <c r="J578" s="18" t="n">
        <v>40</v>
      </c>
      <c r="K578" s="18" t="n">
        <v>-0.0228003753274295</v>
      </c>
      <c r="L578" s="18" t="n">
        <v>0.0201350704830037</v>
      </c>
      <c r="M578" s="18" t="n">
        <v>-1.13237126965488</v>
      </c>
      <c r="N578" s="18" t="n">
        <v>24.1129184117152</v>
      </c>
      <c r="O578" s="18" t="n">
        <v>0.268613610868564</v>
      </c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 t="s">
        <v>402</v>
      </c>
      <c r="AI578" s="18"/>
      <c r="AJ578" s="18" t="s">
        <v>1120</v>
      </c>
    </row>
    <row r="579" customFormat="false" ht="15" hidden="false" customHeight="false" outlineLevel="0" collapsed="false">
      <c r="A579" s="18" t="s">
        <v>273</v>
      </c>
      <c r="B579" s="18" t="s">
        <v>709</v>
      </c>
      <c r="C579" s="18" t="s">
        <v>323</v>
      </c>
      <c r="D579" s="18" t="s">
        <v>324</v>
      </c>
      <c r="E579" s="18" t="s">
        <v>404</v>
      </c>
      <c r="F579" s="18" t="s">
        <v>401</v>
      </c>
      <c r="G579" s="18" t="n">
        <v>0.6</v>
      </c>
      <c r="H579" s="18" t="n">
        <v>2704</v>
      </c>
      <c r="I579" s="18" t="n">
        <v>113</v>
      </c>
      <c r="J579" s="18" t="n">
        <v>112</v>
      </c>
      <c r="K579" s="18" t="n">
        <v>-0.0103093858870229</v>
      </c>
      <c r="L579" s="18" t="n">
        <v>0.0112557306189249</v>
      </c>
      <c r="M579" s="18" t="n">
        <v>-0.915923295968819</v>
      </c>
      <c r="N579" s="18" t="n">
        <v>34.1703812105629</v>
      </c>
      <c r="O579" s="18" t="n">
        <v>0.366126181197536</v>
      </c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 t="s">
        <v>402</v>
      </c>
      <c r="AI579" s="18"/>
      <c r="AJ579" s="18" t="s">
        <v>1121</v>
      </c>
    </row>
    <row r="580" customFormat="false" ht="15" hidden="false" customHeight="false" outlineLevel="0" collapsed="false">
      <c r="A580" s="18" t="s">
        <v>273</v>
      </c>
      <c r="B580" s="18" t="s">
        <v>711</v>
      </c>
      <c r="C580" s="18" t="s">
        <v>323</v>
      </c>
      <c r="D580" s="18" t="s">
        <v>324</v>
      </c>
      <c r="E580" s="18" t="s">
        <v>404</v>
      </c>
      <c r="F580" s="18" t="s">
        <v>401</v>
      </c>
      <c r="G580" s="18" t="n">
        <v>0.6</v>
      </c>
      <c r="H580" s="18" t="n">
        <v>2704</v>
      </c>
      <c r="I580" s="18" t="n">
        <v>113</v>
      </c>
      <c r="J580" s="18" t="n">
        <v>112</v>
      </c>
      <c r="K580" s="18" t="n">
        <v>-0.00824609965846571</v>
      </c>
      <c r="L580" s="18" t="n">
        <v>0.0116466301763468</v>
      </c>
      <c r="M580" s="18" t="n">
        <v>-0.708024512979963</v>
      </c>
      <c r="N580" s="18" t="n">
        <v>26.2427243041736</v>
      </c>
      <c r="O580" s="18" t="n">
        <v>0.48517162937591</v>
      </c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 t="s">
        <v>402</v>
      </c>
      <c r="AI580" s="18"/>
      <c r="AJ580" s="18" t="s">
        <v>1122</v>
      </c>
    </row>
    <row r="581" customFormat="false" ht="15" hidden="false" customHeight="false" outlineLevel="0" collapsed="false">
      <c r="A581" s="18" t="s">
        <v>273</v>
      </c>
      <c r="B581" s="18" t="s">
        <v>713</v>
      </c>
      <c r="C581" s="18" t="s">
        <v>323</v>
      </c>
      <c r="D581" s="18" t="s">
        <v>324</v>
      </c>
      <c r="E581" s="18" t="s">
        <v>404</v>
      </c>
      <c r="F581" s="18" t="s">
        <v>401</v>
      </c>
      <c r="G581" s="18" t="n">
        <v>0.6</v>
      </c>
      <c r="H581" s="18" t="n">
        <v>2704</v>
      </c>
      <c r="I581" s="18" t="n">
        <v>113</v>
      </c>
      <c r="J581" s="18" t="n">
        <v>112</v>
      </c>
      <c r="K581" s="18" t="n">
        <v>0.00132430175446655</v>
      </c>
      <c r="L581" s="18" t="n">
        <v>0.0106663805916687</v>
      </c>
      <c r="M581" s="18" t="n">
        <v>0.124156619303547</v>
      </c>
      <c r="N581" s="18" t="n">
        <v>36.0699582493878</v>
      </c>
      <c r="O581" s="18" t="n">
        <v>0.901880596514579</v>
      </c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 t="s">
        <v>402</v>
      </c>
      <c r="AI581" s="18"/>
      <c r="AJ581" s="18" t="s">
        <v>1123</v>
      </c>
    </row>
    <row r="582" customFormat="false" ht="15" hidden="false" customHeight="false" outlineLevel="0" collapsed="false">
      <c r="A582" s="18" t="s">
        <v>273</v>
      </c>
      <c r="B582" s="18" t="s">
        <v>715</v>
      </c>
      <c r="C582" s="18" t="s">
        <v>323</v>
      </c>
      <c r="D582" s="18" t="s">
        <v>324</v>
      </c>
      <c r="E582" s="18" t="s">
        <v>404</v>
      </c>
      <c r="F582" s="18" t="s">
        <v>401</v>
      </c>
      <c r="G582" s="18" t="n">
        <v>0.6</v>
      </c>
      <c r="H582" s="18" t="n">
        <v>2704</v>
      </c>
      <c r="I582" s="18" t="n">
        <v>113</v>
      </c>
      <c r="J582" s="18" t="n">
        <v>112</v>
      </c>
      <c r="K582" s="18" t="n">
        <v>-0.00886143948520847</v>
      </c>
      <c r="L582" s="18" t="n">
        <v>0.0121859224367986</v>
      </c>
      <c r="M582" s="18" t="n">
        <v>-0.727186598402188</v>
      </c>
      <c r="N582" s="18" t="n">
        <v>22.9053240689754</v>
      </c>
      <c r="O582" s="18" t="n">
        <v>0.474479182435837</v>
      </c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 t="s">
        <v>402</v>
      </c>
      <c r="AI582" s="18"/>
      <c r="AJ582" s="18" t="s">
        <v>1124</v>
      </c>
    </row>
    <row r="583" customFormat="false" ht="15" hidden="false" customHeight="false" outlineLevel="0" collapsed="false">
      <c r="A583" s="18" t="s">
        <v>273</v>
      </c>
      <c r="B583" s="18" t="s">
        <v>717</v>
      </c>
      <c r="C583" s="18" t="s">
        <v>323</v>
      </c>
      <c r="D583" s="18" t="s">
        <v>324</v>
      </c>
      <c r="E583" s="18" t="s">
        <v>404</v>
      </c>
      <c r="F583" s="18" t="s">
        <v>401</v>
      </c>
      <c r="G583" s="18" t="n">
        <v>0.6</v>
      </c>
      <c r="H583" s="18" t="n">
        <v>2704</v>
      </c>
      <c r="I583" s="18" t="n">
        <v>113</v>
      </c>
      <c r="J583" s="18" t="n">
        <v>112</v>
      </c>
      <c r="K583" s="18" t="n">
        <v>-0.0108223291291108</v>
      </c>
      <c r="L583" s="18" t="n">
        <v>0.0152495760814919</v>
      </c>
      <c r="M583" s="18" t="n">
        <v>-0.709680654155733</v>
      </c>
      <c r="N583" s="18" t="n">
        <v>18.0141632129426</v>
      </c>
      <c r="O583" s="18" t="n">
        <v>0.486987526870163</v>
      </c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 t="s">
        <v>402</v>
      </c>
      <c r="AI583" s="18"/>
      <c r="AJ583" s="18" t="s">
        <v>1125</v>
      </c>
    </row>
    <row r="584" customFormat="false" ht="15" hidden="false" customHeight="false" outlineLevel="0" collapsed="false">
      <c r="A584" s="18" t="s">
        <v>273</v>
      </c>
      <c r="B584" s="18" t="s">
        <v>719</v>
      </c>
      <c r="C584" s="18" t="s">
        <v>323</v>
      </c>
      <c r="D584" s="18" t="s">
        <v>324</v>
      </c>
      <c r="E584" s="18" t="s">
        <v>404</v>
      </c>
      <c r="F584" s="18" t="s">
        <v>401</v>
      </c>
      <c r="G584" s="18" t="n">
        <v>0.6</v>
      </c>
      <c r="H584" s="18" t="n">
        <v>2704</v>
      </c>
      <c r="I584" s="18" t="n">
        <v>113</v>
      </c>
      <c r="J584" s="18" t="n">
        <v>112</v>
      </c>
      <c r="K584" s="18" t="n">
        <v>-0.0102984512023349</v>
      </c>
      <c r="L584" s="18" t="n">
        <v>0.0165295759146825</v>
      </c>
      <c r="M584" s="18" t="n">
        <v>-0.623031785902459</v>
      </c>
      <c r="N584" s="18" t="n">
        <v>14.811887843909</v>
      </c>
      <c r="O584" s="18" t="n">
        <v>0.542738332553752</v>
      </c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 t="s">
        <v>402</v>
      </c>
      <c r="AI584" s="18"/>
      <c r="AJ584" s="18" t="s">
        <v>1126</v>
      </c>
    </row>
    <row r="585" customFormat="false" ht="15" hidden="false" customHeight="false" outlineLevel="0" collapsed="false">
      <c r="A585" s="18" t="s">
        <v>273</v>
      </c>
      <c r="B585" s="18" t="s">
        <v>721</v>
      </c>
      <c r="C585" s="18" t="s">
        <v>323</v>
      </c>
      <c r="D585" s="18" t="s">
        <v>324</v>
      </c>
      <c r="E585" s="18" t="s">
        <v>404</v>
      </c>
      <c r="F585" s="18" t="s">
        <v>401</v>
      </c>
      <c r="G585" s="18" t="n">
        <v>0.6</v>
      </c>
      <c r="H585" s="18" t="n">
        <v>2704</v>
      </c>
      <c r="I585" s="18" t="n">
        <v>113</v>
      </c>
      <c r="J585" s="18" t="n">
        <v>112</v>
      </c>
      <c r="K585" s="18" t="n">
        <v>0.00544365382008471</v>
      </c>
      <c r="L585" s="18" t="n">
        <v>0.00948707530813125</v>
      </c>
      <c r="M585" s="18" t="n">
        <v>0.573796838675775</v>
      </c>
      <c r="N585" s="18" t="n">
        <v>38.4595731833447</v>
      </c>
      <c r="O585" s="18" t="n">
        <v>0.569445933007536</v>
      </c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 t="s">
        <v>402</v>
      </c>
      <c r="AI585" s="18"/>
      <c r="AJ585" s="18" t="s">
        <v>1127</v>
      </c>
    </row>
    <row r="586" customFormat="false" ht="15" hidden="false" customHeight="false" outlineLevel="0" collapsed="false">
      <c r="A586" s="18" t="s">
        <v>273</v>
      </c>
      <c r="B586" s="18" t="s">
        <v>723</v>
      </c>
      <c r="C586" s="18" t="s">
        <v>323</v>
      </c>
      <c r="D586" s="18" t="s">
        <v>324</v>
      </c>
      <c r="E586" s="18" t="s">
        <v>404</v>
      </c>
      <c r="F586" s="18" t="s">
        <v>401</v>
      </c>
      <c r="G586" s="18" t="n">
        <v>0.6</v>
      </c>
      <c r="H586" s="18" t="n">
        <v>2704</v>
      </c>
      <c r="I586" s="18" t="n">
        <v>113</v>
      </c>
      <c r="J586" s="18" t="n">
        <v>112</v>
      </c>
      <c r="K586" s="18" t="n">
        <v>0.0172433624032102</v>
      </c>
      <c r="L586" s="18" t="n">
        <v>0.00918718692956425</v>
      </c>
      <c r="M586" s="18" t="n">
        <v>1.87689251730813</v>
      </c>
      <c r="N586" s="18" t="n">
        <v>51.2227219697408</v>
      </c>
      <c r="O586" s="18" t="n">
        <v>0.0662341007006243</v>
      </c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 t="s">
        <v>402</v>
      </c>
      <c r="AI586" s="18"/>
      <c r="AJ586" s="18" t="s">
        <v>1128</v>
      </c>
    </row>
    <row r="587" customFormat="false" ht="15" hidden="false" customHeight="false" outlineLevel="0" collapsed="false">
      <c r="A587" s="18" t="s">
        <v>273</v>
      </c>
      <c r="B587" s="18" t="s">
        <v>725</v>
      </c>
      <c r="C587" s="18" t="s">
        <v>323</v>
      </c>
      <c r="D587" s="18" t="s">
        <v>324</v>
      </c>
      <c r="E587" s="18" t="s">
        <v>404</v>
      </c>
      <c r="F587" s="18" t="s">
        <v>401</v>
      </c>
      <c r="G587" s="18" t="n">
        <v>0.6</v>
      </c>
      <c r="H587" s="18" t="n">
        <v>2704</v>
      </c>
      <c r="I587" s="18" t="n">
        <v>113</v>
      </c>
      <c r="J587" s="18" t="n">
        <v>112</v>
      </c>
      <c r="K587" s="18" t="n">
        <v>0.00497085637289834</v>
      </c>
      <c r="L587" s="18" t="n">
        <v>0.00925007379508436</v>
      </c>
      <c r="M587" s="18" t="n">
        <v>0.53738559097117</v>
      </c>
      <c r="N587" s="18" t="n">
        <v>56.4050036994683</v>
      </c>
      <c r="O587" s="18" t="n">
        <v>0.593115113967875</v>
      </c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 t="s">
        <v>402</v>
      </c>
      <c r="AI587" s="18"/>
      <c r="AJ587" s="18" t="s">
        <v>1129</v>
      </c>
    </row>
    <row r="588" customFormat="false" ht="15" hidden="false" customHeight="false" outlineLevel="0" collapsed="false">
      <c r="A588" s="18" t="s">
        <v>273</v>
      </c>
      <c r="B588" s="18" t="s">
        <v>727</v>
      </c>
      <c r="C588" s="18" t="s">
        <v>323</v>
      </c>
      <c r="D588" s="18" t="s">
        <v>324</v>
      </c>
      <c r="E588" s="18" t="s">
        <v>404</v>
      </c>
      <c r="F588" s="18" t="s">
        <v>401</v>
      </c>
      <c r="G588" s="18" t="n">
        <v>0.6</v>
      </c>
      <c r="H588" s="18" t="n">
        <v>929</v>
      </c>
      <c r="I588" s="18" t="n">
        <v>40</v>
      </c>
      <c r="J588" s="18" t="n">
        <v>40</v>
      </c>
      <c r="K588" s="18" t="n">
        <v>-0.0175656442910507</v>
      </c>
      <c r="L588" s="18" t="n">
        <v>0.0192688560350011</v>
      </c>
      <c r="M588" s="18" t="n">
        <v>-0.911608050791569</v>
      </c>
      <c r="N588" s="18" t="n">
        <v>23.9488295280872</v>
      </c>
      <c r="O588" s="18" t="n">
        <v>0.371060443637153</v>
      </c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 t="s">
        <v>402</v>
      </c>
      <c r="AI588" s="18"/>
      <c r="AJ588" s="18" t="s">
        <v>1130</v>
      </c>
    </row>
    <row r="589" customFormat="false" ht="15" hidden="false" customHeight="false" outlineLevel="0" collapsed="false">
      <c r="A589" s="18" t="s">
        <v>273</v>
      </c>
      <c r="B589" s="18" t="s">
        <v>729</v>
      </c>
      <c r="C589" s="18" t="s">
        <v>323</v>
      </c>
      <c r="D589" s="18" t="s">
        <v>324</v>
      </c>
      <c r="E589" s="18" t="s">
        <v>404</v>
      </c>
      <c r="F589" s="18" t="s">
        <v>401</v>
      </c>
      <c r="G589" s="18" t="n">
        <v>0.6</v>
      </c>
      <c r="H589" s="18" t="n">
        <v>2606</v>
      </c>
      <c r="I589" s="18" t="n">
        <v>110</v>
      </c>
      <c r="J589" s="18" t="n">
        <v>109</v>
      </c>
      <c r="K589" s="18" t="n">
        <v>0.00559316119191701</v>
      </c>
      <c r="L589" s="18" t="n">
        <v>0.0192963732691574</v>
      </c>
      <c r="M589" s="18" t="n">
        <v>0.289855565805048</v>
      </c>
      <c r="N589" s="18" t="n">
        <v>13.9377271617133</v>
      </c>
      <c r="O589" s="18" t="n">
        <v>0.776194174408655</v>
      </c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 t="s">
        <v>402</v>
      </c>
      <c r="AI589" s="18"/>
      <c r="AJ589" s="18" t="s">
        <v>1131</v>
      </c>
    </row>
    <row r="590" customFormat="false" ht="15" hidden="false" customHeight="false" outlineLevel="0" collapsed="false">
      <c r="A590" s="18" t="s">
        <v>273</v>
      </c>
      <c r="B590" s="18" t="s">
        <v>731</v>
      </c>
      <c r="C590" s="18" t="s">
        <v>323</v>
      </c>
      <c r="D590" s="18" t="s">
        <v>324</v>
      </c>
      <c r="E590" s="18" t="s">
        <v>404</v>
      </c>
      <c r="F590" s="18" t="s">
        <v>401</v>
      </c>
      <c r="G590" s="18" t="n">
        <v>0.6</v>
      </c>
      <c r="H590" s="18" t="n">
        <v>2606</v>
      </c>
      <c r="I590" s="18" t="n">
        <v>110</v>
      </c>
      <c r="J590" s="18" t="n">
        <v>109</v>
      </c>
      <c r="K590" s="18" t="n">
        <v>0.00528529606218325</v>
      </c>
      <c r="L590" s="18" t="n">
        <v>0.0190088095875159</v>
      </c>
      <c r="M590" s="18" t="n">
        <v>0.27804455812185</v>
      </c>
      <c r="N590" s="18" t="n">
        <v>11.4587211567261</v>
      </c>
      <c r="O590" s="18" t="n">
        <v>0.785931321488406</v>
      </c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 t="s">
        <v>402</v>
      </c>
      <c r="AI590" s="18"/>
      <c r="AJ590" s="18" t="s">
        <v>1132</v>
      </c>
    </row>
    <row r="591" customFormat="false" ht="15" hidden="false" customHeight="false" outlineLevel="0" collapsed="false">
      <c r="A591" s="18" t="s">
        <v>273</v>
      </c>
      <c r="B591" s="18" t="s">
        <v>733</v>
      </c>
      <c r="C591" s="18" t="s">
        <v>323</v>
      </c>
      <c r="D591" s="18" t="s">
        <v>324</v>
      </c>
      <c r="E591" s="18" t="s">
        <v>404</v>
      </c>
      <c r="F591" s="18" t="s">
        <v>401</v>
      </c>
      <c r="G591" s="18" t="n">
        <v>0.6</v>
      </c>
      <c r="H591" s="18" t="n">
        <v>2606</v>
      </c>
      <c r="I591" s="18" t="n">
        <v>110</v>
      </c>
      <c r="J591" s="18" t="n">
        <v>109</v>
      </c>
      <c r="K591" s="18" t="n">
        <v>-0.0189725591538761</v>
      </c>
      <c r="L591" s="18" t="n">
        <v>0.0220708129104714</v>
      </c>
      <c r="M591" s="18" t="n">
        <v>-0.859622127686771</v>
      </c>
      <c r="N591" s="18" t="n">
        <v>37.2417667779518</v>
      </c>
      <c r="O591" s="18" t="n">
        <v>0.395497264395846</v>
      </c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 t="s">
        <v>402</v>
      </c>
      <c r="AI591" s="18"/>
      <c r="AJ591" s="18" t="s">
        <v>1133</v>
      </c>
    </row>
    <row r="592" customFormat="false" ht="15" hidden="false" customHeight="false" outlineLevel="0" collapsed="false">
      <c r="A592" s="18" t="s">
        <v>273</v>
      </c>
      <c r="B592" s="18" t="s">
        <v>735</v>
      </c>
      <c r="C592" s="18" t="s">
        <v>323</v>
      </c>
      <c r="D592" s="18" t="s">
        <v>324</v>
      </c>
      <c r="E592" s="18" t="s">
        <v>404</v>
      </c>
      <c r="F592" s="18" t="s">
        <v>401</v>
      </c>
      <c r="G592" s="18" t="n">
        <v>0.6</v>
      </c>
      <c r="H592" s="18" t="n">
        <v>2606</v>
      </c>
      <c r="I592" s="18" t="n">
        <v>110</v>
      </c>
      <c r="J592" s="18" t="n">
        <v>109</v>
      </c>
      <c r="K592" s="18" t="n">
        <v>0.00349211735696386</v>
      </c>
      <c r="L592" s="18" t="n">
        <v>0.0193826206252865</v>
      </c>
      <c r="M592" s="18" t="n">
        <v>0.180167451268589</v>
      </c>
      <c r="N592" s="18" t="n">
        <v>10.1580105557053</v>
      </c>
      <c r="O592" s="18" t="n">
        <v>0.860564705689392</v>
      </c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 t="s">
        <v>402</v>
      </c>
      <c r="AI592" s="18"/>
      <c r="AJ592" s="18" t="s">
        <v>1134</v>
      </c>
    </row>
    <row r="593" customFormat="false" ht="15" hidden="false" customHeight="false" outlineLevel="0" collapsed="false">
      <c r="A593" s="18" t="s">
        <v>273</v>
      </c>
      <c r="B593" s="18" t="s">
        <v>737</v>
      </c>
      <c r="C593" s="18" t="s">
        <v>323</v>
      </c>
      <c r="D593" s="18" t="s">
        <v>324</v>
      </c>
      <c r="E593" s="18" t="s">
        <v>404</v>
      </c>
      <c r="F593" s="18" t="s">
        <v>401</v>
      </c>
      <c r="G593" s="18" t="n">
        <v>0.6</v>
      </c>
      <c r="H593" s="18" t="n">
        <v>2606</v>
      </c>
      <c r="I593" s="18" t="n">
        <v>110</v>
      </c>
      <c r="J593" s="18" t="n">
        <v>109</v>
      </c>
      <c r="K593" s="18" t="n">
        <v>-0.00369610150224444</v>
      </c>
      <c r="L593" s="18" t="n">
        <v>0.022986352047155</v>
      </c>
      <c r="M593" s="18" t="n">
        <v>-0.160795479624698</v>
      </c>
      <c r="N593" s="18" t="n">
        <v>18.9435689914751</v>
      </c>
      <c r="O593" s="18" t="n">
        <v>0.873956849957396</v>
      </c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 t="s">
        <v>402</v>
      </c>
      <c r="AI593" s="18"/>
      <c r="AJ593" s="18" t="s">
        <v>1135</v>
      </c>
    </row>
    <row r="594" customFormat="false" ht="15" hidden="false" customHeight="false" outlineLevel="0" collapsed="false">
      <c r="A594" s="18" t="s">
        <v>273</v>
      </c>
      <c r="B594" s="18" t="s">
        <v>739</v>
      </c>
      <c r="C594" s="18" t="s">
        <v>323</v>
      </c>
      <c r="D594" s="18" t="s">
        <v>324</v>
      </c>
      <c r="E594" s="18" t="s">
        <v>404</v>
      </c>
      <c r="F594" s="18" t="s">
        <v>401</v>
      </c>
      <c r="G594" s="18" t="n">
        <v>0.6</v>
      </c>
      <c r="H594" s="18" t="n">
        <v>2606</v>
      </c>
      <c r="I594" s="18" t="n">
        <v>110</v>
      </c>
      <c r="J594" s="18" t="n">
        <v>109</v>
      </c>
      <c r="K594" s="18" t="n">
        <v>-0.00307603435770377</v>
      </c>
      <c r="L594" s="18" t="n">
        <v>0.0235532007082865</v>
      </c>
      <c r="M594" s="18" t="n">
        <v>-0.130599420257203</v>
      </c>
      <c r="N594" s="18" t="n">
        <v>15.5611662311234</v>
      </c>
      <c r="O594" s="18" t="n">
        <v>0.897765615544312</v>
      </c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 t="s">
        <v>402</v>
      </c>
      <c r="AI594" s="18"/>
      <c r="AJ594" s="18" t="s">
        <v>1136</v>
      </c>
    </row>
    <row r="595" customFormat="false" ht="15" hidden="false" customHeight="false" outlineLevel="0" collapsed="false">
      <c r="A595" s="18" t="s">
        <v>273</v>
      </c>
      <c r="B595" s="18" t="s">
        <v>741</v>
      </c>
      <c r="C595" s="18" t="s">
        <v>323</v>
      </c>
      <c r="D595" s="18" t="s">
        <v>324</v>
      </c>
      <c r="E595" s="18" t="s">
        <v>404</v>
      </c>
      <c r="F595" s="18" t="s">
        <v>401</v>
      </c>
      <c r="G595" s="18" t="n">
        <v>0.6</v>
      </c>
      <c r="H595" s="18" t="n">
        <v>2606</v>
      </c>
      <c r="I595" s="18" t="n">
        <v>110</v>
      </c>
      <c r="J595" s="18" t="n">
        <v>109</v>
      </c>
      <c r="K595" s="18" t="n">
        <v>-0.0129374363384842</v>
      </c>
      <c r="L595" s="18" t="n">
        <v>0.022581801631006</v>
      </c>
      <c r="M595" s="18" t="n">
        <v>-0.572914267421443</v>
      </c>
      <c r="N595" s="18" t="n">
        <v>15.6184391835872</v>
      </c>
      <c r="O595" s="18" t="n">
        <v>0.5748589290563</v>
      </c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 t="s">
        <v>402</v>
      </c>
      <c r="AI595" s="18"/>
      <c r="AJ595" s="18" t="s">
        <v>1137</v>
      </c>
    </row>
    <row r="596" customFormat="false" ht="15" hidden="false" customHeight="false" outlineLevel="0" collapsed="false">
      <c r="A596" s="18" t="s">
        <v>273</v>
      </c>
      <c r="B596" s="18" t="s">
        <v>743</v>
      </c>
      <c r="C596" s="18" t="s">
        <v>323</v>
      </c>
      <c r="D596" s="18" t="s">
        <v>324</v>
      </c>
      <c r="E596" s="18" t="s">
        <v>404</v>
      </c>
      <c r="F596" s="18" t="s">
        <v>401</v>
      </c>
      <c r="G596" s="18" t="n">
        <v>0.6</v>
      </c>
      <c r="H596" s="18" t="n">
        <v>2606</v>
      </c>
      <c r="I596" s="18" t="n">
        <v>110</v>
      </c>
      <c r="J596" s="18" t="n">
        <v>109</v>
      </c>
      <c r="K596" s="18" t="n">
        <v>0.0359307791759378</v>
      </c>
      <c r="L596" s="18" t="n">
        <v>0.02742106172401</v>
      </c>
      <c r="M596" s="18" t="n">
        <v>1.3103350824843</v>
      </c>
      <c r="N596" s="18" t="n">
        <v>19.4420363139127</v>
      </c>
      <c r="O596" s="18" t="n">
        <v>0.20535262058292</v>
      </c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 t="s">
        <v>402</v>
      </c>
      <c r="AI596" s="18"/>
      <c r="AJ596" s="18" t="s">
        <v>1138</v>
      </c>
    </row>
    <row r="597" customFormat="false" ht="15" hidden="false" customHeight="false" outlineLevel="0" collapsed="false">
      <c r="A597" s="18" t="s">
        <v>273</v>
      </c>
      <c r="B597" s="18" t="s">
        <v>745</v>
      </c>
      <c r="C597" s="18" t="s">
        <v>323</v>
      </c>
      <c r="D597" s="18" t="s">
        <v>324</v>
      </c>
      <c r="E597" s="18" t="s">
        <v>404</v>
      </c>
      <c r="F597" s="18" t="s">
        <v>401</v>
      </c>
      <c r="G597" s="18" t="n">
        <v>0.6</v>
      </c>
      <c r="H597" s="18" t="n">
        <v>2606</v>
      </c>
      <c r="I597" s="18" t="n">
        <v>110</v>
      </c>
      <c r="J597" s="18" t="n">
        <v>109</v>
      </c>
      <c r="K597" s="18" t="n">
        <v>0.0180256711279993</v>
      </c>
      <c r="L597" s="18" t="n">
        <v>0.022712169615608</v>
      </c>
      <c r="M597" s="18" t="n">
        <v>0.793656943967688</v>
      </c>
      <c r="N597" s="18" t="n">
        <v>20.0233511763195</v>
      </c>
      <c r="O597" s="18" t="n">
        <v>0.436700064335232</v>
      </c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 t="s">
        <v>402</v>
      </c>
      <c r="AI597" s="18"/>
      <c r="AJ597" s="18" t="s">
        <v>1139</v>
      </c>
    </row>
    <row r="598" customFormat="false" ht="15" hidden="false" customHeight="false" outlineLevel="0" collapsed="false">
      <c r="A598" s="18" t="s">
        <v>273</v>
      </c>
      <c r="B598" s="18" t="s">
        <v>747</v>
      </c>
      <c r="C598" s="18" t="s">
        <v>323</v>
      </c>
      <c r="D598" s="18" t="s">
        <v>324</v>
      </c>
      <c r="E598" s="18" t="s">
        <v>404</v>
      </c>
      <c r="F598" s="18" t="s">
        <v>401</v>
      </c>
      <c r="G598" s="18" t="n">
        <v>0.6</v>
      </c>
      <c r="H598" s="18" t="n">
        <v>905</v>
      </c>
      <c r="I598" s="18" t="n">
        <v>38</v>
      </c>
      <c r="J598" s="18" t="n">
        <v>38</v>
      </c>
      <c r="K598" s="18" t="n">
        <v>-0.0202686992743581</v>
      </c>
      <c r="L598" s="18" t="n">
        <v>0.0184093629227576</v>
      </c>
      <c r="M598" s="18" t="n">
        <v>-1.10099949462684</v>
      </c>
      <c r="N598" s="18" t="n">
        <v>24.1582262885655</v>
      </c>
      <c r="O598" s="18" t="n">
        <v>0.281746435430809</v>
      </c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 t="s">
        <v>402</v>
      </c>
      <c r="AI598" s="18"/>
      <c r="AJ598" s="18" t="s">
        <v>1140</v>
      </c>
    </row>
    <row r="599" customFormat="false" ht="15" hidden="false" customHeight="false" outlineLevel="0" collapsed="false">
      <c r="A599" s="18" t="s">
        <v>273</v>
      </c>
      <c r="B599" s="18" t="s">
        <v>749</v>
      </c>
      <c r="C599" s="18" t="s">
        <v>323</v>
      </c>
      <c r="D599" s="18" t="s">
        <v>324</v>
      </c>
      <c r="E599" s="18" t="s">
        <v>404</v>
      </c>
      <c r="F599" s="18" t="s">
        <v>401</v>
      </c>
      <c r="G599" s="18" t="n">
        <v>0.6</v>
      </c>
      <c r="H599" s="18" t="n">
        <v>2593</v>
      </c>
      <c r="I599" s="18" t="n">
        <v>110</v>
      </c>
      <c r="J599" s="18" t="n">
        <v>109</v>
      </c>
      <c r="K599" s="18" t="n">
        <v>-0.018141814086418</v>
      </c>
      <c r="L599" s="18" t="n">
        <v>0.0112158202240641</v>
      </c>
      <c r="M599" s="18" t="n">
        <v>-1.61752004971459</v>
      </c>
      <c r="N599" s="18" t="n">
        <v>37.7815636575187</v>
      </c>
      <c r="O599" s="18" t="n">
        <v>0.114085979944578</v>
      </c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 t="s">
        <v>402</v>
      </c>
      <c r="AI599" s="18"/>
      <c r="AJ599" s="18" t="s">
        <v>1141</v>
      </c>
    </row>
    <row r="600" customFormat="false" ht="15" hidden="false" customHeight="false" outlineLevel="0" collapsed="false">
      <c r="A600" s="18" t="s">
        <v>273</v>
      </c>
      <c r="B600" s="18" t="s">
        <v>751</v>
      </c>
      <c r="C600" s="18" t="s">
        <v>323</v>
      </c>
      <c r="D600" s="18" t="s">
        <v>324</v>
      </c>
      <c r="E600" s="18" t="s">
        <v>404</v>
      </c>
      <c r="F600" s="18" t="s">
        <v>401</v>
      </c>
      <c r="G600" s="18" t="n">
        <v>0.6</v>
      </c>
      <c r="H600" s="18" t="n">
        <v>2593</v>
      </c>
      <c r="I600" s="18" t="n">
        <v>110</v>
      </c>
      <c r="J600" s="18" t="n">
        <v>109</v>
      </c>
      <c r="K600" s="18" t="n">
        <v>-0.0171972285978133</v>
      </c>
      <c r="L600" s="18" t="n">
        <v>0.0118968729856031</v>
      </c>
      <c r="M600" s="18" t="n">
        <v>-1.44552510719618</v>
      </c>
      <c r="N600" s="18" t="n">
        <v>28.7657680992448</v>
      </c>
      <c r="O600" s="18" t="n">
        <v>0.159117832888878</v>
      </c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 t="s">
        <v>402</v>
      </c>
      <c r="AI600" s="18"/>
      <c r="AJ600" s="18" t="s">
        <v>1142</v>
      </c>
    </row>
    <row r="601" customFormat="false" ht="15" hidden="false" customHeight="false" outlineLevel="0" collapsed="false">
      <c r="A601" s="18" t="s">
        <v>273</v>
      </c>
      <c r="B601" s="18" t="s">
        <v>753</v>
      </c>
      <c r="C601" s="18" t="s">
        <v>323</v>
      </c>
      <c r="D601" s="18" t="s">
        <v>324</v>
      </c>
      <c r="E601" s="18" t="s">
        <v>404</v>
      </c>
      <c r="F601" s="18" t="s">
        <v>401</v>
      </c>
      <c r="G601" s="18" t="n">
        <v>0.6</v>
      </c>
      <c r="H601" s="18" t="n">
        <v>2593</v>
      </c>
      <c r="I601" s="18" t="n">
        <v>110</v>
      </c>
      <c r="J601" s="18" t="n">
        <v>109</v>
      </c>
      <c r="K601" s="18" t="n">
        <v>-0.000536987207915271</v>
      </c>
      <c r="L601" s="18" t="n">
        <v>0.0116265411658858</v>
      </c>
      <c r="M601" s="18" t="n">
        <v>-0.0461863249141439</v>
      </c>
      <c r="N601" s="18" t="n">
        <v>31.6703445863197</v>
      </c>
      <c r="O601" s="18" t="n">
        <v>0.963451753852051</v>
      </c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 t="s">
        <v>402</v>
      </c>
      <c r="AI601" s="18"/>
      <c r="AJ601" s="18" t="s">
        <v>1143</v>
      </c>
    </row>
    <row r="602" customFormat="false" ht="15" hidden="false" customHeight="false" outlineLevel="0" collapsed="false">
      <c r="A602" s="18" t="s">
        <v>273</v>
      </c>
      <c r="B602" s="18" t="s">
        <v>755</v>
      </c>
      <c r="C602" s="18" t="s">
        <v>323</v>
      </c>
      <c r="D602" s="18" t="s">
        <v>324</v>
      </c>
      <c r="E602" s="18" t="s">
        <v>404</v>
      </c>
      <c r="F602" s="18" t="s">
        <v>401</v>
      </c>
      <c r="G602" s="18" t="n">
        <v>0.6</v>
      </c>
      <c r="H602" s="18" t="n">
        <v>2593</v>
      </c>
      <c r="I602" s="18" t="n">
        <v>110</v>
      </c>
      <c r="J602" s="18" t="n">
        <v>109</v>
      </c>
      <c r="K602" s="18" t="n">
        <v>-0.0177753024240056</v>
      </c>
      <c r="L602" s="18" t="n">
        <v>0.0124448762248284</v>
      </c>
      <c r="M602" s="18" t="n">
        <v>-1.42832295821011</v>
      </c>
      <c r="N602" s="18" t="n">
        <v>25.0700577111436</v>
      </c>
      <c r="O602" s="18" t="n">
        <v>0.165539656154098</v>
      </c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 t="s">
        <v>402</v>
      </c>
      <c r="AI602" s="18"/>
      <c r="AJ602" s="18" t="s">
        <v>1144</v>
      </c>
    </row>
    <row r="603" customFormat="false" ht="15" hidden="false" customHeight="false" outlineLevel="0" collapsed="false">
      <c r="A603" s="18" t="s">
        <v>273</v>
      </c>
      <c r="B603" s="18" t="s">
        <v>757</v>
      </c>
      <c r="C603" s="18" t="s">
        <v>323</v>
      </c>
      <c r="D603" s="18" t="s">
        <v>324</v>
      </c>
      <c r="E603" s="18" t="s">
        <v>404</v>
      </c>
      <c r="F603" s="18" t="s">
        <v>401</v>
      </c>
      <c r="G603" s="18" t="n">
        <v>0.6</v>
      </c>
      <c r="H603" s="18" t="n">
        <v>2593</v>
      </c>
      <c r="I603" s="18" t="n">
        <v>110</v>
      </c>
      <c r="J603" s="18" t="n">
        <v>109</v>
      </c>
      <c r="K603" s="18" t="n">
        <v>-0.0201843195784395</v>
      </c>
      <c r="L603" s="18" t="n">
        <v>0.0149799765583157</v>
      </c>
      <c r="M603" s="18" t="n">
        <v>-1.34741997091008</v>
      </c>
      <c r="N603" s="18" t="n">
        <v>18.1326719399483</v>
      </c>
      <c r="O603" s="18" t="n">
        <v>0.194441916756802</v>
      </c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 t="s">
        <v>402</v>
      </c>
      <c r="AI603" s="18"/>
      <c r="AJ603" s="18" t="s">
        <v>1145</v>
      </c>
    </row>
    <row r="604" customFormat="false" ht="15" hidden="false" customHeight="false" outlineLevel="0" collapsed="false">
      <c r="A604" s="18" t="s">
        <v>273</v>
      </c>
      <c r="B604" s="18" t="s">
        <v>759</v>
      </c>
      <c r="C604" s="18" t="s">
        <v>323</v>
      </c>
      <c r="D604" s="18" t="s">
        <v>324</v>
      </c>
      <c r="E604" s="18" t="s">
        <v>404</v>
      </c>
      <c r="F604" s="18" t="s">
        <v>401</v>
      </c>
      <c r="G604" s="18" t="n">
        <v>0.6</v>
      </c>
      <c r="H604" s="18" t="n">
        <v>2593</v>
      </c>
      <c r="I604" s="18" t="n">
        <v>110</v>
      </c>
      <c r="J604" s="18" t="n">
        <v>109</v>
      </c>
      <c r="K604" s="18" t="n">
        <v>-0.0202844626758703</v>
      </c>
      <c r="L604" s="18" t="n">
        <v>0.0161500117337118</v>
      </c>
      <c r="M604" s="18" t="n">
        <v>-1.25600296831539</v>
      </c>
      <c r="N604" s="18" t="n">
        <v>14.8843676719633</v>
      </c>
      <c r="O604" s="18" t="n">
        <v>0.228472744332406</v>
      </c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 t="s">
        <v>402</v>
      </c>
      <c r="AI604" s="18"/>
      <c r="AJ604" s="18" t="s">
        <v>1146</v>
      </c>
    </row>
    <row r="605" customFormat="false" ht="15" hidden="false" customHeight="false" outlineLevel="0" collapsed="false">
      <c r="A605" s="18" t="s">
        <v>273</v>
      </c>
      <c r="B605" s="18" t="s">
        <v>761</v>
      </c>
      <c r="C605" s="18" t="s">
        <v>323</v>
      </c>
      <c r="D605" s="18" t="s">
        <v>324</v>
      </c>
      <c r="E605" s="18" t="s">
        <v>404</v>
      </c>
      <c r="F605" s="18" t="s">
        <v>401</v>
      </c>
      <c r="G605" s="18" t="n">
        <v>0.6</v>
      </c>
      <c r="H605" s="18" t="n">
        <v>2593</v>
      </c>
      <c r="I605" s="18" t="n">
        <v>110</v>
      </c>
      <c r="J605" s="18" t="n">
        <v>109</v>
      </c>
      <c r="K605" s="18" t="n">
        <v>-0.00286016276945215</v>
      </c>
      <c r="L605" s="18" t="n">
        <v>0.0103099652969948</v>
      </c>
      <c r="M605" s="18" t="n">
        <v>-0.277417303265399</v>
      </c>
      <c r="N605" s="18" t="n">
        <v>39.1026720236174</v>
      </c>
      <c r="O605" s="18" t="n">
        <v>0.782921131556891</v>
      </c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 t="s">
        <v>402</v>
      </c>
      <c r="AI605" s="18"/>
      <c r="AJ605" s="18" t="s">
        <v>1147</v>
      </c>
    </row>
    <row r="606" customFormat="false" ht="15" hidden="false" customHeight="false" outlineLevel="0" collapsed="false">
      <c r="A606" s="18" t="s">
        <v>273</v>
      </c>
      <c r="B606" s="18" t="s">
        <v>763</v>
      </c>
      <c r="C606" s="18" t="s">
        <v>323</v>
      </c>
      <c r="D606" s="18" t="s">
        <v>324</v>
      </c>
      <c r="E606" s="18" t="s">
        <v>404</v>
      </c>
      <c r="F606" s="18" t="s">
        <v>401</v>
      </c>
      <c r="G606" s="18" t="n">
        <v>0.6</v>
      </c>
      <c r="H606" s="18" t="n">
        <v>2593</v>
      </c>
      <c r="I606" s="18" t="n">
        <v>110</v>
      </c>
      <c r="J606" s="18" t="n">
        <v>109</v>
      </c>
      <c r="K606" s="18" t="n">
        <v>0.00674611020906873</v>
      </c>
      <c r="L606" s="18" t="n">
        <v>0.0096001981972486</v>
      </c>
      <c r="M606" s="18" t="n">
        <v>0.702705305709434</v>
      </c>
      <c r="N606" s="18" t="n">
        <v>52.9430224289619</v>
      </c>
      <c r="O606" s="18" t="n">
        <v>0.485317871588897</v>
      </c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 t="s">
        <v>402</v>
      </c>
      <c r="AI606" s="18"/>
      <c r="AJ606" s="18" t="s">
        <v>1148</v>
      </c>
    </row>
    <row r="607" customFormat="false" ht="15" hidden="false" customHeight="false" outlineLevel="0" collapsed="false">
      <c r="A607" s="18" t="s">
        <v>273</v>
      </c>
      <c r="B607" s="18" t="s">
        <v>765</v>
      </c>
      <c r="C607" s="18" t="s">
        <v>323</v>
      </c>
      <c r="D607" s="18" t="s">
        <v>324</v>
      </c>
      <c r="E607" s="18" t="s">
        <v>404</v>
      </c>
      <c r="F607" s="18" t="s">
        <v>401</v>
      </c>
      <c r="G607" s="18" t="n">
        <v>0.6</v>
      </c>
      <c r="H607" s="18" t="n">
        <v>2593</v>
      </c>
      <c r="I607" s="18" t="n">
        <v>110</v>
      </c>
      <c r="J607" s="18" t="n">
        <v>109</v>
      </c>
      <c r="K607" s="18" t="n">
        <v>-0.00442160923149919</v>
      </c>
      <c r="L607" s="18" t="n">
        <v>0.00970319252807242</v>
      </c>
      <c r="M607" s="18" t="n">
        <v>-0.455686024852849</v>
      </c>
      <c r="N607" s="18" t="n">
        <v>61.2636588600728</v>
      </c>
      <c r="O607" s="18" t="n">
        <v>0.650226870518292</v>
      </c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 t="s">
        <v>402</v>
      </c>
      <c r="AI607" s="18"/>
      <c r="AJ607" s="18" t="s">
        <v>1149</v>
      </c>
    </row>
    <row r="608" customFormat="false" ht="15" hidden="false" customHeight="false" outlineLevel="0" collapsed="false">
      <c r="A608" s="18" t="s">
        <v>273</v>
      </c>
      <c r="B608" s="18" t="s">
        <v>767</v>
      </c>
      <c r="C608" s="18" t="s">
        <v>323</v>
      </c>
      <c r="D608" s="18" t="s">
        <v>324</v>
      </c>
      <c r="E608" s="18" t="s">
        <v>404</v>
      </c>
      <c r="F608" s="18" t="s">
        <v>401</v>
      </c>
      <c r="G608" s="18" t="n">
        <v>0.6</v>
      </c>
      <c r="H608" s="18" t="n">
        <v>900</v>
      </c>
      <c r="I608" s="18" t="n">
        <v>38</v>
      </c>
      <c r="J608" s="18" t="n">
        <v>38</v>
      </c>
      <c r="K608" s="18" t="n">
        <v>-0.0289602814911331</v>
      </c>
      <c r="L608" s="18" t="n">
        <v>0.0201004950051641</v>
      </c>
      <c r="M608" s="18" t="n">
        <v>-1.4407745423032</v>
      </c>
      <c r="N608" s="18" t="n">
        <v>24.710336022039</v>
      </c>
      <c r="O608" s="18" t="n">
        <v>0.162200601362275</v>
      </c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 t="s">
        <v>402</v>
      </c>
      <c r="AI608" s="18"/>
      <c r="AJ608" s="18" t="s">
        <v>1150</v>
      </c>
    </row>
    <row r="609" customFormat="false" ht="15" hidden="false" customHeight="false" outlineLevel="0" collapsed="false">
      <c r="A609" s="18" t="s">
        <v>273</v>
      </c>
      <c r="B609" s="18" t="s">
        <v>769</v>
      </c>
      <c r="C609" s="18" t="s">
        <v>323</v>
      </c>
      <c r="D609" s="18" t="s">
        <v>324</v>
      </c>
      <c r="E609" s="18" t="s">
        <v>404</v>
      </c>
      <c r="F609" s="18" t="s">
        <v>401</v>
      </c>
      <c r="G609" s="18" t="n">
        <v>0.6</v>
      </c>
      <c r="H609" s="18" t="n">
        <v>2606</v>
      </c>
      <c r="I609" s="18" t="n">
        <v>110</v>
      </c>
      <c r="J609" s="18" t="n">
        <v>109</v>
      </c>
      <c r="K609" s="18" t="n">
        <v>-0.014180456060226</v>
      </c>
      <c r="L609" s="18" t="n">
        <v>0.0117322978048087</v>
      </c>
      <c r="M609" s="18" t="n">
        <v>-1.20866826738866</v>
      </c>
      <c r="N609" s="18" t="n">
        <v>32.9302513301219</v>
      </c>
      <c r="O609" s="18" t="n">
        <v>0.235397934969509</v>
      </c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 t="s">
        <v>402</v>
      </c>
      <c r="AI609" s="18"/>
      <c r="AJ609" s="18" t="s">
        <v>1151</v>
      </c>
    </row>
    <row r="610" customFormat="false" ht="15" hidden="false" customHeight="false" outlineLevel="0" collapsed="false">
      <c r="A610" s="18" t="s">
        <v>273</v>
      </c>
      <c r="B610" s="18" t="s">
        <v>771</v>
      </c>
      <c r="C610" s="18" t="s">
        <v>323</v>
      </c>
      <c r="D610" s="18" t="s">
        <v>324</v>
      </c>
      <c r="E610" s="18" t="s">
        <v>404</v>
      </c>
      <c r="F610" s="18" t="s">
        <v>401</v>
      </c>
      <c r="G610" s="18" t="n">
        <v>0.6</v>
      </c>
      <c r="H610" s="18" t="n">
        <v>2606</v>
      </c>
      <c r="I610" s="18" t="n">
        <v>110</v>
      </c>
      <c r="J610" s="18" t="n">
        <v>109</v>
      </c>
      <c r="K610" s="18" t="n">
        <v>-0.0122545466406373</v>
      </c>
      <c r="L610" s="18" t="n">
        <v>0.0121817644563754</v>
      </c>
      <c r="M610" s="18" t="n">
        <v>-1.00597468326715</v>
      </c>
      <c r="N610" s="18" t="n">
        <v>25.2829561766809</v>
      </c>
      <c r="O610" s="18" t="n">
        <v>0.323959087256866</v>
      </c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 t="s">
        <v>402</v>
      </c>
      <c r="AI610" s="18"/>
      <c r="AJ610" s="18" t="s">
        <v>1152</v>
      </c>
    </row>
    <row r="611" customFormat="false" ht="15" hidden="false" customHeight="false" outlineLevel="0" collapsed="false">
      <c r="A611" s="18" t="s">
        <v>273</v>
      </c>
      <c r="B611" s="18" t="s">
        <v>773</v>
      </c>
      <c r="C611" s="18" t="s">
        <v>323</v>
      </c>
      <c r="D611" s="18" t="s">
        <v>324</v>
      </c>
      <c r="E611" s="18" t="s">
        <v>404</v>
      </c>
      <c r="F611" s="18" t="s">
        <v>401</v>
      </c>
      <c r="G611" s="18" t="n">
        <v>0.6</v>
      </c>
      <c r="H611" s="18" t="n">
        <v>2606</v>
      </c>
      <c r="I611" s="18" t="n">
        <v>110</v>
      </c>
      <c r="J611" s="18" t="n">
        <v>109</v>
      </c>
      <c r="K611" s="18" t="n">
        <v>0.000768848713005754</v>
      </c>
      <c r="L611" s="18" t="n">
        <v>0.0115170911828282</v>
      </c>
      <c r="M611" s="18" t="n">
        <v>0.0667571959621279</v>
      </c>
      <c r="N611" s="18" t="n">
        <v>32.3939275283034</v>
      </c>
      <c r="O611" s="18" t="n">
        <v>0.947185326705545</v>
      </c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 t="s">
        <v>402</v>
      </c>
      <c r="AI611" s="18"/>
      <c r="AJ611" s="18" t="s">
        <v>1153</v>
      </c>
    </row>
    <row r="612" customFormat="false" ht="15" hidden="false" customHeight="false" outlineLevel="0" collapsed="false">
      <c r="A612" s="18" t="s">
        <v>273</v>
      </c>
      <c r="B612" s="18" t="s">
        <v>775</v>
      </c>
      <c r="C612" s="18" t="s">
        <v>323</v>
      </c>
      <c r="D612" s="18" t="s">
        <v>324</v>
      </c>
      <c r="E612" s="18" t="s">
        <v>404</v>
      </c>
      <c r="F612" s="18" t="s">
        <v>401</v>
      </c>
      <c r="G612" s="18" t="n">
        <v>0.6</v>
      </c>
      <c r="H612" s="18" t="n">
        <v>2606</v>
      </c>
      <c r="I612" s="18" t="n">
        <v>110</v>
      </c>
      <c r="J612" s="18" t="n">
        <v>109</v>
      </c>
      <c r="K612" s="18" t="n">
        <v>-0.013033714406298</v>
      </c>
      <c r="L612" s="18" t="n">
        <v>0.0127768558064223</v>
      </c>
      <c r="M612" s="18" t="n">
        <v>-1.02010342792994</v>
      </c>
      <c r="N612" s="18" t="n">
        <v>22.0442617899454</v>
      </c>
      <c r="O612" s="18" t="n">
        <v>0.318744907551746</v>
      </c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 t="s">
        <v>402</v>
      </c>
      <c r="AI612" s="18"/>
      <c r="AJ612" s="18" t="s">
        <v>1154</v>
      </c>
    </row>
    <row r="613" customFormat="false" ht="15" hidden="false" customHeight="false" outlineLevel="0" collapsed="false">
      <c r="A613" s="18" t="s">
        <v>273</v>
      </c>
      <c r="B613" s="18" t="s">
        <v>777</v>
      </c>
      <c r="C613" s="18" t="s">
        <v>323</v>
      </c>
      <c r="D613" s="18" t="s">
        <v>324</v>
      </c>
      <c r="E613" s="18" t="s">
        <v>404</v>
      </c>
      <c r="F613" s="18" t="s">
        <v>401</v>
      </c>
      <c r="G613" s="18" t="n">
        <v>0.6</v>
      </c>
      <c r="H613" s="18" t="n">
        <v>2606</v>
      </c>
      <c r="I613" s="18" t="n">
        <v>110</v>
      </c>
      <c r="J613" s="18" t="n">
        <v>109</v>
      </c>
      <c r="K613" s="18" t="n">
        <v>-0.0163229889727547</v>
      </c>
      <c r="L613" s="18" t="n">
        <v>0.0150070759276015</v>
      </c>
      <c r="M613" s="18" t="n">
        <v>-1.08768617227643</v>
      </c>
      <c r="N613" s="18" t="n">
        <v>18.2312258220254</v>
      </c>
      <c r="O613" s="18" t="n">
        <v>0.290904722107358</v>
      </c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 t="s">
        <v>402</v>
      </c>
      <c r="AI613" s="18"/>
      <c r="AJ613" s="18" t="s">
        <v>1155</v>
      </c>
    </row>
    <row r="614" customFormat="false" ht="15" hidden="false" customHeight="false" outlineLevel="0" collapsed="false">
      <c r="A614" s="18" t="s">
        <v>273</v>
      </c>
      <c r="B614" s="18" t="s">
        <v>779</v>
      </c>
      <c r="C614" s="18" t="s">
        <v>323</v>
      </c>
      <c r="D614" s="18" t="s">
        <v>324</v>
      </c>
      <c r="E614" s="18" t="s">
        <v>404</v>
      </c>
      <c r="F614" s="18" t="s">
        <v>401</v>
      </c>
      <c r="G614" s="18" t="n">
        <v>0.6</v>
      </c>
      <c r="H614" s="18" t="n">
        <v>2606</v>
      </c>
      <c r="I614" s="18" t="n">
        <v>110</v>
      </c>
      <c r="J614" s="18" t="n">
        <v>109</v>
      </c>
      <c r="K614" s="18" t="n">
        <v>-0.0162302678070722</v>
      </c>
      <c r="L614" s="18" t="n">
        <v>0.016166203942446</v>
      </c>
      <c r="M614" s="18" t="n">
        <v>-1.00396282670034</v>
      </c>
      <c r="N614" s="18" t="n">
        <v>14.9689911403915</v>
      </c>
      <c r="O614" s="18" t="n">
        <v>0.331350629197756</v>
      </c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 t="s">
        <v>402</v>
      </c>
      <c r="AI614" s="18"/>
      <c r="AJ614" s="18" t="s">
        <v>1156</v>
      </c>
    </row>
    <row r="615" customFormat="false" ht="15" hidden="false" customHeight="false" outlineLevel="0" collapsed="false">
      <c r="A615" s="18" t="s">
        <v>273</v>
      </c>
      <c r="B615" s="18" t="s">
        <v>781</v>
      </c>
      <c r="C615" s="18" t="s">
        <v>323</v>
      </c>
      <c r="D615" s="18" t="s">
        <v>324</v>
      </c>
      <c r="E615" s="18" t="s">
        <v>404</v>
      </c>
      <c r="F615" s="18" t="s">
        <v>401</v>
      </c>
      <c r="G615" s="18" t="n">
        <v>0.6</v>
      </c>
      <c r="H615" s="18" t="n">
        <v>2606</v>
      </c>
      <c r="I615" s="18" t="n">
        <v>110</v>
      </c>
      <c r="J615" s="18" t="n">
        <v>109</v>
      </c>
      <c r="K615" s="18" t="n">
        <v>0.000841141279254574</v>
      </c>
      <c r="L615" s="18" t="n">
        <v>0.0105404922478163</v>
      </c>
      <c r="M615" s="18" t="n">
        <v>0.0798009485210554</v>
      </c>
      <c r="N615" s="18" t="n">
        <v>34.0486307336645</v>
      </c>
      <c r="O615" s="18" t="n">
        <v>0.936862767273245</v>
      </c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 t="s">
        <v>402</v>
      </c>
      <c r="AI615" s="18"/>
      <c r="AJ615" s="18" t="s">
        <v>1157</v>
      </c>
    </row>
    <row r="616" customFormat="false" ht="15" hidden="false" customHeight="false" outlineLevel="0" collapsed="false">
      <c r="A616" s="18" t="s">
        <v>273</v>
      </c>
      <c r="B616" s="18" t="s">
        <v>783</v>
      </c>
      <c r="C616" s="18" t="s">
        <v>323</v>
      </c>
      <c r="D616" s="18" t="s">
        <v>324</v>
      </c>
      <c r="E616" s="18" t="s">
        <v>404</v>
      </c>
      <c r="F616" s="18" t="s">
        <v>401</v>
      </c>
      <c r="G616" s="18" t="n">
        <v>0.6</v>
      </c>
      <c r="H616" s="18" t="n">
        <v>2606</v>
      </c>
      <c r="I616" s="18" t="n">
        <v>110</v>
      </c>
      <c r="J616" s="18" t="n">
        <v>109</v>
      </c>
      <c r="K616" s="18" t="n">
        <v>0.0139778606191454</v>
      </c>
      <c r="L616" s="18" t="n">
        <v>0.00986741585995657</v>
      </c>
      <c r="M616" s="18" t="n">
        <v>1.41656750029859</v>
      </c>
      <c r="N616" s="18" t="n">
        <v>45.9916946948996</v>
      </c>
      <c r="O616" s="18" t="n">
        <v>0.163347449135018</v>
      </c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 t="s">
        <v>402</v>
      </c>
      <c r="AI616" s="18"/>
      <c r="AJ616" s="18" t="s">
        <v>1158</v>
      </c>
    </row>
    <row r="617" customFormat="false" ht="15" hidden="false" customHeight="false" outlineLevel="0" collapsed="false">
      <c r="A617" s="18" t="s">
        <v>273</v>
      </c>
      <c r="B617" s="18" t="s">
        <v>785</v>
      </c>
      <c r="C617" s="18" t="s">
        <v>323</v>
      </c>
      <c r="D617" s="18" t="s">
        <v>324</v>
      </c>
      <c r="E617" s="18" t="s">
        <v>404</v>
      </c>
      <c r="F617" s="18" t="s">
        <v>401</v>
      </c>
      <c r="G617" s="18" t="n">
        <v>0.6</v>
      </c>
      <c r="H617" s="18" t="n">
        <v>2606</v>
      </c>
      <c r="I617" s="18" t="n">
        <v>110</v>
      </c>
      <c r="J617" s="18" t="n">
        <v>109</v>
      </c>
      <c r="K617" s="18" t="n">
        <v>0.00189143965135222</v>
      </c>
      <c r="L617" s="18" t="n">
        <v>0.00976468025116075</v>
      </c>
      <c r="M617" s="18" t="n">
        <v>0.193702159487238</v>
      </c>
      <c r="N617" s="18" t="n">
        <v>51.7666508372445</v>
      </c>
      <c r="O617" s="18" t="n">
        <v>0.847167173123338</v>
      </c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 t="s">
        <v>402</v>
      </c>
      <c r="AI617" s="18"/>
      <c r="AJ617" s="18" t="s">
        <v>1159</v>
      </c>
    </row>
    <row r="618" customFormat="false" ht="15" hidden="false" customHeight="false" outlineLevel="0" collapsed="false">
      <c r="A618" s="18" t="s">
        <v>273</v>
      </c>
      <c r="B618" s="18" t="s">
        <v>787</v>
      </c>
      <c r="C618" s="18" t="s">
        <v>323</v>
      </c>
      <c r="D618" s="18" t="s">
        <v>324</v>
      </c>
      <c r="E618" s="18" t="s">
        <v>404</v>
      </c>
      <c r="F618" s="18" t="s">
        <v>401</v>
      </c>
      <c r="G618" s="18" t="n">
        <v>0.6</v>
      </c>
      <c r="H618" s="18" t="n">
        <v>905</v>
      </c>
      <c r="I618" s="18" t="n">
        <v>38</v>
      </c>
      <c r="J618" s="18" t="n">
        <v>38</v>
      </c>
      <c r="K618" s="18" t="n">
        <v>-0.0232499695340399</v>
      </c>
      <c r="L618" s="18" t="n">
        <v>0.0191399832406712</v>
      </c>
      <c r="M618" s="18" t="n">
        <v>-1.21473301421891</v>
      </c>
      <c r="N618" s="18" t="n">
        <v>24.5364241775009</v>
      </c>
      <c r="O618" s="18" t="n">
        <v>0.236029110078755</v>
      </c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 t="s">
        <v>402</v>
      </c>
      <c r="AI618" s="18"/>
      <c r="AJ618" s="18" t="s">
        <v>1160</v>
      </c>
    </row>
    <row r="619" customFormat="false" ht="15" hidden="false" customHeight="false" outlineLevel="0" collapsed="false">
      <c r="A619" s="18" t="s">
        <v>273</v>
      </c>
      <c r="B619" s="18" t="s">
        <v>322</v>
      </c>
      <c r="C619" s="18" t="s">
        <v>1161</v>
      </c>
      <c r="D619" s="18" t="s">
        <v>324</v>
      </c>
      <c r="E619" s="18" t="s">
        <v>404</v>
      </c>
      <c r="F619" s="18" t="s">
        <v>790</v>
      </c>
      <c r="G619" s="18" t="n">
        <v>0.6</v>
      </c>
      <c r="H619" s="18" t="n">
        <v>2705</v>
      </c>
      <c r="I619" s="18" t="n">
        <v>113</v>
      </c>
      <c r="J619" s="18" t="n">
        <v>112</v>
      </c>
      <c r="K619" s="18" t="n">
        <v>0.0195326141930774</v>
      </c>
      <c r="L619" s="18" t="n">
        <v>0.0551778022355019</v>
      </c>
      <c r="M619" s="18" t="n">
        <v>0.353994059236197</v>
      </c>
      <c r="N619" s="18" t="n">
        <v>111</v>
      </c>
      <c r="O619" s="18" t="n">
        <v>0.724014871042367</v>
      </c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 t="s">
        <v>402</v>
      </c>
      <c r="AI619" s="18"/>
      <c r="AJ619" s="18" t="s">
        <v>1162</v>
      </c>
    </row>
    <row r="620" customFormat="false" ht="15" hidden="false" customHeight="false" outlineLevel="0" collapsed="false">
      <c r="A620" s="18" t="s">
        <v>273</v>
      </c>
      <c r="B620" s="18" t="s">
        <v>326</v>
      </c>
      <c r="C620" s="18" t="s">
        <v>1161</v>
      </c>
      <c r="D620" s="18" t="s">
        <v>324</v>
      </c>
      <c r="E620" s="18" t="s">
        <v>404</v>
      </c>
      <c r="F620" s="18" t="s">
        <v>790</v>
      </c>
      <c r="G620" s="18" t="n">
        <v>0.6</v>
      </c>
      <c r="H620" s="18" t="n">
        <v>2705</v>
      </c>
      <c r="I620" s="18" t="n">
        <v>113</v>
      </c>
      <c r="J620" s="18" t="n">
        <v>112</v>
      </c>
      <c r="K620" s="18" t="n">
        <v>0.00493280772239937</v>
      </c>
      <c r="L620" s="18" t="n">
        <v>0.0585344517761972</v>
      </c>
      <c r="M620" s="18" t="n">
        <v>0.0842718702014953</v>
      </c>
      <c r="N620" s="18" t="n">
        <v>111</v>
      </c>
      <c r="O620" s="18" t="n">
        <v>0.932992077853465</v>
      </c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 t="s">
        <v>402</v>
      </c>
      <c r="AI620" s="18"/>
      <c r="AJ620" s="18" t="s">
        <v>1163</v>
      </c>
    </row>
    <row r="621" customFormat="false" ht="15" hidden="false" customHeight="false" outlineLevel="0" collapsed="false">
      <c r="A621" s="18" t="s">
        <v>273</v>
      </c>
      <c r="B621" s="18" t="s">
        <v>328</v>
      </c>
      <c r="C621" s="18" t="s">
        <v>1161</v>
      </c>
      <c r="D621" s="18" t="s">
        <v>324</v>
      </c>
      <c r="E621" s="18" t="s">
        <v>404</v>
      </c>
      <c r="F621" s="18" t="s">
        <v>790</v>
      </c>
      <c r="G621" s="18" t="n">
        <v>0.6</v>
      </c>
      <c r="H621" s="18" t="n">
        <v>2705</v>
      </c>
      <c r="I621" s="18" t="n">
        <v>113</v>
      </c>
      <c r="J621" s="18" t="n">
        <v>112</v>
      </c>
      <c r="K621" s="18" t="n">
        <v>-0.0439964124160326</v>
      </c>
      <c r="L621" s="18" t="n">
        <v>0.0581306388362269</v>
      </c>
      <c r="M621" s="18" t="n">
        <v>-0.756854101328301</v>
      </c>
      <c r="N621" s="18" t="n">
        <v>110</v>
      </c>
      <c r="O621" s="18" t="n">
        <v>0.450755334924731</v>
      </c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 t="s">
        <v>402</v>
      </c>
      <c r="AI621" s="18"/>
      <c r="AJ621" s="18" t="s">
        <v>1164</v>
      </c>
    </row>
    <row r="622" customFormat="false" ht="15" hidden="false" customHeight="false" outlineLevel="0" collapsed="false">
      <c r="A622" s="18" t="s">
        <v>273</v>
      </c>
      <c r="B622" s="18" t="s">
        <v>330</v>
      </c>
      <c r="C622" s="18" t="s">
        <v>1161</v>
      </c>
      <c r="D622" s="18" t="s">
        <v>324</v>
      </c>
      <c r="E622" s="18" t="s">
        <v>404</v>
      </c>
      <c r="F622" s="18" t="s">
        <v>790</v>
      </c>
      <c r="G622" s="18" t="n">
        <v>0.6</v>
      </c>
      <c r="H622" s="18" t="n">
        <v>2705</v>
      </c>
      <c r="I622" s="18" t="n">
        <v>113</v>
      </c>
      <c r="J622" s="18" t="n">
        <v>112</v>
      </c>
      <c r="K622" s="18" t="n">
        <v>0.000589783741006704</v>
      </c>
      <c r="L622" s="18" t="n">
        <v>0.0611969247297558</v>
      </c>
      <c r="M622" s="18" t="n">
        <v>0.00963747351049379</v>
      </c>
      <c r="N622" s="18" t="n">
        <v>111</v>
      </c>
      <c r="O622" s="18" t="n">
        <v>0.99232782769434</v>
      </c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 t="s">
        <v>402</v>
      </c>
      <c r="AI622" s="18"/>
      <c r="AJ622" s="18" t="s">
        <v>1165</v>
      </c>
    </row>
    <row r="623" customFormat="false" ht="15" hidden="false" customHeight="false" outlineLevel="0" collapsed="false">
      <c r="A623" s="18" t="s">
        <v>273</v>
      </c>
      <c r="B623" s="18" t="s">
        <v>332</v>
      </c>
      <c r="C623" s="18" t="s">
        <v>1161</v>
      </c>
      <c r="D623" s="18" t="s">
        <v>324</v>
      </c>
      <c r="E623" s="18" t="s">
        <v>404</v>
      </c>
      <c r="F623" s="18" t="s">
        <v>790</v>
      </c>
      <c r="G623" s="18" t="n">
        <v>0.6</v>
      </c>
      <c r="H623" s="18" t="n">
        <v>2705</v>
      </c>
      <c r="I623" s="18" t="n">
        <v>113</v>
      </c>
      <c r="J623" s="18" t="n">
        <v>112</v>
      </c>
      <c r="K623" s="18" t="n">
        <v>0.0214850157904337</v>
      </c>
      <c r="L623" s="18" t="n">
        <v>0.0729481750769745</v>
      </c>
      <c r="M623" s="18" t="n">
        <v>0.294524376624402</v>
      </c>
      <c r="N623" s="18" t="n">
        <v>110</v>
      </c>
      <c r="O623" s="18" t="n">
        <v>0.768912333468028</v>
      </c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 t="s">
        <v>402</v>
      </c>
      <c r="AI623" s="18"/>
      <c r="AJ623" s="18" t="s">
        <v>1166</v>
      </c>
    </row>
    <row r="624" customFormat="false" ht="15" hidden="false" customHeight="false" outlineLevel="0" collapsed="false">
      <c r="A624" s="18" t="s">
        <v>273</v>
      </c>
      <c r="B624" s="18" t="s">
        <v>334</v>
      </c>
      <c r="C624" s="18" t="s">
        <v>1161</v>
      </c>
      <c r="D624" s="18" t="s">
        <v>324</v>
      </c>
      <c r="E624" s="18" t="s">
        <v>404</v>
      </c>
      <c r="F624" s="18" t="s">
        <v>790</v>
      </c>
      <c r="G624" s="18" t="n">
        <v>0.6</v>
      </c>
      <c r="H624" s="18" t="n">
        <v>2705</v>
      </c>
      <c r="I624" s="18" t="n">
        <v>113</v>
      </c>
      <c r="J624" s="18" t="n">
        <v>112</v>
      </c>
      <c r="K624" s="18" t="n">
        <v>0.0247320003244737</v>
      </c>
      <c r="L624" s="18" t="n">
        <v>0.0775565967875263</v>
      </c>
      <c r="M624" s="18" t="n">
        <v>0.318889705697497</v>
      </c>
      <c r="N624" s="18" t="n">
        <v>110</v>
      </c>
      <c r="O624" s="18" t="n">
        <v>0.750414887018578</v>
      </c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 t="s">
        <v>402</v>
      </c>
      <c r="AI624" s="18"/>
      <c r="AJ624" s="18" t="s">
        <v>1167</v>
      </c>
    </row>
    <row r="625" customFormat="false" ht="15" hidden="false" customHeight="false" outlineLevel="0" collapsed="false">
      <c r="A625" s="18" t="s">
        <v>273</v>
      </c>
      <c r="B625" s="18" t="s">
        <v>336</v>
      </c>
      <c r="C625" s="18" t="s">
        <v>1161</v>
      </c>
      <c r="D625" s="18" t="s">
        <v>324</v>
      </c>
      <c r="E625" s="18" t="s">
        <v>404</v>
      </c>
      <c r="F625" s="18" t="s">
        <v>790</v>
      </c>
      <c r="G625" s="18" t="n">
        <v>0.6</v>
      </c>
      <c r="H625" s="18" t="n">
        <v>2705</v>
      </c>
      <c r="I625" s="18" t="n">
        <v>113</v>
      </c>
      <c r="J625" s="18" t="n">
        <v>112</v>
      </c>
      <c r="K625" s="18" t="n">
        <v>-0.0501371786718607</v>
      </c>
      <c r="L625" s="18" t="n">
        <v>0.0516901225329454</v>
      </c>
      <c r="M625" s="18" t="n">
        <v>-0.969956661253902</v>
      </c>
      <c r="N625" s="18" t="n">
        <v>111</v>
      </c>
      <c r="O625" s="18" t="n">
        <v>0.334176906490629</v>
      </c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 t="s">
        <v>402</v>
      </c>
      <c r="AI625" s="18"/>
      <c r="AJ625" s="18" t="s">
        <v>1168</v>
      </c>
    </row>
    <row r="626" customFormat="false" ht="15" hidden="false" customHeight="false" outlineLevel="0" collapsed="false">
      <c r="A626" s="18" t="s">
        <v>273</v>
      </c>
      <c r="B626" s="18" t="s">
        <v>338</v>
      </c>
      <c r="C626" s="18" t="s">
        <v>1161</v>
      </c>
      <c r="D626" s="18" t="s">
        <v>324</v>
      </c>
      <c r="E626" s="18" t="s">
        <v>404</v>
      </c>
      <c r="F626" s="18" t="s">
        <v>790</v>
      </c>
      <c r="G626" s="18" t="n">
        <v>0.6</v>
      </c>
      <c r="H626" s="18" t="n">
        <v>2705</v>
      </c>
      <c r="I626" s="18" t="n">
        <v>113</v>
      </c>
      <c r="J626" s="18" t="n">
        <v>112</v>
      </c>
      <c r="K626" s="18" t="n">
        <v>0.032254373586768</v>
      </c>
      <c r="L626" s="18" t="n">
        <v>0.0495553922108903</v>
      </c>
      <c r="M626" s="18" t="n">
        <v>0.650875155008455</v>
      </c>
      <c r="N626" s="18" t="n">
        <v>111</v>
      </c>
      <c r="O626" s="18" t="n">
        <v>0.516472180284888</v>
      </c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 t="s">
        <v>402</v>
      </c>
      <c r="AI626" s="18"/>
      <c r="AJ626" s="18" t="s">
        <v>1169</v>
      </c>
    </row>
    <row r="627" customFormat="false" ht="15" hidden="false" customHeight="false" outlineLevel="0" collapsed="false">
      <c r="A627" s="18" t="s">
        <v>273</v>
      </c>
      <c r="B627" s="18" t="s">
        <v>340</v>
      </c>
      <c r="C627" s="18" t="s">
        <v>1161</v>
      </c>
      <c r="D627" s="18" t="s">
        <v>324</v>
      </c>
      <c r="E627" s="18" t="s">
        <v>404</v>
      </c>
      <c r="F627" s="18" t="s">
        <v>790</v>
      </c>
      <c r="G627" s="18" t="n">
        <v>0.6</v>
      </c>
      <c r="H627" s="18" t="n">
        <v>2705</v>
      </c>
      <c r="I627" s="18" t="n">
        <v>113</v>
      </c>
      <c r="J627" s="18" t="n">
        <v>112</v>
      </c>
      <c r="K627" s="18" t="n">
        <v>0.0234633549924987</v>
      </c>
      <c r="L627" s="18" t="n">
        <v>0.0495560056404483</v>
      </c>
      <c r="M627" s="18" t="n">
        <v>0.473471473119447</v>
      </c>
      <c r="N627" s="18" t="n">
        <v>111</v>
      </c>
      <c r="O627" s="18" t="n">
        <v>0.636806712419926</v>
      </c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 t="s">
        <v>402</v>
      </c>
      <c r="AI627" s="18"/>
      <c r="AJ627" s="18" t="s">
        <v>1170</v>
      </c>
    </row>
    <row r="628" customFormat="false" ht="15" hidden="false" customHeight="false" outlineLevel="0" collapsed="false">
      <c r="A628" s="18" t="s">
        <v>273</v>
      </c>
      <c r="B628" s="18" t="s">
        <v>342</v>
      </c>
      <c r="C628" s="18" t="s">
        <v>1161</v>
      </c>
      <c r="D628" s="18" t="s">
        <v>324</v>
      </c>
      <c r="E628" s="18" t="s">
        <v>404</v>
      </c>
      <c r="F628" s="18" t="s">
        <v>790</v>
      </c>
      <c r="G628" s="18" t="n">
        <v>0.6</v>
      </c>
      <c r="H628" s="18" t="n">
        <v>929</v>
      </c>
      <c r="I628" s="18" t="n">
        <v>40</v>
      </c>
      <c r="J628" s="18" t="n">
        <v>40</v>
      </c>
      <c r="K628" s="18" t="n">
        <v>-0.0253582240325375</v>
      </c>
      <c r="L628" s="18" t="n">
        <v>0.0307033663891372</v>
      </c>
      <c r="M628" s="18" t="n">
        <v>-0.82591021815475</v>
      </c>
      <c r="N628" s="18" t="n">
        <v>38</v>
      </c>
      <c r="O628" s="18" t="n">
        <v>0.414010507806244</v>
      </c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 t="s">
        <v>402</v>
      </c>
      <c r="AI628" s="18"/>
      <c r="AJ628" s="18" t="s">
        <v>1171</v>
      </c>
    </row>
    <row r="629" customFormat="false" ht="15" hidden="false" customHeight="false" outlineLevel="0" collapsed="false">
      <c r="A629" s="18" t="s">
        <v>273</v>
      </c>
      <c r="B629" s="18" t="s">
        <v>449</v>
      </c>
      <c r="C629" s="18" t="s">
        <v>1161</v>
      </c>
      <c r="D629" s="18" t="s">
        <v>324</v>
      </c>
      <c r="E629" s="18" t="s">
        <v>404</v>
      </c>
      <c r="F629" s="18" t="s">
        <v>790</v>
      </c>
      <c r="G629" s="18" t="n">
        <v>0.6</v>
      </c>
      <c r="H629" s="18" t="n">
        <v>2692</v>
      </c>
      <c r="I629" s="18" t="n">
        <v>113</v>
      </c>
      <c r="J629" s="18" t="n">
        <v>112</v>
      </c>
      <c r="K629" s="18" t="n">
        <v>-0.0142531890210182</v>
      </c>
      <c r="L629" s="18" t="n">
        <v>0.0197460136181157</v>
      </c>
      <c r="M629" s="18" t="n">
        <v>-0.721826151681665</v>
      </c>
      <c r="N629" s="18" t="n">
        <v>111</v>
      </c>
      <c r="O629" s="18" t="n">
        <v>0.471919203743503</v>
      </c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 t="s">
        <v>402</v>
      </c>
      <c r="AI629" s="18"/>
      <c r="AJ629" s="18" t="s">
        <v>1172</v>
      </c>
    </row>
    <row r="630" customFormat="false" ht="15" hidden="false" customHeight="false" outlineLevel="0" collapsed="false">
      <c r="A630" s="18" t="s">
        <v>273</v>
      </c>
      <c r="B630" s="18" t="s">
        <v>451</v>
      </c>
      <c r="C630" s="18" t="s">
        <v>1161</v>
      </c>
      <c r="D630" s="18" t="s">
        <v>324</v>
      </c>
      <c r="E630" s="18" t="s">
        <v>404</v>
      </c>
      <c r="F630" s="18" t="s">
        <v>790</v>
      </c>
      <c r="G630" s="18" t="n">
        <v>0.6</v>
      </c>
      <c r="H630" s="18" t="n">
        <v>2692</v>
      </c>
      <c r="I630" s="18" t="n">
        <v>113</v>
      </c>
      <c r="J630" s="18" t="n">
        <v>112</v>
      </c>
      <c r="K630" s="18" t="n">
        <v>-0.0272421121738577</v>
      </c>
      <c r="L630" s="18" t="n">
        <v>0.0208534332444938</v>
      </c>
      <c r="M630" s="18" t="n">
        <v>-1.30636101281072</v>
      </c>
      <c r="N630" s="18" t="n">
        <v>111</v>
      </c>
      <c r="O630" s="18" t="n">
        <v>0.194130259101789</v>
      </c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 t="s">
        <v>402</v>
      </c>
      <c r="AI630" s="18"/>
      <c r="AJ630" s="18" t="s">
        <v>1173</v>
      </c>
    </row>
    <row r="631" customFormat="false" ht="15" hidden="false" customHeight="false" outlineLevel="0" collapsed="false">
      <c r="A631" s="18" t="s">
        <v>273</v>
      </c>
      <c r="B631" s="18" t="s">
        <v>453</v>
      </c>
      <c r="C631" s="18" t="s">
        <v>1161</v>
      </c>
      <c r="D631" s="18" t="s">
        <v>324</v>
      </c>
      <c r="E631" s="18" t="s">
        <v>404</v>
      </c>
      <c r="F631" s="18" t="s">
        <v>790</v>
      </c>
      <c r="G631" s="18" t="n">
        <v>0.6</v>
      </c>
      <c r="H631" s="18" t="n">
        <v>2692</v>
      </c>
      <c r="I631" s="18" t="n">
        <v>113</v>
      </c>
      <c r="J631" s="18" t="n">
        <v>112</v>
      </c>
      <c r="K631" s="18" t="n">
        <v>-0.0130401285128126</v>
      </c>
      <c r="L631" s="18" t="n">
        <v>0.0210735707325948</v>
      </c>
      <c r="M631" s="18" t="n">
        <v>-0.618790649115922</v>
      </c>
      <c r="N631" s="18" t="n">
        <v>110</v>
      </c>
      <c r="O631" s="18" t="n">
        <v>0.537333620925741</v>
      </c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 t="s">
        <v>402</v>
      </c>
      <c r="AI631" s="18"/>
      <c r="AJ631" s="18" t="s">
        <v>1174</v>
      </c>
    </row>
    <row r="632" customFormat="false" ht="15" hidden="false" customHeight="false" outlineLevel="0" collapsed="false">
      <c r="A632" s="18" t="s">
        <v>273</v>
      </c>
      <c r="B632" s="18" t="s">
        <v>455</v>
      </c>
      <c r="C632" s="18" t="s">
        <v>1161</v>
      </c>
      <c r="D632" s="18" t="s">
        <v>324</v>
      </c>
      <c r="E632" s="18" t="s">
        <v>404</v>
      </c>
      <c r="F632" s="18" t="s">
        <v>790</v>
      </c>
      <c r="G632" s="18" t="n">
        <v>0.6</v>
      </c>
      <c r="H632" s="18" t="n">
        <v>2692</v>
      </c>
      <c r="I632" s="18" t="n">
        <v>113</v>
      </c>
      <c r="J632" s="18" t="n">
        <v>112</v>
      </c>
      <c r="K632" s="18" t="n">
        <v>-0.0305248981989585</v>
      </c>
      <c r="L632" s="18" t="n">
        <v>0.0217943636327652</v>
      </c>
      <c r="M632" s="18" t="n">
        <v>-1.4005868082823</v>
      </c>
      <c r="N632" s="18" t="n">
        <v>111</v>
      </c>
      <c r="O632" s="18" t="n">
        <v>0.164126928085118</v>
      </c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 t="s">
        <v>402</v>
      </c>
      <c r="AI632" s="18"/>
      <c r="AJ632" s="18" t="s">
        <v>1175</v>
      </c>
    </row>
    <row r="633" customFormat="false" ht="15" hidden="false" customHeight="false" outlineLevel="0" collapsed="false">
      <c r="A633" s="18" t="s">
        <v>273</v>
      </c>
      <c r="B633" s="18" t="s">
        <v>457</v>
      </c>
      <c r="C633" s="18" t="s">
        <v>1161</v>
      </c>
      <c r="D633" s="18" t="s">
        <v>324</v>
      </c>
      <c r="E633" s="18" t="s">
        <v>404</v>
      </c>
      <c r="F633" s="18" t="s">
        <v>790</v>
      </c>
      <c r="G633" s="18" t="n">
        <v>0.6</v>
      </c>
      <c r="H633" s="18" t="n">
        <v>2692</v>
      </c>
      <c r="I633" s="18" t="n">
        <v>113</v>
      </c>
      <c r="J633" s="18" t="n">
        <v>112</v>
      </c>
      <c r="K633" s="18" t="n">
        <v>-0.00816021971904951</v>
      </c>
      <c r="L633" s="18" t="n">
        <v>0.0261920916400326</v>
      </c>
      <c r="M633" s="18" t="n">
        <v>-0.311552808809559</v>
      </c>
      <c r="N633" s="18" t="n">
        <v>110</v>
      </c>
      <c r="O633" s="18" t="n">
        <v>0.755970110534976</v>
      </c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 t="s">
        <v>402</v>
      </c>
      <c r="AI633" s="18"/>
      <c r="AJ633" s="18" t="s">
        <v>1176</v>
      </c>
    </row>
    <row r="634" customFormat="false" ht="15" hidden="false" customHeight="false" outlineLevel="0" collapsed="false">
      <c r="A634" s="18" t="s">
        <v>273</v>
      </c>
      <c r="B634" s="18" t="s">
        <v>459</v>
      </c>
      <c r="C634" s="18" t="s">
        <v>1161</v>
      </c>
      <c r="D634" s="18" t="s">
        <v>324</v>
      </c>
      <c r="E634" s="18" t="s">
        <v>404</v>
      </c>
      <c r="F634" s="18" t="s">
        <v>790</v>
      </c>
      <c r="G634" s="18" t="n">
        <v>0.6</v>
      </c>
      <c r="H634" s="18" t="n">
        <v>2692</v>
      </c>
      <c r="I634" s="18" t="n">
        <v>113</v>
      </c>
      <c r="J634" s="18" t="n">
        <v>112</v>
      </c>
      <c r="K634" s="18" t="n">
        <v>-0.00468454663944882</v>
      </c>
      <c r="L634" s="18" t="n">
        <v>0.0278540294707382</v>
      </c>
      <c r="M634" s="18" t="n">
        <v>-0.16818200915491</v>
      </c>
      <c r="N634" s="18" t="n">
        <v>110</v>
      </c>
      <c r="O634" s="18" t="n">
        <v>0.866748930892215</v>
      </c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 t="s">
        <v>402</v>
      </c>
      <c r="AI634" s="18"/>
      <c r="AJ634" s="18" t="s">
        <v>1177</v>
      </c>
    </row>
    <row r="635" customFormat="false" ht="15" hidden="false" customHeight="false" outlineLevel="0" collapsed="false">
      <c r="A635" s="18" t="s">
        <v>273</v>
      </c>
      <c r="B635" s="18" t="s">
        <v>461</v>
      </c>
      <c r="C635" s="18" t="s">
        <v>1161</v>
      </c>
      <c r="D635" s="18" t="s">
        <v>324</v>
      </c>
      <c r="E635" s="18" t="s">
        <v>404</v>
      </c>
      <c r="F635" s="18" t="s">
        <v>790</v>
      </c>
      <c r="G635" s="18" t="n">
        <v>0.6</v>
      </c>
      <c r="H635" s="18" t="n">
        <v>2692</v>
      </c>
      <c r="I635" s="18" t="n">
        <v>113</v>
      </c>
      <c r="J635" s="18" t="n">
        <v>112</v>
      </c>
      <c r="K635" s="18" t="n">
        <v>-0.0177328424577607</v>
      </c>
      <c r="L635" s="18" t="n">
        <v>0.0186496199251089</v>
      </c>
      <c r="M635" s="18" t="n">
        <v>-0.95084202943386</v>
      </c>
      <c r="N635" s="18" t="n">
        <v>111</v>
      </c>
      <c r="O635" s="18" t="n">
        <v>0.34375036085607</v>
      </c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 t="s">
        <v>402</v>
      </c>
      <c r="AI635" s="18"/>
      <c r="AJ635" s="18" t="s">
        <v>1178</v>
      </c>
    </row>
    <row r="636" customFormat="false" ht="15" hidden="false" customHeight="false" outlineLevel="0" collapsed="false">
      <c r="A636" s="18" t="s">
        <v>273</v>
      </c>
      <c r="B636" s="18" t="s">
        <v>463</v>
      </c>
      <c r="C636" s="18" t="s">
        <v>1161</v>
      </c>
      <c r="D636" s="18" t="s">
        <v>324</v>
      </c>
      <c r="E636" s="18" t="s">
        <v>404</v>
      </c>
      <c r="F636" s="18" t="s">
        <v>790</v>
      </c>
      <c r="G636" s="18" t="n">
        <v>0.6</v>
      </c>
      <c r="H636" s="18" t="n">
        <v>2692</v>
      </c>
      <c r="I636" s="18" t="n">
        <v>113</v>
      </c>
      <c r="J636" s="18" t="n">
        <v>112</v>
      </c>
      <c r="K636" s="18" t="n">
        <v>-0.019939417968377</v>
      </c>
      <c r="L636" s="18" t="n">
        <v>0.0177587603825571</v>
      </c>
      <c r="M636" s="18" t="n">
        <v>-1.12279334474053</v>
      </c>
      <c r="N636" s="18" t="n">
        <v>111</v>
      </c>
      <c r="O636" s="18" t="n">
        <v>0.263947981937924</v>
      </c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 t="s">
        <v>402</v>
      </c>
      <c r="AI636" s="18"/>
      <c r="AJ636" s="18" t="s">
        <v>1179</v>
      </c>
    </row>
    <row r="637" customFormat="false" ht="15" hidden="false" customHeight="false" outlineLevel="0" collapsed="false">
      <c r="A637" s="18" t="s">
        <v>273</v>
      </c>
      <c r="B637" s="18" t="s">
        <v>465</v>
      </c>
      <c r="C637" s="18" t="s">
        <v>1161</v>
      </c>
      <c r="D637" s="18" t="s">
        <v>324</v>
      </c>
      <c r="E637" s="18" t="s">
        <v>404</v>
      </c>
      <c r="F637" s="18" t="s">
        <v>790</v>
      </c>
      <c r="G637" s="18" t="n">
        <v>0.6</v>
      </c>
      <c r="H637" s="18" t="n">
        <v>2692</v>
      </c>
      <c r="I637" s="18" t="n">
        <v>113</v>
      </c>
      <c r="J637" s="18" t="n">
        <v>112</v>
      </c>
      <c r="K637" s="18" t="n">
        <v>-0.0165975728336717</v>
      </c>
      <c r="L637" s="18" t="n">
        <v>0.0177079163137062</v>
      </c>
      <c r="M637" s="18" t="n">
        <v>-0.937296773919408</v>
      </c>
      <c r="N637" s="18" t="n">
        <v>111</v>
      </c>
      <c r="O637" s="18" t="n">
        <v>0.350640831784718</v>
      </c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 t="s">
        <v>402</v>
      </c>
      <c r="AI637" s="18"/>
      <c r="AJ637" s="18" t="s">
        <v>1180</v>
      </c>
    </row>
    <row r="638" customFormat="false" ht="15" hidden="false" customHeight="false" outlineLevel="0" collapsed="false">
      <c r="A638" s="18" t="s">
        <v>273</v>
      </c>
      <c r="B638" s="18" t="s">
        <v>467</v>
      </c>
      <c r="C638" s="18" t="s">
        <v>1161</v>
      </c>
      <c r="D638" s="18" t="s">
        <v>324</v>
      </c>
      <c r="E638" s="18" t="s">
        <v>404</v>
      </c>
      <c r="F638" s="18" t="s">
        <v>790</v>
      </c>
      <c r="G638" s="18" t="n">
        <v>0.6</v>
      </c>
      <c r="H638" s="18" t="n">
        <v>924</v>
      </c>
      <c r="I638" s="18" t="n">
        <v>40</v>
      </c>
      <c r="J638" s="18" t="n">
        <v>40</v>
      </c>
      <c r="K638" s="18" t="n">
        <v>-0.028563941423223</v>
      </c>
      <c r="L638" s="18" t="n">
        <v>0.0304355251231065</v>
      </c>
      <c r="M638" s="18" t="n">
        <v>-0.938506607252109</v>
      </c>
      <c r="N638" s="18" t="n">
        <v>38</v>
      </c>
      <c r="O638" s="18" t="n">
        <v>0.353911439100336</v>
      </c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 t="s">
        <v>402</v>
      </c>
      <c r="AI638" s="18"/>
      <c r="AJ638" s="18" t="s">
        <v>1181</v>
      </c>
    </row>
    <row r="639" customFormat="false" ht="15" hidden="false" customHeight="false" outlineLevel="0" collapsed="false">
      <c r="A639" s="18" t="s">
        <v>273</v>
      </c>
      <c r="B639" s="18" t="s">
        <v>469</v>
      </c>
      <c r="C639" s="18" t="s">
        <v>1161</v>
      </c>
      <c r="D639" s="18" t="s">
        <v>324</v>
      </c>
      <c r="E639" s="18" t="s">
        <v>404</v>
      </c>
      <c r="F639" s="18" t="s">
        <v>790</v>
      </c>
      <c r="G639" s="18" t="n">
        <v>0.6</v>
      </c>
      <c r="H639" s="18" t="n">
        <v>2705</v>
      </c>
      <c r="I639" s="18" t="n">
        <v>113</v>
      </c>
      <c r="J639" s="18" t="n">
        <v>112</v>
      </c>
      <c r="K639" s="18" t="n">
        <v>-0.0108155910499887</v>
      </c>
      <c r="L639" s="18" t="n">
        <v>0.0194698813761287</v>
      </c>
      <c r="M639" s="18" t="n">
        <v>-0.555503695222778</v>
      </c>
      <c r="N639" s="18" t="n">
        <v>111</v>
      </c>
      <c r="O639" s="18" t="n">
        <v>0.579668062390806</v>
      </c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 t="s">
        <v>402</v>
      </c>
      <c r="AI639" s="18"/>
      <c r="AJ639" s="18" t="s">
        <v>1182</v>
      </c>
    </row>
    <row r="640" customFormat="false" ht="15" hidden="false" customHeight="false" outlineLevel="0" collapsed="false">
      <c r="A640" s="18" t="s">
        <v>273</v>
      </c>
      <c r="B640" s="18" t="s">
        <v>471</v>
      </c>
      <c r="C640" s="18" t="s">
        <v>1161</v>
      </c>
      <c r="D640" s="18" t="s">
        <v>324</v>
      </c>
      <c r="E640" s="18" t="s">
        <v>404</v>
      </c>
      <c r="F640" s="18" t="s">
        <v>790</v>
      </c>
      <c r="G640" s="18" t="n">
        <v>0.6</v>
      </c>
      <c r="H640" s="18" t="n">
        <v>2705</v>
      </c>
      <c r="I640" s="18" t="n">
        <v>113</v>
      </c>
      <c r="J640" s="18" t="n">
        <v>112</v>
      </c>
      <c r="K640" s="18" t="n">
        <v>-0.020611201428651</v>
      </c>
      <c r="L640" s="18" t="n">
        <v>0.0206084343938321</v>
      </c>
      <c r="M640" s="18" t="n">
        <v>-1.00013426710472</v>
      </c>
      <c r="N640" s="18" t="n">
        <v>111</v>
      </c>
      <c r="O640" s="18" t="n">
        <v>0.31942082574412</v>
      </c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 t="s">
        <v>402</v>
      </c>
      <c r="AI640" s="18"/>
      <c r="AJ640" s="18" t="s">
        <v>1183</v>
      </c>
    </row>
    <row r="641" customFormat="false" ht="15" hidden="false" customHeight="false" outlineLevel="0" collapsed="false">
      <c r="A641" s="18" t="s">
        <v>273</v>
      </c>
      <c r="B641" s="18" t="s">
        <v>473</v>
      </c>
      <c r="C641" s="18" t="s">
        <v>1161</v>
      </c>
      <c r="D641" s="18" t="s">
        <v>324</v>
      </c>
      <c r="E641" s="18" t="s">
        <v>404</v>
      </c>
      <c r="F641" s="18" t="s">
        <v>790</v>
      </c>
      <c r="G641" s="18" t="n">
        <v>0.6</v>
      </c>
      <c r="H641" s="18" t="n">
        <v>2705</v>
      </c>
      <c r="I641" s="18" t="n">
        <v>113</v>
      </c>
      <c r="J641" s="18" t="n">
        <v>112</v>
      </c>
      <c r="K641" s="18" t="n">
        <v>-0.0115718922245182</v>
      </c>
      <c r="L641" s="18" t="n">
        <v>0.0207630595303467</v>
      </c>
      <c r="M641" s="18" t="n">
        <v>-0.557330782951571</v>
      </c>
      <c r="N641" s="18" t="n">
        <v>110</v>
      </c>
      <c r="O641" s="18" t="n">
        <v>0.578433787572919</v>
      </c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 t="s">
        <v>402</v>
      </c>
      <c r="AI641" s="18"/>
      <c r="AJ641" s="18" t="s">
        <v>1184</v>
      </c>
    </row>
    <row r="642" customFormat="false" ht="15" hidden="false" customHeight="false" outlineLevel="0" collapsed="false">
      <c r="A642" s="18" t="s">
        <v>273</v>
      </c>
      <c r="B642" s="18" t="s">
        <v>475</v>
      </c>
      <c r="C642" s="18" t="s">
        <v>1161</v>
      </c>
      <c r="D642" s="18" t="s">
        <v>324</v>
      </c>
      <c r="E642" s="18" t="s">
        <v>404</v>
      </c>
      <c r="F642" s="18" t="s">
        <v>790</v>
      </c>
      <c r="G642" s="18" t="n">
        <v>0.6</v>
      </c>
      <c r="H642" s="18" t="n">
        <v>2705</v>
      </c>
      <c r="I642" s="18" t="n">
        <v>113</v>
      </c>
      <c r="J642" s="18" t="n">
        <v>112</v>
      </c>
      <c r="K642" s="18" t="n">
        <v>-0.0242405837349305</v>
      </c>
      <c r="L642" s="18" t="n">
        <v>0.0215378287404594</v>
      </c>
      <c r="M642" s="18" t="n">
        <v>-1.12548874016228</v>
      </c>
      <c r="N642" s="18" t="n">
        <v>111</v>
      </c>
      <c r="O642" s="18" t="n">
        <v>0.262809649594268</v>
      </c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 t="s">
        <v>402</v>
      </c>
      <c r="AI642" s="18"/>
      <c r="AJ642" s="18" t="s">
        <v>1185</v>
      </c>
    </row>
    <row r="643" customFormat="false" ht="15" hidden="false" customHeight="false" outlineLevel="0" collapsed="false">
      <c r="A643" s="18" t="s">
        <v>273</v>
      </c>
      <c r="B643" s="18" t="s">
        <v>477</v>
      </c>
      <c r="C643" s="18" t="s">
        <v>1161</v>
      </c>
      <c r="D643" s="18" t="s">
        <v>324</v>
      </c>
      <c r="E643" s="18" t="s">
        <v>404</v>
      </c>
      <c r="F643" s="18" t="s">
        <v>790</v>
      </c>
      <c r="G643" s="18" t="n">
        <v>0.6</v>
      </c>
      <c r="H643" s="18" t="n">
        <v>2705</v>
      </c>
      <c r="I643" s="18" t="n">
        <v>113</v>
      </c>
      <c r="J643" s="18" t="n">
        <v>112</v>
      </c>
      <c r="K643" s="18" t="n">
        <v>-0.00282940396898235</v>
      </c>
      <c r="L643" s="18" t="n">
        <v>0.0258092946538004</v>
      </c>
      <c r="M643" s="18" t="n">
        <v>-0.109627326392886</v>
      </c>
      <c r="N643" s="18" t="n">
        <v>110</v>
      </c>
      <c r="O643" s="18" t="n">
        <v>0.912904685457724</v>
      </c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 t="s">
        <v>402</v>
      </c>
      <c r="AI643" s="18"/>
      <c r="AJ643" s="18" t="s">
        <v>1186</v>
      </c>
    </row>
    <row r="644" customFormat="false" ht="15" hidden="false" customHeight="false" outlineLevel="0" collapsed="false">
      <c r="A644" s="18" t="s">
        <v>273</v>
      </c>
      <c r="B644" s="18" t="s">
        <v>479</v>
      </c>
      <c r="C644" s="18" t="s">
        <v>1161</v>
      </c>
      <c r="D644" s="18" t="s">
        <v>324</v>
      </c>
      <c r="E644" s="18" t="s">
        <v>404</v>
      </c>
      <c r="F644" s="18" t="s">
        <v>790</v>
      </c>
      <c r="G644" s="18" t="n">
        <v>0.6</v>
      </c>
      <c r="H644" s="18" t="n">
        <v>2705</v>
      </c>
      <c r="I644" s="18" t="n">
        <v>113</v>
      </c>
      <c r="J644" s="18" t="n">
        <v>112</v>
      </c>
      <c r="K644" s="18" t="n">
        <v>0.000271768349428464</v>
      </c>
      <c r="L644" s="18" t="n">
        <v>0.0274404211279993</v>
      </c>
      <c r="M644" s="18" t="n">
        <v>0.00990394236884216</v>
      </c>
      <c r="N644" s="18" t="n">
        <v>110</v>
      </c>
      <c r="O644" s="18" t="n">
        <v>0.992115866266329</v>
      </c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 t="s">
        <v>402</v>
      </c>
      <c r="AI644" s="18"/>
      <c r="AJ644" s="18" t="s">
        <v>1187</v>
      </c>
    </row>
    <row r="645" customFormat="false" ht="15" hidden="false" customHeight="false" outlineLevel="0" collapsed="false">
      <c r="A645" s="18" t="s">
        <v>273</v>
      </c>
      <c r="B645" s="18" t="s">
        <v>481</v>
      </c>
      <c r="C645" s="18" t="s">
        <v>1161</v>
      </c>
      <c r="D645" s="18" t="s">
        <v>324</v>
      </c>
      <c r="E645" s="18" t="s">
        <v>404</v>
      </c>
      <c r="F645" s="18" t="s">
        <v>790</v>
      </c>
      <c r="G645" s="18" t="n">
        <v>0.6</v>
      </c>
      <c r="H645" s="18" t="n">
        <v>2705</v>
      </c>
      <c r="I645" s="18" t="n">
        <v>113</v>
      </c>
      <c r="J645" s="18" t="n">
        <v>112</v>
      </c>
      <c r="K645" s="18" t="n">
        <v>-0.0135930310603548</v>
      </c>
      <c r="L645" s="18" t="n">
        <v>0.0184002144088548</v>
      </c>
      <c r="M645" s="18" t="n">
        <v>-0.738743079744406</v>
      </c>
      <c r="N645" s="18" t="n">
        <v>111</v>
      </c>
      <c r="O645" s="18" t="n">
        <v>0.461622231104887</v>
      </c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 t="s">
        <v>402</v>
      </c>
      <c r="AI645" s="18"/>
      <c r="AJ645" s="18" t="s">
        <v>1188</v>
      </c>
    </row>
    <row r="646" customFormat="false" ht="15" hidden="false" customHeight="false" outlineLevel="0" collapsed="false">
      <c r="A646" s="18" t="s">
        <v>273</v>
      </c>
      <c r="B646" s="18" t="s">
        <v>483</v>
      </c>
      <c r="C646" s="18" t="s">
        <v>1161</v>
      </c>
      <c r="D646" s="18" t="s">
        <v>324</v>
      </c>
      <c r="E646" s="18" t="s">
        <v>404</v>
      </c>
      <c r="F646" s="18" t="s">
        <v>790</v>
      </c>
      <c r="G646" s="18" t="n">
        <v>0.6</v>
      </c>
      <c r="H646" s="18" t="n">
        <v>2705</v>
      </c>
      <c r="I646" s="18" t="n">
        <v>113</v>
      </c>
      <c r="J646" s="18" t="n">
        <v>112</v>
      </c>
      <c r="K646" s="18" t="n">
        <v>-0.00741603623679327</v>
      </c>
      <c r="L646" s="18" t="n">
        <v>0.0175842580099945</v>
      </c>
      <c r="M646" s="18" t="n">
        <v>-0.4217429153154</v>
      </c>
      <c r="N646" s="18" t="n">
        <v>111</v>
      </c>
      <c r="O646" s="18" t="n">
        <v>0.674028330645772</v>
      </c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 t="s">
        <v>402</v>
      </c>
      <c r="AI646" s="18"/>
      <c r="AJ646" s="18" t="s">
        <v>1189</v>
      </c>
    </row>
    <row r="647" customFormat="false" ht="15" hidden="false" customHeight="false" outlineLevel="0" collapsed="false">
      <c r="A647" s="18" t="s">
        <v>273</v>
      </c>
      <c r="B647" s="18" t="s">
        <v>485</v>
      </c>
      <c r="C647" s="18" t="s">
        <v>1161</v>
      </c>
      <c r="D647" s="18" t="s">
        <v>324</v>
      </c>
      <c r="E647" s="18" t="s">
        <v>404</v>
      </c>
      <c r="F647" s="18" t="s">
        <v>790</v>
      </c>
      <c r="G647" s="18" t="n">
        <v>0.6</v>
      </c>
      <c r="H647" s="18" t="n">
        <v>2705</v>
      </c>
      <c r="I647" s="18" t="n">
        <v>113</v>
      </c>
      <c r="J647" s="18" t="n">
        <v>112</v>
      </c>
      <c r="K647" s="18" t="n">
        <v>-0.00690316395990195</v>
      </c>
      <c r="L647" s="18" t="n">
        <v>0.0175011234506249</v>
      </c>
      <c r="M647" s="18" t="n">
        <v>-0.39444118998289</v>
      </c>
      <c r="N647" s="18" t="n">
        <v>111</v>
      </c>
      <c r="O647" s="18" t="n">
        <v>0.694012163854163</v>
      </c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 t="s">
        <v>402</v>
      </c>
      <c r="AI647" s="18"/>
      <c r="AJ647" s="18" t="s">
        <v>1190</v>
      </c>
    </row>
    <row r="648" customFormat="false" ht="15" hidden="false" customHeight="false" outlineLevel="0" collapsed="false">
      <c r="A648" s="18" t="s">
        <v>273</v>
      </c>
      <c r="B648" s="18" t="s">
        <v>487</v>
      </c>
      <c r="C648" s="18" t="s">
        <v>1161</v>
      </c>
      <c r="D648" s="18" t="s">
        <v>324</v>
      </c>
      <c r="E648" s="18" t="s">
        <v>404</v>
      </c>
      <c r="F648" s="18" t="s">
        <v>790</v>
      </c>
      <c r="G648" s="18" t="n">
        <v>0.6</v>
      </c>
      <c r="H648" s="18" t="n">
        <v>929</v>
      </c>
      <c r="I648" s="18" t="n">
        <v>40</v>
      </c>
      <c r="J648" s="18" t="n">
        <v>40</v>
      </c>
      <c r="K648" s="18" t="n">
        <v>-0.0228561331914035</v>
      </c>
      <c r="L648" s="18" t="n">
        <v>0.0280660665153035</v>
      </c>
      <c r="M648" s="18" t="n">
        <v>-0.814368952590517</v>
      </c>
      <c r="N648" s="18" t="n">
        <v>38</v>
      </c>
      <c r="O648" s="18" t="n">
        <v>0.420507973377056</v>
      </c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 t="s">
        <v>402</v>
      </c>
      <c r="AI648" s="18"/>
      <c r="AJ648" s="18" t="s">
        <v>1191</v>
      </c>
    </row>
    <row r="649" customFormat="false" ht="15" hidden="false" customHeight="false" outlineLevel="0" collapsed="false">
      <c r="A649" s="18" t="s">
        <v>273</v>
      </c>
      <c r="B649" s="18" t="s">
        <v>489</v>
      </c>
      <c r="C649" s="18" t="s">
        <v>1161</v>
      </c>
      <c r="D649" s="18" t="s">
        <v>324</v>
      </c>
      <c r="E649" s="18" t="s">
        <v>404</v>
      </c>
      <c r="F649" s="18" t="s">
        <v>790</v>
      </c>
      <c r="G649" s="18" t="n">
        <v>0.6</v>
      </c>
      <c r="H649" s="18" t="n">
        <v>2607</v>
      </c>
      <c r="I649" s="18" t="n">
        <v>110</v>
      </c>
      <c r="J649" s="18" t="n">
        <v>109</v>
      </c>
      <c r="K649" s="18" t="n">
        <v>0.0134135665643405</v>
      </c>
      <c r="L649" s="18" t="n">
        <v>0.0565557637152496</v>
      </c>
      <c r="M649" s="18" t="n">
        <v>0.237174174357824</v>
      </c>
      <c r="N649" s="18" t="n">
        <v>108</v>
      </c>
      <c r="O649" s="18" t="n">
        <v>0.812970980987159</v>
      </c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 t="s">
        <v>402</v>
      </c>
      <c r="AI649" s="18"/>
      <c r="AJ649" s="18" t="s">
        <v>1192</v>
      </c>
    </row>
    <row r="650" customFormat="false" ht="15" hidden="false" customHeight="false" outlineLevel="0" collapsed="false">
      <c r="A650" s="18" t="s">
        <v>273</v>
      </c>
      <c r="B650" s="18" t="s">
        <v>491</v>
      </c>
      <c r="C650" s="18" t="s">
        <v>1161</v>
      </c>
      <c r="D650" s="18" t="s">
        <v>324</v>
      </c>
      <c r="E650" s="18" t="s">
        <v>404</v>
      </c>
      <c r="F650" s="18" t="s">
        <v>790</v>
      </c>
      <c r="G650" s="18" t="n">
        <v>0.6</v>
      </c>
      <c r="H650" s="18" t="n">
        <v>2607</v>
      </c>
      <c r="I650" s="18" t="n">
        <v>110</v>
      </c>
      <c r="J650" s="18" t="n">
        <v>109</v>
      </c>
      <c r="K650" s="18" t="n">
        <v>-0.00193025129854916</v>
      </c>
      <c r="L650" s="18" t="n">
        <v>0.059913448491689</v>
      </c>
      <c r="M650" s="18" t="n">
        <v>-0.0322173292832062</v>
      </c>
      <c r="N650" s="18" t="n">
        <v>108</v>
      </c>
      <c r="O650" s="18" t="n">
        <v>0.974358201648937</v>
      </c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 t="s">
        <v>402</v>
      </c>
      <c r="AI650" s="18"/>
      <c r="AJ650" s="18" t="s">
        <v>1193</v>
      </c>
    </row>
    <row r="651" customFormat="false" ht="15" hidden="false" customHeight="false" outlineLevel="0" collapsed="false">
      <c r="A651" s="18" t="s">
        <v>273</v>
      </c>
      <c r="B651" s="18" t="s">
        <v>493</v>
      </c>
      <c r="C651" s="18" t="s">
        <v>1161</v>
      </c>
      <c r="D651" s="18" t="s">
        <v>324</v>
      </c>
      <c r="E651" s="18" t="s">
        <v>404</v>
      </c>
      <c r="F651" s="18" t="s">
        <v>790</v>
      </c>
      <c r="G651" s="18" t="n">
        <v>0.6</v>
      </c>
      <c r="H651" s="18" t="n">
        <v>2607</v>
      </c>
      <c r="I651" s="18" t="n">
        <v>110</v>
      </c>
      <c r="J651" s="18" t="n">
        <v>109</v>
      </c>
      <c r="K651" s="18" t="n">
        <v>-0.0455347483868637</v>
      </c>
      <c r="L651" s="18" t="n">
        <v>0.0611327673860298</v>
      </c>
      <c r="M651" s="18" t="n">
        <v>-0.74485010795159</v>
      </c>
      <c r="N651" s="18" t="n">
        <v>107</v>
      </c>
      <c r="O651" s="18" t="n">
        <v>0.457995224522285</v>
      </c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 t="s">
        <v>402</v>
      </c>
      <c r="AI651" s="18"/>
      <c r="AJ651" s="18" t="s">
        <v>1194</v>
      </c>
    </row>
    <row r="652" customFormat="false" ht="15" hidden="false" customHeight="false" outlineLevel="0" collapsed="false">
      <c r="A652" s="18" t="s">
        <v>273</v>
      </c>
      <c r="B652" s="18" t="s">
        <v>495</v>
      </c>
      <c r="C652" s="18" t="s">
        <v>1161</v>
      </c>
      <c r="D652" s="18" t="s">
        <v>324</v>
      </c>
      <c r="E652" s="18" t="s">
        <v>404</v>
      </c>
      <c r="F652" s="18" t="s">
        <v>790</v>
      </c>
      <c r="G652" s="18" t="n">
        <v>0.6</v>
      </c>
      <c r="H652" s="18" t="n">
        <v>2607</v>
      </c>
      <c r="I652" s="18" t="n">
        <v>110</v>
      </c>
      <c r="J652" s="18" t="n">
        <v>109</v>
      </c>
      <c r="K652" s="18" t="n">
        <v>-0.00682035983839376</v>
      </c>
      <c r="L652" s="18" t="n">
        <v>0.0625959318036912</v>
      </c>
      <c r="M652" s="18" t="n">
        <v>-0.108958516022787</v>
      </c>
      <c r="N652" s="18" t="n">
        <v>108</v>
      </c>
      <c r="O652" s="18" t="n">
        <v>0.913437580354672</v>
      </c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 t="s">
        <v>402</v>
      </c>
      <c r="AI652" s="18"/>
      <c r="AJ652" s="18" t="s">
        <v>1195</v>
      </c>
    </row>
    <row r="653" customFormat="false" ht="15" hidden="false" customHeight="false" outlineLevel="0" collapsed="false">
      <c r="A653" s="18" t="s">
        <v>273</v>
      </c>
      <c r="B653" s="18" t="s">
        <v>497</v>
      </c>
      <c r="C653" s="18" t="s">
        <v>1161</v>
      </c>
      <c r="D653" s="18" t="s">
        <v>324</v>
      </c>
      <c r="E653" s="18" t="s">
        <v>404</v>
      </c>
      <c r="F653" s="18" t="s">
        <v>790</v>
      </c>
      <c r="G653" s="18" t="n">
        <v>0.6</v>
      </c>
      <c r="H653" s="18" t="n">
        <v>2607</v>
      </c>
      <c r="I653" s="18" t="n">
        <v>110</v>
      </c>
      <c r="J653" s="18" t="n">
        <v>109</v>
      </c>
      <c r="K653" s="18" t="n">
        <v>0.0207562164035977</v>
      </c>
      <c r="L653" s="18" t="n">
        <v>0.0745290147848381</v>
      </c>
      <c r="M653" s="18" t="n">
        <v>0.278498467523286</v>
      </c>
      <c r="N653" s="18" t="n">
        <v>107</v>
      </c>
      <c r="O653" s="18" t="n">
        <v>0.781167236849734</v>
      </c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 t="s">
        <v>402</v>
      </c>
      <c r="AI653" s="18"/>
      <c r="AJ653" s="18" t="s">
        <v>1196</v>
      </c>
    </row>
    <row r="654" customFormat="false" ht="15" hidden="false" customHeight="false" outlineLevel="0" collapsed="false">
      <c r="A654" s="18" t="s">
        <v>273</v>
      </c>
      <c r="B654" s="18" t="s">
        <v>499</v>
      </c>
      <c r="C654" s="18" t="s">
        <v>1161</v>
      </c>
      <c r="D654" s="18" t="s">
        <v>324</v>
      </c>
      <c r="E654" s="18" t="s">
        <v>404</v>
      </c>
      <c r="F654" s="18" t="s">
        <v>790</v>
      </c>
      <c r="G654" s="18" t="n">
        <v>0.6</v>
      </c>
      <c r="H654" s="18" t="n">
        <v>2607</v>
      </c>
      <c r="I654" s="18" t="n">
        <v>110</v>
      </c>
      <c r="J654" s="18" t="n">
        <v>109</v>
      </c>
      <c r="K654" s="18" t="n">
        <v>0.0240237779654248</v>
      </c>
      <c r="L654" s="18" t="n">
        <v>0.0792117349821186</v>
      </c>
      <c r="M654" s="18" t="n">
        <v>0.303285592353809</v>
      </c>
      <c r="N654" s="18" t="n">
        <v>107</v>
      </c>
      <c r="O654" s="18" t="n">
        <v>0.762261122221755</v>
      </c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 t="s">
        <v>402</v>
      </c>
      <c r="AI654" s="18"/>
      <c r="AJ654" s="18" t="s">
        <v>1197</v>
      </c>
    </row>
    <row r="655" customFormat="false" ht="15" hidden="false" customHeight="false" outlineLevel="0" collapsed="false">
      <c r="A655" s="18" t="s">
        <v>273</v>
      </c>
      <c r="B655" s="18" t="s">
        <v>501</v>
      </c>
      <c r="C655" s="18" t="s">
        <v>1161</v>
      </c>
      <c r="D655" s="18" t="s">
        <v>324</v>
      </c>
      <c r="E655" s="18" t="s">
        <v>404</v>
      </c>
      <c r="F655" s="18" t="s">
        <v>790</v>
      </c>
      <c r="G655" s="18" t="n">
        <v>0.6</v>
      </c>
      <c r="H655" s="18" t="n">
        <v>2607</v>
      </c>
      <c r="I655" s="18" t="n">
        <v>110</v>
      </c>
      <c r="J655" s="18" t="n">
        <v>109</v>
      </c>
      <c r="K655" s="18" t="n">
        <v>-0.0579742081804428</v>
      </c>
      <c r="L655" s="18" t="n">
        <v>0.0536832266886985</v>
      </c>
      <c r="M655" s="18" t="n">
        <v>-1.07993151225106</v>
      </c>
      <c r="N655" s="18" t="n">
        <v>108</v>
      </c>
      <c r="O655" s="18" t="n">
        <v>0.282578478085055</v>
      </c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 t="s">
        <v>402</v>
      </c>
      <c r="AI655" s="18"/>
      <c r="AJ655" s="18" t="s">
        <v>1198</v>
      </c>
    </row>
    <row r="656" customFormat="false" ht="15" hidden="false" customHeight="false" outlineLevel="0" collapsed="false">
      <c r="A656" s="18" t="s">
        <v>273</v>
      </c>
      <c r="B656" s="18" t="s">
        <v>503</v>
      </c>
      <c r="C656" s="18" t="s">
        <v>1161</v>
      </c>
      <c r="D656" s="18" t="s">
        <v>324</v>
      </c>
      <c r="E656" s="18" t="s">
        <v>404</v>
      </c>
      <c r="F656" s="18" t="s">
        <v>790</v>
      </c>
      <c r="G656" s="18" t="n">
        <v>0.6</v>
      </c>
      <c r="H656" s="18" t="n">
        <v>2607</v>
      </c>
      <c r="I656" s="18" t="n">
        <v>110</v>
      </c>
      <c r="J656" s="18" t="n">
        <v>109</v>
      </c>
      <c r="K656" s="18" t="n">
        <v>0.0282874297103043</v>
      </c>
      <c r="L656" s="18" t="n">
        <v>0.0513044044145425</v>
      </c>
      <c r="M656" s="18" t="n">
        <v>0.551364547217824</v>
      </c>
      <c r="N656" s="18" t="n">
        <v>108</v>
      </c>
      <c r="O656" s="18" t="n">
        <v>0.582522742579699</v>
      </c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 t="s">
        <v>402</v>
      </c>
      <c r="AI656" s="18"/>
      <c r="AJ656" s="18" t="s">
        <v>1199</v>
      </c>
    </row>
    <row r="657" customFormat="false" ht="15" hidden="false" customHeight="false" outlineLevel="0" collapsed="false">
      <c r="A657" s="18" t="s">
        <v>273</v>
      </c>
      <c r="B657" s="18" t="s">
        <v>505</v>
      </c>
      <c r="C657" s="18" t="s">
        <v>1161</v>
      </c>
      <c r="D657" s="18" t="s">
        <v>324</v>
      </c>
      <c r="E657" s="18" t="s">
        <v>404</v>
      </c>
      <c r="F657" s="18" t="s">
        <v>790</v>
      </c>
      <c r="G657" s="18" t="n">
        <v>0.6</v>
      </c>
      <c r="H657" s="18" t="n">
        <v>2607</v>
      </c>
      <c r="I657" s="18" t="n">
        <v>110</v>
      </c>
      <c r="J657" s="18" t="n">
        <v>109</v>
      </c>
      <c r="K657" s="18" t="n">
        <v>0.0195052773393988</v>
      </c>
      <c r="L657" s="18" t="n">
        <v>0.0511823827084965</v>
      </c>
      <c r="M657" s="18" t="n">
        <v>0.381093577657159</v>
      </c>
      <c r="N657" s="18" t="n">
        <v>108</v>
      </c>
      <c r="O657" s="18" t="n">
        <v>0.703882454113054</v>
      </c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 t="s">
        <v>402</v>
      </c>
      <c r="AI657" s="18"/>
      <c r="AJ657" s="18" t="s">
        <v>1200</v>
      </c>
    </row>
    <row r="658" customFormat="false" ht="15" hidden="false" customHeight="false" outlineLevel="0" collapsed="false">
      <c r="A658" s="18" t="s">
        <v>273</v>
      </c>
      <c r="B658" s="18" t="s">
        <v>507</v>
      </c>
      <c r="C658" s="18" t="s">
        <v>1161</v>
      </c>
      <c r="D658" s="18" t="s">
        <v>324</v>
      </c>
      <c r="E658" s="18" t="s">
        <v>404</v>
      </c>
      <c r="F658" s="18" t="s">
        <v>790</v>
      </c>
      <c r="G658" s="18" t="n">
        <v>0.6</v>
      </c>
      <c r="H658" s="18" t="n">
        <v>905</v>
      </c>
      <c r="I658" s="18" t="n">
        <v>38</v>
      </c>
      <c r="J658" s="18" t="n">
        <v>38</v>
      </c>
      <c r="K658" s="18" t="n">
        <v>-0.0280631300738913</v>
      </c>
      <c r="L658" s="18" t="n">
        <v>0.0319852554641314</v>
      </c>
      <c r="M658" s="18" t="n">
        <v>-0.877377080991635</v>
      </c>
      <c r="N658" s="18" t="n">
        <v>36</v>
      </c>
      <c r="O658" s="18" t="n">
        <v>0.386099713716379</v>
      </c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 t="s">
        <v>402</v>
      </c>
      <c r="AI658" s="18"/>
      <c r="AJ658" s="18" t="s">
        <v>1201</v>
      </c>
    </row>
    <row r="659" customFormat="false" ht="15" hidden="false" customHeight="false" outlineLevel="0" collapsed="false">
      <c r="A659" s="18" t="s">
        <v>273</v>
      </c>
      <c r="B659" s="18" t="s">
        <v>509</v>
      </c>
      <c r="C659" s="18" t="s">
        <v>1161</v>
      </c>
      <c r="D659" s="18" t="s">
        <v>324</v>
      </c>
      <c r="E659" s="18" t="s">
        <v>404</v>
      </c>
      <c r="F659" s="18" t="s">
        <v>790</v>
      </c>
      <c r="G659" s="18" t="n">
        <v>0.6</v>
      </c>
      <c r="H659" s="18" t="n">
        <v>2594</v>
      </c>
      <c r="I659" s="18" t="n">
        <v>110</v>
      </c>
      <c r="J659" s="18" t="n">
        <v>109</v>
      </c>
      <c r="K659" s="18" t="n">
        <v>-0.0215699193309798</v>
      </c>
      <c r="L659" s="18" t="n">
        <v>0.0207420460412451</v>
      </c>
      <c r="M659" s="18" t="n">
        <v>-1.03991280744863</v>
      </c>
      <c r="N659" s="18" t="n">
        <v>108</v>
      </c>
      <c r="O659" s="18" t="n">
        <v>0.30070289564047</v>
      </c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 t="s">
        <v>402</v>
      </c>
      <c r="AI659" s="18"/>
      <c r="AJ659" s="18" t="s">
        <v>1202</v>
      </c>
    </row>
    <row r="660" customFormat="false" ht="15" hidden="false" customHeight="false" outlineLevel="0" collapsed="false">
      <c r="A660" s="18" t="s">
        <v>273</v>
      </c>
      <c r="B660" s="18" t="s">
        <v>511</v>
      </c>
      <c r="C660" s="18" t="s">
        <v>1161</v>
      </c>
      <c r="D660" s="18" t="s">
        <v>324</v>
      </c>
      <c r="E660" s="18" t="s">
        <v>404</v>
      </c>
      <c r="F660" s="18" t="s">
        <v>790</v>
      </c>
      <c r="G660" s="18" t="n">
        <v>0.6</v>
      </c>
      <c r="H660" s="18" t="n">
        <v>2594</v>
      </c>
      <c r="I660" s="18" t="n">
        <v>110</v>
      </c>
      <c r="J660" s="18" t="n">
        <v>109</v>
      </c>
      <c r="K660" s="18" t="n">
        <v>-0.0351789348903113</v>
      </c>
      <c r="L660" s="18" t="n">
        <v>0.0218408214162581</v>
      </c>
      <c r="M660" s="18" t="n">
        <v>-1.61069651272935</v>
      </c>
      <c r="N660" s="18" t="n">
        <v>108</v>
      </c>
      <c r="O660" s="18" t="n">
        <v>0.110164813829365</v>
      </c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 t="s">
        <v>402</v>
      </c>
      <c r="AI660" s="18"/>
      <c r="AJ660" s="18" t="s">
        <v>1203</v>
      </c>
    </row>
    <row r="661" customFormat="false" ht="15" hidden="false" customHeight="false" outlineLevel="0" collapsed="false">
      <c r="A661" s="18" t="s">
        <v>273</v>
      </c>
      <c r="B661" s="18" t="s">
        <v>513</v>
      </c>
      <c r="C661" s="18" t="s">
        <v>1161</v>
      </c>
      <c r="D661" s="18" t="s">
        <v>324</v>
      </c>
      <c r="E661" s="18" t="s">
        <v>404</v>
      </c>
      <c r="F661" s="18" t="s">
        <v>790</v>
      </c>
      <c r="G661" s="18" t="n">
        <v>0.6</v>
      </c>
      <c r="H661" s="18" t="n">
        <v>2594</v>
      </c>
      <c r="I661" s="18" t="n">
        <v>110</v>
      </c>
      <c r="J661" s="18" t="n">
        <v>109</v>
      </c>
      <c r="K661" s="18" t="n">
        <v>-0.0148988665658209</v>
      </c>
      <c r="L661" s="18" t="n">
        <v>0.0227822563188407</v>
      </c>
      <c r="M661" s="18" t="n">
        <v>-0.653967998485721</v>
      </c>
      <c r="N661" s="18" t="n">
        <v>107</v>
      </c>
      <c r="O661" s="18" t="n">
        <v>0.514535483937715</v>
      </c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 t="s">
        <v>402</v>
      </c>
      <c r="AI661" s="18"/>
      <c r="AJ661" s="18" t="s">
        <v>1204</v>
      </c>
    </row>
    <row r="662" customFormat="false" ht="15" hidden="false" customHeight="false" outlineLevel="0" collapsed="false">
      <c r="A662" s="18" t="s">
        <v>273</v>
      </c>
      <c r="B662" s="18" t="s">
        <v>515</v>
      </c>
      <c r="C662" s="18" t="s">
        <v>1161</v>
      </c>
      <c r="D662" s="18" t="s">
        <v>324</v>
      </c>
      <c r="E662" s="18" t="s">
        <v>404</v>
      </c>
      <c r="F662" s="18" t="s">
        <v>790</v>
      </c>
      <c r="G662" s="18" t="n">
        <v>0.6</v>
      </c>
      <c r="H662" s="18" t="n">
        <v>2594</v>
      </c>
      <c r="I662" s="18" t="n">
        <v>110</v>
      </c>
      <c r="J662" s="18" t="n">
        <v>109</v>
      </c>
      <c r="K662" s="18" t="n">
        <v>-0.0389698223662775</v>
      </c>
      <c r="L662" s="18" t="n">
        <v>0.0228028804499085</v>
      </c>
      <c r="M662" s="18" t="n">
        <v>-1.70898682961932</v>
      </c>
      <c r="N662" s="18" t="n">
        <v>108</v>
      </c>
      <c r="O662" s="18" t="n">
        <v>0.0903255772721694</v>
      </c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 t="s">
        <v>402</v>
      </c>
      <c r="AI662" s="18"/>
      <c r="AJ662" s="18" t="s">
        <v>1205</v>
      </c>
    </row>
    <row r="663" customFormat="false" ht="15" hidden="false" customHeight="false" outlineLevel="0" collapsed="false">
      <c r="A663" s="18" t="s">
        <v>273</v>
      </c>
      <c r="B663" s="18" t="s">
        <v>517</v>
      </c>
      <c r="C663" s="18" t="s">
        <v>1161</v>
      </c>
      <c r="D663" s="18" t="s">
        <v>324</v>
      </c>
      <c r="E663" s="18" t="s">
        <v>404</v>
      </c>
      <c r="F663" s="18" t="s">
        <v>790</v>
      </c>
      <c r="G663" s="18" t="n">
        <v>0.6</v>
      </c>
      <c r="H663" s="18" t="n">
        <v>2594</v>
      </c>
      <c r="I663" s="18" t="n">
        <v>110</v>
      </c>
      <c r="J663" s="18" t="n">
        <v>109</v>
      </c>
      <c r="K663" s="18" t="n">
        <v>-0.00967091916165527</v>
      </c>
      <c r="L663" s="18" t="n">
        <v>0.0274908409822196</v>
      </c>
      <c r="M663" s="18" t="n">
        <v>-0.351786952167458</v>
      </c>
      <c r="N663" s="18" t="n">
        <v>107</v>
      </c>
      <c r="O663" s="18" t="n">
        <v>0.72568988960746</v>
      </c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 t="s">
        <v>402</v>
      </c>
      <c r="AI663" s="18"/>
      <c r="AJ663" s="18" t="s">
        <v>1206</v>
      </c>
    </row>
    <row r="664" customFormat="false" ht="15" hidden="false" customHeight="false" outlineLevel="0" collapsed="false">
      <c r="A664" s="18" t="s">
        <v>273</v>
      </c>
      <c r="B664" s="18" t="s">
        <v>519</v>
      </c>
      <c r="C664" s="18" t="s">
        <v>1161</v>
      </c>
      <c r="D664" s="18" t="s">
        <v>324</v>
      </c>
      <c r="E664" s="18" t="s">
        <v>404</v>
      </c>
      <c r="F664" s="18" t="s">
        <v>790</v>
      </c>
      <c r="G664" s="18" t="n">
        <v>0.6</v>
      </c>
      <c r="H664" s="18" t="n">
        <v>2594</v>
      </c>
      <c r="I664" s="18" t="n">
        <v>110</v>
      </c>
      <c r="J664" s="18" t="n">
        <v>109</v>
      </c>
      <c r="K664" s="18" t="n">
        <v>-0.00613526389558263</v>
      </c>
      <c r="L664" s="18" t="n">
        <v>0.029227333957975</v>
      </c>
      <c r="M664" s="18" t="n">
        <v>-0.209915276720221</v>
      </c>
      <c r="N664" s="18" t="n">
        <v>107</v>
      </c>
      <c r="O664" s="18" t="n">
        <v>0.834132979295695</v>
      </c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 t="s">
        <v>402</v>
      </c>
      <c r="AI664" s="18"/>
      <c r="AJ664" s="18" t="s">
        <v>1207</v>
      </c>
    </row>
    <row r="665" customFormat="false" ht="15" hidden="false" customHeight="false" outlineLevel="0" collapsed="false">
      <c r="A665" s="18" t="s">
        <v>273</v>
      </c>
      <c r="B665" s="18" t="s">
        <v>521</v>
      </c>
      <c r="C665" s="18" t="s">
        <v>1161</v>
      </c>
      <c r="D665" s="18" t="s">
        <v>324</v>
      </c>
      <c r="E665" s="18" t="s">
        <v>404</v>
      </c>
      <c r="F665" s="18" t="s">
        <v>790</v>
      </c>
      <c r="G665" s="18" t="n">
        <v>0.6</v>
      </c>
      <c r="H665" s="18" t="n">
        <v>2594</v>
      </c>
      <c r="I665" s="18" t="n">
        <v>110</v>
      </c>
      <c r="J665" s="18" t="n">
        <v>109</v>
      </c>
      <c r="K665" s="18" t="n">
        <v>-0.024983124366064</v>
      </c>
      <c r="L665" s="18" t="n">
        <v>0.0198770016086469</v>
      </c>
      <c r="M665" s="18" t="n">
        <v>-1.25688596589919</v>
      </c>
      <c r="N665" s="18" t="n">
        <v>108</v>
      </c>
      <c r="O665" s="18" t="n">
        <v>0.211506458448596</v>
      </c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 t="s">
        <v>402</v>
      </c>
      <c r="AI665" s="18"/>
      <c r="AJ665" s="18" t="s">
        <v>1208</v>
      </c>
    </row>
    <row r="666" customFormat="false" ht="15" hidden="false" customHeight="false" outlineLevel="0" collapsed="false">
      <c r="A666" s="18" t="s">
        <v>273</v>
      </c>
      <c r="B666" s="18" t="s">
        <v>523</v>
      </c>
      <c r="C666" s="18" t="s">
        <v>1161</v>
      </c>
      <c r="D666" s="18" t="s">
        <v>324</v>
      </c>
      <c r="E666" s="18" t="s">
        <v>404</v>
      </c>
      <c r="F666" s="18" t="s">
        <v>790</v>
      </c>
      <c r="G666" s="18" t="n">
        <v>0.6</v>
      </c>
      <c r="H666" s="18" t="n">
        <v>2594</v>
      </c>
      <c r="I666" s="18" t="n">
        <v>110</v>
      </c>
      <c r="J666" s="18" t="n">
        <v>109</v>
      </c>
      <c r="K666" s="18" t="n">
        <v>-0.0258417490974812</v>
      </c>
      <c r="L666" s="18" t="n">
        <v>0.0188344359692627</v>
      </c>
      <c r="M666" s="18" t="n">
        <v>-1.37204794131633</v>
      </c>
      <c r="N666" s="18" t="n">
        <v>108</v>
      </c>
      <c r="O666" s="18" t="n">
        <v>0.172891732299234</v>
      </c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 t="s">
        <v>402</v>
      </c>
      <c r="AI666" s="18"/>
      <c r="AJ666" s="18" t="s">
        <v>1209</v>
      </c>
    </row>
    <row r="667" customFormat="false" ht="15" hidden="false" customHeight="false" outlineLevel="0" collapsed="false">
      <c r="A667" s="18" t="s">
        <v>273</v>
      </c>
      <c r="B667" s="18" t="s">
        <v>525</v>
      </c>
      <c r="C667" s="18" t="s">
        <v>1161</v>
      </c>
      <c r="D667" s="18" t="s">
        <v>324</v>
      </c>
      <c r="E667" s="18" t="s">
        <v>404</v>
      </c>
      <c r="F667" s="18" t="s">
        <v>790</v>
      </c>
      <c r="G667" s="18" t="n">
        <v>0.6</v>
      </c>
      <c r="H667" s="18" t="n">
        <v>2594</v>
      </c>
      <c r="I667" s="18" t="n">
        <v>110</v>
      </c>
      <c r="J667" s="18" t="n">
        <v>109</v>
      </c>
      <c r="K667" s="18" t="n">
        <v>-0.0216854455913468</v>
      </c>
      <c r="L667" s="18" t="n">
        <v>0.0187507436769298</v>
      </c>
      <c r="M667" s="18" t="n">
        <v>-1.15651122776681</v>
      </c>
      <c r="N667" s="18" t="n">
        <v>108</v>
      </c>
      <c r="O667" s="18" t="n">
        <v>0.250023888446559</v>
      </c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 t="s">
        <v>402</v>
      </c>
      <c r="AI667" s="18"/>
      <c r="AJ667" s="18" t="s">
        <v>1210</v>
      </c>
    </row>
    <row r="668" customFormat="false" ht="15" hidden="false" customHeight="false" outlineLevel="0" collapsed="false">
      <c r="A668" s="18" t="s">
        <v>273</v>
      </c>
      <c r="B668" s="18" t="s">
        <v>527</v>
      </c>
      <c r="C668" s="18" t="s">
        <v>1161</v>
      </c>
      <c r="D668" s="18" t="s">
        <v>324</v>
      </c>
      <c r="E668" s="18" t="s">
        <v>404</v>
      </c>
      <c r="F668" s="18" t="s">
        <v>790</v>
      </c>
      <c r="G668" s="18" t="n">
        <v>0.6</v>
      </c>
      <c r="H668" s="18" t="n">
        <v>900</v>
      </c>
      <c r="I668" s="18" t="n">
        <v>38</v>
      </c>
      <c r="J668" s="18" t="n">
        <v>38</v>
      </c>
      <c r="K668" s="18" t="n">
        <v>-0.0315028901576292</v>
      </c>
      <c r="L668" s="18" t="n">
        <v>0.0316506892148189</v>
      </c>
      <c r="M668" s="18" t="n">
        <v>-0.995330305252232</v>
      </c>
      <c r="N668" s="18" t="n">
        <v>36</v>
      </c>
      <c r="O668" s="18" t="n">
        <v>0.326219062881707</v>
      </c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 t="s">
        <v>402</v>
      </c>
      <c r="AI668" s="18"/>
      <c r="AJ668" s="18" t="s">
        <v>1211</v>
      </c>
    </row>
    <row r="669" customFormat="false" ht="15" hidden="false" customHeight="false" outlineLevel="0" collapsed="false">
      <c r="A669" s="18" t="s">
        <v>273</v>
      </c>
      <c r="B669" s="18" t="s">
        <v>529</v>
      </c>
      <c r="C669" s="18" t="s">
        <v>1161</v>
      </c>
      <c r="D669" s="18" t="s">
        <v>324</v>
      </c>
      <c r="E669" s="18" t="s">
        <v>404</v>
      </c>
      <c r="F669" s="18" t="s">
        <v>790</v>
      </c>
      <c r="G669" s="18" t="n">
        <v>0.6</v>
      </c>
      <c r="H669" s="18" t="n">
        <v>2607</v>
      </c>
      <c r="I669" s="18" t="n">
        <v>110</v>
      </c>
      <c r="J669" s="18" t="n">
        <v>109</v>
      </c>
      <c r="K669" s="18" t="n">
        <v>-0.0176126149681802</v>
      </c>
      <c r="L669" s="18" t="n">
        <v>0.0203820256521956</v>
      </c>
      <c r="M669" s="18" t="n">
        <v>-0.86412485533708</v>
      </c>
      <c r="N669" s="18" t="n">
        <v>108</v>
      </c>
      <c r="O669" s="18" t="n">
        <v>0.389434460473221</v>
      </c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 t="s">
        <v>402</v>
      </c>
      <c r="AI669" s="18"/>
      <c r="AJ669" s="18" t="s">
        <v>1212</v>
      </c>
    </row>
    <row r="670" customFormat="false" ht="15" hidden="false" customHeight="false" outlineLevel="0" collapsed="false">
      <c r="A670" s="18" t="s">
        <v>273</v>
      </c>
      <c r="B670" s="18" t="s">
        <v>531</v>
      </c>
      <c r="C670" s="18" t="s">
        <v>1161</v>
      </c>
      <c r="D670" s="18" t="s">
        <v>324</v>
      </c>
      <c r="E670" s="18" t="s">
        <v>404</v>
      </c>
      <c r="F670" s="18" t="s">
        <v>790</v>
      </c>
      <c r="G670" s="18" t="n">
        <v>0.6</v>
      </c>
      <c r="H670" s="18" t="n">
        <v>2607</v>
      </c>
      <c r="I670" s="18" t="n">
        <v>110</v>
      </c>
      <c r="J670" s="18" t="n">
        <v>109</v>
      </c>
      <c r="K670" s="18" t="n">
        <v>-0.0280496305761327</v>
      </c>
      <c r="L670" s="18" t="n">
        <v>0.021519000414245</v>
      </c>
      <c r="M670" s="18" t="n">
        <v>-1.30348204080914</v>
      </c>
      <c r="N670" s="18" t="n">
        <v>108</v>
      </c>
      <c r="O670" s="18" t="n">
        <v>0.195182094657784</v>
      </c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 t="s">
        <v>402</v>
      </c>
      <c r="AI670" s="18"/>
      <c r="AJ670" s="18" t="s">
        <v>1213</v>
      </c>
    </row>
    <row r="671" customFormat="false" ht="15" hidden="false" customHeight="false" outlineLevel="0" collapsed="false">
      <c r="A671" s="18" t="s">
        <v>273</v>
      </c>
      <c r="B671" s="18" t="s">
        <v>533</v>
      </c>
      <c r="C671" s="18" t="s">
        <v>1161</v>
      </c>
      <c r="D671" s="18" t="s">
        <v>324</v>
      </c>
      <c r="E671" s="18" t="s">
        <v>404</v>
      </c>
      <c r="F671" s="18" t="s">
        <v>790</v>
      </c>
      <c r="G671" s="18" t="n">
        <v>0.6</v>
      </c>
      <c r="H671" s="18" t="n">
        <v>2607</v>
      </c>
      <c r="I671" s="18" t="n">
        <v>110</v>
      </c>
      <c r="J671" s="18" t="n">
        <v>109</v>
      </c>
      <c r="K671" s="18" t="n">
        <v>-0.0129731937075426</v>
      </c>
      <c r="L671" s="18" t="n">
        <v>0.0223617226778594</v>
      </c>
      <c r="M671" s="18" t="n">
        <v>-0.580151802007076</v>
      </c>
      <c r="N671" s="18" t="n">
        <v>107</v>
      </c>
      <c r="O671" s="18" t="n">
        <v>0.563031977570163</v>
      </c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 t="s">
        <v>402</v>
      </c>
      <c r="AI671" s="18"/>
      <c r="AJ671" s="18" t="s">
        <v>1214</v>
      </c>
    </row>
    <row r="672" customFormat="false" ht="15" hidden="false" customHeight="false" outlineLevel="0" collapsed="false">
      <c r="A672" s="18" t="s">
        <v>273</v>
      </c>
      <c r="B672" s="18" t="s">
        <v>535</v>
      </c>
      <c r="C672" s="18" t="s">
        <v>1161</v>
      </c>
      <c r="D672" s="18" t="s">
        <v>324</v>
      </c>
      <c r="E672" s="18" t="s">
        <v>404</v>
      </c>
      <c r="F672" s="18" t="s">
        <v>790</v>
      </c>
      <c r="G672" s="18" t="n">
        <v>0.6</v>
      </c>
      <c r="H672" s="18" t="n">
        <v>2607</v>
      </c>
      <c r="I672" s="18" t="n">
        <v>110</v>
      </c>
      <c r="J672" s="18" t="n">
        <v>109</v>
      </c>
      <c r="K672" s="18" t="n">
        <v>-0.0322144729471458</v>
      </c>
      <c r="L672" s="18" t="n">
        <v>0.0224646454430163</v>
      </c>
      <c r="M672" s="18" t="n">
        <v>-1.43400762895906</v>
      </c>
      <c r="N672" s="18" t="n">
        <v>108</v>
      </c>
      <c r="O672" s="18" t="n">
        <v>0.154459115899005</v>
      </c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 t="s">
        <v>402</v>
      </c>
      <c r="AI672" s="18"/>
      <c r="AJ672" s="18" t="s">
        <v>1215</v>
      </c>
    </row>
    <row r="673" customFormat="false" ht="15" hidden="false" customHeight="false" outlineLevel="0" collapsed="false">
      <c r="A673" s="18" t="s">
        <v>273</v>
      </c>
      <c r="B673" s="18" t="s">
        <v>537</v>
      </c>
      <c r="C673" s="18" t="s">
        <v>1161</v>
      </c>
      <c r="D673" s="18" t="s">
        <v>324</v>
      </c>
      <c r="E673" s="18" t="s">
        <v>404</v>
      </c>
      <c r="F673" s="18" t="s">
        <v>790</v>
      </c>
      <c r="G673" s="18" t="n">
        <v>0.6</v>
      </c>
      <c r="H673" s="18" t="n">
        <v>2607</v>
      </c>
      <c r="I673" s="18" t="n">
        <v>110</v>
      </c>
      <c r="J673" s="18" t="n">
        <v>109</v>
      </c>
      <c r="K673" s="18" t="n">
        <v>-0.00391715823810957</v>
      </c>
      <c r="L673" s="18" t="n">
        <v>0.0269834539535193</v>
      </c>
      <c r="M673" s="18" t="n">
        <v>-0.145168896645223</v>
      </c>
      <c r="N673" s="18" t="n">
        <v>107</v>
      </c>
      <c r="O673" s="18" t="n">
        <v>0.884850627834937</v>
      </c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 t="s">
        <v>402</v>
      </c>
      <c r="AI673" s="18"/>
      <c r="AJ673" s="18" t="s">
        <v>1216</v>
      </c>
    </row>
    <row r="674" customFormat="false" ht="15" hidden="false" customHeight="false" outlineLevel="0" collapsed="false">
      <c r="A674" s="18" t="s">
        <v>273</v>
      </c>
      <c r="B674" s="18" t="s">
        <v>539</v>
      </c>
      <c r="C674" s="18" t="s">
        <v>1161</v>
      </c>
      <c r="D674" s="18" t="s">
        <v>324</v>
      </c>
      <c r="E674" s="18" t="s">
        <v>404</v>
      </c>
      <c r="F674" s="18" t="s">
        <v>790</v>
      </c>
      <c r="G674" s="18" t="n">
        <v>0.6</v>
      </c>
      <c r="H674" s="18" t="n">
        <v>2607</v>
      </c>
      <c r="I674" s="18" t="n">
        <v>110</v>
      </c>
      <c r="J674" s="18" t="n">
        <v>109</v>
      </c>
      <c r="K674" s="18" t="n">
        <v>-0.000771563940445127</v>
      </c>
      <c r="L674" s="18" t="n">
        <v>0.0286805099377112</v>
      </c>
      <c r="M674" s="18" t="n">
        <v>-0.0269020300587689</v>
      </c>
      <c r="N674" s="18" t="n">
        <v>107</v>
      </c>
      <c r="O674" s="18" t="n">
        <v>0.978587984371782</v>
      </c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 t="s">
        <v>402</v>
      </c>
      <c r="AI674" s="18"/>
      <c r="AJ674" s="18" t="s">
        <v>1217</v>
      </c>
    </row>
    <row r="675" customFormat="false" ht="15" hidden="false" customHeight="false" outlineLevel="0" collapsed="false">
      <c r="A675" s="18" t="s">
        <v>273</v>
      </c>
      <c r="B675" s="18" t="s">
        <v>541</v>
      </c>
      <c r="C675" s="18" t="s">
        <v>1161</v>
      </c>
      <c r="D675" s="18" t="s">
        <v>324</v>
      </c>
      <c r="E675" s="18" t="s">
        <v>404</v>
      </c>
      <c r="F675" s="18" t="s">
        <v>790</v>
      </c>
      <c r="G675" s="18" t="n">
        <v>0.6</v>
      </c>
      <c r="H675" s="18" t="n">
        <v>2607</v>
      </c>
      <c r="I675" s="18" t="n">
        <v>110</v>
      </c>
      <c r="J675" s="18" t="n">
        <v>109</v>
      </c>
      <c r="K675" s="18" t="n">
        <v>-0.0198652959497386</v>
      </c>
      <c r="L675" s="18" t="n">
        <v>0.0195498193546391</v>
      </c>
      <c r="M675" s="18" t="n">
        <v>-1.01613705934447</v>
      </c>
      <c r="N675" s="18" t="n">
        <v>108</v>
      </c>
      <c r="O675" s="18" t="n">
        <v>0.311835117703258</v>
      </c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 t="s">
        <v>402</v>
      </c>
      <c r="AI675" s="18"/>
      <c r="AJ675" s="18" t="s">
        <v>1218</v>
      </c>
    </row>
    <row r="676" customFormat="false" ht="15" hidden="false" customHeight="false" outlineLevel="0" collapsed="false">
      <c r="A676" s="18" t="s">
        <v>273</v>
      </c>
      <c r="B676" s="18" t="s">
        <v>543</v>
      </c>
      <c r="C676" s="18" t="s">
        <v>1161</v>
      </c>
      <c r="D676" s="18" t="s">
        <v>324</v>
      </c>
      <c r="E676" s="18" t="s">
        <v>404</v>
      </c>
      <c r="F676" s="18" t="s">
        <v>790</v>
      </c>
      <c r="G676" s="18" t="n">
        <v>0.6</v>
      </c>
      <c r="H676" s="18" t="n">
        <v>2607</v>
      </c>
      <c r="I676" s="18" t="n">
        <v>110</v>
      </c>
      <c r="J676" s="18" t="n">
        <v>109</v>
      </c>
      <c r="K676" s="18" t="n">
        <v>-0.0123427818753621</v>
      </c>
      <c r="L676" s="18" t="n">
        <v>0.0186063767969213</v>
      </c>
      <c r="M676" s="18" t="n">
        <v>-0.663362997002423</v>
      </c>
      <c r="N676" s="18" t="n">
        <v>108</v>
      </c>
      <c r="O676" s="18" t="n">
        <v>0.508511586319764</v>
      </c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 t="s">
        <v>402</v>
      </c>
      <c r="AI676" s="18"/>
      <c r="AJ676" s="18" t="s">
        <v>1219</v>
      </c>
    </row>
    <row r="677" customFormat="false" ht="15" hidden="false" customHeight="false" outlineLevel="0" collapsed="false">
      <c r="A677" s="18" t="s">
        <v>273</v>
      </c>
      <c r="B677" s="18" t="s">
        <v>545</v>
      </c>
      <c r="C677" s="18" t="s">
        <v>1161</v>
      </c>
      <c r="D677" s="18" t="s">
        <v>324</v>
      </c>
      <c r="E677" s="18" t="s">
        <v>404</v>
      </c>
      <c r="F677" s="18" t="s">
        <v>790</v>
      </c>
      <c r="G677" s="18" t="n">
        <v>0.6</v>
      </c>
      <c r="H677" s="18" t="n">
        <v>2607</v>
      </c>
      <c r="I677" s="18" t="n">
        <v>110</v>
      </c>
      <c r="J677" s="18" t="n">
        <v>109</v>
      </c>
      <c r="K677" s="18" t="n">
        <v>-0.0113204680909203</v>
      </c>
      <c r="L677" s="18" t="n">
        <v>0.01847871561594</v>
      </c>
      <c r="M677" s="18" t="n">
        <v>-0.612622020177374</v>
      </c>
      <c r="N677" s="18" t="n">
        <v>108</v>
      </c>
      <c r="O677" s="18" t="n">
        <v>0.541414105176027</v>
      </c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 t="s">
        <v>402</v>
      </c>
      <c r="AI677" s="18"/>
      <c r="AJ677" s="18" t="s">
        <v>1220</v>
      </c>
    </row>
    <row r="678" customFormat="false" ht="15" hidden="false" customHeight="false" outlineLevel="0" collapsed="false">
      <c r="A678" s="18" t="s">
        <v>273</v>
      </c>
      <c r="B678" s="18" t="s">
        <v>547</v>
      </c>
      <c r="C678" s="18" t="s">
        <v>1161</v>
      </c>
      <c r="D678" s="18" t="s">
        <v>324</v>
      </c>
      <c r="E678" s="18" t="s">
        <v>404</v>
      </c>
      <c r="F678" s="18" t="s">
        <v>790</v>
      </c>
      <c r="G678" s="18" t="n">
        <v>0.6</v>
      </c>
      <c r="H678" s="18" t="n">
        <v>905</v>
      </c>
      <c r="I678" s="18" t="n">
        <v>38</v>
      </c>
      <c r="J678" s="18" t="n">
        <v>38</v>
      </c>
      <c r="K678" s="18" t="n">
        <v>-0.0251631762402405</v>
      </c>
      <c r="L678" s="18" t="n">
        <v>0.0291964418954875</v>
      </c>
      <c r="M678" s="18" t="n">
        <v>-0.861857630813901</v>
      </c>
      <c r="N678" s="18" t="n">
        <v>36</v>
      </c>
      <c r="O678" s="18" t="n">
        <v>0.394470620878186</v>
      </c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 t="s">
        <v>402</v>
      </c>
      <c r="AI678" s="18"/>
      <c r="AJ678" s="18" t="s">
        <v>1221</v>
      </c>
    </row>
    <row r="679" customFormat="false" ht="15" hidden="false" customHeight="false" outlineLevel="0" collapsed="false">
      <c r="A679" s="18" t="s">
        <v>273</v>
      </c>
      <c r="B679" s="18" t="s">
        <v>549</v>
      </c>
      <c r="C679" s="18" t="s">
        <v>1161</v>
      </c>
      <c r="D679" s="18" t="s">
        <v>324</v>
      </c>
      <c r="E679" s="18" t="s">
        <v>404</v>
      </c>
      <c r="F679" s="18" t="s">
        <v>790</v>
      </c>
      <c r="G679" s="18" t="n">
        <v>0.6</v>
      </c>
      <c r="H679" s="18" t="n">
        <v>2705</v>
      </c>
      <c r="I679" s="18" t="n">
        <v>113</v>
      </c>
      <c r="J679" s="18" t="n">
        <v>112</v>
      </c>
      <c r="K679" s="18" t="n">
        <v>0.0189136906828805</v>
      </c>
      <c r="L679" s="18" t="n">
        <v>0.0553372987893385</v>
      </c>
      <c r="M679" s="18" t="n">
        <v>0.341789192762774</v>
      </c>
      <c r="N679" s="18" t="n">
        <v>111</v>
      </c>
      <c r="O679" s="18" t="n">
        <v>0.733155777070844</v>
      </c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 t="s">
        <v>402</v>
      </c>
      <c r="AI679" s="18"/>
      <c r="AJ679" s="18" t="s">
        <v>1222</v>
      </c>
    </row>
    <row r="680" customFormat="false" ht="15" hidden="false" customHeight="false" outlineLevel="0" collapsed="false">
      <c r="A680" s="18" t="s">
        <v>273</v>
      </c>
      <c r="B680" s="18" t="s">
        <v>551</v>
      </c>
      <c r="C680" s="18" t="s">
        <v>1161</v>
      </c>
      <c r="D680" s="18" t="s">
        <v>324</v>
      </c>
      <c r="E680" s="18" t="s">
        <v>404</v>
      </c>
      <c r="F680" s="18" t="s">
        <v>790</v>
      </c>
      <c r="G680" s="18" t="n">
        <v>0.6</v>
      </c>
      <c r="H680" s="18" t="n">
        <v>2705</v>
      </c>
      <c r="I680" s="18" t="n">
        <v>113</v>
      </c>
      <c r="J680" s="18" t="n">
        <v>112</v>
      </c>
      <c r="K680" s="18" t="n">
        <v>0.00436413934698931</v>
      </c>
      <c r="L680" s="18" t="n">
        <v>0.0587011508944834</v>
      </c>
      <c r="M680" s="18" t="n">
        <v>0.0743450389045003</v>
      </c>
      <c r="N680" s="18" t="n">
        <v>111</v>
      </c>
      <c r="O680" s="18" t="n">
        <v>0.940869655683276</v>
      </c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 t="s">
        <v>402</v>
      </c>
      <c r="AI680" s="18"/>
      <c r="AJ680" s="18" t="s">
        <v>1223</v>
      </c>
    </row>
    <row r="681" customFormat="false" ht="15" hidden="false" customHeight="false" outlineLevel="0" collapsed="false">
      <c r="A681" s="18" t="s">
        <v>273</v>
      </c>
      <c r="B681" s="18" t="s">
        <v>553</v>
      </c>
      <c r="C681" s="18" t="s">
        <v>1161</v>
      </c>
      <c r="D681" s="18" t="s">
        <v>324</v>
      </c>
      <c r="E681" s="18" t="s">
        <v>404</v>
      </c>
      <c r="F681" s="18" t="s">
        <v>790</v>
      </c>
      <c r="G681" s="18" t="n">
        <v>0.6</v>
      </c>
      <c r="H681" s="18" t="n">
        <v>2705</v>
      </c>
      <c r="I681" s="18" t="n">
        <v>113</v>
      </c>
      <c r="J681" s="18" t="n">
        <v>112</v>
      </c>
      <c r="K681" s="18" t="n">
        <v>-0.0460612767089526</v>
      </c>
      <c r="L681" s="18" t="n">
        <v>0.0583086962594846</v>
      </c>
      <c r="M681" s="18" t="n">
        <v>-0.789955524026318</v>
      </c>
      <c r="N681" s="18" t="n">
        <v>110</v>
      </c>
      <c r="O681" s="18" t="n">
        <v>0.431253362784165</v>
      </c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 t="s">
        <v>402</v>
      </c>
      <c r="AI681" s="18"/>
      <c r="AJ681" s="18" t="s">
        <v>1224</v>
      </c>
    </row>
    <row r="682" customFormat="false" ht="15" hidden="false" customHeight="false" outlineLevel="0" collapsed="false">
      <c r="A682" s="18" t="s">
        <v>273</v>
      </c>
      <c r="B682" s="18" t="s">
        <v>555</v>
      </c>
      <c r="C682" s="18" t="s">
        <v>1161</v>
      </c>
      <c r="D682" s="18" t="s">
        <v>324</v>
      </c>
      <c r="E682" s="18" t="s">
        <v>404</v>
      </c>
      <c r="F682" s="18" t="s">
        <v>790</v>
      </c>
      <c r="G682" s="18" t="n">
        <v>0.6</v>
      </c>
      <c r="H682" s="18" t="n">
        <v>2705</v>
      </c>
      <c r="I682" s="18" t="n">
        <v>113</v>
      </c>
      <c r="J682" s="18" t="n">
        <v>112</v>
      </c>
      <c r="K682" s="18" t="n">
        <v>4.29322978130892E-005</v>
      </c>
      <c r="L682" s="18" t="n">
        <v>0.0613703858480039</v>
      </c>
      <c r="M682" s="18" t="n">
        <v>0.000699560500066264</v>
      </c>
      <c r="N682" s="18" t="n">
        <v>111</v>
      </c>
      <c r="O682" s="18" t="n">
        <v>0.999443087228197</v>
      </c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 t="s">
        <v>402</v>
      </c>
      <c r="AI682" s="18"/>
      <c r="AJ682" s="18" t="s">
        <v>1225</v>
      </c>
    </row>
    <row r="683" customFormat="false" ht="15" hidden="false" customHeight="false" outlineLevel="0" collapsed="false">
      <c r="A683" s="18" t="s">
        <v>273</v>
      </c>
      <c r="B683" s="18" t="s">
        <v>557</v>
      </c>
      <c r="C683" s="18" t="s">
        <v>1161</v>
      </c>
      <c r="D683" s="18" t="s">
        <v>324</v>
      </c>
      <c r="E683" s="18" t="s">
        <v>404</v>
      </c>
      <c r="F683" s="18" t="s">
        <v>790</v>
      </c>
      <c r="G683" s="18" t="n">
        <v>0.6</v>
      </c>
      <c r="H683" s="18" t="n">
        <v>2705</v>
      </c>
      <c r="I683" s="18" t="n">
        <v>113</v>
      </c>
      <c r="J683" s="18" t="n">
        <v>112</v>
      </c>
      <c r="K683" s="18" t="n">
        <v>0.0212614888686249</v>
      </c>
      <c r="L683" s="18" t="n">
        <v>0.0731539619462899</v>
      </c>
      <c r="M683" s="18" t="n">
        <v>0.290640292103867</v>
      </c>
      <c r="N683" s="18" t="n">
        <v>110</v>
      </c>
      <c r="O683" s="18" t="n">
        <v>0.77187369209898</v>
      </c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 t="s">
        <v>402</v>
      </c>
      <c r="AI683" s="18"/>
      <c r="AJ683" s="18" t="s">
        <v>1226</v>
      </c>
    </row>
    <row r="684" customFormat="false" ht="15" hidden="false" customHeight="false" outlineLevel="0" collapsed="false">
      <c r="A684" s="18" t="s">
        <v>273</v>
      </c>
      <c r="B684" s="18" t="s">
        <v>559</v>
      </c>
      <c r="C684" s="18" t="s">
        <v>1161</v>
      </c>
      <c r="D684" s="18" t="s">
        <v>324</v>
      </c>
      <c r="E684" s="18" t="s">
        <v>404</v>
      </c>
      <c r="F684" s="18" t="s">
        <v>790</v>
      </c>
      <c r="G684" s="18" t="n">
        <v>0.6</v>
      </c>
      <c r="H684" s="18" t="n">
        <v>2705</v>
      </c>
      <c r="I684" s="18" t="n">
        <v>113</v>
      </c>
      <c r="J684" s="18" t="n">
        <v>112</v>
      </c>
      <c r="K684" s="18" t="n">
        <v>0.0248196883150066</v>
      </c>
      <c r="L684" s="18" t="n">
        <v>0.0777744236689051</v>
      </c>
      <c r="M684" s="18" t="n">
        <v>0.319124040322908</v>
      </c>
      <c r="N684" s="18" t="n">
        <v>110</v>
      </c>
      <c r="O684" s="18" t="n">
        <v>0.750237671867009</v>
      </c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 t="s">
        <v>402</v>
      </c>
      <c r="AI684" s="18"/>
      <c r="AJ684" s="18" t="s">
        <v>1227</v>
      </c>
    </row>
    <row r="685" customFormat="false" ht="15" hidden="false" customHeight="false" outlineLevel="0" collapsed="false">
      <c r="A685" s="18" t="s">
        <v>273</v>
      </c>
      <c r="B685" s="18" t="s">
        <v>561</v>
      </c>
      <c r="C685" s="18" t="s">
        <v>1161</v>
      </c>
      <c r="D685" s="18" t="s">
        <v>324</v>
      </c>
      <c r="E685" s="18" t="s">
        <v>404</v>
      </c>
      <c r="F685" s="18" t="s">
        <v>790</v>
      </c>
      <c r="G685" s="18" t="n">
        <v>0.6</v>
      </c>
      <c r="H685" s="18" t="n">
        <v>2705</v>
      </c>
      <c r="I685" s="18" t="n">
        <v>113</v>
      </c>
      <c r="J685" s="18" t="n">
        <v>112</v>
      </c>
      <c r="K685" s="18" t="n">
        <v>-0.0521604820337074</v>
      </c>
      <c r="L685" s="18" t="n">
        <v>0.0518338287880518</v>
      </c>
      <c r="M685" s="18" t="n">
        <v>-1.00630193163988</v>
      </c>
      <c r="N685" s="18" t="n">
        <v>111</v>
      </c>
      <c r="O685" s="18" t="n">
        <v>0.316458993710123</v>
      </c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 t="s">
        <v>402</v>
      </c>
      <c r="AI685" s="18"/>
      <c r="AJ685" s="18" t="s">
        <v>1228</v>
      </c>
    </row>
    <row r="686" customFormat="false" ht="15" hidden="false" customHeight="false" outlineLevel="0" collapsed="false">
      <c r="A686" s="18" t="s">
        <v>273</v>
      </c>
      <c r="B686" s="18" t="s">
        <v>563</v>
      </c>
      <c r="C686" s="18" t="s">
        <v>1161</v>
      </c>
      <c r="D686" s="18" t="s">
        <v>324</v>
      </c>
      <c r="E686" s="18" t="s">
        <v>404</v>
      </c>
      <c r="F686" s="18" t="s">
        <v>790</v>
      </c>
      <c r="G686" s="18" t="n">
        <v>0.6</v>
      </c>
      <c r="H686" s="18" t="n">
        <v>2705</v>
      </c>
      <c r="I686" s="18" t="n">
        <v>113</v>
      </c>
      <c r="J686" s="18" t="n">
        <v>112</v>
      </c>
      <c r="K686" s="18" t="n">
        <v>0.0310618212836468</v>
      </c>
      <c r="L686" s="18" t="n">
        <v>0.0497109837240582</v>
      </c>
      <c r="M686" s="18" t="n">
        <v>0.624848251969194</v>
      </c>
      <c r="N686" s="18" t="n">
        <v>111</v>
      </c>
      <c r="O686" s="18" t="n">
        <v>0.533353022276492</v>
      </c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 t="s">
        <v>402</v>
      </c>
      <c r="AI686" s="18"/>
      <c r="AJ686" s="18" t="s">
        <v>1229</v>
      </c>
    </row>
    <row r="687" customFormat="false" ht="15" hidden="false" customHeight="false" outlineLevel="0" collapsed="false">
      <c r="A687" s="18" t="s">
        <v>273</v>
      </c>
      <c r="B687" s="18" t="s">
        <v>565</v>
      </c>
      <c r="C687" s="18" t="s">
        <v>1161</v>
      </c>
      <c r="D687" s="18" t="s">
        <v>324</v>
      </c>
      <c r="E687" s="18" t="s">
        <v>404</v>
      </c>
      <c r="F687" s="18" t="s">
        <v>790</v>
      </c>
      <c r="G687" s="18" t="n">
        <v>0.6</v>
      </c>
      <c r="H687" s="18" t="n">
        <v>2705</v>
      </c>
      <c r="I687" s="18" t="n">
        <v>113</v>
      </c>
      <c r="J687" s="18" t="n">
        <v>112</v>
      </c>
      <c r="K687" s="18" t="n">
        <v>0.0224842614858064</v>
      </c>
      <c r="L687" s="18" t="n">
        <v>0.0497049128732585</v>
      </c>
      <c r="M687" s="18" t="n">
        <v>0.452354911940768</v>
      </c>
      <c r="N687" s="18" t="n">
        <v>111</v>
      </c>
      <c r="O687" s="18" t="n">
        <v>0.651896136276565</v>
      </c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 t="s">
        <v>402</v>
      </c>
      <c r="AI687" s="18"/>
      <c r="AJ687" s="18" t="s">
        <v>1230</v>
      </c>
    </row>
    <row r="688" customFormat="false" ht="15" hidden="false" customHeight="false" outlineLevel="0" collapsed="false">
      <c r="A688" s="18" t="s">
        <v>273</v>
      </c>
      <c r="B688" s="18" t="s">
        <v>567</v>
      </c>
      <c r="C688" s="18" t="s">
        <v>1161</v>
      </c>
      <c r="D688" s="18" t="s">
        <v>324</v>
      </c>
      <c r="E688" s="18" t="s">
        <v>404</v>
      </c>
      <c r="F688" s="18" t="s">
        <v>790</v>
      </c>
      <c r="G688" s="18" t="n">
        <v>0.6</v>
      </c>
      <c r="H688" s="18" t="n">
        <v>929</v>
      </c>
      <c r="I688" s="18" t="n">
        <v>40</v>
      </c>
      <c r="J688" s="18" t="n">
        <v>40</v>
      </c>
      <c r="K688" s="18" t="n">
        <v>-0.0268058928563832</v>
      </c>
      <c r="L688" s="18" t="n">
        <v>0.0312006738202444</v>
      </c>
      <c r="M688" s="18" t="n">
        <v>-0.859144677798282</v>
      </c>
      <c r="N688" s="18" t="n">
        <v>38</v>
      </c>
      <c r="O688" s="18" t="n">
        <v>0.395648195165433</v>
      </c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 t="s">
        <v>402</v>
      </c>
      <c r="AI688" s="18"/>
      <c r="AJ688" s="18" t="s">
        <v>1231</v>
      </c>
    </row>
    <row r="689" customFormat="false" ht="15" hidden="false" customHeight="false" outlineLevel="0" collapsed="false">
      <c r="A689" s="18" t="s">
        <v>273</v>
      </c>
      <c r="B689" s="18" t="s">
        <v>569</v>
      </c>
      <c r="C689" s="18" t="s">
        <v>1161</v>
      </c>
      <c r="D689" s="18" t="s">
        <v>324</v>
      </c>
      <c r="E689" s="18" t="s">
        <v>404</v>
      </c>
      <c r="F689" s="18" t="s">
        <v>790</v>
      </c>
      <c r="G689" s="18" t="n">
        <v>0.6</v>
      </c>
      <c r="H689" s="18" t="n">
        <v>2692</v>
      </c>
      <c r="I689" s="18" t="n">
        <v>113</v>
      </c>
      <c r="J689" s="18" t="n">
        <v>112</v>
      </c>
      <c r="K689" s="18" t="n">
        <v>-0.0148367968198934</v>
      </c>
      <c r="L689" s="18" t="n">
        <v>0.01986598478435</v>
      </c>
      <c r="M689" s="18" t="n">
        <v>-0.746844265761316</v>
      </c>
      <c r="N689" s="18" t="n">
        <v>111</v>
      </c>
      <c r="O689" s="18" t="n">
        <v>0.456736598984887</v>
      </c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 t="s">
        <v>402</v>
      </c>
      <c r="AI689" s="18"/>
      <c r="AJ689" s="18" t="s">
        <v>1232</v>
      </c>
    </row>
    <row r="690" customFormat="false" ht="15" hidden="false" customHeight="false" outlineLevel="0" collapsed="false">
      <c r="A690" s="18" t="s">
        <v>273</v>
      </c>
      <c r="B690" s="18" t="s">
        <v>571</v>
      </c>
      <c r="C690" s="18" t="s">
        <v>1161</v>
      </c>
      <c r="D690" s="18" t="s">
        <v>324</v>
      </c>
      <c r="E690" s="18" t="s">
        <v>404</v>
      </c>
      <c r="F690" s="18" t="s">
        <v>790</v>
      </c>
      <c r="G690" s="18" t="n">
        <v>0.6</v>
      </c>
      <c r="H690" s="18" t="n">
        <v>2692</v>
      </c>
      <c r="I690" s="18" t="n">
        <v>113</v>
      </c>
      <c r="J690" s="18" t="n">
        <v>112</v>
      </c>
      <c r="K690" s="18" t="n">
        <v>-0.027776791401733</v>
      </c>
      <c r="L690" s="18" t="n">
        <v>0.0209785072806485</v>
      </c>
      <c r="M690" s="18" t="n">
        <v>-1.32405947811909</v>
      </c>
      <c r="N690" s="18" t="n">
        <v>111</v>
      </c>
      <c r="O690" s="18" t="n">
        <v>0.188203407150178</v>
      </c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 t="s">
        <v>402</v>
      </c>
      <c r="AI690" s="18"/>
      <c r="AJ690" s="18" t="s">
        <v>1233</v>
      </c>
    </row>
    <row r="691" customFormat="false" ht="15" hidden="false" customHeight="false" outlineLevel="0" collapsed="false">
      <c r="A691" s="18" t="s">
        <v>273</v>
      </c>
      <c r="B691" s="18" t="s">
        <v>573</v>
      </c>
      <c r="C691" s="18" t="s">
        <v>1161</v>
      </c>
      <c r="D691" s="18" t="s">
        <v>324</v>
      </c>
      <c r="E691" s="18" t="s">
        <v>404</v>
      </c>
      <c r="F691" s="18" t="s">
        <v>790</v>
      </c>
      <c r="G691" s="18" t="n">
        <v>0.6</v>
      </c>
      <c r="H691" s="18" t="n">
        <v>2692</v>
      </c>
      <c r="I691" s="18" t="n">
        <v>113</v>
      </c>
      <c r="J691" s="18" t="n">
        <v>112</v>
      </c>
      <c r="K691" s="18" t="n">
        <v>-0.0146606348475618</v>
      </c>
      <c r="L691" s="18" t="n">
        <v>0.0212122300210299</v>
      </c>
      <c r="M691" s="18" t="n">
        <v>-0.69114066899271</v>
      </c>
      <c r="N691" s="18" t="n">
        <v>110</v>
      </c>
      <c r="O691" s="18" t="n">
        <v>0.49093314528015</v>
      </c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 t="s">
        <v>402</v>
      </c>
      <c r="AI691" s="18"/>
      <c r="AJ691" s="18" t="s">
        <v>1234</v>
      </c>
    </row>
    <row r="692" customFormat="false" ht="15" hidden="false" customHeight="false" outlineLevel="0" collapsed="false">
      <c r="A692" s="18" t="s">
        <v>273</v>
      </c>
      <c r="B692" s="18" t="s">
        <v>575</v>
      </c>
      <c r="C692" s="18" t="s">
        <v>1161</v>
      </c>
      <c r="D692" s="18" t="s">
        <v>324</v>
      </c>
      <c r="E692" s="18" t="s">
        <v>404</v>
      </c>
      <c r="F692" s="18" t="s">
        <v>790</v>
      </c>
      <c r="G692" s="18" t="n">
        <v>0.6</v>
      </c>
      <c r="H692" s="18" t="n">
        <v>2692</v>
      </c>
      <c r="I692" s="18" t="n">
        <v>113</v>
      </c>
      <c r="J692" s="18" t="n">
        <v>112</v>
      </c>
      <c r="K692" s="18" t="n">
        <v>-0.0310417825838904</v>
      </c>
      <c r="L692" s="18" t="n">
        <v>0.0219249107309673</v>
      </c>
      <c r="M692" s="18" t="n">
        <v>-1.41582253012535</v>
      </c>
      <c r="N692" s="18" t="n">
        <v>111</v>
      </c>
      <c r="O692" s="18" t="n">
        <v>0.159627332007193</v>
      </c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 t="s">
        <v>402</v>
      </c>
      <c r="AI692" s="18"/>
      <c r="AJ692" s="18" t="s">
        <v>1235</v>
      </c>
    </row>
    <row r="693" customFormat="false" ht="15" hidden="false" customHeight="false" outlineLevel="0" collapsed="false">
      <c r="A693" s="18" t="s">
        <v>273</v>
      </c>
      <c r="B693" s="18" t="s">
        <v>577</v>
      </c>
      <c r="C693" s="18" t="s">
        <v>1161</v>
      </c>
      <c r="D693" s="18" t="s">
        <v>324</v>
      </c>
      <c r="E693" s="18" t="s">
        <v>404</v>
      </c>
      <c r="F693" s="18" t="s">
        <v>790</v>
      </c>
      <c r="G693" s="18" t="n">
        <v>0.6</v>
      </c>
      <c r="H693" s="18" t="n">
        <v>2692</v>
      </c>
      <c r="I693" s="18" t="n">
        <v>113</v>
      </c>
      <c r="J693" s="18" t="n">
        <v>112</v>
      </c>
      <c r="K693" s="18" t="n">
        <v>-0.00842054296723117</v>
      </c>
      <c r="L693" s="18" t="n">
        <v>0.0263507028290202</v>
      </c>
      <c r="M693" s="18" t="n">
        <v>-0.319556674517143</v>
      </c>
      <c r="N693" s="18" t="n">
        <v>110</v>
      </c>
      <c r="O693" s="18" t="n">
        <v>0.749910528121083</v>
      </c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 t="s">
        <v>402</v>
      </c>
      <c r="AI693" s="18"/>
      <c r="AJ693" s="18" t="s">
        <v>1236</v>
      </c>
    </row>
    <row r="694" customFormat="false" ht="15" hidden="false" customHeight="false" outlineLevel="0" collapsed="false">
      <c r="A694" s="18" t="s">
        <v>273</v>
      </c>
      <c r="B694" s="18" t="s">
        <v>579</v>
      </c>
      <c r="C694" s="18" t="s">
        <v>1161</v>
      </c>
      <c r="D694" s="18" t="s">
        <v>324</v>
      </c>
      <c r="E694" s="18" t="s">
        <v>404</v>
      </c>
      <c r="F694" s="18" t="s">
        <v>790</v>
      </c>
      <c r="G694" s="18" t="n">
        <v>0.6</v>
      </c>
      <c r="H694" s="18" t="n">
        <v>2692</v>
      </c>
      <c r="I694" s="18" t="n">
        <v>113</v>
      </c>
      <c r="J694" s="18" t="n">
        <v>112</v>
      </c>
      <c r="K694" s="18" t="n">
        <v>-0.00464924682755439</v>
      </c>
      <c r="L694" s="18" t="n">
        <v>0.0280236166049973</v>
      </c>
      <c r="M694" s="18" t="n">
        <v>-0.165904597293317</v>
      </c>
      <c r="N694" s="18" t="n">
        <v>110</v>
      </c>
      <c r="O694" s="18" t="n">
        <v>0.868536574993101</v>
      </c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 t="s">
        <v>402</v>
      </c>
      <c r="AI694" s="18"/>
      <c r="AJ694" s="18" t="s">
        <v>1237</v>
      </c>
    </row>
    <row r="695" customFormat="false" ht="15" hidden="false" customHeight="false" outlineLevel="0" collapsed="false">
      <c r="A695" s="18" t="s">
        <v>273</v>
      </c>
      <c r="B695" s="18" t="s">
        <v>581</v>
      </c>
      <c r="C695" s="18" t="s">
        <v>1161</v>
      </c>
      <c r="D695" s="18" t="s">
        <v>324</v>
      </c>
      <c r="E695" s="18" t="s">
        <v>404</v>
      </c>
      <c r="F695" s="18" t="s">
        <v>790</v>
      </c>
      <c r="G695" s="18" t="n">
        <v>0.6</v>
      </c>
      <c r="H695" s="18" t="n">
        <v>2692</v>
      </c>
      <c r="I695" s="18" t="n">
        <v>113</v>
      </c>
      <c r="J695" s="18" t="n">
        <v>112</v>
      </c>
      <c r="K695" s="18" t="n">
        <v>-0.0193440084575855</v>
      </c>
      <c r="L695" s="18" t="n">
        <v>0.0187614348944024</v>
      </c>
      <c r="M695" s="18" t="n">
        <v>-1.03105165284329</v>
      </c>
      <c r="N695" s="18" t="n">
        <v>111</v>
      </c>
      <c r="O695" s="18" t="n">
        <v>0.304757944371053</v>
      </c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 t="s">
        <v>402</v>
      </c>
      <c r="AI695" s="18"/>
      <c r="AJ695" s="18" t="s">
        <v>1238</v>
      </c>
    </row>
    <row r="696" customFormat="false" ht="15" hidden="false" customHeight="false" outlineLevel="0" collapsed="false">
      <c r="A696" s="18" t="s">
        <v>273</v>
      </c>
      <c r="B696" s="18" t="s">
        <v>583</v>
      </c>
      <c r="C696" s="18" t="s">
        <v>1161</v>
      </c>
      <c r="D696" s="18" t="s">
        <v>324</v>
      </c>
      <c r="E696" s="18" t="s">
        <v>404</v>
      </c>
      <c r="F696" s="18" t="s">
        <v>790</v>
      </c>
      <c r="G696" s="18" t="n">
        <v>0.6</v>
      </c>
      <c r="H696" s="18" t="n">
        <v>2692</v>
      </c>
      <c r="I696" s="18" t="n">
        <v>113</v>
      </c>
      <c r="J696" s="18" t="n">
        <v>112</v>
      </c>
      <c r="K696" s="18" t="n">
        <v>-0.0210074925624281</v>
      </c>
      <c r="L696" s="18" t="n">
        <v>0.0178648844120007</v>
      </c>
      <c r="M696" s="18" t="n">
        <v>-1.17590979476567</v>
      </c>
      <c r="N696" s="18" t="n">
        <v>111</v>
      </c>
      <c r="O696" s="18" t="n">
        <v>0.242146835217796</v>
      </c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 t="s">
        <v>402</v>
      </c>
      <c r="AI696" s="18"/>
      <c r="AJ696" s="18" t="s">
        <v>1239</v>
      </c>
    </row>
    <row r="697" customFormat="false" ht="15" hidden="false" customHeight="false" outlineLevel="0" collapsed="false">
      <c r="A697" s="18" t="s">
        <v>273</v>
      </c>
      <c r="B697" s="18" t="s">
        <v>585</v>
      </c>
      <c r="C697" s="18" t="s">
        <v>1161</v>
      </c>
      <c r="D697" s="18" t="s">
        <v>324</v>
      </c>
      <c r="E697" s="18" t="s">
        <v>404</v>
      </c>
      <c r="F697" s="18" t="s">
        <v>790</v>
      </c>
      <c r="G697" s="18" t="n">
        <v>0.6</v>
      </c>
      <c r="H697" s="18" t="n">
        <v>2692</v>
      </c>
      <c r="I697" s="18" t="n">
        <v>113</v>
      </c>
      <c r="J697" s="18" t="n">
        <v>112</v>
      </c>
      <c r="K697" s="18" t="n">
        <v>-0.0174541904439323</v>
      </c>
      <c r="L697" s="18" t="n">
        <v>0.0178143679707486</v>
      </c>
      <c r="M697" s="18" t="n">
        <v>-0.979781627537518</v>
      </c>
      <c r="N697" s="18" t="n">
        <v>111</v>
      </c>
      <c r="O697" s="18" t="n">
        <v>0.329324580972662</v>
      </c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 t="s">
        <v>402</v>
      </c>
      <c r="AI697" s="18"/>
      <c r="AJ697" s="18" t="s">
        <v>1240</v>
      </c>
    </row>
    <row r="698" customFormat="false" ht="15" hidden="false" customHeight="false" outlineLevel="0" collapsed="false">
      <c r="A698" s="18" t="s">
        <v>273</v>
      </c>
      <c r="B698" s="18" t="s">
        <v>587</v>
      </c>
      <c r="C698" s="18" t="s">
        <v>1161</v>
      </c>
      <c r="D698" s="18" t="s">
        <v>324</v>
      </c>
      <c r="E698" s="18" t="s">
        <v>404</v>
      </c>
      <c r="F698" s="18" t="s">
        <v>790</v>
      </c>
      <c r="G698" s="18" t="n">
        <v>0.6</v>
      </c>
      <c r="H698" s="18" t="n">
        <v>924</v>
      </c>
      <c r="I698" s="18" t="n">
        <v>40</v>
      </c>
      <c r="J698" s="18" t="n">
        <v>40</v>
      </c>
      <c r="K698" s="18" t="n">
        <v>-0.0300545806073118</v>
      </c>
      <c r="L698" s="18" t="n">
        <v>0.0309434716677356</v>
      </c>
      <c r="M698" s="18" t="n">
        <v>-0.971273712595388</v>
      </c>
      <c r="N698" s="18" t="n">
        <v>38</v>
      </c>
      <c r="O698" s="18" t="n">
        <v>0.3375541411581</v>
      </c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 t="s">
        <v>402</v>
      </c>
      <c r="AI698" s="18"/>
      <c r="AJ698" s="18" t="s">
        <v>1241</v>
      </c>
    </row>
    <row r="699" customFormat="false" ht="15" hidden="false" customHeight="false" outlineLevel="0" collapsed="false">
      <c r="A699" s="18" t="s">
        <v>273</v>
      </c>
      <c r="B699" s="18" t="s">
        <v>589</v>
      </c>
      <c r="C699" s="18" t="s">
        <v>1161</v>
      </c>
      <c r="D699" s="18" t="s">
        <v>324</v>
      </c>
      <c r="E699" s="18" t="s">
        <v>404</v>
      </c>
      <c r="F699" s="18" t="s">
        <v>790</v>
      </c>
      <c r="G699" s="18" t="n">
        <v>0.6</v>
      </c>
      <c r="H699" s="18" t="n">
        <v>2705</v>
      </c>
      <c r="I699" s="18" t="n">
        <v>113</v>
      </c>
      <c r="J699" s="18" t="n">
        <v>112</v>
      </c>
      <c r="K699" s="18" t="n">
        <v>-0.0112971635133427</v>
      </c>
      <c r="L699" s="18" t="n">
        <v>0.0194979509978892</v>
      </c>
      <c r="M699" s="18" t="n">
        <v>-0.579402600538165</v>
      </c>
      <c r="N699" s="18" t="n">
        <v>111</v>
      </c>
      <c r="O699" s="18" t="n">
        <v>0.563491616818311</v>
      </c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 t="s">
        <v>402</v>
      </c>
      <c r="AI699" s="18"/>
      <c r="AJ699" s="18" t="s">
        <v>1242</v>
      </c>
    </row>
    <row r="700" customFormat="false" ht="15" hidden="false" customHeight="false" outlineLevel="0" collapsed="false">
      <c r="A700" s="18" t="s">
        <v>273</v>
      </c>
      <c r="B700" s="18" t="s">
        <v>591</v>
      </c>
      <c r="C700" s="18" t="s">
        <v>1161</v>
      </c>
      <c r="D700" s="18" t="s">
        <v>324</v>
      </c>
      <c r="E700" s="18" t="s">
        <v>404</v>
      </c>
      <c r="F700" s="18" t="s">
        <v>790</v>
      </c>
      <c r="G700" s="18" t="n">
        <v>0.6</v>
      </c>
      <c r="H700" s="18" t="n">
        <v>2705</v>
      </c>
      <c r="I700" s="18" t="n">
        <v>113</v>
      </c>
      <c r="J700" s="18" t="n">
        <v>112</v>
      </c>
      <c r="K700" s="18" t="n">
        <v>-0.0210665133340701</v>
      </c>
      <c r="L700" s="18" t="n">
        <v>0.0206365987414465</v>
      </c>
      <c r="M700" s="18" t="n">
        <v>-1.02083262838077</v>
      </c>
      <c r="N700" s="18" t="n">
        <v>111</v>
      </c>
      <c r="O700" s="18" t="n">
        <v>0.309553501384283</v>
      </c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 t="s">
        <v>402</v>
      </c>
      <c r="AI700" s="18"/>
      <c r="AJ700" s="18" t="s">
        <v>1243</v>
      </c>
    </row>
    <row r="701" customFormat="false" ht="15" hidden="false" customHeight="false" outlineLevel="0" collapsed="false">
      <c r="A701" s="18" t="s">
        <v>273</v>
      </c>
      <c r="B701" s="18" t="s">
        <v>593</v>
      </c>
      <c r="C701" s="18" t="s">
        <v>1161</v>
      </c>
      <c r="D701" s="18" t="s">
        <v>324</v>
      </c>
      <c r="E701" s="18" t="s">
        <v>404</v>
      </c>
      <c r="F701" s="18" t="s">
        <v>790</v>
      </c>
      <c r="G701" s="18" t="n">
        <v>0.6</v>
      </c>
      <c r="H701" s="18" t="n">
        <v>2705</v>
      </c>
      <c r="I701" s="18" t="n">
        <v>113</v>
      </c>
      <c r="J701" s="18" t="n">
        <v>112</v>
      </c>
      <c r="K701" s="18" t="n">
        <v>-0.0128531734829835</v>
      </c>
      <c r="L701" s="18" t="n">
        <v>0.0208050960404803</v>
      </c>
      <c r="M701" s="18" t="n">
        <v>-0.617789673163498</v>
      </c>
      <c r="N701" s="18" t="n">
        <v>110</v>
      </c>
      <c r="O701" s="18" t="n">
        <v>0.537990908777037</v>
      </c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 t="s">
        <v>402</v>
      </c>
      <c r="AI701" s="18"/>
      <c r="AJ701" s="18" t="s">
        <v>1244</v>
      </c>
    </row>
    <row r="702" customFormat="false" ht="15" hidden="false" customHeight="false" outlineLevel="0" collapsed="false">
      <c r="A702" s="18" t="s">
        <v>273</v>
      </c>
      <c r="B702" s="18" t="s">
        <v>595</v>
      </c>
      <c r="C702" s="18" t="s">
        <v>1161</v>
      </c>
      <c r="D702" s="18" t="s">
        <v>324</v>
      </c>
      <c r="E702" s="18" t="s">
        <v>404</v>
      </c>
      <c r="F702" s="18" t="s">
        <v>790</v>
      </c>
      <c r="G702" s="18" t="n">
        <v>0.6</v>
      </c>
      <c r="H702" s="18" t="n">
        <v>2705</v>
      </c>
      <c r="I702" s="18" t="n">
        <v>113</v>
      </c>
      <c r="J702" s="18" t="n">
        <v>112</v>
      </c>
      <c r="K702" s="18" t="n">
        <v>-0.0246905618159084</v>
      </c>
      <c r="L702" s="18" t="n">
        <v>0.0215668555919217</v>
      </c>
      <c r="M702" s="18" t="n">
        <v>-1.14483827791553</v>
      </c>
      <c r="N702" s="18" t="n">
        <v>111</v>
      </c>
      <c r="O702" s="18" t="n">
        <v>0.254738695292937</v>
      </c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 t="s">
        <v>402</v>
      </c>
      <c r="AI702" s="18"/>
      <c r="AJ702" s="18" t="s">
        <v>1245</v>
      </c>
    </row>
    <row r="703" customFormat="false" ht="15" hidden="false" customHeight="false" outlineLevel="0" collapsed="false">
      <c r="A703" s="18" t="s">
        <v>273</v>
      </c>
      <c r="B703" s="18" t="s">
        <v>597</v>
      </c>
      <c r="C703" s="18" t="s">
        <v>1161</v>
      </c>
      <c r="D703" s="18" t="s">
        <v>324</v>
      </c>
      <c r="E703" s="18" t="s">
        <v>404</v>
      </c>
      <c r="F703" s="18" t="s">
        <v>790</v>
      </c>
      <c r="G703" s="18" t="n">
        <v>0.6</v>
      </c>
      <c r="H703" s="18" t="n">
        <v>2705</v>
      </c>
      <c r="I703" s="18" t="n">
        <v>113</v>
      </c>
      <c r="J703" s="18" t="n">
        <v>112</v>
      </c>
      <c r="K703" s="18" t="n">
        <v>-0.00307449020137921</v>
      </c>
      <c r="L703" s="18" t="n">
        <v>0.0258454992411545</v>
      </c>
      <c r="M703" s="18" t="n">
        <v>-0.118956502743178</v>
      </c>
      <c r="N703" s="18" t="n">
        <v>110</v>
      </c>
      <c r="O703" s="18" t="n">
        <v>0.905526787506468</v>
      </c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 t="s">
        <v>402</v>
      </c>
      <c r="AI703" s="18"/>
      <c r="AJ703" s="18" t="s">
        <v>1246</v>
      </c>
    </row>
    <row r="704" customFormat="false" ht="15" hidden="false" customHeight="false" outlineLevel="0" collapsed="false">
      <c r="A704" s="18" t="s">
        <v>273</v>
      </c>
      <c r="B704" s="18" t="s">
        <v>599</v>
      </c>
      <c r="C704" s="18" t="s">
        <v>1161</v>
      </c>
      <c r="D704" s="18" t="s">
        <v>324</v>
      </c>
      <c r="E704" s="18" t="s">
        <v>404</v>
      </c>
      <c r="F704" s="18" t="s">
        <v>790</v>
      </c>
      <c r="G704" s="18" t="n">
        <v>0.6</v>
      </c>
      <c r="H704" s="18" t="n">
        <v>2705</v>
      </c>
      <c r="I704" s="18" t="n">
        <v>113</v>
      </c>
      <c r="J704" s="18" t="n">
        <v>112</v>
      </c>
      <c r="K704" s="18" t="n">
        <v>0.000301275174600664</v>
      </c>
      <c r="L704" s="18" t="n">
        <v>0.027479348204299</v>
      </c>
      <c r="M704" s="18" t="n">
        <v>0.0109636943482353</v>
      </c>
      <c r="N704" s="18" t="n">
        <v>110</v>
      </c>
      <c r="O704" s="18" t="n">
        <v>0.991272272419109</v>
      </c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 t="s">
        <v>402</v>
      </c>
      <c r="AI704" s="18"/>
      <c r="AJ704" s="18" t="s">
        <v>1247</v>
      </c>
    </row>
    <row r="705" customFormat="false" ht="15" hidden="false" customHeight="false" outlineLevel="0" collapsed="false">
      <c r="A705" s="18" t="s">
        <v>273</v>
      </c>
      <c r="B705" s="18" t="s">
        <v>601</v>
      </c>
      <c r="C705" s="18" t="s">
        <v>1161</v>
      </c>
      <c r="D705" s="18" t="s">
        <v>324</v>
      </c>
      <c r="E705" s="18" t="s">
        <v>404</v>
      </c>
      <c r="F705" s="18" t="s">
        <v>790</v>
      </c>
      <c r="G705" s="18" t="n">
        <v>0.6</v>
      </c>
      <c r="H705" s="18" t="n">
        <v>2705</v>
      </c>
      <c r="I705" s="18" t="n">
        <v>113</v>
      </c>
      <c r="J705" s="18" t="n">
        <v>112</v>
      </c>
      <c r="K705" s="18" t="n">
        <v>-0.0149534676801313</v>
      </c>
      <c r="L705" s="18" t="n">
        <v>0.0184283331875441</v>
      </c>
      <c r="M705" s="18" t="n">
        <v>-0.811438968893753</v>
      </c>
      <c r="N705" s="18" t="n">
        <v>111</v>
      </c>
      <c r="O705" s="18" t="n">
        <v>0.418850220056634</v>
      </c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 t="s">
        <v>402</v>
      </c>
      <c r="AI705" s="18"/>
      <c r="AJ705" s="18" t="s">
        <v>1248</v>
      </c>
    </row>
    <row r="706" customFormat="false" ht="15" hidden="false" customHeight="false" outlineLevel="0" collapsed="false">
      <c r="A706" s="18" t="s">
        <v>273</v>
      </c>
      <c r="B706" s="18" t="s">
        <v>603</v>
      </c>
      <c r="C706" s="18" t="s">
        <v>1161</v>
      </c>
      <c r="D706" s="18" t="s">
        <v>324</v>
      </c>
      <c r="E706" s="18" t="s">
        <v>404</v>
      </c>
      <c r="F706" s="18" t="s">
        <v>790</v>
      </c>
      <c r="G706" s="18" t="n">
        <v>0.6</v>
      </c>
      <c r="H706" s="18" t="n">
        <v>2705</v>
      </c>
      <c r="I706" s="18" t="n">
        <v>113</v>
      </c>
      <c r="J706" s="18" t="n">
        <v>112</v>
      </c>
      <c r="K706" s="18" t="n">
        <v>-0.00829281220272354</v>
      </c>
      <c r="L706" s="18" t="n">
        <v>0.017612803516449</v>
      </c>
      <c r="M706" s="18" t="n">
        <v>-0.470839988362936</v>
      </c>
      <c r="N706" s="18" t="n">
        <v>111</v>
      </c>
      <c r="O706" s="18" t="n">
        <v>0.638678974772835</v>
      </c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 t="s">
        <v>402</v>
      </c>
      <c r="AI706" s="18"/>
      <c r="AJ706" s="18" t="s">
        <v>1249</v>
      </c>
    </row>
    <row r="707" customFormat="false" ht="15" hidden="false" customHeight="false" outlineLevel="0" collapsed="false">
      <c r="A707" s="18" t="s">
        <v>273</v>
      </c>
      <c r="B707" s="18" t="s">
        <v>605</v>
      </c>
      <c r="C707" s="18" t="s">
        <v>1161</v>
      </c>
      <c r="D707" s="18" t="s">
        <v>324</v>
      </c>
      <c r="E707" s="18" t="s">
        <v>404</v>
      </c>
      <c r="F707" s="18" t="s">
        <v>790</v>
      </c>
      <c r="G707" s="18" t="n">
        <v>0.6</v>
      </c>
      <c r="H707" s="18" t="n">
        <v>2705</v>
      </c>
      <c r="I707" s="18" t="n">
        <v>113</v>
      </c>
      <c r="J707" s="18" t="n">
        <v>112</v>
      </c>
      <c r="K707" s="18" t="n">
        <v>-0.00762922154065554</v>
      </c>
      <c r="L707" s="18" t="n">
        <v>0.0175276071981502</v>
      </c>
      <c r="M707" s="18" t="n">
        <v>-0.435268856405038</v>
      </c>
      <c r="N707" s="18" t="n">
        <v>111</v>
      </c>
      <c r="O707" s="18" t="n">
        <v>0.664212461474531</v>
      </c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 t="s">
        <v>402</v>
      </c>
      <c r="AI707" s="18"/>
      <c r="AJ707" s="18" t="s">
        <v>1250</v>
      </c>
    </row>
    <row r="708" customFormat="false" ht="15" hidden="false" customHeight="false" outlineLevel="0" collapsed="false">
      <c r="A708" s="18" t="s">
        <v>273</v>
      </c>
      <c r="B708" s="18" t="s">
        <v>607</v>
      </c>
      <c r="C708" s="18" t="s">
        <v>1161</v>
      </c>
      <c r="D708" s="18" t="s">
        <v>324</v>
      </c>
      <c r="E708" s="18" t="s">
        <v>404</v>
      </c>
      <c r="F708" s="18" t="s">
        <v>790</v>
      </c>
      <c r="G708" s="18" t="n">
        <v>0.6</v>
      </c>
      <c r="H708" s="18" t="n">
        <v>929</v>
      </c>
      <c r="I708" s="18" t="n">
        <v>40</v>
      </c>
      <c r="J708" s="18" t="n">
        <v>40</v>
      </c>
      <c r="K708" s="18" t="n">
        <v>-0.0239708723833317</v>
      </c>
      <c r="L708" s="18" t="n">
        <v>0.028122200691653</v>
      </c>
      <c r="M708" s="18" t="n">
        <v>-0.852382523194444</v>
      </c>
      <c r="N708" s="18" t="n">
        <v>38</v>
      </c>
      <c r="O708" s="18" t="n">
        <v>0.39934232609527</v>
      </c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 t="s">
        <v>402</v>
      </c>
      <c r="AI708" s="18"/>
      <c r="AJ708" s="18" t="s">
        <v>1251</v>
      </c>
    </row>
    <row r="709" customFormat="false" ht="15" hidden="false" customHeight="false" outlineLevel="0" collapsed="false">
      <c r="A709" s="18" t="s">
        <v>273</v>
      </c>
      <c r="B709" s="18" t="s">
        <v>609</v>
      </c>
      <c r="C709" s="18" t="s">
        <v>1161</v>
      </c>
      <c r="D709" s="18" t="s">
        <v>324</v>
      </c>
      <c r="E709" s="18" t="s">
        <v>404</v>
      </c>
      <c r="F709" s="18" t="s">
        <v>790</v>
      </c>
      <c r="G709" s="18" t="n">
        <v>0.6</v>
      </c>
      <c r="H709" s="18" t="n">
        <v>2607</v>
      </c>
      <c r="I709" s="18" t="n">
        <v>110</v>
      </c>
      <c r="J709" s="18" t="n">
        <v>109</v>
      </c>
      <c r="K709" s="18" t="n">
        <v>0.0129447588278768</v>
      </c>
      <c r="L709" s="18" t="n">
        <v>0.0567069177296576</v>
      </c>
      <c r="M709" s="18" t="n">
        <v>0.228274773980648</v>
      </c>
      <c r="N709" s="18" t="n">
        <v>108</v>
      </c>
      <c r="O709" s="18" t="n">
        <v>0.819864284187</v>
      </c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 t="s">
        <v>402</v>
      </c>
      <c r="AI709" s="18"/>
      <c r="AJ709" s="18" t="s">
        <v>1252</v>
      </c>
    </row>
    <row r="710" customFormat="false" ht="15" hidden="false" customHeight="false" outlineLevel="0" collapsed="false">
      <c r="A710" s="18" t="s">
        <v>273</v>
      </c>
      <c r="B710" s="18" t="s">
        <v>611</v>
      </c>
      <c r="C710" s="18" t="s">
        <v>1161</v>
      </c>
      <c r="D710" s="18" t="s">
        <v>324</v>
      </c>
      <c r="E710" s="18" t="s">
        <v>404</v>
      </c>
      <c r="F710" s="18" t="s">
        <v>790</v>
      </c>
      <c r="G710" s="18" t="n">
        <v>0.6</v>
      </c>
      <c r="H710" s="18" t="n">
        <v>2607</v>
      </c>
      <c r="I710" s="18" t="n">
        <v>110</v>
      </c>
      <c r="J710" s="18" t="n">
        <v>109</v>
      </c>
      <c r="K710" s="18" t="n">
        <v>-0.0023571915700745</v>
      </c>
      <c r="L710" s="18" t="n">
        <v>0.0600715580685046</v>
      </c>
      <c r="M710" s="18" t="n">
        <v>-0.03923972751608</v>
      </c>
      <c r="N710" s="18" t="n">
        <v>108</v>
      </c>
      <c r="O710" s="18" t="n">
        <v>0.96877170477753</v>
      </c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 t="s">
        <v>402</v>
      </c>
      <c r="AI710" s="18"/>
      <c r="AJ710" s="18" t="s">
        <v>1253</v>
      </c>
    </row>
    <row r="711" customFormat="false" ht="15" hidden="false" customHeight="false" outlineLevel="0" collapsed="false">
      <c r="A711" s="18" t="s">
        <v>273</v>
      </c>
      <c r="B711" s="18" t="s">
        <v>613</v>
      </c>
      <c r="C711" s="18" t="s">
        <v>1161</v>
      </c>
      <c r="D711" s="18" t="s">
        <v>324</v>
      </c>
      <c r="E711" s="18" t="s">
        <v>404</v>
      </c>
      <c r="F711" s="18" t="s">
        <v>790</v>
      </c>
      <c r="G711" s="18" t="n">
        <v>0.6</v>
      </c>
      <c r="H711" s="18" t="n">
        <v>2607</v>
      </c>
      <c r="I711" s="18" t="n">
        <v>110</v>
      </c>
      <c r="J711" s="18" t="n">
        <v>109</v>
      </c>
      <c r="K711" s="18" t="n">
        <v>-0.0479441764014377</v>
      </c>
      <c r="L711" s="18" t="n">
        <v>0.0613077379927779</v>
      </c>
      <c r="M711" s="18" t="n">
        <v>-0.782024879258889</v>
      </c>
      <c r="N711" s="18" t="n">
        <v>107</v>
      </c>
      <c r="O711" s="18" t="n">
        <v>0.435927072487129</v>
      </c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 t="s">
        <v>402</v>
      </c>
      <c r="AI711" s="18"/>
      <c r="AJ711" s="18" t="s">
        <v>1254</v>
      </c>
    </row>
    <row r="712" customFormat="false" ht="15" hidden="false" customHeight="false" outlineLevel="0" collapsed="false">
      <c r="A712" s="18" t="s">
        <v>273</v>
      </c>
      <c r="B712" s="18" t="s">
        <v>615</v>
      </c>
      <c r="C712" s="18" t="s">
        <v>1161</v>
      </c>
      <c r="D712" s="18" t="s">
        <v>324</v>
      </c>
      <c r="E712" s="18" t="s">
        <v>404</v>
      </c>
      <c r="F712" s="18" t="s">
        <v>790</v>
      </c>
      <c r="G712" s="18" t="n">
        <v>0.6</v>
      </c>
      <c r="H712" s="18" t="n">
        <v>2607</v>
      </c>
      <c r="I712" s="18" t="n">
        <v>110</v>
      </c>
      <c r="J712" s="18" t="n">
        <v>109</v>
      </c>
      <c r="K712" s="18" t="n">
        <v>-0.0072303060842452</v>
      </c>
      <c r="L712" s="18" t="n">
        <v>0.0627604206060947</v>
      </c>
      <c r="M712" s="18" t="n">
        <v>-0.115204869795647</v>
      </c>
      <c r="N712" s="18" t="n">
        <v>108</v>
      </c>
      <c r="O712" s="18" t="n">
        <v>0.908496662076067</v>
      </c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 t="s">
        <v>402</v>
      </c>
      <c r="AI712" s="18"/>
      <c r="AJ712" s="18" t="s">
        <v>1255</v>
      </c>
    </row>
    <row r="713" customFormat="false" ht="15" hidden="false" customHeight="false" outlineLevel="0" collapsed="false">
      <c r="A713" s="18" t="s">
        <v>273</v>
      </c>
      <c r="B713" s="18" t="s">
        <v>617</v>
      </c>
      <c r="C713" s="18" t="s">
        <v>1161</v>
      </c>
      <c r="D713" s="18" t="s">
        <v>324</v>
      </c>
      <c r="E713" s="18" t="s">
        <v>404</v>
      </c>
      <c r="F713" s="18" t="s">
        <v>790</v>
      </c>
      <c r="G713" s="18" t="n">
        <v>0.6</v>
      </c>
      <c r="H713" s="18" t="n">
        <v>2607</v>
      </c>
      <c r="I713" s="18" t="n">
        <v>110</v>
      </c>
      <c r="J713" s="18" t="n">
        <v>109</v>
      </c>
      <c r="K713" s="18" t="n">
        <v>0.0206631633035187</v>
      </c>
      <c r="L713" s="18" t="n">
        <v>0.0747238652787926</v>
      </c>
      <c r="M713" s="18" t="n">
        <v>0.276526959980255</v>
      </c>
      <c r="N713" s="18" t="n">
        <v>107</v>
      </c>
      <c r="O713" s="18" t="n">
        <v>0.782676796573567</v>
      </c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 t="s">
        <v>402</v>
      </c>
      <c r="AI713" s="18"/>
      <c r="AJ713" s="18" t="s">
        <v>1256</v>
      </c>
    </row>
    <row r="714" customFormat="false" ht="15" hidden="false" customHeight="false" outlineLevel="0" collapsed="false">
      <c r="A714" s="18" t="s">
        <v>273</v>
      </c>
      <c r="B714" s="18" t="s">
        <v>619</v>
      </c>
      <c r="C714" s="18" t="s">
        <v>1161</v>
      </c>
      <c r="D714" s="18" t="s">
        <v>324</v>
      </c>
      <c r="E714" s="18" t="s">
        <v>404</v>
      </c>
      <c r="F714" s="18" t="s">
        <v>790</v>
      </c>
      <c r="G714" s="18" t="n">
        <v>0.6</v>
      </c>
      <c r="H714" s="18" t="n">
        <v>2607</v>
      </c>
      <c r="I714" s="18" t="n">
        <v>110</v>
      </c>
      <c r="J714" s="18" t="n">
        <v>109</v>
      </c>
      <c r="K714" s="18" t="n">
        <v>0.0242398547056384</v>
      </c>
      <c r="L714" s="18" t="n">
        <v>0.0794178587188633</v>
      </c>
      <c r="M714" s="18" t="n">
        <v>0.305219192467108</v>
      </c>
      <c r="N714" s="18" t="n">
        <v>107</v>
      </c>
      <c r="O714" s="18" t="n">
        <v>0.760792156489909</v>
      </c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 t="s">
        <v>402</v>
      </c>
      <c r="AI714" s="18"/>
      <c r="AJ714" s="18" t="s">
        <v>1257</v>
      </c>
    </row>
    <row r="715" customFormat="false" ht="15" hidden="false" customHeight="false" outlineLevel="0" collapsed="false">
      <c r="A715" s="18" t="s">
        <v>273</v>
      </c>
      <c r="B715" s="18" t="s">
        <v>621</v>
      </c>
      <c r="C715" s="18" t="s">
        <v>1161</v>
      </c>
      <c r="D715" s="18" t="s">
        <v>324</v>
      </c>
      <c r="E715" s="18" t="s">
        <v>404</v>
      </c>
      <c r="F715" s="18" t="s">
        <v>790</v>
      </c>
      <c r="G715" s="18" t="n">
        <v>0.6</v>
      </c>
      <c r="H715" s="18" t="n">
        <v>2607</v>
      </c>
      <c r="I715" s="18" t="n">
        <v>110</v>
      </c>
      <c r="J715" s="18" t="n">
        <v>109</v>
      </c>
      <c r="K715" s="18" t="n">
        <v>-0.0597195970350883</v>
      </c>
      <c r="L715" s="18" t="n">
        <v>0.0538235554686496</v>
      </c>
      <c r="M715" s="18" t="n">
        <v>-1.10954388863948</v>
      </c>
      <c r="N715" s="18" t="n">
        <v>108</v>
      </c>
      <c r="O715" s="18" t="n">
        <v>0.269660094042422</v>
      </c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 t="s">
        <v>402</v>
      </c>
      <c r="AI715" s="18"/>
      <c r="AJ715" s="18" t="s">
        <v>1258</v>
      </c>
    </row>
    <row r="716" customFormat="false" ht="15" hidden="false" customHeight="false" outlineLevel="0" collapsed="false">
      <c r="A716" s="18" t="s">
        <v>273</v>
      </c>
      <c r="B716" s="18" t="s">
        <v>623</v>
      </c>
      <c r="C716" s="18" t="s">
        <v>1161</v>
      </c>
      <c r="D716" s="18" t="s">
        <v>324</v>
      </c>
      <c r="E716" s="18" t="s">
        <v>404</v>
      </c>
      <c r="F716" s="18" t="s">
        <v>790</v>
      </c>
      <c r="G716" s="18" t="n">
        <v>0.6</v>
      </c>
      <c r="H716" s="18" t="n">
        <v>2607</v>
      </c>
      <c r="I716" s="18" t="n">
        <v>110</v>
      </c>
      <c r="J716" s="18" t="n">
        <v>109</v>
      </c>
      <c r="K716" s="18" t="n">
        <v>0.0273398279749987</v>
      </c>
      <c r="L716" s="18" t="n">
        <v>0.0514529462502026</v>
      </c>
      <c r="M716" s="18" t="n">
        <v>0.53135592745364</v>
      </c>
      <c r="N716" s="18" t="n">
        <v>108</v>
      </c>
      <c r="O716" s="18" t="n">
        <v>0.596263320191685</v>
      </c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 t="s">
        <v>402</v>
      </c>
      <c r="AI716" s="18"/>
      <c r="AJ716" s="18" t="s">
        <v>1259</v>
      </c>
    </row>
    <row r="717" customFormat="false" ht="15" hidden="false" customHeight="false" outlineLevel="0" collapsed="false">
      <c r="A717" s="18" t="s">
        <v>273</v>
      </c>
      <c r="B717" s="18" t="s">
        <v>625</v>
      </c>
      <c r="C717" s="18" t="s">
        <v>1161</v>
      </c>
      <c r="D717" s="18" t="s">
        <v>324</v>
      </c>
      <c r="E717" s="18" t="s">
        <v>404</v>
      </c>
      <c r="F717" s="18" t="s">
        <v>790</v>
      </c>
      <c r="G717" s="18" t="n">
        <v>0.6</v>
      </c>
      <c r="H717" s="18" t="n">
        <v>2607</v>
      </c>
      <c r="I717" s="18" t="n">
        <v>110</v>
      </c>
      <c r="J717" s="18" t="n">
        <v>109</v>
      </c>
      <c r="K717" s="18" t="n">
        <v>0.0187252645925472</v>
      </c>
      <c r="L717" s="18" t="n">
        <v>0.0513243303251891</v>
      </c>
      <c r="M717" s="18" t="n">
        <v>0.364841868835006</v>
      </c>
      <c r="N717" s="18" t="n">
        <v>108</v>
      </c>
      <c r="O717" s="18" t="n">
        <v>0.715942899493246</v>
      </c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 t="s">
        <v>402</v>
      </c>
      <c r="AI717" s="18"/>
      <c r="AJ717" s="18" t="s">
        <v>1260</v>
      </c>
    </row>
    <row r="718" customFormat="false" ht="15" hidden="false" customHeight="false" outlineLevel="0" collapsed="false">
      <c r="A718" s="18" t="s">
        <v>273</v>
      </c>
      <c r="B718" s="18" t="s">
        <v>627</v>
      </c>
      <c r="C718" s="18" t="s">
        <v>1161</v>
      </c>
      <c r="D718" s="18" t="s">
        <v>324</v>
      </c>
      <c r="E718" s="18" t="s">
        <v>404</v>
      </c>
      <c r="F718" s="18" t="s">
        <v>790</v>
      </c>
      <c r="G718" s="18" t="n">
        <v>0.6</v>
      </c>
      <c r="H718" s="18" t="n">
        <v>905</v>
      </c>
      <c r="I718" s="18" t="n">
        <v>38</v>
      </c>
      <c r="J718" s="18" t="n">
        <v>38</v>
      </c>
      <c r="K718" s="18" t="n">
        <v>-0.0296756349265673</v>
      </c>
      <c r="L718" s="18" t="n">
        <v>0.0324987961137966</v>
      </c>
      <c r="M718" s="18" t="n">
        <v>-0.91313028404671</v>
      </c>
      <c r="N718" s="18" t="n">
        <v>36</v>
      </c>
      <c r="O718" s="18" t="n">
        <v>0.367249136570188</v>
      </c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 t="s">
        <v>402</v>
      </c>
      <c r="AI718" s="18"/>
      <c r="AJ718" s="18" t="s">
        <v>1261</v>
      </c>
    </row>
    <row r="719" customFormat="false" ht="15" hidden="false" customHeight="false" outlineLevel="0" collapsed="false">
      <c r="A719" s="18" t="s">
        <v>273</v>
      </c>
      <c r="B719" s="18" t="s">
        <v>629</v>
      </c>
      <c r="C719" s="18" t="s">
        <v>1161</v>
      </c>
      <c r="D719" s="18" t="s">
        <v>324</v>
      </c>
      <c r="E719" s="18" t="s">
        <v>404</v>
      </c>
      <c r="F719" s="18" t="s">
        <v>790</v>
      </c>
      <c r="G719" s="18" t="n">
        <v>0.6</v>
      </c>
      <c r="H719" s="18" t="n">
        <v>2594</v>
      </c>
      <c r="I719" s="18" t="n">
        <v>110</v>
      </c>
      <c r="J719" s="18" t="n">
        <v>109</v>
      </c>
      <c r="K719" s="18" t="n">
        <v>-0.0220282562463821</v>
      </c>
      <c r="L719" s="18" t="n">
        <v>0.0208480384302256</v>
      </c>
      <c r="M719" s="18" t="n">
        <v>-1.05661049695906</v>
      </c>
      <c r="N719" s="18" t="n">
        <v>108</v>
      </c>
      <c r="O719" s="18" t="n">
        <v>0.293047168280632</v>
      </c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 t="s">
        <v>402</v>
      </c>
      <c r="AI719" s="18"/>
      <c r="AJ719" s="18" t="s">
        <v>1262</v>
      </c>
    </row>
    <row r="720" customFormat="false" ht="15" hidden="false" customHeight="false" outlineLevel="0" collapsed="false">
      <c r="A720" s="18" t="s">
        <v>273</v>
      </c>
      <c r="B720" s="18" t="s">
        <v>631</v>
      </c>
      <c r="C720" s="18" t="s">
        <v>1161</v>
      </c>
      <c r="D720" s="18" t="s">
        <v>324</v>
      </c>
      <c r="E720" s="18" t="s">
        <v>404</v>
      </c>
      <c r="F720" s="18" t="s">
        <v>790</v>
      </c>
      <c r="G720" s="18" t="n">
        <v>0.6</v>
      </c>
      <c r="H720" s="18" t="n">
        <v>2594</v>
      </c>
      <c r="I720" s="18" t="n">
        <v>110</v>
      </c>
      <c r="J720" s="18" t="n">
        <v>109</v>
      </c>
      <c r="K720" s="18" t="n">
        <v>-0.0355958667127819</v>
      </c>
      <c r="L720" s="18" t="n">
        <v>0.0219516442093452</v>
      </c>
      <c r="M720" s="18" t="n">
        <v>-1.62155811078735</v>
      </c>
      <c r="N720" s="18" t="n">
        <v>108</v>
      </c>
      <c r="O720" s="18" t="n">
        <v>0.107813922357783</v>
      </c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 t="s">
        <v>402</v>
      </c>
      <c r="AI720" s="18"/>
      <c r="AJ720" s="18" t="s">
        <v>1263</v>
      </c>
    </row>
    <row r="721" customFormat="false" ht="15" hidden="false" customHeight="false" outlineLevel="0" collapsed="false">
      <c r="A721" s="18" t="s">
        <v>273</v>
      </c>
      <c r="B721" s="18" t="s">
        <v>633</v>
      </c>
      <c r="C721" s="18" t="s">
        <v>1161</v>
      </c>
      <c r="D721" s="18" t="s">
        <v>324</v>
      </c>
      <c r="E721" s="18" t="s">
        <v>404</v>
      </c>
      <c r="F721" s="18" t="s">
        <v>790</v>
      </c>
      <c r="G721" s="18" t="n">
        <v>0.6</v>
      </c>
      <c r="H721" s="18" t="n">
        <v>2594</v>
      </c>
      <c r="I721" s="18" t="n">
        <v>110</v>
      </c>
      <c r="J721" s="18" t="n">
        <v>109</v>
      </c>
      <c r="K721" s="18" t="n">
        <v>-0.016845237704399</v>
      </c>
      <c r="L721" s="18" t="n">
        <v>0.0229099168856716</v>
      </c>
      <c r="M721" s="18" t="n">
        <v>-0.735281484802526</v>
      </c>
      <c r="N721" s="18" t="n">
        <v>107</v>
      </c>
      <c r="O721" s="18" t="n">
        <v>0.46377668808325</v>
      </c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 t="s">
        <v>402</v>
      </c>
      <c r="AI721" s="18"/>
      <c r="AJ721" s="18" t="s">
        <v>1264</v>
      </c>
    </row>
    <row r="722" customFormat="false" ht="15" hidden="false" customHeight="false" outlineLevel="0" collapsed="false">
      <c r="A722" s="18" t="s">
        <v>273</v>
      </c>
      <c r="B722" s="18" t="s">
        <v>635</v>
      </c>
      <c r="C722" s="18" t="s">
        <v>1161</v>
      </c>
      <c r="D722" s="18" t="s">
        <v>324</v>
      </c>
      <c r="E722" s="18" t="s">
        <v>404</v>
      </c>
      <c r="F722" s="18" t="s">
        <v>790</v>
      </c>
      <c r="G722" s="18" t="n">
        <v>0.6</v>
      </c>
      <c r="H722" s="18" t="n">
        <v>2594</v>
      </c>
      <c r="I722" s="18" t="n">
        <v>110</v>
      </c>
      <c r="J722" s="18" t="n">
        <v>109</v>
      </c>
      <c r="K722" s="18" t="n">
        <v>-0.0393726577275071</v>
      </c>
      <c r="L722" s="18" t="n">
        <v>0.0229185045567166</v>
      </c>
      <c r="M722" s="18" t="n">
        <v>-1.7179418329879</v>
      </c>
      <c r="N722" s="18" t="n">
        <v>108</v>
      </c>
      <c r="O722" s="18" t="n">
        <v>0.088673025412074</v>
      </c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 t="s">
        <v>402</v>
      </c>
      <c r="AI722" s="18"/>
      <c r="AJ722" s="18" t="s">
        <v>1265</v>
      </c>
    </row>
    <row r="723" customFormat="false" ht="15" hidden="false" customHeight="false" outlineLevel="0" collapsed="false">
      <c r="A723" s="18" t="s">
        <v>273</v>
      </c>
      <c r="B723" s="18" t="s">
        <v>637</v>
      </c>
      <c r="C723" s="18" t="s">
        <v>1161</v>
      </c>
      <c r="D723" s="18" t="s">
        <v>324</v>
      </c>
      <c r="E723" s="18" t="s">
        <v>404</v>
      </c>
      <c r="F723" s="18" t="s">
        <v>790</v>
      </c>
      <c r="G723" s="18" t="n">
        <v>0.6</v>
      </c>
      <c r="H723" s="18" t="n">
        <v>2594</v>
      </c>
      <c r="I723" s="18" t="n">
        <v>110</v>
      </c>
      <c r="J723" s="18" t="n">
        <v>109</v>
      </c>
      <c r="K723" s="18" t="n">
        <v>-0.0098192801586235</v>
      </c>
      <c r="L723" s="18" t="n">
        <v>0.0276309651235335</v>
      </c>
      <c r="M723" s="18" t="n">
        <v>-0.355372319233987</v>
      </c>
      <c r="N723" s="18" t="n">
        <v>107</v>
      </c>
      <c r="O723" s="18" t="n">
        <v>0.723010266983532</v>
      </c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 t="s">
        <v>402</v>
      </c>
      <c r="AI723" s="18"/>
      <c r="AJ723" s="18" t="s">
        <v>1266</v>
      </c>
    </row>
    <row r="724" customFormat="false" ht="15" hidden="false" customHeight="false" outlineLevel="0" collapsed="false">
      <c r="A724" s="18" t="s">
        <v>273</v>
      </c>
      <c r="B724" s="18" t="s">
        <v>639</v>
      </c>
      <c r="C724" s="18" t="s">
        <v>1161</v>
      </c>
      <c r="D724" s="18" t="s">
        <v>324</v>
      </c>
      <c r="E724" s="18" t="s">
        <v>404</v>
      </c>
      <c r="F724" s="18" t="s">
        <v>790</v>
      </c>
      <c r="G724" s="18" t="n">
        <v>0.6</v>
      </c>
      <c r="H724" s="18" t="n">
        <v>2594</v>
      </c>
      <c r="I724" s="18" t="n">
        <v>110</v>
      </c>
      <c r="J724" s="18" t="n">
        <v>109</v>
      </c>
      <c r="K724" s="18" t="n">
        <v>-0.00598915925669648</v>
      </c>
      <c r="L724" s="18" t="n">
        <v>0.0293771335467929</v>
      </c>
      <c r="M724" s="18" t="n">
        <v>-0.203871465102501</v>
      </c>
      <c r="N724" s="18" t="n">
        <v>107</v>
      </c>
      <c r="O724" s="18" t="n">
        <v>0.838841187932472</v>
      </c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 t="s">
        <v>402</v>
      </c>
      <c r="AI724" s="18"/>
      <c r="AJ724" s="18" t="s">
        <v>1267</v>
      </c>
    </row>
    <row r="725" customFormat="false" ht="15" hidden="false" customHeight="false" outlineLevel="0" collapsed="false">
      <c r="A725" s="18" t="s">
        <v>273</v>
      </c>
      <c r="B725" s="18" t="s">
        <v>641</v>
      </c>
      <c r="C725" s="18" t="s">
        <v>1161</v>
      </c>
      <c r="D725" s="18" t="s">
        <v>324</v>
      </c>
      <c r="E725" s="18" t="s">
        <v>404</v>
      </c>
      <c r="F725" s="18" t="s">
        <v>790</v>
      </c>
      <c r="G725" s="18" t="n">
        <v>0.6</v>
      </c>
      <c r="H725" s="18" t="n">
        <v>2594</v>
      </c>
      <c r="I725" s="18" t="n">
        <v>110</v>
      </c>
      <c r="J725" s="18" t="n">
        <v>109</v>
      </c>
      <c r="K725" s="18" t="n">
        <v>-0.0263563313406505</v>
      </c>
      <c r="L725" s="18" t="n">
        <v>0.0199772972324842</v>
      </c>
      <c r="M725" s="18" t="n">
        <v>-1.31931417117795</v>
      </c>
      <c r="N725" s="18" t="n">
        <v>108</v>
      </c>
      <c r="O725" s="18" t="n">
        <v>0.18985430851176</v>
      </c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 t="s">
        <v>402</v>
      </c>
      <c r="AI725" s="18"/>
      <c r="AJ725" s="18" t="s">
        <v>1268</v>
      </c>
    </row>
    <row r="726" customFormat="false" ht="15" hidden="false" customHeight="false" outlineLevel="0" collapsed="false">
      <c r="A726" s="18" t="s">
        <v>273</v>
      </c>
      <c r="B726" s="18" t="s">
        <v>643</v>
      </c>
      <c r="C726" s="18" t="s">
        <v>1161</v>
      </c>
      <c r="D726" s="18" t="s">
        <v>324</v>
      </c>
      <c r="E726" s="18" t="s">
        <v>404</v>
      </c>
      <c r="F726" s="18" t="s">
        <v>790</v>
      </c>
      <c r="G726" s="18" t="n">
        <v>0.6</v>
      </c>
      <c r="H726" s="18" t="n">
        <v>2594</v>
      </c>
      <c r="I726" s="18" t="n">
        <v>110</v>
      </c>
      <c r="J726" s="18" t="n">
        <v>109</v>
      </c>
      <c r="K726" s="18" t="n">
        <v>-0.0267045248430195</v>
      </c>
      <c r="L726" s="18" t="n">
        <v>0.0189301788435592</v>
      </c>
      <c r="M726" s="18" t="n">
        <v>-1.41068529059911</v>
      </c>
      <c r="N726" s="18" t="n">
        <v>108</v>
      </c>
      <c r="O726" s="18" t="n">
        <v>0.161211341332561</v>
      </c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 t="s">
        <v>402</v>
      </c>
      <c r="AI726" s="18"/>
      <c r="AJ726" s="18" t="s">
        <v>1269</v>
      </c>
    </row>
    <row r="727" customFormat="false" ht="15" hidden="false" customHeight="false" outlineLevel="0" collapsed="false">
      <c r="A727" s="18" t="s">
        <v>273</v>
      </c>
      <c r="B727" s="18" t="s">
        <v>645</v>
      </c>
      <c r="C727" s="18" t="s">
        <v>1161</v>
      </c>
      <c r="D727" s="18" t="s">
        <v>324</v>
      </c>
      <c r="E727" s="18" t="s">
        <v>404</v>
      </c>
      <c r="F727" s="18" t="s">
        <v>790</v>
      </c>
      <c r="G727" s="18" t="n">
        <v>0.6</v>
      </c>
      <c r="H727" s="18" t="n">
        <v>2594</v>
      </c>
      <c r="I727" s="18" t="n">
        <v>110</v>
      </c>
      <c r="J727" s="18" t="n">
        <v>109</v>
      </c>
      <c r="K727" s="18" t="n">
        <v>-0.022374098364667</v>
      </c>
      <c r="L727" s="18" t="n">
        <v>0.018845943346056</v>
      </c>
      <c r="M727" s="18" t="n">
        <v>-1.18721031650291</v>
      </c>
      <c r="N727" s="18" t="n">
        <v>108</v>
      </c>
      <c r="O727" s="18" t="n">
        <v>0.237749381319098</v>
      </c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 t="s">
        <v>402</v>
      </c>
      <c r="AI727" s="18"/>
      <c r="AJ727" s="18" t="s">
        <v>1270</v>
      </c>
    </row>
    <row r="728" customFormat="false" ht="15" hidden="false" customHeight="false" outlineLevel="0" collapsed="false">
      <c r="A728" s="18" t="s">
        <v>273</v>
      </c>
      <c r="B728" s="18" t="s">
        <v>647</v>
      </c>
      <c r="C728" s="18" t="s">
        <v>1161</v>
      </c>
      <c r="D728" s="18" t="s">
        <v>324</v>
      </c>
      <c r="E728" s="18" t="s">
        <v>404</v>
      </c>
      <c r="F728" s="18" t="s">
        <v>790</v>
      </c>
      <c r="G728" s="18" t="n">
        <v>0.6</v>
      </c>
      <c r="H728" s="18" t="n">
        <v>900</v>
      </c>
      <c r="I728" s="18" t="n">
        <v>38</v>
      </c>
      <c r="J728" s="18" t="n">
        <v>38</v>
      </c>
      <c r="K728" s="18" t="n">
        <v>-0.0331529791858949</v>
      </c>
      <c r="L728" s="18" t="n">
        <v>0.032175089700032</v>
      </c>
      <c r="M728" s="18" t="n">
        <v>-1.03039275088212</v>
      </c>
      <c r="N728" s="18" t="n">
        <v>36</v>
      </c>
      <c r="O728" s="18" t="n">
        <v>0.309698941475443</v>
      </c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 t="s">
        <v>402</v>
      </c>
      <c r="AI728" s="18"/>
      <c r="AJ728" s="18" t="s">
        <v>1271</v>
      </c>
    </row>
    <row r="729" customFormat="false" ht="15" hidden="false" customHeight="false" outlineLevel="0" collapsed="false">
      <c r="A729" s="18" t="s">
        <v>273</v>
      </c>
      <c r="B729" s="18" t="s">
        <v>649</v>
      </c>
      <c r="C729" s="18" t="s">
        <v>1161</v>
      </c>
      <c r="D729" s="18" t="s">
        <v>324</v>
      </c>
      <c r="E729" s="18" t="s">
        <v>404</v>
      </c>
      <c r="F729" s="18" t="s">
        <v>790</v>
      </c>
      <c r="G729" s="18" t="n">
        <v>0.6</v>
      </c>
      <c r="H729" s="18" t="n">
        <v>2607</v>
      </c>
      <c r="I729" s="18" t="n">
        <v>110</v>
      </c>
      <c r="J729" s="18" t="n">
        <v>109</v>
      </c>
      <c r="K729" s="18" t="n">
        <v>-0.0179763029536715</v>
      </c>
      <c r="L729" s="18" t="n">
        <v>0.0203982512342627</v>
      </c>
      <c r="M729" s="18" t="n">
        <v>-0.881266866812429</v>
      </c>
      <c r="N729" s="18" t="n">
        <v>108</v>
      </c>
      <c r="O729" s="18" t="n">
        <v>0.380130434514346</v>
      </c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 t="s">
        <v>402</v>
      </c>
      <c r="AI729" s="18"/>
      <c r="AJ729" s="18" t="s">
        <v>1272</v>
      </c>
    </row>
    <row r="730" customFormat="false" ht="15" hidden="false" customHeight="false" outlineLevel="0" collapsed="false">
      <c r="A730" s="18" t="s">
        <v>273</v>
      </c>
      <c r="B730" s="18" t="s">
        <v>651</v>
      </c>
      <c r="C730" s="18" t="s">
        <v>1161</v>
      </c>
      <c r="D730" s="18" t="s">
        <v>324</v>
      </c>
      <c r="E730" s="18" t="s">
        <v>404</v>
      </c>
      <c r="F730" s="18" t="s">
        <v>790</v>
      </c>
      <c r="G730" s="18" t="n">
        <v>0.6</v>
      </c>
      <c r="H730" s="18" t="n">
        <v>2607</v>
      </c>
      <c r="I730" s="18" t="n">
        <v>110</v>
      </c>
      <c r="J730" s="18" t="n">
        <v>109</v>
      </c>
      <c r="K730" s="18" t="n">
        <v>-0.0283944626622968</v>
      </c>
      <c r="L730" s="18" t="n">
        <v>0.0215349191440393</v>
      </c>
      <c r="M730" s="18" t="n">
        <v>-1.31853119449284</v>
      </c>
      <c r="N730" s="18" t="n">
        <v>108</v>
      </c>
      <c r="O730" s="18" t="n">
        <v>0.190115214304234</v>
      </c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 t="s">
        <v>402</v>
      </c>
      <c r="AI730" s="18"/>
      <c r="AJ730" s="18" t="s">
        <v>1273</v>
      </c>
    </row>
    <row r="731" customFormat="false" ht="15" hidden="false" customHeight="false" outlineLevel="0" collapsed="false">
      <c r="A731" s="18" t="s">
        <v>273</v>
      </c>
      <c r="B731" s="18" t="s">
        <v>653</v>
      </c>
      <c r="C731" s="18" t="s">
        <v>1161</v>
      </c>
      <c r="D731" s="18" t="s">
        <v>324</v>
      </c>
      <c r="E731" s="18" t="s">
        <v>404</v>
      </c>
      <c r="F731" s="18" t="s">
        <v>790</v>
      </c>
      <c r="G731" s="18" t="n">
        <v>0.6</v>
      </c>
      <c r="H731" s="18" t="n">
        <v>2607</v>
      </c>
      <c r="I731" s="18" t="n">
        <v>110</v>
      </c>
      <c r="J731" s="18" t="n">
        <v>109</v>
      </c>
      <c r="K731" s="18" t="n">
        <v>-0.014534881213198</v>
      </c>
      <c r="L731" s="18" t="n">
        <v>0.0223931506377154</v>
      </c>
      <c r="M731" s="18" t="n">
        <v>-0.649077097204796</v>
      </c>
      <c r="N731" s="18" t="n">
        <v>107</v>
      </c>
      <c r="O731" s="18" t="n">
        <v>0.517679332467335</v>
      </c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 t="s">
        <v>402</v>
      </c>
      <c r="AI731" s="18"/>
      <c r="AJ731" s="18" t="s">
        <v>1274</v>
      </c>
    </row>
    <row r="732" customFormat="false" ht="15" hidden="false" customHeight="false" outlineLevel="0" collapsed="false">
      <c r="A732" s="18" t="s">
        <v>273</v>
      </c>
      <c r="B732" s="18" t="s">
        <v>655</v>
      </c>
      <c r="C732" s="18" t="s">
        <v>1161</v>
      </c>
      <c r="D732" s="18" t="s">
        <v>324</v>
      </c>
      <c r="E732" s="18" t="s">
        <v>404</v>
      </c>
      <c r="F732" s="18" t="s">
        <v>790</v>
      </c>
      <c r="G732" s="18" t="n">
        <v>0.6</v>
      </c>
      <c r="H732" s="18" t="n">
        <v>2607</v>
      </c>
      <c r="I732" s="18" t="n">
        <v>110</v>
      </c>
      <c r="J732" s="18" t="n">
        <v>109</v>
      </c>
      <c r="K732" s="18" t="n">
        <v>-0.0325580299994123</v>
      </c>
      <c r="L732" s="18" t="n">
        <v>0.0224808658683544</v>
      </c>
      <c r="M732" s="18" t="n">
        <v>-1.44825516019128</v>
      </c>
      <c r="N732" s="18" t="n">
        <v>108</v>
      </c>
      <c r="O732" s="18" t="n">
        <v>0.150442694007742</v>
      </c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 t="s">
        <v>402</v>
      </c>
      <c r="AI732" s="18"/>
      <c r="AJ732" s="18" t="s">
        <v>1275</v>
      </c>
    </row>
    <row r="733" customFormat="false" ht="15" hidden="false" customHeight="false" outlineLevel="0" collapsed="false">
      <c r="A733" s="18" t="s">
        <v>273</v>
      </c>
      <c r="B733" s="18" t="s">
        <v>657</v>
      </c>
      <c r="C733" s="18" t="s">
        <v>1161</v>
      </c>
      <c r="D733" s="18" t="s">
        <v>324</v>
      </c>
      <c r="E733" s="18" t="s">
        <v>404</v>
      </c>
      <c r="F733" s="18" t="s">
        <v>790</v>
      </c>
      <c r="G733" s="18" t="n">
        <v>0.6</v>
      </c>
      <c r="H733" s="18" t="n">
        <v>2607</v>
      </c>
      <c r="I733" s="18" t="n">
        <v>110</v>
      </c>
      <c r="J733" s="18" t="n">
        <v>109</v>
      </c>
      <c r="K733" s="18" t="n">
        <v>-0.00405726363948136</v>
      </c>
      <c r="L733" s="18" t="n">
        <v>0.027004117980695</v>
      </c>
      <c r="M733" s="18" t="n">
        <v>-0.150246108478043</v>
      </c>
      <c r="N733" s="18" t="n">
        <v>107</v>
      </c>
      <c r="O733" s="18" t="n">
        <v>0.880853308978222</v>
      </c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 t="s">
        <v>402</v>
      </c>
      <c r="AI733" s="18"/>
      <c r="AJ733" s="18" t="s">
        <v>1276</v>
      </c>
    </row>
    <row r="734" customFormat="false" ht="15" hidden="false" customHeight="false" outlineLevel="0" collapsed="false">
      <c r="A734" s="18" t="s">
        <v>273</v>
      </c>
      <c r="B734" s="18" t="s">
        <v>659</v>
      </c>
      <c r="C734" s="18" t="s">
        <v>1161</v>
      </c>
      <c r="D734" s="18" t="s">
        <v>324</v>
      </c>
      <c r="E734" s="18" t="s">
        <v>404</v>
      </c>
      <c r="F734" s="18" t="s">
        <v>790</v>
      </c>
      <c r="G734" s="18" t="n">
        <v>0.6</v>
      </c>
      <c r="H734" s="18" t="n">
        <v>2607</v>
      </c>
      <c r="I734" s="18" t="n">
        <v>110</v>
      </c>
      <c r="J734" s="18" t="n">
        <v>109</v>
      </c>
      <c r="K734" s="18" t="n">
        <v>-0.000638217130165771</v>
      </c>
      <c r="L734" s="18" t="n">
        <v>0.0287028326090847</v>
      </c>
      <c r="M734" s="18" t="n">
        <v>-0.0222353361028127</v>
      </c>
      <c r="N734" s="18" t="n">
        <v>107</v>
      </c>
      <c r="O734" s="18" t="n">
        <v>0.982301643120093</v>
      </c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 t="s">
        <v>402</v>
      </c>
      <c r="AI734" s="18"/>
      <c r="AJ734" s="18" t="s">
        <v>1277</v>
      </c>
    </row>
    <row r="735" customFormat="false" ht="15" hidden="false" customHeight="false" outlineLevel="0" collapsed="false">
      <c r="A735" s="18" t="s">
        <v>273</v>
      </c>
      <c r="B735" s="18" t="s">
        <v>661</v>
      </c>
      <c r="C735" s="18" t="s">
        <v>1161</v>
      </c>
      <c r="D735" s="18" t="s">
        <v>324</v>
      </c>
      <c r="E735" s="18" t="s">
        <v>404</v>
      </c>
      <c r="F735" s="18" t="s">
        <v>790</v>
      </c>
      <c r="G735" s="18" t="n">
        <v>0.6</v>
      </c>
      <c r="H735" s="18" t="n">
        <v>2607</v>
      </c>
      <c r="I735" s="18" t="n">
        <v>110</v>
      </c>
      <c r="J735" s="18" t="n">
        <v>109</v>
      </c>
      <c r="K735" s="18" t="n">
        <v>-0.0209977968053461</v>
      </c>
      <c r="L735" s="18" t="n">
        <v>0.0195675870368533</v>
      </c>
      <c r="M735" s="18" t="n">
        <v>-1.07309075798662</v>
      </c>
      <c r="N735" s="18" t="n">
        <v>108</v>
      </c>
      <c r="O735" s="18" t="n">
        <v>0.285622270471258</v>
      </c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 t="s">
        <v>402</v>
      </c>
      <c r="AI735" s="18"/>
      <c r="AJ735" s="18" t="s">
        <v>1278</v>
      </c>
    </row>
    <row r="736" customFormat="false" ht="15" hidden="false" customHeight="false" outlineLevel="0" collapsed="false">
      <c r="A736" s="18" t="s">
        <v>273</v>
      </c>
      <c r="B736" s="18" t="s">
        <v>663</v>
      </c>
      <c r="C736" s="18" t="s">
        <v>1161</v>
      </c>
      <c r="D736" s="18" t="s">
        <v>324</v>
      </c>
      <c r="E736" s="18" t="s">
        <v>404</v>
      </c>
      <c r="F736" s="18" t="s">
        <v>790</v>
      </c>
      <c r="G736" s="18" t="n">
        <v>0.6</v>
      </c>
      <c r="H736" s="18" t="n">
        <v>2607</v>
      </c>
      <c r="I736" s="18" t="n">
        <v>110</v>
      </c>
      <c r="J736" s="18" t="n">
        <v>109</v>
      </c>
      <c r="K736" s="18" t="n">
        <v>-0.0130236558452364</v>
      </c>
      <c r="L736" s="18" t="n">
        <v>0.0186249413177766</v>
      </c>
      <c r="M736" s="18" t="n">
        <v>-0.699258892848483</v>
      </c>
      <c r="N736" s="18" t="n">
        <v>108</v>
      </c>
      <c r="O736" s="18" t="n">
        <v>0.48589351614701</v>
      </c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 t="s">
        <v>402</v>
      </c>
      <c r="AI736" s="18"/>
      <c r="AJ736" s="18" t="s">
        <v>1279</v>
      </c>
    </row>
    <row r="737" customFormat="false" ht="15" hidden="false" customHeight="false" outlineLevel="0" collapsed="false">
      <c r="A737" s="18" t="s">
        <v>273</v>
      </c>
      <c r="B737" s="18" t="s">
        <v>665</v>
      </c>
      <c r="C737" s="18" t="s">
        <v>1161</v>
      </c>
      <c r="D737" s="18" t="s">
        <v>324</v>
      </c>
      <c r="E737" s="18" t="s">
        <v>404</v>
      </c>
      <c r="F737" s="18" t="s">
        <v>790</v>
      </c>
      <c r="G737" s="18" t="n">
        <v>0.6</v>
      </c>
      <c r="H737" s="18" t="n">
        <v>2607</v>
      </c>
      <c r="I737" s="18" t="n">
        <v>110</v>
      </c>
      <c r="J737" s="18" t="n">
        <v>109</v>
      </c>
      <c r="K737" s="18" t="n">
        <v>-0.0118888843432929</v>
      </c>
      <c r="L737" s="18" t="n">
        <v>0.0184947326030009</v>
      </c>
      <c r="M737" s="18" t="n">
        <v>-0.642825424865231</v>
      </c>
      <c r="N737" s="18" t="n">
        <v>108</v>
      </c>
      <c r="O737" s="18" t="n">
        <v>0.521699794567921</v>
      </c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 t="s">
        <v>402</v>
      </c>
      <c r="AI737" s="18"/>
      <c r="AJ737" s="18" t="s">
        <v>1280</v>
      </c>
    </row>
    <row r="738" customFormat="false" ht="15" hidden="false" customHeight="false" outlineLevel="0" collapsed="false">
      <c r="A738" s="18" t="s">
        <v>273</v>
      </c>
      <c r="B738" s="18" t="s">
        <v>667</v>
      </c>
      <c r="C738" s="18" t="s">
        <v>1161</v>
      </c>
      <c r="D738" s="18" t="s">
        <v>324</v>
      </c>
      <c r="E738" s="18" t="s">
        <v>404</v>
      </c>
      <c r="F738" s="18" t="s">
        <v>790</v>
      </c>
      <c r="G738" s="18" t="n">
        <v>0.6</v>
      </c>
      <c r="H738" s="18" t="n">
        <v>905</v>
      </c>
      <c r="I738" s="18" t="n">
        <v>38</v>
      </c>
      <c r="J738" s="18" t="n">
        <v>38</v>
      </c>
      <c r="K738" s="18" t="n">
        <v>-0.026407467013065</v>
      </c>
      <c r="L738" s="18" t="n">
        <v>0.029249282771961</v>
      </c>
      <c r="M738" s="18" t="n">
        <v>-0.902841523293002</v>
      </c>
      <c r="N738" s="18" t="n">
        <v>36</v>
      </c>
      <c r="O738" s="18" t="n">
        <v>0.372611610042544</v>
      </c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 t="s">
        <v>402</v>
      </c>
      <c r="AI738" s="18"/>
      <c r="AJ738" s="18" t="s">
        <v>1281</v>
      </c>
    </row>
    <row r="739" customFormat="false" ht="15" hidden="false" customHeight="false" outlineLevel="0" collapsed="false">
      <c r="A739" s="18" t="s">
        <v>273</v>
      </c>
      <c r="B739" s="18" t="s">
        <v>669</v>
      </c>
      <c r="C739" s="18" t="s">
        <v>1161</v>
      </c>
      <c r="D739" s="18" t="s">
        <v>324</v>
      </c>
      <c r="E739" s="18" t="s">
        <v>404</v>
      </c>
      <c r="F739" s="18" t="s">
        <v>790</v>
      </c>
      <c r="G739" s="18" t="n">
        <v>0.6</v>
      </c>
      <c r="H739" s="18" t="n">
        <v>2704</v>
      </c>
      <c r="I739" s="18" t="n">
        <v>113</v>
      </c>
      <c r="J739" s="18" t="n">
        <v>112</v>
      </c>
      <c r="K739" s="18" t="n">
        <v>0.0180659588903942</v>
      </c>
      <c r="L739" s="18" t="n">
        <v>0.0555192033420913</v>
      </c>
      <c r="M739" s="18" t="n">
        <v>0.325400182331105</v>
      </c>
      <c r="N739" s="18" t="n">
        <v>111</v>
      </c>
      <c r="O739" s="18" t="n">
        <v>0.745490787297274</v>
      </c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 t="s">
        <v>402</v>
      </c>
      <c r="AI739" s="18"/>
      <c r="AJ739" s="18" t="s">
        <v>1282</v>
      </c>
    </row>
    <row r="740" customFormat="false" ht="15" hidden="false" customHeight="false" outlineLevel="0" collapsed="false">
      <c r="A740" s="18" t="s">
        <v>273</v>
      </c>
      <c r="B740" s="18" t="s">
        <v>671</v>
      </c>
      <c r="C740" s="18" t="s">
        <v>1161</v>
      </c>
      <c r="D740" s="18" t="s">
        <v>324</v>
      </c>
      <c r="E740" s="18" t="s">
        <v>404</v>
      </c>
      <c r="F740" s="18" t="s">
        <v>790</v>
      </c>
      <c r="G740" s="18" t="n">
        <v>0.6</v>
      </c>
      <c r="H740" s="18" t="n">
        <v>2704</v>
      </c>
      <c r="I740" s="18" t="n">
        <v>113</v>
      </c>
      <c r="J740" s="18" t="n">
        <v>112</v>
      </c>
      <c r="K740" s="18" t="n">
        <v>0.00357833131071952</v>
      </c>
      <c r="L740" s="18" t="n">
        <v>0.0588907004882734</v>
      </c>
      <c r="M740" s="18" t="n">
        <v>0.0607622473675969</v>
      </c>
      <c r="N740" s="18" t="n">
        <v>111</v>
      </c>
      <c r="O740" s="18" t="n">
        <v>0.951657825138356</v>
      </c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 t="s">
        <v>402</v>
      </c>
      <c r="AI740" s="18"/>
      <c r="AJ740" s="18" t="s">
        <v>1283</v>
      </c>
    </row>
    <row r="741" customFormat="false" ht="15" hidden="false" customHeight="false" outlineLevel="0" collapsed="false">
      <c r="A741" s="18" t="s">
        <v>273</v>
      </c>
      <c r="B741" s="18" t="s">
        <v>673</v>
      </c>
      <c r="C741" s="18" t="s">
        <v>1161</v>
      </c>
      <c r="D741" s="18" t="s">
        <v>324</v>
      </c>
      <c r="E741" s="18" t="s">
        <v>404</v>
      </c>
      <c r="F741" s="18" t="s">
        <v>790</v>
      </c>
      <c r="G741" s="18" t="n">
        <v>0.6</v>
      </c>
      <c r="H741" s="18" t="n">
        <v>2704</v>
      </c>
      <c r="I741" s="18" t="n">
        <v>113</v>
      </c>
      <c r="J741" s="18" t="n">
        <v>112</v>
      </c>
      <c r="K741" s="18" t="n">
        <v>-0.0479004732791726</v>
      </c>
      <c r="L741" s="18" t="n">
        <v>0.0585216589564216</v>
      </c>
      <c r="M741" s="18" t="n">
        <v>-0.818508465640761</v>
      </c>
      <c r="N741" s="18" t="n">
        <v>110</v>
      </c>
      <c r="O741" s="18" t="n">
        <v>0.414836557715945</v>
      </c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 t="s">
        <v>402</v>
      </c>
      <c r="AI741" s="18"/>
      <c r="AJ741" s="18" t="s">
        <v>1284</v>
      </c>
    </row>
    <row r="742" customFormat="false" ht="15" hidden="false" customHeight="false" outlineLevel="0" collapsed="false">
      <c r="A742" s="18" t="s">
        <v>273</v>
      </c>
      <c r="B742" s="18" t="s">
        <v>675</v>
      </c>
      <c r="C742" s="18" t="s">
        <v>1161</v>
      </c>
      <c r="D742" s="18" t="s">
        <v>324</v>
      </c>
      <c r="E742" s="18" t="s">
        <v>404</v>
      </c>
      <c r="F742" s="18" t="s">
        <v>790</v>
      </c>
      <c r="G742" s="18" t="n">
        <v>0.6</v>
      </c>
      <c r="H742" s="18" t="n">
        <v>2704</v>
      </c>
      <c r="I742" s="18" t="n">
        <v>113</v>
      </c>
      <c r="J742" s="18" t="n">
        <v>112</v>
      </c>
      <c r="K742" s="18" t="n">
        <v>-0.000714756692615649</v>
      </c>
      <c r="L742" s="18" t="n">
        <v>0.061567399394237</v>
      </c>
      <c r="M742" s="18" t="n">
        <v>-0.0116093370785214</v>
      </c>
      <c r="N742" s="18" t="n">
        <v>111</v>
      </c>
      <c r="O742" s="18" t="n">
        <v>0.990758137306637</v>
      </c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 t="s">
        <v>402</v>
      </c>
      <c r="AI742" s="18"/>
      <c r="AJ742" s="18" t="s">
        <v>1285</v>
      </c>
    </row>
    <row r="743" customFormat="false" ht="15" hidden="false" customHeight="false" outlineLevel="0" collapsed="false">
      <c r="A743" s="18" t="s">
        <v>273</v>
      </c>
      <c r="B743" s="18" t="s">
        <v>677</v>
      </c>
      <c r="C743" s="18" t="s">
        <v>1161</v>
      </c>
      <c r="D743" s="18" t="s">
        <v>324</v>
      </c>
      <c r="E743" s="18" t="s">
        <v>404</v>
      </c>
      <c r="F743" s="18" t="s">
        <v>790</v>
      </c>
      <c r="G743" s="18" t="n">
        <v>0.6</v>
      </c>
      <c r="H743" s="18" t="n">
        <v>2704</v>
      </c>
      <c r="I743" s="18" t="n">
        <v>113</v>
      </c>
      <c r="J743" s="18" t="n">
        <v>112</v>
      </c>
      <c r="K743" s="18" t="n">
        <v>0.0208492751249059</v>
      </c>
      <c r="L743" s="18" t="n">
        <v>0.0733879841299525</v>
      </c>
      <c r="M743" s="18" t="n">
        <v>0.284096577553988</v>
      </c>
      <c r="N743" s="18" t="n">
        <v>110</v>
      </c>
      <c r="O743" s="18" t="n">
        <v>0.776870449788661</v>
      </c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 t="s">
        <v>402</v>
      </c>
      <c r="AI743" s="18"/>
      <c r="AJ743" s="18" t="s">
        <v>1286</v>
      </c>
    </row>
    <row r="744" customFormat="false" ht="15" hidden="false" customHeight="false" outlineLevel="0" collapsed="false">
      <c r="A744" s="18" t="s">
        <v>273</v>
      </c>
      <c r="B744" s="18" t="s">
        <v>679</v>
      </c>
      <c r="C744" s="18" t="s">
        <v>1161</v>
      </c>
      <c r="D744" s="18" t="s">
        <v>324</v>
      </c>
      <c r="E744" s="18" t="s">
        <v>404</v>
      </c>
      <c r="F744" s="18" t="s">
        <v>790</v>
      </c>
      <c r="G744" s="18" t="n">
        <v>0.6</v>
      </c>
      <c r="H744" s="18" t="n">
        <v>2704</v>
      </c>
      <c r="I744" s="18" t="n">
        <v>113</v>
      </c>
      <c r="J744" s="18" t="n">
        <v>112</v>
      </c>
      <c r="K744" s="18" t="n">
        <v>0.0247320900494599</v>
      </c>
      <c r="L744" s="18" t="n">
        <v>0.0780221578448184</v>
      </c>
      <c r="M744" s="18" t="n">
        <v>0.316988029203839</v>
      </c>
      <c r="N744" s="18" t="n">
        <v>110</v>
      </c>
      <c r="O744" s="18" t="n">
        <v>0.751853519587972</v>
      </c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 t="s">
        <v>402</v>
      </c>
      <c r="AI744" s="18"/>
      <c r="AJ744" s="18" t="s">
        <v>1287</v>
      </c>
    </row>
    <row r="745" customFormat="false" ht="15" hidden="false" customHeight="false" outlineLevel="0" collapsed="false">
      <c r="A745" s="18" t="s">
        <v>273</v>
      </c>
      <c r="B745" s="18" t="s">
        <v>681</v>
      </c>
      <c r="C745" s="18" t="s">
        <v>1161</v>
      </c>
      <c r="D745" s="18" t="s">
        <v>324</v>
      </c>
      <c r="E745" s="18" t="s">
        <v>404</v>
      </c>
      <c r="F745" s="18" t="s">
        <v>790</v>
      </c>
      <c r="G745" s="18" t="n">
        <v>0.6</v>
      </c>
      <c r="H745" s="18" t="n">
        <v>2704</v>
      </c>
      <c r="I745" s="18" t="n">
        <v>113</v>
      </c>
      <c r="J745" s="18" t="n">
        <v>112</v>
      </c>
      <c r="K745" s="18" t="n">
        <v>-0.0539222575934502</v>
      </c>
      <c r="L745" s="18" t="n">
        <v>0.0520051961186497</v>
      </c>
      <c r="M745" s="18" t="n">
        <v>-1.03686288328625</v>
      </c>
      <c r="N745" s="18" t="n">
        <v>111</v>
      </c>
      <c r="O745" s="18" t="n">
        <v>0.302053273621172</v>
      </c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 t="s">
        <v>402</v>
      </c>
      <c r="AI745" s="18"/>
      <c r="AJ745" s="18" t="s">
        <v>1288</v>
      </c>
    </row>
    <row r="746" customFormat="false" ht="15" hidden="false" customHeight="false" outlineLevel="0" collapsed="false">
      <c r="A746" s="18" t="s">
        <v>273</v>
      </c>
      <c r="B746" s="18" t="s">
        <v>683</v>
      </c>
      <c r="C746" s="18" t="s">
        <v>1161</v>
      </c>
      <c r="D746" s="18" t="s">
        <v>324</v>
      </c>
      <c r="E746" s="18" t="s">
        <v>404</v>
      </c>
      <c r="F746" s="18" t="s">
        <v>790</v>
      </c>
      <c r="G746" s="18" t="n">
        <v>0.6</v>
      </c>
      <c r="H746" s="18" t="n">
        <v>2704</v>
      </c>
      <c r="I746" s="18" t="n">
        <v>113</v>
      </c>
      <c r="J746" s="18" t="n">
        <v>112</v>
      </c>
      <c r="K746" s="18" t="n">
        <v>0.0301990884819701</v>
      </c>
      <c r="L746" s="18" t="n">
        <v>0.0498869718327307</v>
      </c>
      <c r="M746" s="18" t="n">
        <v>0.605350202117432</v>
      </c>
      <c r="N746" s="18" t="n">
        <v>111</v>
      </c>
      <c r="O746" s="18" t="n">
        <v>0.546182017894882</v>
      </c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 t="s">
        <v>402</v>
      </c>
      <c r="AI746" s="18"/>
      <c r="AJ746" s="18" t="s">
        <v>1289</v>
      </c>
    </row>
    <row r="747" customFormat="false" ht="15" hidden="false" customHeight="false" outlineLevel="0" collapsed="false">
      <c r="A747" s="18" t="s">
        <v>273</v>
      </c>
      <c r="B747" s="18" t="s">
        <v>685</v>
      </c>
      <c r="C747" s="18" t="s">
        <v>1161</v>
      </c>
      <c r="D747" s="18" t="s">
        <v>324</v>
      </c>
      <c r="E747" s="18" t="s">
        <v>404</v>
      </c>
      <c r="F747" s="18" t="s">
        <v>790</v>
      </c>
      <c r="G747" s="18" t="n">
        <v>0.6</v>
      </c>
      <c r="H747" s="18" t="n">
        <v>2704</v>
      </c>
      <c r="I747" s="18" t="n">
        <v>113</v>
      </c>
      <c r="J747" s="18" t="n">
        <v>112</v>
      </c>
      <c r="K747" s="18" t="n">
        <v>0.0219084660704943</v>
      </c>
      <c r="L747" s="18" t="n">
        <v>0.0498730685684618</v>
      </c>
      <c r="M747" s="18" t="n">
        <v>0.439284501622756</v>
      </c>
      <c r="N747" s="18" t="n">
        <v>111</v>
      </c>
      <c r="O747" s="18" t="n">
        <v>0.661309387540313</v>
      </c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 t="s">
        <v>402</v>
      </c>
      <c r="AI747" s="18"/>
      <c r="AJ747" s="18" t="s">
        <v>1290</v>
      </c>
    </row>
    <row r="748" customFormat="false" ht="15" hidden="false" customHeight="false" outlineLevel="0" collapsed="false">
      <c r="A748" s="18" t="s">
        <v>273</v>
      </c>
      <c r="B748" s="18" t="s">
        <v>687</v>
      </c>
      <c r="C748" s="18" t="s">
        <v>1161</v>
      </c>
      <c r="D748" s="18" t="s">
        <v>324</v>
      </c>
      <c r="E748" s="18" t="s">
        <v>404</v>
      </c>
      <c r="F748" s="18" t="s">
        <v>790</v>
      </c>
      <c r="G748" s="18" t="n">
        <v>0.6</v>
      </c>
      <c r="H748" s="18" t="n">
        <v>929</v>
      </c>
      <c r="I748" s="18" t="n">
        <v>40</v>
      </c>
      <c r="J748" s="18" t="n">
        <v>40</v>
      </c>
      <c r="K748" s="18" t="n">
        <v>-0.0282219990041935</v>
      </c>
      <c r="L748" s="18" t="n">
        <v>0.0316914256740509</v>
      </c>
      <c r="M748" s="18" t="n">
        <v>-0.89052475248224</v>
      </c>
      <c r="N748" s="18" t="n">
        <v>38</v>
      </c>
      <c r="O748" s="18" t="n">
        <v>0.378787920160316</v>
      </c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 t="s">
        <v>402</v>
      </c>
      <c r="AI748" s="18"/>
      <c r="AJ748" s="18" t="s">
        <v>1291</v>
      </c>
    </row>
    <row r="749" customFormat="false" ht="15" hidden="false" customHeight="false" outlineLevel="0" collapsed="false">
      <c r="A749" s="18" t="s">
        <v>273</v>
      </c>
      <c r="B749" s="18" t="s">
        <v>689</v>
      </c>
      <c r="C749" s="18" t="s">
        <v>1161</v>
      </c>
      <c r="D749" s="18" t="s">
        <v>324</v>
      </c>
      <c r="E749" s="18" t="s">
        <v>404</v>
      </c>
      <c r="F749" s="18" t="s">
        <v>790</v>
      </c>
      <c r="G749" s="18" t="n">
        <v>0.6</v>
      </c>
      <c r="H749" s="18" t="n">
        <v>2691</v>
      </c>
      <c r="I749" s="18" t="n">
        <v>113</v>
      </c>
      <c r="J749" s="18" t="n">
        <v>112</v>
      </c>
      <c r="K749" s="18" t="n">
        <v>-0.015555900795929</v>
      </c>
      <c r="L749" s="18" t="n">
        <v>0.020001425037717</v>
      </c>
      <c r="M749" s="18" t="n">
        <v>-0.777739624381515</v>
      </c>
      <c r="N749" s="18" t="n">
        <v>111</v>
      </c>
      <c r="O749" s="18" t="n">
        <v>0.438377068036175</v>
      </c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 t="s">
        <v>402</v>
      </c>
      <c r="AI749" s="18"/>
      <c r="AJ749" s="18" t="s">
        <v>1292</v>
      </c>
    </row>
    <row r="750" customFormat="false" ht="15" hidden="false" customHeight="false" outlineLevel="0" collapsed="false">
      <c r="A750" s="18" t="s">
        <v>273</v>
      </c>
      <c r="B750" s="18" t="s">
        <v>691</v>
      </c>
      <c r="C750" s="18" t="s">
        <v>1161</v>
      </c>
      <c r="D750" s="18" t="s">
        <v>324</v>
      </c>
      <c r="E750" s="18" t="s">
        <v>404</v>
      </c>
      <c r="F750" s="18" t="s">
        <v>790</v>
      </c>
      <c r="G750" s="18" t="n">
        <v>0.6</v>
      </c>
      <c r="H750" s="18" t="n">
        <v>2691</v>
      </c>
      <c r="I750" s="18" t="n">
        <v>113</v>
      </c>
      <c r="J750" s="18" t="n">
        <v>112</v>
      </c>
      <c r="K750" s="18" t="n">
        <v>-0.0284399706642372</v>
      </c>
      <c r="L750" s="18" t="n">
        <v>0.0211193286285405</v>
      </c>
      <c r="M750" s="18" t="n">
        <v>-1.34663232740285</v>
      </c>
      <c r="N750" s="18" t="n">
        <v>111</v>
      </c>
      <c r="O750" s="18" t="n">
        <v>0.180841905201774</v>
      </c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 t="s">
        <v>402</v>
      </c>
      <c r="AI750" s="18"/>
      <c r="AJ750" s="18" t="s">
        <v>1293</v>
      </c>
    </row>
    <row r="751" customFormat="false" ht="15" hidden="false" customHeight="false" outlineLevel="0" collapsed="false">
      <c r="A751" s="18" t="s">
        <v>273</v>
      </c>
      <c r="B751" s="18" t="s">
        <v>693</v>
      </c>
      <c r="C751" s="18" t="s">
        <v>1161</v>
      </c>
      <c r="D751" s="18" t="s">
        <v>324</v>
      </c>
      <c r="E751" s="18" t="s">
        <v>404</v>
      </c>
      <c r="F751" s="18" t="s">
        <v>790</v>
      </c>
      <c r="G751" s="18" t="n">
        <v>0.6</v>
      </c>
      <c r="H751" s="18" t="n">
        <v>2691</v>
      </c>
      <c r="I751" s="18" t="n">
        <v>113</v>
      </c>
      <c r="J751" s="18" t="n">
        <v>112</v>
      </c>
      <c r="K751" s="18" t="n">
        <v>-0.0161155334125306</v>
      </c>
      <c r="L751" s="18" t="n">
        <v>0.0213711867846874</v>
      </c>
      <c r="M751" s="18" t="n">
        <v>-0.754077608084803</v>
      </c>
      <c r="N751" s="18" t="n">
        <v>110</v>
      </c>
      <c r="O751" s="18" t="n">
        <v>0.452413829700619</v>
      </c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 t="s">
        <v>402</v>
      </c>
      <c r="AI751" s="18"/>
      <c r="AJ751" s="18" t="s">
        <v>1294</v>
      </c>
    </row>
    <row r="752" customFormat="false" ht="15" hidden="false" customHeight="false" outlineLevel="0" collapsed="false">
      <c r="A752" s="18" t="s">
        <v>273</v>
      </c>
      <c r="B752" s="18" t="s">
        <v>695</v>
      </c>
      <c r="C752" s="18" t="s">
        <v>1161</v>
      </c>
      <c r="D752" s="18" t="s">
        <v>324</v>
      </c>
      <c r="E752" s="18" t="s">
        <v>404</v>
      </c>
      <c r="F752" s="18" t="s">
        <v>790</v>
      </c>
      <c r="G752" s="18" t="n">
        <v>0.6</v>
      </c>
      <c r="H752" s="18" t="n">
        <v>2691</v>
      </c>
      <c r="I752" s="18" t="n">
        <v>113</v>
      </c>
      <c r="J752" s="18" t="n">
        <v>112</v>
      </c>
      <c r="K752" s="18" t="n">
        <v>-0.0316839697456361</v>
      </c>
      <c r="L752" s="18" t="n">
        <v>0.0220718306298998</v>
      </c>
      <c r="M752" s="18" t="n">
        <v>-1.4354935155544</v>
      </c>
      <c r="N752" s="18" t="n">
        <v>111</v>
      </c>
      <c r="O752" s="18" t="n">
        <v>0.153958477455889</v>
      </c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 t="s">
        <v>402</v>
      </c>
      <c r="AI752" s="18"/>
      <c r="AJ752" s="18" t="s">
        <v>1295</v>
      </c>
    </row>
    <row r="753" customFormat="false" ht="15" hidden="false" customHeight="false" outlineLevel="0" collapsed="false">
      <c r="A753" s="18" t="s">
        <v>273</v>
      </c>
      <c r="B753" s="18" t="s">
        <v>697</v>
      </c>
      <c r="C753" s="18" t="s">
        <v>1161</v>
      </c>
      <c r="D753" s="18" t="s">
        <v>324</v>
      </c>
      <c r="E753" s="18" t="s">
        <v>404</v>
      </c>
      <c r="F753" s="18" t="s">
        <v>790</v>
      </c>
      <c r="G753" s="18" t="n">
        <v>0.6</v>
      </c>
      <c r="H753" s="18" t="n">
        <v>2691</v>
      </c>
      <c r="I753" s="18" t="n">
        <v>113</v>
      </c>
      <c r="J753" s="18" t="n">
        <v>112</v>
      </c>
      <c r="K753" s="18" t="n">
        <v>-0.00879175333168187</v>
      </c>
      <c r="L753" s="18" t="n">
        <v>0.0265301372067272</v>
      </c>
      <c r="M753" s="18" t="n">
        <v>-0.331387405318529</v>
      </c>
      <c r="N753" s="18" t="n">
        <v>110</v>
      </c>
      <c r="O753" s="18" t="n">
        <v>0.740982376859166</v>
      </c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 t="s">
        <v>402</v>
      </c>
      <c r="AI753" s="18"/>
      <c r="AJ753" s="18" t="s">
        <v>1296</v>
      </c>
    </row>
    <row r="754" customFormat="false" ht="15" hidden="false" customHeight="false" outlineLevel="0" collapsed="false">
      <c r="A754" s="18" t="s">
        <v>273</v>
      </c>
      <c r="B754" s="18" t="s">
        <v>699</v>
      </c>
      <c r="C754" s="18" t="s">
        <v>1161</v>
      </c>
      <c r="D754" s="18" t="s">
        <v>324</v>
      </c>
      <c r="E754" s="18" t="s">
        <v>404</v>
      </c>
      <c r="F754" s="18" t="s">
        <v>790</v>
      </c>
      <c r="G754" s="18" t="n">
        <v>0.6</v>
      </c>
      <c r="H754" s="18" t="n">
        <v>2691</v>
      </c>
      <c r="I754" s="18" t="n">
        <v>113</v>
      </c>
      <c r="J754" s="18" t="n">
        <v>112</v>
      </c>
      <c r="K754" s="18" t="n">
        <v>-0.0047124267822179</v>
      </c>
      <c r="L754" s="18" t="n">
        <v>0.0282155390303934</v>
      </c>
      <c r="M754" s="18" t="n">
        <v>-0.167015302353137</v>
      </c>
      <c r="N754" s="18" t="n">
        <v>110</v>
      </c>
      <c r="O754" s="18" t="n">
        <v>0.867664646396295</v>
      </c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 t="s">
        <v>402</v>
      </c>
      <c r="AI754" s="18"/>
      <c r="AJ754" s="18" t="s">
        <v>1297</v>
      </c>
    </row>
    <row r="755" customFormat="false" ht="15" hidden="false" customHeight="false" outlineLevel="0" collapsed="false">
      <c r="A755" s="18" t="s">
        <v>273</v>
      </c>
      <c r="B755" s="18" t="s">
        <v>701</v>
      </c>
      <c r="C755" s="18" t="s">
        <v>1161</v>
      </c>
      <c r="D755" s="18" t="s">
        <v>324</v>
      </c>
      <c r="E755" s="18" t="s">
        <v>404</v>
      </c>
      <c r="F755" s="18" t="s">
        <v>790</v>
      </c>
      <c r="G755" s="18" t="n">
        <v>0.6</v>
      </c>
      <c r="H755" s="18" t="n">
        <v>2691</v>
      </c>
      <c r="I755" s="18" t="n">
        <v>113</v>
      </c>
      <c r="J755" s="18" t="n">
        <v>112</v>
      </c>
      <c r="K755" s="18" t="n">
        <v>-0.0207784845677337</v>
      </c>
      <c r="L755" s="18" t="n">
        <v>0.0188908704235903</v>
      </c>
      <c r="M755" s="18" t="n">
        <v>-1.09992203121494</v>
      </c>
      <c r="N755" s="18" t="n">
        <v>111</v>
      </c>
      <c r="O755" s="18" t="n">
        <v>0.27374585323122</v>
      </c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 t="s">
        <v>402</v>
      </c>
      <c r="AI755" s="18"/>
      <c r="AJ755" s="18" t="s">
        <v>1298</v>
      </c>
    </row>
    <row r="756" customFormat="false" ht="15" hidden="false" customHeight="false" outlineLevel="0" collapsed="false">
      <c r="A756" s="18" t="s">
        <v>273</v>
      </c>
      <c r="B756" s="18" t="s">
        <v>703</v>
      </c>
      <c r="C756" s="18" t="s">
        <v>1161</v>
      </c>
      <c r="D756" s="18" t="s">
        <v>324</v>
      </c>
      <c r="E756" s="18" t="s">
        <v>404</v>
      </c>
      <c r="F756" s="18" t="s">
        <v>790</v>
      </c>
      <c r="G756" s="18" t="n">
        <v>0.6</v>
      </c>
      <c r="H756" s="18" t="n">
        <v>2691</v>
      </c>
      <c r="I756" s="18" t="n">
        <v>113</v>
      </c>
      <c r="J756" s="18" t="n">
        <v>112</v>
      </c>
      <c r="K756" s="18" t="n">
        <v>-0.0218690230642201</v>
      </c>
      <c r="L756" s="18" t="n">
        <v>0.0179887160963591</v>
      </c>
      <c r="M756" s="18" t="n">
        <v>-1.21570783301464</v>
      </c>
      <c r="N756" s="18" t="n">
        <v>111</v>
      </c>
      <c r="O756" s="18" t="n">
        <v>0.226675478929895</v>
      </c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 t="s">
        <v>402</v>
      </c>
      <c r="AI756" s="18"/>
      <c r="AJ756" s="18" t="s">
        <v>1299</v>
      </c>
    </row>
    <row r="757" customFormat="false" ht="15" hidden="false" customHeight="false" outlineLevel="0" collapsed="false">
      <c r="A757" s="18" t="s">
        <v>273</v>
      </c>
      <c r="B757" s="18" t="s">
        <v>705</v>
      </c>
      <c r="C757" s="18" t="s">
        <v>1161</v>
      </c>
      <c r="D757" s="18" t="s">
        <v>324</v>
      </c>
      <c r="E757" s="18" t="s">
        <v>404</v>
      </c>
      <c r="F757" s="18" t="s">
        <v>790</v>
      </c>
      <c r="G757" s="18" t="n">
        <v>0.6</v>
      </c>
      <c r="H757" s="18" t="n">
        <v>2691</v>
      </c>
      <c r="I757" s="18" t="n">
        <v>113</v>
      </c>
      <c r="J757" s="18" t="n">
        <v>112</v>
      </c>
      <c r="K757" s="18" t="n">
        <v>-0.018062734686604</v>
      </c>
      <c r="L757" s="18" t="n">
        <v>0.0179383755722016</v>
      </c>
      <c r="M757" s="18" t="n">
        <v>-1.0069325739057</v>
      </c>
      <c r="N757" s="18" t="n">
        <v>111</v>
      </c>
      <c r="O757" s="18" t="n">
        <v>0.316157179713196</v>
      </c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 t="s">
        <v>402</v>
      </c>
      <c r="AI757" s="18"/>
      <c r="AJ757" s="18" t="s">
        <v>1300</v>
      </c>
    </row>
    <row r="758" customFormat="false" ht="15" hidden="false" customHeight="false" outlineLevel="0" collapsed="false">
      <c r="A758" s="18" t="s">
        <v>273</v>
      </c>
      <c r="B758" s="18" t="s">
        <v>707</v>
      </c>
      <c r="C758" s="18" t="s">
        <v>1161</v>
      </c>
      <c r="D758" s="18" t="s">
        <v>324</v>
      </c>
      <c r="E758" s="18" t="s">
        <v>404</v>
      </c>
      <c r="F758" s="18" t="s">
        <v>790</v>
      </c>
      <c r="G758" s="18" t="n">
        <v>0.6</v>
      </c>
      <c r="H758" s="18" t="n">
        <v>924</v>
      </c>
      <c r="I758" s="18" t="n">
        <v>40</v>
      </c>
      <c r="J758" s="18" t="n">
        <v>40</v>
      </c>
      <c r="K758" s="18" t="n">
        <v>-0.0315130017970006</v>
      </c>
      <c r="L758" s="18" t="n">
        <v>0.0314442818499754</v>
      </c>
      <c r="M758" s="18" t="n">
        <v>-1.00218545131204</v>
      </c>
      <c r="N758" s="18" t="n">
        <v>38</v>
      </c>
      <c r="O758" s="18" t="n">
        <v>0.322593358790306</v>
      </c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 t="s">
        <v>402</v>
      </c>
      <c r="AI758" s="18"/>
      <c r="AJ758" s="18" t="s">
        <v>1301</v>
      </c>
    </row>
    <row r="759" customFormat="false" ht="15" hidden="false" customHeight="false" outlineLevel="0" collapsed="false">
      <c r="A759" s="18" t="s">
        <v>273</v>
      </c>
      <c r="B759" s="18" t="s">
        <v>709</v>
      </c>
      <c r="C759" s="18" t="s">
        <v>1161</v>
      </c>
      <c r="D759" s="18" t="s">
        <v>324</v>
      </c>
      <c r="E759" s="18" t="s">
        <v>404</v>
      </c>
      <c r="F759" s="18" t="s">
        <v>790</v>
      </c>
      <c r="G759" s="18" t="n">
        <v>0.6</v>
      </c>
      <c r="H759" s="18" t="n">
        <v>2704</v>
      </c>
      <c r="I759" s="18" t="n">
        <v>113</v>
      </c>
      <c r="J759" s="18" t="n">
        <v>112</v>
      </c>
      <c r="K759" s="18" t="n">
        <v>-0.0119345570603359</v>
      </c>
      <c r="L759" s="18" t="n">
        <v>0.0195527594683192</v>
      </c>
      <c r="M759" s="18" t="n">
        <v>-0.610377122455432</v>
      </c>
      <c r="N759" s="18" t="n">
        <v>111</v>
      </c>
      <c r="O759" s="18" t="n">
        <v>0.542859711086134</v>
      </c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 t="s">
        <v>402</v>
      </c>
      <c r="AI759" s="18"/>
      <c r="AJ759" s="18" t="s">
        <v>1302</v>
      </c>
    </row>
    <row r="760" customFormat="false" ht="15" hidden="false" customHeight="false" outlineLevel="0" collapsed="false">
      <c r="A760" s="18" t="s">
        <v>273</v>
      </c>
      <c r="B760" s="18" t="s">
        <v>711</v>
      </c>
      <c r="C760" s="18" t="s">
        <v>1161</v>
      </c>
      <c r="D760" s="18" t="s">
        <v>324</v>
      </c>
      <c r="E760" s="18" t="s">
        <v>404</v>
      </c>
      <c r="F760" s="18" t="s">
        <v>790</v>
      </c>
      <c r="G760" s="18" t="n">
        <v>0.6</v>
      </c>
      <c r="H760" s="18" t="n">
        <v>2704</v>
      </c>
      <c r="I760" s="18" t="n">
        <v>113</v>
      </c>
      <c r="J760" s="18" t="n">
        <v>112</v>
      </c>
      <c r="K760" s="18" t="n">
        <v>-0.0216694707217523</v>
      </c>
      <c r="L760" s="18" t="n">
        <v>0.0206924901572337</v>
      </c>
      <c r="M760" s="18" t="n">
        <v>-1.04721425778603</v>
      </c>
      <c r="N760" s="18" t="n">
        <v>111</v>
      </c>
      <c r="O760" s="18" t="n">
        <v>0.29727573761073</v>
      </c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 t="s">
        <v>402</v>
      </c>
      <c r="AI760" s="18"/>
      <c r="AJ760" s="18" t="s">
        <v>1303</v>
      </c>
    </row>
    <row r="761" customFormat="false" ht="15" hidden="false" customHeight="false" outlineLevel="0" collapsed="false">
      <c r="A761" s="18" t="s">
        <v>273</v>
      </c>
      <c r="B761" s="18" t="s">
        <v>713</v>
      </c>
      <c r="C761" s="18" t="s">
        <v>1161</v>
      </c>
      <c r="D761" s="18" t="s">
        <v>324</v>
      </c>
      <c r="E761" s="18" t="s">
        <v>404</v>
      </c>
      <c r="F761" s="18" t="s">
        <v>790</v>
      </c>
      <c r="G761" s="18" t="n">
        <v>0.6</v>
      </c>
      <c r="H761" s="18" t="n">
        <v>2704</v>
      </c>
      <c r="I761" s="18" t="n">
        <v>113</v>
      </c>
      <c r="J761" s="18" t="n">
        <v>112</v>
      </c>
      <c r="K761" s="18" t="n">
        <v>-0.0140144072860694</v>
      </c>
      <c r="L761" s="18" t="n">
        <v>0.0208788921890551</v>
      </c>
      <c r="M761" s="18" t="n">
        <v>-0.671223700911483</v>
      </c>
      <c r="N761" s="18" t="n">
        <v>110</v>
      </c>
      <c r="O761" s="18" t="n">
        <v>0.503485119197909</v>
      </c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 t="s">
        <v>402</v>
      </c>
      <c r="AI761" s="18"/>
      <c r="AJ761" s="18" t="s">
        <v>1304</v>
      </c>
    </row>
    <row r="762" customFormat="false" ht="15" hidden="false" customHeight="false" outlineLevel="0" collapsed="false">
      <c r="A762" s="18" t="s">
        <v>273</v>
      </c>
      <c r="B762" s="18" t="s">
        <v>715</v>
      </c>
      <c r="C762" s="18" t="s">
        <v>1161</v>
      </c>
      <c r="D762" s="18" t="s">
        <v>324</v>
      </c>
      <c r="E762" s="18" t="s">
        <v>404</v>
      </c>
      <c r="F762" s="18" t="s">
        <v>790</v>
      </c>
      <c r="G762" s="18" t="n">
        <v>0.6</v>
      </c>
      <c r="H762" s="18" t="n">
        <v>2704</v>
      </c>
      <c r="I762" s="18" t="n">
        <v>113</v>
      </c>
      <c r="J762" s="18" t="n">
        <v>112</v>
      </c>
      <c r="K762" s="18" t="n">
        <v>-0.0252846436781298</v>
      </c>
      <c r="L762" s="18" t="n">
        <v>0.0216247029606355</v>
      </c>
      <c r="M762" s="18" t="n">
        <v>-1.16924813830538</v>
      </c>
      <c r="N762" s="18" t="n">
        <v>111</v>
      </c>
      <c r="O762" s="18" t="n">
        <v>0.244808421222896</v>
      </c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 t="s">
        <v>402</v>
      </c>
      <c r="AI762" s="18"/>
      <c r="AJ762" s="18" t="s">
        <v>1305</v>
      </c>
    </row>
    <row r="763" customFormat="false" ht="15" hidden="false" customHeight="false" outlineLevel="0" collapsed="false">
      <c r="A763" s="18" t="s">
        <v>273</v>
      </c>
      <c r="B763" s="18" t="s">
        <v>717</v>
      </c>
      <c r="C763" s="18" t="s">
        <v>1161</v>
      </c>
      <c r="D763" s="18" t="s">
        <v>324</v>
      </c>
      <c r="E763" s="18" t="s">
        <v>404</v>
      </c>
      <c r="F763" s="18" t="s">
        <v>790</v>
      </c>
      <c r="G763" s="18" t="n">
        <v>0.6</v>
      </c>
      <c r="H763" s="18" t="n">
        <v>2704</v>
      </c>
      <c r="I763" s="18" t="n">
        <v>113</v>
      </c>
      <c r="J763" s="18" t="n">
        <v>112</v>
      </c>
      <c r="K763" s="18" t="n">
        <v>-0.00344941630577313</v>
      </c>
      <c r="L763" s="18" t="n">
        <v>0.0259175245260197</v>
      </c>
      <c r="M763" s="18" t="n">
        <v>-0.133092043659884</v>
      </c>
      <c r="N763" s="18" t="n">
        <v>110</v>
      </c>
      <c r="O763" s="18" t="n">
        <v>0.894363759186433</v>
      </c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 t="s">
        <v>402</v>
      </c>
      <c r="AI763" s="18"/>
      <c r="AJ763" s="18" t="s">
        <v>1306</v>
      </c>
    </row>
    <row r="764" customFormat="false" ht="15" hidden="false" customHeight="false" outlineLevel="0" collapsed="false">
      <c r="A764" s="18" t="s">
        <v>273</v>
      </c>
      <c r="B764" s="18" t="s">
        <v>719</v>
      </c>
      <c r="C764" s="18" t="s">
        <v>1161</v>
      </c>
      <c r="D764" s="18" t="s">
        <v>324</v>
      </c>
      <c r="E764" s="18" t="s">
        <v>404</v>
      </c>
      <c r="F764" s="18" t="s">
        <v>790</v>
      </c>
      <c r="G764" s="18" t="n">
        <v>0.6</v>
      </c>
      <c r="H764" s="18" t="n">
        <v>2704</v>
      </c>
      <c r="I764" s="18" t="n">
        <v>113</v>
      </c>
      <c r="J764" s="18" t="n">
        <v>112</v>
      </c>
      <c r="K764" s="18" t="n">
        <v>0.000213364437112028</v>
      </c>
      <c r="L764" s="18" t="n">
        <v>0.0275565340955318</v>
      </c>
      <c r="M764" s="18" t="n">
        <v>0.00774278929172824</v>
      </c>
      <c r="N764" s="18" t="n">
        <v>110</v>
      </c>
      <c r="O764" s="18" t="n">
        <v>0.993836234550362</v>
      </c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 t="s">
        <v>402</v>
      </c>
      <c r="AI764" s="18"/>
      <c r="AJ764" s="18" t="s">
        <v>1307</v>
      </c>
    </row>
    <row r="765" customFormat="false" ht="15" hidden="false" customHeight="false" outlineLevel="0" collapsed="false">
      <c r="A765" s="18" t="s">
        <v>273</v>
      </c>
      <c r="B765" s="18" t="s">
        <v>721</v>
      </c>
      <c r="C765" s="18" t="s">
        <v>1161</v>
      </c>
      <c r="D765" s="18" t="s">
        <v>324</v>
      </c>
      <c r="E765" s="18" t="s">
        <v>404</v>
      </c>
      <c r="F765" s="18" t="s">
        <v>790</v>
      </c>
      <c r="G765" s="18" t="n">
        <v>0.6</v>
      </c>
      <c r="H765" s="18" t="n">
        <v>2704</v>
      </c>
      <c r="I765" s="18" t="n">
        <v>113</v>
      </c>
      <c r="J765" s="18" t="n">
        <v>112</v>
      </c>
      <c r="K765" s="18" t="n">
        <v>-0.0161663791292235</v>
      </c>
      <c r="L765" s="18" t="n">
        <v>0.0184840771316825</v>
      </c>
      <c r="M765" s="18" t="n">
        <v>-0.874611105226</v>
      </c>
      <c r="N765" s="18" t="n">
        <v>111</v>
      </c>
      <c r="O765" s="18" t="n">
        <v>0.383674011402184</v>
      </c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 t="s">
        <v>402</v>
      </c>
      <c r="AI765" s="18"/>
      <c r="AJ765" s="18" t="s">
        <v>1308</v>
      </c>
    </row>
    <row r="766" customFormat="false" ht="15" hidden="false" customHeight="false" outlineLevel="0" collapsed="false">
      <c r="A766" s="18" t="s">
        <v>273</v>
      </c>
      <c r="B766" s="18" t="s">
        <v>723</v>
      </c>
      <c r="C766" s="18" t="s">
        <v>1161</v>
      </c>
      <c r="D766" s="18" t="s">
        <v>324</v>
      </c>
      <c r="E766" s="18" t="s">
        <v>404</v>
      </c>
      <c r="F766" s="18" t="s">
        <v>790</v>
      </c>
      <c r="G766" s="18" t="n">
        <v>0.6</v>
      </c>
      <c r="H766" s="18" t="n">
        <v>2704</v>
      </c>
      <c r="I766" s="18" t="n">
        <v>113</v>
      </c>
      <c r="J766" s="18" t="n">
        <v>112</v>
      </c>
      <c r="K766" s="18" t="n">
        <v>-0.00898279883679975</v>
      </c>
      <c r="L766" s="18" t="n">
        <v>0.0176676181338629</v>
      </c>
      <c r="M766" s="18" t="n">
        <v>-0.508432929030923</v>
      </c>
      <c r="N766" s="18" t="n">
        <v>111</v>
      </c>
      <c r="O766" s="18" t="n">
        <v>0.612158778572095</v>
      </c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 t="s">
        <v>402</v>
      </c>
      <c r="AI766" s="18"/>
      <c r="AJ766" s="18" t="s">
        <v>1309</v>
      </c>
    </row>
    <row r="767" customFormat="false" ht="15" hidden="false" customHeight="false" outlineLevel="0" collapsed="false">
      <c r="A767" s="18" t="s">
        <v>273</v>
      </c>
      <c r="B767" s="18" t="s">
        <v>725</v>
      </c>
      <c r="C767" s="18" t="s">
        <v>1161</v>
      </c>
      <c r="D767" s="18" t="s">
        <v>324</v>
      </c>
      <c r="E767" s="18" t="s">
        <v>404</v>
      </c>
      <c r="F767" s="18" t="s">
        <v>790</v>
      </c>
      <c r="G767" s="18" t="n">
        <v>0.6</v>
      </c>
      <c r="H767" s="18" t="n">
        <v>2704</v>
      </c>
      <c r="I767" s="18" t="n">
        <v>113</v>
      </c>
      <c r="J767" s="18" t="n">
        <v>112</v>
      </c>
      <c r="K767" s="18" t="n">
        <v>-0.00812107032662218</v>
      </c>
      <c r="L767" s="18" t="n">
        <v>0.0175803607375001</v>
      </c>
      <c r="M767" s="18" t="n">
        <v>-0.461939913968852</v>
      </c>
      <c r="N767" s="18" t="n">
        <v>111</v>
      </c>
      <c r="O767" s="18" t="n">
        <v>0.645028507677408</v>
      </c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 t="s">
        <v>402</v>
      </c>
      <c r="AI767" s="18"/>
      <c r="AJ767" s="18" t="s">
        <v>1310</v>
      </c>
    </row>
    <row r="768" customFormat="false" ht="15" hidden="false" customHeight="false" outlineLevel="0" collapsed="false">
      <c r="A768" s="18" t="s">
        <v>273</v>
      </c>
      <c r="B768" s="18" t="s">
        <v>727</v>
      </c>
      <c r="C768" s="18" t="s">
        <v>1161</v>
      </c>
      <c r="D768" s="18" t="s">
        <v>324</v>
      </c>
      <c r="E768" s="18" t="s">
        <v>404</v>
      </c>
      <c r="F768" s="18" t="s">
        <v>790</v>
      </c>
      <c r="G768" s="18" t="n">
        <v>0.6</v>
      </c>
      <c r="H768" s="18" t="n">
        <v>929</v>
      </c>
      <c r="I768" s="18" t="n">
        <v>40</v>
      </c>
      <c r="J768" s="18" t="n">
        <v>40</v>
      </c>
      <c r="K768" s="18" t="n">
        <v>-0.025098940284505</v>
      </c>
      <c r="L768" s="18" t="n">
        <v>0.028209974162348</v>
      </c>
      <c r="M768" s="18" t="n">
        <v>-0.889718655538676</v>
      </c>
      <c r="N768" s="18" t="n">
        <v>38</v>
      </c>
      <c r="O768" s="18" t="n">
        <v>0.379215196783599</v>
      </c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 t="s">
        <v>402</v>
      </c>
      <c r="AI768" s="18"/>
      <c r="AJ768" s="18" t="s">
        <v>1311</v>
      </c>
    </row>
    <row r="769" customFormat="false" ht="15" hidden="false" customHeight="false" outlineLevel="0" collapsed="false">
      <c r="A769" s="18" t="s">
        <v>273</v>
      </c>
      <c r="B769" s="18" t="s">
        <v>729</v>
      </c>
      <c r="C769" s="18" t="s">
        <v>1161</v>
      </c>
      <c r="D769" s="18" t="s">
        <v>324</v>
      </c>
      <c r="E769" s="18" t="s">
        <v>404</v>
      </c>
      <c r="F769" s="18" t="s">
        <v>790</v>
      </c>
      <c r="G769" s="18" t="n">
        <v>0.6</v>
      </c>
      <c r="H769" s="18" t="n">
        <v>2606</v>
      </c>
      <c r="I769" s="18" t="n">
        <v>110</v>
      </c>
      <c r="J769" s="18" t="n">
        <v>109</v>
      </c>
      <c r="K769" s="18" t="n">
        <v>0.012238664153715</v>
      </c>
      <c r="L769" s="18" t="n">
        <v>0.0568793284467592</v>
      </c>
      <c r="M769" s="18" t="n">
        <v>0.2151689284653</v>
      </c>
      <c r="N769" s="18" t="n">
        <v>108</v>
      </c>
      <c r="O769" s="18" t="n">
        <v>0.830041414972519</v>
      </c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 t="s">
        <v>402</v>
      </c>
      <c r="AI769" s="18"/>
      <c r="AJ769" s="18" t="s">
        <v>1312</v>
      </c>
    </row>
    <row r="770" customFormat="false" ht="15" hidden="false" customHeight="false" outlineLevel="0" collapsed="false">
      <c r="A770" s="18" t="s">
        <v>273</v>
      </c>
      <c r="B770" s="18" t="s">
        <v>731</v>
      </c>
      <c r="C770" s="18" t="s">
        <v>1161</v>
      </c>
      <c r="D770" s="18" t="s">
        <v>324</v>
      </c>
      <c r="E770" s="18" t="s">
        <v>404</v>
      </c>
      <c r="F770" s="18" t="s">
        <v>790</v>
      </c>
      <c r="G770" s="18" t="n">
        <v>0.6</v>
      </c>
      <c r="H770" s="18" t="n">
        <v>2606</v>
      </c>
      <c r="I770" s="18" t="n">
        <v>110</v>
      </c>
      <c r="J770" s="18" t="n">
        <v>109</v>
      </c>
      <c r="K770" s="18" t="n">
        <v>-0.00300881072909674</v>
      </c>
      <c r="L770" s="18" t="n">
        <v>0.0602512314021305</v>
      </c>
      <c r="M770" s="18" t="n">
        <v>-0.0499377466497781</v>
      </c>
      <c r="N770" s="18" t="n">
        <v>108</v>
      </c>
      <c r="O770" s="18" t="n">
        <v>0.960264236603522</v>
      </c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 t="s">
        <v>402</v>
      </c>
      <c r="AI770" s="18"/>
      <c r="AJ770" s="18" t="s">
        <v>1313</v>
      </c>
    </row>
    <row r="771" customFormat="false" ht="15" hidden="false" customHeight="false" outlineLevel="0" collapsed="false">
      <c r="A771" s="18" t="s">
        <v>273</v>
      </c>
      <c r="B771" s="18" t="s">
        <v>733</v>
      </c>
      <c r="C771" s="18" t="s">
        <v>1161</v>
      </c>
      <c r="D771" s="18" t="s">
        <v>324</v>
      </c>
      <c r="E771" s="18" t="s">
        <v>404</v>
      </c>
      <c r="F771" s="18" t="s">
        <v>790</v>
      </c>
      <c r="G771" s="18" t="n">
        <v>0.6</v>
      </c>
      <c r="H771" s="18" t="n">
        <v>2606</v>
      </c>
      <c r="I771" s="18" t="n">
        <v>110</v>
      </c>
      <c r="J771" s="18" t="n">
        <v>109</v>
      </c>
      <c r="K771" s="18" t="n">
        <v>-0.050128023716909</v>
      </c>
      <c r="L771" s="18" t="n">
        <v>0.0615184863608983</v>
      </c>
      <c r="M771" s="18" t="n">
        <v>-0.814844881306618</v>
      </c>
      <c r="N771" s="18" t="n">
        <v>107</v>
      </c>
      <c r="O771" s="18" t="n">
        <v>0.416971058921204</v>
      </c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 t="s">
        <v>402</v>
      </c>
      <c r="AI771" s="18"/>
      <c r="AJ771" s="18" t="s">
        <v>1314</v>
      </c>
    </row>
    <row r="772" customFormat="false" ht="15" hidden="false" customHeight="false" outlineLevel="0" collapsed="false">
      <c r="A772" s="18" t="s">
        <v>273</v>
      </c>
      <c r="B772" s="18" t="s">
        <v>735</v>
      </c>
      <c r="C772" s="18" t="s">
        <v>1161</v>
      </c>
      <c r="D772" s="18" t="s">
        <v>324</v>
      </c>
      <c r="E772" s="18" t="s">
        <v>404</v>
      </c>
      <c r="F772" s="18" t="s">
        <v>790</v>
      </c>
      <c r="G772" s="18" t="n">
        <v>0.6</v>
      </c>
      <c r="H772" s="18" t="n">
        <v>2606</v>
      </c>
      <c r="I772" s="18" t="n">
        <v>110</v>
      </c>
      <c r="J772" s="18" t="n">
        <v>109</v>
      </c>
      <c r="K772" s="18" t="n">
        <v>-0.00785812431071281</v>
      </c>
      <c r="L772" s="18" t="n">
        <v>0.0629470899444403</v>
      </c>
      <c r="M772" s="18" t="n">
        <v>-0.124836975270004</v>
      </c>
      <c r="N772" s="18" t="n">
        <v>108</v>
      </c>
      <c r="O772" s="18" t="n">
        <v>0.900884683421989</v>
      </c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 t="s">
        <v>402</v>
      </c>
      <c r="AI772" s="18"/>
      <c r="AJ772" s="18" t="s">
        <v>1315</v>
      </c>
    </row>
    <row r="773" customFormat="false" ht="15" hidden="false" customHeight="false" outlineLevel="0" collapsed="false">
      <c r="A773" s="18" t="s">
        <v>273</v>
      </c>
      <c r="B773" s="18" t="s">
        <v>737</v>
      </c>
      <c r="C773" s="18" t="s">
        <v>1161</v>
      </c>
      <c r="D773" s="18" t="s">
        <v>324</v>
      </c>
      <c r="E773" s="18" t="s">
        <v>404</v>
      </c>
      <c r="F773" s="18" t="s">
        <v>790</v>
      </c>
      <c r="G773" s="18" t="n">
        <v>0.6</v>
      </c>
      <c r="H773" s="18" t="n">
        <v>2606</v>
      </c>
      <c r="I773" s="18" t="n">
        <v>110</v>
      </c>
      <c r="J773" s="18" t="n">
        <v>109</v>
      </c>
      <c r="K773" s="18" t="n">
        <v>0.0203756198847259</v>
      </c>
      <c r="L773" s="18" t="n">
        <v>0.0749455041270012</v>
      </c>
      <c r="M773" s="18" t="n">
        <v>0.27187247750309</v>
      </c>
      <c r="N773" s="18" t="n">
        <v>107</v>
      </c>
      <c r="O773" s="18" t="n">
        <v>0.78624396231087</v>
      </c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 t="s">
        <v>402</v>
      </c>
      <c r="AI773" s="18"/>
      <c r="AJ773" s="18" t="s">
        <v>1316</v>
      </c>
    </row>
    <row r="774" customFormat="false" ht="15" hidden="false" customHeight="false" outlineLevel="0" collapsed="false">
      <c r="A774" s="18" t="s">
        <v>273</v>
      </c>
      <c r="B774" s="18" t="s">
        <v>739</v>
      </c>
      <c r="C774" s="18" t="s">
        <v>1161</v>
      </c>
      <c r="D774" s="18" t="s">
        <v>324</v>
      </c>
      <c r="E774" s="18" t="s">
        <v>404</v>
      </c>
      <c r="F774" s="18" t="s">
        <v>790</v>
      </c>
      <c r="G774" s="18" t="n">
        <v>0.6</v>
      </c>
      <c r="H774" s="18" t="n">
        <v>2606</v>
      </c>
      <c r="I774" s="18" t="n">
        <v>110</v>
      </c>
      <c r="J774" s="18" t="n">
        <v>109</v>
      </c>
      <c r="K774" s="18" t="n">
        <v>0.0242750974451817</v>
      </c>
      <c r="L774" s="18" t="n">
        <v>0.0796523254999276</v>
      </c>
      <c r="M774" s="18" t="n">
        <v>0.30476319797096</v>
      </c>
      <c r="N774" s="18" t="n">
        <v>107</v>
      </c>
      <c r="O774" s="18" t="n">
        <v>0.761138499233203</v>
      </c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 t="s">
        <v>402</v>
      </c>
      <c r="AI774" s="18"/>
      <c r="AJ774" s="18" t="s">
        <v>1317</v>
      </c>
    </row>
    <row r="775" customFormat="false" ht="15" hidden="false" customHeight="false" outlineLevel="0" collapsed="false">
      <c r="A775" s="18" t="s">
        <v>273</v>
      </c>
      <c r="B775" s="18" t="s">
        <v>741</v>
      </c>
      <c r="C775" s="18" t="s">
        <v>1161</v>
      </c>
      <c r="D775" s="18" t="s">
        <v>324</v>
      </c>
      <c r="E775" s="18" t="s">
        <v>404</v>
      </c>
      <c r="F775" s="18" t="s">
        <v>790</v>
      </c>
      <c r="G775" s="18" t="n">
        <v>0.6</v>
      </c>
      <c r="H775" s="18" t="n">
        <v>2606</v>
      </c>
      <c r="I775" s="18" t="n">
        <v>110</v>
      </c>
      <c r="J775" s="18" t="n">
        <v>109</v>
      </c>
      <c r="K775" s="18" t="n">
        <v>-0.0612003863446106</v>
      </c>
      <c r="L775" s="18" t="n">
        <v>0.053991935233517</v>
      </c>
      <c r="M775" s="18" t="n">
        <v>-1.13350977474537</v>
      </c>
      <c r="N775" s="18" t="n">
        <v>108</v>
      </c>
      <c r="O775" s="18" t="n">
        <v>0.259510180314033</v>
      </c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 t="s">
        <v>402</v>
      </c>
      <c r="AI775" s="18"/>
      <c r="AJ775" s="18" t="s">
        <v>1318</v>
      </c>
    </row>
    <row r="776" customFormat="false" ht="15" hidden="false" customHeight="false" outlineLevel="0" collapsed="false">
      <c r="A776" s="18" t="s">
        <v>273</v>
      </c>
      <c r="B776" s="18" t="s">
        <v>743</v>
      </c>
      <c r="C776" s="18" t="s">
        <v>1161</v>
      </c>
      <c r="D776" s="18" t="s">
        <v>324</v>
      </c>
      <c r="E776" s="18" t="s">
        <v>404</v>
      </c>
      <c r="F776" s="18" t="s">
        <v>790</v>
      </c>
      <c r="G776" s="18" t="n">
        <v>0.6</v>
      </c>
      <c r="H776" s="18" t="n">
        <v>2606</v>
      </c>
      <c r="I776" s="18" t="n">
        <v>110</v>
      </c>
      <c r="J776" s="18" t="n">
        <v>109</v>
      </c>
      <c r="K776" s="18" t="n">
        <v>0.0267282296319055</v>
      </c>
      <c r="L776" s="18" t="n">
        <v>0.0516216614753544</v>
      </c>
      <c r="M776" s="18" t="n">
        <v>0.517771587895641</v>
      </c>
      <c r="N776" s="18" t="n">
        <v>108</v>
      </c>
      <c r="O776" s="18" t="n">
        <v>0.605676633896217</v>
      </c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 t="s">
        <v>402</v>
      </c>
      <c r="AI776" s="18"/>
      <c r="AJ776" s="18" t="s">
        <v>1319</v>
      </c>
    </row>
    <row r="777" customFormat="false" ht="15" hidden="false" customHeight="false" outlineLevel="0" collapsed="false">
      <c r="A777" s="18" t="s">
        <v>273</v>
      </c>
      <c r="B777" s="18" t="s">
        <v>745</v>
      </c>
      <c r="C777" s="18" t="s">
        <v>1161</v>
      </c>
      <c r="D777" s="18" t="s">
        <v>324</v>
      </c>
      <c r="E777" s="18" t="s">
        <v>404</v>
      </c>
      <c r="F777" s="18" t="s">
        <v>790</v>
      </c>
      <c r="G777" s="18" t="n">
        <v>0.6</v>
      </c>
      <c r="H777" s="18" t="n">
        <v>2606</v>
      </c>
      <c r="I777" s="18" t="n">
        <v>110</v>
      </c>
      <c r="J777" s="18" t="n">
        <v>109</v>
      </c>
      <c r="K777" s="18" t="n">
        <v>0.018357190288122</v>
      </c>
      <c r="L777" s="18" t="n">
        <v>0.0514851290303657</v>
      </c>
      <c r="M777" s="18" t="n">
        <v>0.356553253994858</v>
      </c>
      <c r="N777" s="18" t="n">
        <v>108</v>
      </c>
      <c r="O777" s="18" t="n">
        <v>0.722121921780456</v>
      </c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 t="s">
        <v>402</v>
      </c>
      <c r="AI777" s="18"/>
      <c r="AJ777" s="18" t="s">
        <v>1320</v>
      </c>
    </row>
    <row r="778" customFormat="false" ht="15" hidden="false" customHeight="false" outlineLevel="0" collapsed="false">
      <c r="A778" s="18" t="s">
        <v>273</v>
      </c>
      <c r="B778" s="18" t="s">
        <v>747</v>
      </c>
      <c r="C778" s="18" t="s">
        <v>1161</v>
      </c>
      <c r="D778" s="18" t="s">
        <v>324</v>
      </c>
      <c r="E778" s="18" t="s">
        <v>404</v>
      </c>
      <c r="F778" s="18" t="s">
        <v>790</v>
      </c>
      <c r="G778" s="18" t="n">
        <v>0.6</v>
      </c>
      <c r="H778" s="18" t="n">
        <v>905</v>
      </c>
      <c r="I778" s="18" t="n">
        <v>38</v>
      </c>
      <c r="J778" s="18" t="n">
        <v>38</v>
      </c>
      <c r="K778" s="18" t="n">
        <v>-0.0312561869758718</v>
      </c>
      <c r="L778" s="18" t="n">
        <v>0.0330048356589649</v>
      </c>
      <c r="M778" s="18" t="n">
        <v>-0.947018409630586</v>
      </c>
      <c r="N778" s="18" t="n">
        <v>36</v>
      </c>
      <c r="O778" s="18" t="n">
        <v>0.349943212100653</v>
      </c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 t="s">
        <v>402</v>
      </c>
      <c r="AI778" s="18"/>
      <c r="AJ778" s="18" t="s">
        <v>1321</v>
      </c>
    </row>
    <row r="779" customFormat="false" ht="15" hidden="false" customHeight="false" outlineLevel="0" collapsed="false">
      <c r="A779" s="18" t="s">
        <v>273</v>
      </c>
      <c r="B779" s="18" t="s">
        <v>749</v>
      </c>
      <c r="C779" s="18" t="s">
        <v>1161</v>
      </c>
      <c r="D779" s="18" t="s">
        <v>324</v>
      </c>
      <c r="E779" s="18" t="s">
        <v>404</v>
      </c>
      <c r="F779" s="18" t="s">
        <v>790</v>
      </c>
      <c r="G779" s="18" t="n">
        <v>0.6</v>
      </c>
      <c r="H779" s="18" t="n">
        <v>2593</v>
      </c>
      <c r="I779" s="18" t="n">
        <v>110</v>
      </c>
      <c r="J779" s="18" t="n">
        <v>109</v>
      </c>
      <c r="K779" s="18" t="n">
        <v>-0.0226256702454019</v>
      </c>
      <c r="L779" s="18" t="n">
        <v>0.0209656832774575</v>
      </c>
      <c r="M779" s="18" t="n">
        <v>-1.07917638294809</v>
      </c>
      <c r="N779" s="18" t="n">
        <v>108</v>
      </c>
      <c r="O779" s="18" t="n">
        <v>0.282913373909246</v>
      </c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 t="s">
        <v>402</v>
      </c>
      <c r="AI779" s="18"/>
      <c r="AJ779" s="18" t="s">
        <v>1322</v>
      </c>
    </row>
    <row r="780" customFormat="false" ht="15" hidden="false" customHeight="false" outlineLevel="0" collapsed="false">
      <c r="A780" s="18" t="s">
        <v>273</v>
      </c>
      <c r="B780" s="18" t="s">
        <v>751</v>
      </c>
      <c r="C780" s="18" t="s">
        <v>1161</v>
      </c>
      <c r="D780" s="18" t="s">
        <v>324</v>
      </c>
      <c r="E780" s="18" t="s">
        <v>404</v>
      </c>
      <c r="F780" s="18" t="s">
        <v>790</v>
      </c>
      <c r="G780" s="18" t="n">
        <v>0.6</v>
      </c>
      <c r="H780" s="18" t="n">
        <v>2593</v>
      </c>
      <c r="I780" s="18" t="n">
        <v>110</v>
      </c>
      <c r="J780" s="18" t="n">
        <v>109</v>
      </c>
      <c r="K780" s="18" t="n">
        <v>-0.0361443703054461</v>
      </c>
      <c r="L780" s="18" t="n">
        <v>0.0220741635962829</v>
      </c>
      <c r="M780" s="18" t="n">
        <v>-1.63740610817673</v>
      </c>
      <c r="N780" s="18" t="n">
        <v>108</v>
      </c>
      <c r="O780" s="18" t="n">
        <v>0.104456205085331</v>
      </c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 t="s">
        <v>402</v>
      </c>
      <c r="AI780" s="18"/>
      <c r="AJ780" s="18" t="s">
        <v>1323</v>
      </c>
    </row>
    <row r="781" customFormat="false" ht="15" hidden="false" customHeight="false" outlineLevel="0" collapsed="false">
      <c r="A781" s="18" t="s">
        <v>273</v>
      </c>
      <c r="B781" s="18" t="s">
        <v>753</v>
      </c>
      <c r="C781" s="18" t="s">
        <v>1161</v>
      </c>
      <c r="D781" s="18" t="s">
        <v>324</v>
      </c>
      <c r="E781" s="18" t="s">
        <v>404</v>
      </c>
      <c r="F781" s="18" t="s">
        <v>790</v>
      </c>
      <c r="G781" s="18" t="n">
        <v>0.6</v>
      </c>
      <c r="H781" s="18" t="n">
        <v>2593</v>
      </c>
      <c r="I781" s="18" t="n">
        <v>110</v>
      </c>
      <c r="J781" s="18" t="n">
        <v>109</v>
      </c>
      <c r="K781" s="18" t="n">
        <v>-0.0186224509575186</v>
      </c>
      <c r="L781" s="18" t="n">
        <v>0.0230551990800809</v>
      </c>
      <c r="M781" s="18" t="n">
        <v>-0.807733253260341</v>
      </c>
      <c r="N781" s="18" t="n">
        <v>107</v>
      </c>
      <c r="O781" s="18" t="n">
        <v>0.421036204601392</v>
      </c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 t="s">
        <v>402</v>
      </c>
      <c r="AI781" s="18"/>
      <c r="AJ781" s="18" t="s">
        <v>1324</v>
      </c>
    </row>
    <row r="782" customFormat="false" ht="15" hidden="false" customHeight="false" outlineLevel="0" collapsed="false">
      <c r="A782" s="18" t="s">
        <v>273</v>
      </c>
      <c r="B782" s="18" t="s">
        <v>755</v>
      </c>
      <c r="C782" s="18" t="s">
        <v>1161</v>
      </c>
      <c r="D782" s="18" t="s">
        <v>324</v>
      </c>
      <c r="E782" s="18" t="s">
        <v>404</v>
      </c>
      <c r="F782" s="18" t="s">
        <v>790</v>
      </c>
      <c r="G782" s="18" t="n">
        <v>0.6</v>
      </c>
      <c r="H782" s="18" t="n">
        <v>2593</v>
      </c>
      <c r="I782" s="18" t="n">
        <v>110</v>
      </c>
      <c r="J782" s="18" t="n">
        <v>109</v>
      </c>
      <c r="K782" s="18" t="n">
        <v>-0.0399034431361417</v>
      </c>
      <c r="L782" s="18" t="n">
        <v>0.0230462730173318</v>
      </c>
      <c r="M782" s="18" t="n">
        <v>-1.73144885969773</v>
      </c>
      <c r="N782" s="18" t="n">
        <v>108</v>
      </c>
      <c r="O782" s="18" t="n">
        <v>0.0862272556225713</v>
      </c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 t="s">
        <v>402</v>
      </c>
      <c r="AI782" s="18"/>
      <c r="AJ782" s="18" t="s">
        <v>1325</v>
      </c>
    </row>
    <row r="783" customFormat="false" ht="15" hidden="false" customHeight="false" outlineLevel="0" collapsed="false">
      <c r="A783" s="18" t="s">
        <v>273</v>
      </c>
      <c r="B783" s="18" t="s">
        <v>757</v>
      </c>
      <c r="C783" s="18" t="s">
        <v>1161</v>
      </c>
      <c r="D783" s="18" t="s">
        <v>324</v>
      </c>
      <c r="E783" s="18" t="s">
        <v>404</v>
      </c>
      <c r="F783" s="18" t="s">
        <v>790</v>
      </c>
      <c r="G783" s="18" t="n">
        <v>0.6</v>
      </c>
      <c r="H783" s="18" t="n">
        <v>2593</v>
      </c>
      <c r="I783" s="18" t="n">
        <v>110</v>
      </c>
      <c r="J783" s="18" t="n">
        <v>109</v>
      </c>
      <c r="K783" s="18" t="n">
        <v>-0.0100807502256774</v>
      </c>
      <c r="L783" s="18" t="n">
        <v>0.0277871031852014</v>
      </c>
      <c r="M783" s="18" t="n">
        <v>-0.36278521580638</v>
      </c>
      <c r="N783" s="18" t="n">
        <v>107</v>
      </c>
      <c r="O783" s="18" t="n">
        <v>0.717480977210435</v>
      </c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 t="s">
        <v>402</v>
      </c>
      <c r="AI783" s="18"/>
      <c r="AJ783" s="18" t="s">
        <v>1326</v>
      </c>
    </row>
    <row r="784" customFormat="false" ht="15" hidden="false" customHeight="false" outlineLevel="0" collapsed="false">
      <c r="A784" s="18" t="s">
        <v>273</v>
      </c>
      <c r="B784" s="18" t="s">
        <v>759</v>
      </c>
      <c r="C784" s="18" t="s">
        <v>1161</v>
      </c>
      <c r="D784" s="18" t="s">
        <v>324</v>
      </c>
      <c r="E784" s="18" t="s">
        <v>404</v>
      </c>
      <c r="F784" s="18" t="s">
        <v>790</v>
      </c>
      <c r="G784" s="18" t="n">
        <v>0.6</v>
      </c>
      <c r="H784" s="18" t="n">
        <v>2593</v>
      </c>
      <c r="I784" s="18" t="n">
        <v>110</v>
      </c>
      <c r="J784" s="18" t="n">
        <v>109</v>
      </c>
      <c r="K784" s="18" t="n">
        <v>-0.0059437239787677</v>
      </c>
      <c r="L784" s="18" t="n">
        <v>0.0295442251809593</v>
      </c>
      <c r="M784" s="18" t="n">
        <v>-0.20118056717894</v>
      </c>
      <c r="N784" s="18" t="n">
        <v>107</v>
      </c>
      <c r="O784" s="18" t="n">
        <v>0.840939326982832</v>
      </c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 t="s">
        <v>402</v>
      </c>
      <c r="AI784" s="18"/>
      <c r="AJ784" s="18" t="s">
        <v>1327</v>
      </c>
    </row>
    <row r="785" customFormat="false" ht="15" hidden="false" customHeight="false" outlineLevel="0" collapsed="false">
      <c r="A785" s="18" t="s">
        <v>273</v>
      </c>
      <c r="B785" s="18" t="s">
        <v>761</v>
      </c>
      <c r="C785" s="18" t="s">
        <v>1161</v>
      </c>
      <c r="D785" s="18" t="s">
        <v>324</v>
      </c>
      <c r="E785" s="18" t="s">
        <v>404</v>
      </c>
      <c r="F785" s="18" t="s">
        <v>790</v>
      </c>
      <c r="G785" s="18" t="n">
        <v>0.6</v>
      </c>
      <c r="H785" s="18" t="n">
        <v>2593</v>
      </c>
      <c r="I785" s="18" t="n">
        <v>110</v>
      </c>
      <c r="J785" s="18" t="n">
        <v>109</v>
      </c>
      <c r="K785" s="18" t="n">
        <v>-0.0275472956256245</v>
      </c>
      <c r="L785" s="18" t="n">
        <v>0.020093293144562</v>
      </c>
      <c r="M785" s="18" t="n">
        <v>-1.3709696776648</v>
      </c>
      <c r="N785" s="18" t="n">
        <v>108</v>
      </c>
      <c r="O785" s="18" t="n">
        <v>0.173226670517554</v>
      </c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 t="s">
        <v>402</v>
      </c>
      <c r="AI785" s="18"/>
      <c r="AJ785" s="18" t="s">
        <v>1328</v>
      </c>
    </row>
    <row r="786" customFormat="false" ht="15" hidden="false" customHeight="false" outlineLevel="0" collapsed="false">
      <c r="A786" s="18" t="s">
        <v>273</v>
      </c>
      <c r="B786" s="18" t="s">
        <v>763</v>
      </c>
      <c r="C786" s="18" t="s">
        <v>1161</v>
      </c>
      <c r="D786" s="18" t="s">
        <v>324</v>
      </c>
      <c r="E786" s="18" t="s">
        <v>404</v>
      </c>
      <c r="F786" s="18" t="s">
        <v>790</v>
      </c>
      <c r="G786" s="18" t="n">
        <v>0.6</v>
      </c>
      <c r="H786" s="18" t="n">
        <v>2593</v>
      </c>
      <c r="I786" s="18" t="n">
        <v>110</v>
      </c>
      <c r="J786" s="18" t="n">
        <v>109</v>
      </c>
      <c r="K786" s="18" t="n">
        <v>-0.0273553439873366</v>
      </c>
      <c r="L786" s="18" t="n">
        <v>0.0190415051163686</v>
      </c>
      <c r="M786" s="18" t="n">
        <v>-1.43661668655706</v>
      </c>
      <c r="N786" s="18" t="n">
        <v>108</v>
      </c>
      <c r="O786" s="18" t="n">
        <v>0.153717500045243</v>
      </c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 t="s">
        <v>402</v>
      </c>
      <c r="AI786" s="18"/>
      <c r="AJ786" s="18" t="s">
        <v>1329</v>
      </c>
    </row>
    <row r="787" customFormat="false" ht="15" hidden="false" customHeight="false" outlineLevel="0" collapsed="false">
      <c r="A787" s="18" t="s">
        <v>273</v>
      </c>
      <c r="B787" s="18" t="s">
        <v>765</v>
      </c>
      <c r="C787" s="18" t="s">
        <v>1161</v>
      </c>
      <c r="D787" s="18" t="s">
        <v>324</v>
      </c>
      <c r="E787" s="18" t="s">
        <v>404</v>
      </c>
      <c r="F787" s="18" t="s">
        <v>790</v>
      </c>
      <c r="G787" s="18" t="n">
        <v>0.6</v>
      </c>
      <c r="H787" s="18" t="n">
        <v>2593</v>
      </c>
      <c r="I787" s="18" t="n">
        <v>110</v>
      </c>
      <c r="J787" s="18" t="n">
        <v>109</v>
      </c>
      <c r="K787" s="18" t="n">
        <v>-0.0228077723554675</v>
      </c>
      <c r="L787" s="18" t="n">
        <v>0.0189564737534994</v>
      </c>
      <c r="M787" s="18" t="n">
        <v>-1.20316534879052</v>
      </c>
      <c r="N787" s="18" t="n">
        <v>108</v>
      </c>
      <c r="O787" s="18" t="n">
        <v>0.23154318506222</v>
      </c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 t="s">
        <v>402</v>
      </c>
      <c r="AI787" s="18"/>
      <c r="AJ787" s="18" t="s">
        <v>1330</v>
      </c>
    </row>
    <row r="788" customFormat="false" ht="15" hidden="false" customHeight="false" outlineLevel="0" collapsed="false">
      <c r="A788" s="18" t="s">
        <v>273</v>
      </c>
      <c r="B788" s="18" t="s">
        <v>767</v>
      </c>
      <c r="C788" s="18" t="s">
        <v>1161</v>
      </c>
      <c r="D788" s="18" t="s">
        <v>324</v>
      </c>
      <c r="E788" s="18" t="s">
        <v>404</v>
      </c>
      <c r="F788" s="18" t="s">
        <v>790</v>
      </c>
      <c r="G788" s="18" t="n">
        <v>0.6</v>
      </c>
      <c r="H788" s="18" t="n">
        <v>900</v>
      </c>
      <c r="I788" s="18" t="n">
        <v>38</v>
      </c>
      <c r="J788" s="18" t="n">
        <v>38</v>
      </c>
      <c r="K788" s="18" t="n">
        <v>-0.0347706585056783</v>
      </c>
      <c r="L788" s="18" t="n">
        <v>0.0326929789061087</v>
      </c>
      <c r="M788" s="18" t="n">
        <v>-1.06355124767114</v>
      </c>
      <c r="N788" s="18" t="n">
        <v>36</v>
      </c>
      <c r="O788" s="18" t="n">
        <v>0.294614298484505</v>
      </c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 t="s">
        <v>402</v>
      </c>
      <c r="AI788" s="18"/>
      <c r="AJ788" s="18" t="s">
        <v>1331</v>
      </c>
    </row>
    <row r="789" customFormat="false" ht="15" hidden="false" customHeight="false" outlineLevel="0" collapsed="false">
      <c r="A789" s="18" t="s">
        <v>273</v>
      </c>
      <c r="B789" s="18" t="s">
        <v>769</v>
      </c>
      <c r="C789" s="18" t="s">
        <v>1161</v>
      </c>
      <c r="D789" s="18" t="s">
        <v>324</v>
      </c>
      <c r="E789" s="18" t="s">
        <v>404</v>
      </c>
      <c r="F789" s="18" t="s">
        <v>790</v>
      </c>
      <c r="G789" s="18" t="n">
        <v>0.6</v>
      </c>
      <c r="H789" s="18" t="n">
        <v>2606</v>
      </c>
      <c r="I789" s="18" t="n">
        <v>110</v>
      </c>
      <c r="J789" s="18" t="n">
        <v>109</v>
      </c>
      <c r="K789" s="18" t="n">
        <v>-0.0185014460350624</v>
      </c>
      <c r="L789" s="18" t="n">
        <v>0.0204384293374282</v>
      </c>
      <c r="M789" s="18" t="n">
        <v>-0.905228368071383</v>
      </c>
      <c r="N789" s="18" t="n">
        <v>108</v>
      </c>
      <c r="O789" s="18" t="n">
        <v>0.367359417801178</v>
      </c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 t="s">
        <v>402</v>
      </c>
      <c r="AI789" s="18"/>
      <c r="AJ789" s="18" t="s">
        <v>1332</v>
      </c>
    </row>
    <row r="790" customFormat="false" ht="15" hidden="false" customHeight="false" outlineLevel="0" collapsed="false">
      <c r="A790" s="18" t="s">
        <v>273</v>
      </c>
      <c r="B790" s="18" t="s">
        <v>771</v>
      </c>
      <c r="C790" s="18" t="s">
        <v>1161</v>
      </c>
      <c r="D790" s="18" t="s">
        <v>324</v>
      </c>
      <c r="E790" s="18" t="s">
        <v>404</v>
      </c>
      <c r="F790" s="18" t="s">
        <v>790</v>
      </c>
      <c r="G790" s="18" t="n">
        <v>0.6</v>
      </c>
      <c r="H790" s="18" t="n">
        <v>2606</v>
      </c>
      <c r="I790" s="18" t="n">
        <v>110</v>
      </c>
      <c r="J790" s="18" t="n">
        <v>109</v>
      </c>
      <c r="K790" s="18" t="n">
        <v>-0.0288918125936761</v>
      </c>
      <c r="L790" s="18" t="n">
        <v>0.0215756056357904</v>
      </c>
      <c r="M790" s="18" t="n">
        <v>-1.33909624978264</v>
      </c>
      <c r="N790" s="18" t="n">
        <v>108</v>
      </c>
      <c r="O790" s="18" t="n">
        <v>0.183350913797771</v>
      </c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 t="s">
        <v>402</v>
      </c>
      <c r="AI790" s="18"/>
      <c r="AJ790" s="18" t="s">
        <v>1333</v>
      </c>
    </row>
    <row r="791" customFormat="false" ht="15" hidden="false" customHeight="false" outlineLevel="0" collapsed="false">
      <c r="A791" s="18" t="s">
        <v>273</v>
      </c>
      <c r="B791" s="18" t="s">
        <v>773</v>
      </c>
      <c r="C791" s="18" t="s">
        <v>1161</v>
      </c>
      <c r="D791" s="18" t="s">
        <v>324</v>
      </c>
      <c r="E791" s="18" t="s">
        <v>404</v>
      </c>
      <c r="F791" s="18" t="s">
        <v>790</v>
      </c>
      <c r="G791" s="18" t="n">
        <v>0.6</v>
      </c>
      <c r="H791" s="18" t="n">
        <v>2606</v>
      </c>
      <c r="I791" s="18" t="n">
        <v>110</v>
      </c>
      <c r="J791" s="18" t="n">
        <v>109</v>
      </c>
      <c r="K791" s="18" t="n">
        <v>-0.0159782906106207</v>
      </c>
      <c r="L791" s="18" t="n">
        <v>0.0224550323386771</v>
      </c>
      <c r="M791" s="18" t="n">
        <v>-0.711568363368567</v>
      </c>
      <c r="N791" s="18" t="n">
        <v>107</v>
      </c>
      <c r="O791" s="18" t="n">
        <v>0.478280569656399</v>
      </c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 t="s">
        <v>402</v>
      </c>
      <c r="AI791" s="18"/>
      <c r="AJ791" s="18" t="s">
        <v>1334</v>
      </c>
    </row>
    <row r="792" customFormat="false" ht="15" hidden="false" customHeight="false" outlineLevel="0" collapsed="false">
      <c r="A792" s="18" t="s">
        <v>273</v>
      </c>
      <c r="B792" s="18" t="s">
        <v>775</v>
      </c>
      <c r="C792" s="18" t="s">
        <v>1161</v>
      </c>
      <c r="D792" s="18" t="s">
        <v>324</v>
      </c>
      <c r="E792" s="18" t="s">
        <v>404</v>
      </c>
      <c r="F792" s="18" t="s">
        <v>790</v>
      </c>
      <c r="G792" s="18" t="n">
        <v>0.6</v>
      </c>
      <c r="H792" s="18" t="n">
        <v>2606</v>
      </c>
      <c r="I792" s="18" t="n">
        <v>110</v>
      </c>
      <c r="J792" s="18" t="n">
        <v>109</v>
      </c>
      <c r="K792" s="18" t="n">
        <v>-0.0330500026453788</v>
      </c>
      <c r="L792" s="18" t="n">
        <v>0.0225228127103484</v>
      </c>
      <c r="M792" s="18" t="n">
        <v>-1.46740121095948</v>
      </c>
      <c r="N792" s="18" t="n">
        <v>108</v>
      </c>
      <c r="O792" s="18" t="n">
        <v>0.145173103165652</v>
      </c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 t="s">
        <v>402</v>
      </c>
      <c r="AI792" s="18"/>
      <c r="AJ792" s="18" t="s">
        <v>1335</v>
      </c>
    </row>
    <row r="793" customFormat="false" ht="15" hidden="false" customHeight="false" outlineLevel="0" collapsed="false">
      <c r="A793" s="18" t="s">
        <v>273</v>
      </c>
      <c r="B793" s="18" t="s">
        <v>777</v>
      </c>
      <c r="C793" s="18" t="s">
        <v>1161</v>
      </c>
      <c r="D793" s="18" t="s">
        <v>324</v>
      </c>
      <c r="E793" s="18" t="s">
        <v>404</v>
      </c>
      <c r="F793" s="18" t="s">
        <v>790</v>
      </c>
      <c r="G793" s="18" t="n">
        <v>0.6</v>
      </c>
      <c r="H793" s="18" t="n">
        <v>2606</v>
      </c>
      <c r="I793" s="18" t="n">
        <v>110</v>
      </c>
      <c r="J793" s="18" t="n">
        <v>109</v>
      </c>
      <c r="K793" s="18" t="n">
        <v>-0.00433103055617016</v>
      </c>
      <c r="L793" s="18" t="n">
        <v>0.0270573314640624</v>
      </c>
      <c r="M793" s="18" t="n">
        <v>-0.160068651334765</v>
      </c>
      <c r="N793" s="18" t="n">
        <v>107</v>
      </c>
      <c r="O793" s="18" t="n">
        <v>0.873128784398852</v>
      </c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 t="s">
        <v>402</v>
      </c>
      <c r="AI793" s="18"/>
      <c r="AJ793" s="18" t="s">
        <v>1336</v>
      </c>
    </row>
    <row r="794" customFormat="false" ht="15" hidden="false" customHeight="false" outlineLevel="0" collapsed="false">
      <c r="A794" s="18" t="s">
        <v>273</v>
      </c>
      <c r="B794" s="18" t="s">
        <v>779</v>
      </c>
      <c r="C794" s="18" t="s">
        <v>1161</v>
      </c>
      <c r="D794" s="18" t="s">
        <v>324</v>
      </c>
      <c r="E794" s="18" t="s">
        <v>404</v>
      </c>
      <c r="F794" s="18" t="s">
        <v>790</v>
      </c>
      <c r="G794" s="18" t="n">
        <v>0.6</v>
      </c>
      <c r="H794" s="18" t="n">
        <v>2606</v>
      </c>
      <c r="I794" s="18" t="n">
        <v>110</v>
      </c>
      <c r="J794" s="18" t="n">
        <v>109</v>
      </c>
      <c r="K794" s="18" t="n">
        <v>-0.000625997642813354</v>
      </c>
      <c r="L794" s="18" t="n">
        <v>0.0287599116076221</v>
      </c>
      <c r="M794" s="18" t="n">
        <v>-0.0217663270789556</v>
      </c>
      <c r="N794" s="18" t="n">
        <v>107</v>
      </c>
      <c r="O794" s="18" t="n">
        <v>0.982674893686089</v>
      </c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 t="s">
        <v>402</v>
      </c>
      <c r="AI794" s="18"/>
      <c r="AJ794" s="18" t="s">
        <v>1337</v>
      </c>
    </row>
    <row r="795" customFormat="false" ht="15" hidden="false" customHeight="false" outlineLevel="0" collapsed="false">
      <c r="A795" s="18" t="s">
        <v>273</v>
      </c>
      <c r="B795" s="18" t="s">
        <v>781</v>
      </c>
      <c r="C795" s="18" t="s">
        <v>1161</v>
      </c>
      <c r="D795" s="18" t="s">
        <v>324</v>
      </c>
      <c r="E795" s="18" t="s">
        <v>404</v>
      </c>
      <c r="F795" s="18" t="s">
        <v>790</v>
      </c>
      <c r="G795" s="18" t="n">
        <v>0.6</v>
      </c>
      <c r="H795" s="18" t="n">
        <v>2606</v>
      </c>
      <c r="I795" s="18" t="n">
        <v>110</v>
      </c>
      <c r="J795" s="18" t="n">
        <v>109</v>
      </c>
      <c r="K795" s="18" t="n">
        <v>-0.0219817752267833</v>
      </c>
      <c r="L795" s="18" t="n">
        <v>0.0196119726786669</v>
      </c>
      <c r="M795" s="18" t="n">
        <v>-1.12083448141319</v>
      </c>
      <c r="N795" s="18" t="n">
        <v>108</v>
      </c>
      <c r="O795" s="18" t="n">
        <v>0.264844449322599</v>
      </c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 t="s">
        <v>402</v>
      </c>
      <c r="AI795" s="18"/>
      <c r="AJ795" s="18" t="s">
        <v>1338</v>
      </c>
    </row>
    <row r="796" customFormat="false" ht="15" hidden="false" customHeight="false" outlineLevel="0" collapsed="false">
      <c r="A796" s="18" t="s">
        <v>273</v>
      </c>
      <c r="B796" s="18" t="s">
        <v>783</v>
      </c>
      <c r="C796" s="18" t="s">
        <v>1161</v>
      </c>
      <c r="D796" s="18" t="s">
        <v>324</v>
      </c>
      <c r="E796" s="18" t="s">
        <v>404</v>
      </c>
      <c r="F796" s="18" t="s">
        <v>790</v>
      </c>
      <c r="G796" s="18" t="n">
        <v>0.6</v>
      </c>
      <c r="H796" s="18" t="n">
        <v>2606</v>
      </c>
      <c r="I796" s="18" t="n">
        <v>110</v>
      </c>
      <c r="J796" s="18" t="n">
        <v>109</v>
      </c>
      <c r="K796" s="18" t="n">
        <v>-0.0135153611165626</v>
      </c>
      <c r="L796" s="18" t="n">
        <v>0.01866852522434</v>
      </c>
      <c r="M796" s="18" t="n">
        <v>-0.723965120658878</v>
      </c>
      <c r="N796" s="18" t="n">
        <v>108</v>
      </c>
      <c r="O796" s="18" t="n">
        <v>0.470652444045388</v>
      </c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 t="s">
        <v>402</v>
      </c>
      <c r="AI796" s="18"/>
      <c r="AJ796" s="18" t="s">
        <v>1339</v>
      </c>
    </row>
    <row r="797" customFormat="false" ht="15" hidden="false" customHeight="false" outlineLevel="0" collapsed="false">
      <c r="A797" s="18" t="s">
        <v>273</v>
      </c>
      <c r="B797" s="18" t="s">
        <v>785</v>
      </c>
      <c r="C797" s="18" t="s">
        <v>1161</v>
      </c>
      <c r="D797" s="18" t="s">
        <v>324</v>
      </c>
      <c r="E797" s="18" t="s">
        <v>404</v>
      </c>
      <c r="F797" s="18" t="s">
        <v>790</v>
      </c>
      <c r="G797" s="18" t="n">
        <v>0.6</v>
      </c>
      <c r="H797" s="18" t="n">
        <v>2606</v>
      </c>
      <c r="I797" s="18" t="n">
        <v>110</v>
      </c>
      <c r="J797" s="18" t="n">
        <v>109</v>
      </c>
      <c r="K797" s="18" t="n">
        <v>-0.0122185054037964</v>
      </c>
      <c r="L797" s="18" t="n">
        <v>0.0185356692079323</v>
      </c>
      <c r="M797" s="18" t="n">
        <v>-0.659188792523742</v>
      </c>
      <c r="N797" s="18" t="n">
        <v>108</v>
      </c>
      <c r="O797" s="18" t="n">
        <v>0.511177629492225</v>
      </c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 t="s">
        <v>402</v>
      </c>
      <c r="AI797" s="18"/>
      <c r="AJ797" s="18" t="s">
        <v>1340</v>
      </c>
    </row>
    <row r="798" customFormat="false" ht="15" hidden="false" customHeight="false" outlineLevel="0" collapsed="false">
      <c r="A798" s="18" t="s">
        <v>273</v>
      </c>
      <c r="B798" s="18" t="s">
        <v>787</v>
      </c>
      <c r="C798" s="18" t="s">
        <v>1161</v>
      </c>
      <c r="D798" s="18" t="s">
        <v>324</v>
      </c>
      <c r="E798" s="18" t="s">
        <v>404</v>
      </c>
      <c r="F798" s="18" t="s">
        <v>790</v>
      </c>
      <c r="G798" s="18" t="n">
        <v>0.6</v>
      </c>
      <c r="H798" s="18" t="n">
        <v>905</v>
      </c>
      <c r="I798" s="18" t="n">
        <v>38</v>
      </c>
      <c r="J798" s="18" t="n">
        <v>38</v>
      </c>
      <c r="K798" s="18" t="n">
        <v>-0.027667376552293</v>
      </c>
      <c r="L798" s="18" t="n">
        <v>0.0293372474620128</v>
      </c>
      <c r="M798" s="18" t="n">
        <v>-0.943080177788255</v>
      </c>
      <c r="N798" s="18" t="n">
        <v>36</v>
      </c>
      <c r="O798" s="18" t="n">
        <v>0.351926258287348</v>
      </c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 t="s">
        <v>402</v>
      </c>
      <c r="AI798" s="18"/>
      <c r="AJ798" s="18" t="s">
        <v>1341</v>
      </c>
    </row>
    <row r="799" customFormat="false" ht="15" hidden="false" customHeight="false" outlineLevel="0" collapsed="false">
      <c r="A799" s="18" t="s">
        <v>273</v>
      </c>
      <c r="B799" s="18" t="s">
        <v>322</v>
      </c>
      <c r="C799" s="18" t="s">
        <v>1342</v>
      </c>
      <c r="D799" s="18" t="s">
        <v>324</v>
      </c>
      <c r="E799" s="18" t="s">
        <v>404</v>
      </c>
      <c r="F799" s="18" t="s">
        <v>1343</v>
      </c>
      <c r="G799" s="18" t="n">
        <v>0.6</v>
      </c>
      <c r="H799" s="18" t="n">
        <v>2705</v>
      </c>
      <c r="I799" s="18" t="n">
        <v>113</v>
      </c>
      <c r="J799" s="18" t="n">
        <v>112</v>
      </c>
      <c r="K799" s="18" t="n">
        <v>-0.00012343832896931</v>
      </c>
      <c r="L799" s="18" t="n">
        <v>0.0030340536847032</v>
      </c>
      <c r="M799" s="18" t="n">
        <v>-0.0406842929614758</v>
      </c>
      <c r="N799" s="18" t="n">
        <v>2703</v>
      </c>
      <c r="O799" s="18" t="n">
        <v>0.967550588317798</v>
      </c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 t="s">
        <v>402</v>
      </c>
      <c r="AI799" s="18"/>
      <c r="AJ799" s="18" t="s">
        <v>1344</v>
      </c>
    </row>
    <row r="800" customFormat="false" ht="15" hidden="false" customHeight="false" outlineLevel="0" collapsed="false">
      <c r="A800" s="18" t="s">
        <v>273</v>
      </c>
      <c r="B800" s="18" t="s">
        <v>326</v>
      </c>
      <c r="C800" s="18" t="s">
        <v>1342</v>
      </c>
      <c r="D800" s="18" t="s">
        <v>324</v>
      </c>
      <c r="E800" s="18" t="s">
        <v>404</v>
      </c>
      <c r="F800" s="18" t="s">
        <v>1343</v>
      </c>
      <c r="G800" s="18" t="n">
        <v>0.6</v>
      </c>
      <c r="H800" s="18" t="n">
        <v>2705</v>
      </c>
      <c r="I800" s="18" t="n">
        <v>113</v>
      </c>
      <c r="J800" s="18" t="n">
        <v>112</v>
      </c>
      <c r="K800" s="18" t="n">
        <v>-0.000425870371868149</v>
      </c>
      <c r="L800" s="18" t="n">
        <v>0.00303674160373055</v>
      </c>
      <c r="M800" s="18" t="n">
        <v>-0.14023925227783</v>
      </c>
      <c r="N800" s="18" t="n">
        <v>2703</v>
      </c>
      <c r="O800" s="18" t="n">
        <v>0.888481408407968</v>
      </c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 t="s">
        <v>402</v>
      </c>
      <c r="AI800" s="18"/>
      <c r="AJ800" s="18" t="s">
        <v>1345</v>
      </c>
    </row>
    <row r="801" customFormat="false" ht="15" hidden="false" customHeight="false" outlineLevel="0" collapsed="false">
      <c r="A801" s="18" t="s">
        <v>273</v>
      </c>
      <c r="B801" s="18" t="s">
        <v>328</v>
      </c>
      <c r="C801" s="18" t="s">
        <v>1342</v>
      </c>
      <c r="D801" s="18" t="s">
        <v>324</v>
      </c>
      <c r="E801" s="18" t="s">
        <v>404</v>
      </c>
      <c r="F801" s="18" t="s">
        <v>1343</v>
      </c>
      <c r="G801" s="18" t="n">
        <v>0.6</v>
      </c>
      <c r="H801" s="18" t="n">
        <v>2705</v>
      </c>
      <c r="I801" s="18" t="n">
        <v>113</v>
      </c>
      <c r="J801" s="18" t="n">
        <v>112</v>
      </c>
      <c r="K801" s="18" t="n">
        <v>0.00500954554579709</v>
      </c>
      <c r="L801" s="18" t="n">
        <v>0.00813692147038102</v>
      </c>
      <c r="M801" s="18" t="n">
        <v>0.615656125480895</v>
      </c>
      <c r="N801" s="18" t="n">
        <v>2703</v>
      </c>
      <c r="O801" s="18" t="n">
        <v>0.538173333919773</v>
      </c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 t="s">
        <v>402</v>
      </c>
      <c r="AI801" s="18"/>
      <c r="AJ801" s="18" t="s">
        <v>1346</v>
      </c>
    </row>
    <row r="802" customFormat="false" ht="15" hidden="false" customHeight="false" outlineLevel="0" collapsed="false">
      <c r="A802" s="18" t="s">
        <v>273</v>
      </c>
      <c r="B802" s="18" t="s">
        <v>330</v>
      </c>
      <c r="C802" s="18" t="s">
        <v>1342</v>
      </c>
      <c r="D802" s="18" t="s">
        <v>324</v>
      </c>
      <c r="E802" s="18" t="s">
        <v>404</v>
      </c>
      <c r="F802" s="18" t="s">
        <v>1343</v>
      </c>
      <c r="G802" s="18" t="n">
        <v>0.6</v>
      </c>
      <c r="H802" s="18" t="n">
        <v>2705</v>
      </c>
      <c r="I802" s="18" t="n">
        <v>113</v>
      </c>
      <c r="J802" s="18" t="n">
        <v>112</v>
      </c>
      <c r="K802" s="18" t="n">
        <v>-0.0003473746543463</v>
      </c>
      <c r="L802" s="18" t="n">
        <v>0.00303705687898693</v>
      </c>
      <c r="M802" s="18" t="n">
        <v>-0.114378712084633</v>
      </c>
      <c r="N802" s="18" t="n">
        <v>2703</v>
      </c>
      <c r="O802" s="18" t="n">
        <v>0.908946083523596</v>
      </c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 t="s">
        <v>402</v>
      </c>
      <c r="AI802" s="18"/>
      <c r="AJ802" s="18" t="s">
        <v>1347</v>
      </c>
    </row>
    <row r="803" customFormat="false" ht="15" hidden="false" customHeight="false" outlineLevel="0" collapsed="false">
      <c r="A803" s="18" t="s">
        <v>273</v>
      </c>
      <c r="B803" s="18" t="s">
        <v>332</v>
      </c>
      <c r="C803" s="18" t="s">
        <v>1342</v>
      </c>
      <c r="D803" s="18" t="s">
        <v>324</v>
      </c>
      <c r="E803" s="18" t="s">
        <v>404</v>
      </c>
      <c r="F803" s="18" t="s">
        <v>1343</v>
      </c>
      <c r="G803" s="18" t="n">
        <v>0.6</v>
      </c>
      <c r="H803" s="18" t="n">
        <v>2705</v>
      </c>
      <c r="I803" s="18" t="n">
        <v>113</v>
      </c>
      <c r="J803" s="18" t="n">
        <v>112</v>
      </c>
      <c r="K803" s="18" t="n">
        <v>0.000748389137508028</v>
      </c>
      <c r="L803" s="18" t="n">
        <v>0.00304561091042797</v>
      </c>
      <c r="M803" s="18" t="n">
        <v>0.245727100249606</v>
      </c>
      <c r="N803" s="18" t="n">
        <v>2703</v>
      </c>
      <c r="O803" s="18" t="n">
        <v>0.805912148230793</v>
      </c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 t="s">
        <v>402</v>
      </c>
      <c r="AI803" s="18"/>
      <c r="AJ803" s="18" t="s">
        <v>1348</v>
      </c>
    </row>
    <row r="804" customFormat="false" ht="15" hidden="false" customHeight="false" outlineLevel="0" collapsed="false">
      <c r="A804" s="18" t="s">
        <v>273</v>
      </c>
      <c r="B804" s="18" t="s">
        <v>334</v>
      </c>
      <c r="C804" s="18" t="s">
        <v>1342</v>
      </c>
      <c r="D804" s="18" t="s">
        <v>324</v>
      </c>
      <c r="E804" s="18" t="s">
        <v>404</v>
      </c>
      <c r="F804" s="18" t="s">
        <v>1343</v>
      </c>
      <c r="G804" s="18" t="n">
        <v>0.6</v>
      </c>
      <c r="H804" s="18" t="n">
        <v>2705</v>
      </c>
      <c r="I804" s="18" t="n">
        <v>113</v>
      </c>
      <c r="J804" s="18" t="n">
        <v>112</v>
      </c>
      <c r="K804" s="18" t="n">
        <v>0.000696839761859684</v>
      </c>
      <c r="L804" s="18" t="n">
        <v>0.00304836873837958</v>
      </c>
      <c r="M804" s="18" t="n">
        <v>0.228594314423426</v>
      </c>
      <c r="N804" s="18" t="n">
        <v>2703</v>
      </c>
      <c r="O804" s="18" t="n">
        <v>0.819201536300341</v>
      </c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 t="s">
        <v>402</v>
      </c>
      <c r="AI804" s="18"/>
      <c r="AJ804" s="18" t="s">
        <v>1349</v>
      </c>
    </row>
    <row r="805" customFormat="false" ht="15" hidden="false" customHeight="false" outlineLevel="0" collapsed="false">
      <c r="A805" s="18" t="s">
        <v>273</v>
      </c>
      <c r="B805" s="18" t="s">
        <v>336</v>
      </c>
      <c r="C805" s="18" t="s">
        <v>1342</v>
      </c>
      <c r="D805" s="18" t="s">
        <v>324</v>
      </c>
      <c r="E805" s="18" t="s">
        <v>404</v>
      </c>
      <c r="F805" s="18" t="s">
        <v>1343</v>
      </c>
      <c r="G805" s="18" t="n">
        <v>0.6</v>
      </c>
      <c r="H805" s="18" t="n">
        <v>2705</v>
      </c>
      <c r="I805" s="18" t="n">
        <v>113</v>
      </c>
      <c r="J805" s="18" t="n">
        <v>112</v>
      </c>
      <c r="K805" s="18" t="n">
        <v>0.00417214896927479</v>
      </c>
      <c r="L805" s="18" t="n">
        <v>0.00655470086156707</v>
      </c>
      <c r="M805" s="18" t="n">
        <v>0.636512490407889</v>
      </c>
      <c r="N805" s="18" t="n">
        <v>2703</v>
      </c>
      <c r="O805" s="18" t="n">
        <v>0.524496338680773</v>
      </c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 t="s">
        <v>402</v>
      </c>
      <c r="AI805" s="18"/>
      <c r="AJ805" s="18" t="s">
        <v>1350</v>
      </c>
    </row>
    <row r="806" customFormat="false" ht="15" hidden="false" customHeight="false" outlineLevel="0" collapsed="false">
      <c r="A806" s="18" t="s">
        <v>273</v>
      </c>
      <c r="B806" s="18" t="s">
        <v>338</v>
      </c>
      <c r="C806" s="18" t="s">
        <v>1342</v>
      </c>
      <c r="D806" s="18" t="s">
        <v>324</v>
      </c>
      <c r="E806" s="18" t="s">
        <v>404</v>
      </c>
      <c r="F806" s="18" t="s">
        <v>1343</v>
      </c>
      <c r="G806" s="18" t="n">
        <v>0.6</v>
      </c>
      <c r="H806" s="18" t="n">
        <v>2705</v>
      </c>
      <c r="I806" s="18" t="n">
        <v>113</v>
      </c>
      <c r="J806" s="18" t="n">
        <v>112</v>
      </c>
      <c r="K806" s="18" t="n">
        <v>0.0111866767100294</v>
      </c>
      <c r="L806" s="18" t="n">
        <v>0.00590553934459754</v>
      </c>
      <c r="M806" s="18" t="n">
        <v>1.89426842448574</v>
      </c>
      <c r="N806" s="18" t="n">
        <v>2703</v>
      </c>
      <c r="O806" s="18" t="n">
        <v>0.0582960455406301</v>
      </c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 t="s">
        <v>402</v>
      </c>
      <c r="AI806" s="18"/>
      <c r="AJ806" s="18" t="s">
        <v>1351</v>
      </c>
    </row>
    <row r="807" customFormat="false" ht="15" hidden="false" customHeight="false" outlineLevel="0" collapsed="false">
      <c r="A807" s="18" t="s">
        <v>273</v>
      </c>
      <c r="B807" s="18" t="s">
        <v>340</v>
      </c>
      <c r="C807" s="18" t="s">
        <v>1342</v>
      </c>
      <c r="D807" s="18" t="s">
        <v>324</v>
      </c>
      <c r="E807" s="18" t="s">
        <v>404</v>
      </c>
      <c r="F807" s="18" t="s">
        <v>1343</v>
      </c>
      <c r="G807" s="18" t="n">
        <v>0.6</v>
      </c>
      <c r="H807" s="18" t="n">
        <v>2705</v>
      </c>
      <c r="I807" s="18" t="n">
        <v>113</v>
      </c>
      <c r="J807" s="18" t="n">
        <v>112</v>
      </c>
      <c r="K807" s="18" t="n">
        <v>0.000479212640478028</v>
      </c>
      <c r="L807" s="18" t="n">
        <v>0.00435849257023171</v>
      </c>
      <c r="M807" s="18" t="n">
        <v>0.109949169983913</v>
      </c>
      <c r="N807" s="18" t="n">
        <v>2703</v>
      </c>
      <c r="O807" s="18" t="n">
        <v>0.912457848937904</v>
      </c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 t="s">
        <v>402</v>
      </c>
      <c r="AI807" s="18"/>
      <c r="AJ807" s="18" t="s">
        <v>1352</v>
      </c>
    </row>
    <row r="808" customFormat="false" ht="15" hidden="false" customHeight="false" outlineLevel="0" collapsed="false">
      <c r="A808" s="18" t="s">
        <v>273</v>
      </c>
      <c r="B808" s="18" t="s">
        <v>342</v>
      </c>
      <c r="C808" s="18" t="s">
        <v>1342</v>
      </c>
      <c r="D808" s="18" t="s">
        <v>324</v>
      </c>
      <c r="E808" s="18" t="s">
        <v>404</v>
      </c>
      <c r="F808" s="18" t="s">
        <v>1343</v>
      </c>
      <c r="G808" s="18" t="n">
        <v>0.6</v>
      </c>
      <c r="H808" s="18" t="n">
        <v>929</v>
      </c>
      <c r="I808" s="18" t="n">
        <v>40</v>
      </c>
      <c r="J808" s="18" t="n">
        <v>40</v>
      </c>
      <c r="K808" s="18" t="n">
        <v>0.00522625902926877</v>
      </c>
      <c r="L808" s="18" t="n">
        <v>0.00329941957301736</v>
      </c>
      <c r="M808" s="18" t="n">
        <v>1.58399346115574</v>
      </c>
      <c r="N808" s="18" t="n">
        <v>927</v>
      </c>
      <c r="O808" s="18" t="n">
        <v>0.113536276859644</v>
      </c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 t="s">
        <v>402</v>
      </c>
      <c r="AI808" s="18"/>
      <c r="AJ808" s="18" t="s">
        <v>1353</v>
      </c>
    </row>
    <row r="809" customFormat="false" ht="15" hidden="false" customHeight="false" outlineLevel="0" collapsed="false">
      <c r="A809" s="18" t="s">
        <v>273</v>
      </c>
      <c r="B809" s="18" t="s">
        <v>449</v>
      </c>
      <c r="C809" s="18" t="s">
        <v>1342</v>
      </c>
      <c r="D809" s="18" t="s">
        <v>324</v>
      </c>
      <c r="E809" s="18" t="s">
        <v>404</v>
      </c>
      <c r="F809" s="18" t="s">
        <v>1343</v>
      </c>
      <c r="G809" s="18" t="n">
        <v>0.6</v>
      </c>
      <c r="H809" s="18" t="n">
        <v>2692</v>
      </c>
      <c r="I809" s="18" t="n">
        <v>113</v>
      </c>
      <c r="J809" s="18" t="n">
        <v>112</v>
      </c>
      <c r="K809" s="18" t="n">
        <v>-0.00059796574937341</v>
      </c>
      <c r="L809" s="18" t="n">
        <v>0.00284316894507073</v>
      </c>
      <c r="M809" s="18" t="n">
        <v>-0.210316643479846</v>
      </c>
      <c r="N809" s="18" t="n">
        <v>2690</v>
      </c>
      <c r="O809" s="18" t="n">
        <v>0.833436474592478</v>
      </c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 t="s">
        <v>402</v>
      </c>
      <c r="AI809" s="18"/>
      <c r="AJ809" s="18" t="s">
        <v>1354</v>
      </c>
    </row>
    <row r="810" customFormat="false" ht="15" hidden="false" customHeight="false" outlineLevel="0" collapsed="false">
      <c r="A810" s="18" t="s">
        <v>273</v>
      </c>
      <c r="B810" s="18" t="s">
        <v>451</v>
      </c>
      <c r="C810" s="18" t="s">
        <v>1342</v>
      </c>
      <c r="D810" s="18" t="s">
        <v>324</v>
      </c>
      <c r="E810" s="18" t="s">
        <v>404</v>
      </c>
      <c r="F810" s="18" t="s">
        <v>1343</v>
      </c>
      <c r="G810" s="18" t="n">
        <v>0.6</v>
      </c>
      <c r="H810" s="18" t="n">
        <v>2692</v>
      </c>
      <c r="I810" s="18" t="n">
        <v>113</v>
      </c>
      <c r="J810" s="18" t="n">
        <v>112</v>
      </c>
      <c r="K810" s="18" t="n">
        <v>-0.000897260008261996</v>
      </c>
      <c r="L810" s="18" t="n">
        <v>0.00284566401460432</v>
      </c>
      <c r="M810" s="18" t="n">
        <v>-0.315307781824256</v>
      </c>
      <c r="N810" s="18" t="n">
        <v>2690</v>
      </c>
      <c r="O810" s="18" t="n">
        <v>0.752552434782261</v>
      </c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 t="s">
        <v>402</v>
      </c>
      <c r="AI810" s="18"/>
      <c r="AJ810" s="18" t="s">
        <v>1355</v>
      </c>
    </row>
    <row r="811" customFormat="false" ht="15" hidden="false" customHeight="false" outlineLevel="0" collapsed="false">
      <c r="A811" s="18" t="s">
        <v>273</v>
      </c>
      <c r="B811" s="18" t="s">
        <v>453</v>
      </c>
      <c r="C811" s="18" t="s">
        <v>1342</v>
      </c>
      <c r="D811" s="18" t="s">
        <v>324</v>
      </c>
      <c r="E811" s="18" t="s">
        <v>404</v>
      </c>
      <c r="F811" s="18" t="s">
        <v>1343</v>
      </c>
      <c r="G811" s="18" t="n">
        <v>0.6</v>
      </c>
      <c r="H811" s="18" t="n">
        <v>2692</v>
      </c>
      <c r="I811" s="18" t="n">
        <v>113</v>
      </c>
      <c r="J811" s="18" t="n">
        <v>112</v>
      </c>
      <c r="K811" s="18" t="n">
        <v>0.00443152734720731</v>
      </c>
      <c r="L811" s="18" t="n">
        <v>0.0076273895461811</v>
      </c>
      <c r="M811" s="18" t="n">
        <v>0.581001838227352</v>
      </c>
      <c r="N811" s="18" t="n">
        <v>2690</v>
      </c>
      <c r="O811" s="18" t="n">
        <v>0.561287888039887</v>
      </c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 t="s">
        <v>402</v>
      </c>
      <c r="AI811" s="18"/>
      <c r="AJ811" s="18" t="s">
        <v>1356</v>
      </c>
    </row>
    <row r="812" customFormat="false" ht="15" hidden="false" customHeight="false" outlineLevel="0" collapsed="false">
      <c r="A812" s="18" t="s">
        <v>273</v>
      </c>
      <c r="B812" s="18" t="s">
        <v>455</v>
      </c>
      <c r="C812" s="18" t="s">
        <v>1342</v>
      </c>
      <c r="D812" s="18" t="s">
        <v>324</v>
      </c>
      <c r="E812" s="18" t="s">
        <v>404</v>
      </c>
      <c r="F812" s="18" t="s">
        <v>1343</v>
      </c>
      <c r="G812" s="18" t="n">
        <v>0.6</v>
      </c>
      <c r="H812" s="18" t="n">
        <v>2692</v>
      </c>
      <c r="I812" s="18" t="n">
        <v>113</v>
      </c>
      <c r="J812" s="18" t="n">
        <v>112</v>
      </c>
      <c r="K812" s="18" t="n">
        <v>-0.000818405111013984</v>
      </c>
      <c r="L812" s="18" t="n">
        <v>0.00284596441492247</v>
      </c>
      <c r="M812" s="18" t="n">
        <v>-0.287566881273278</v>
      </c>
      <c r="N812" s="18" t="n">
        <v>2690</v>
      </c>
      <c r="O812" s="18" t="n">
        <v>0.773700450403859</v>
      </c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 t="s">
        <v>402</v>
      </c>
      <c r="AI812" s="18"/>
      <c r="AJ812" s="18" t="s">
        <v>1357</v>
      </c>
    </row>
    <row r="813" customFormat="false" ht="15" hidden="false" customHeight="false" outlineLevel="0" collapsed="false">
      <c r="A813" s="18" t="s">
        <v>273</v>
      </c>
      <c r="B813" s="18" t="s">
        <v>457</v>
      </c>
      <c r="C813" s="18" t="s">
        <v>1342</v>
      </c>
      <c r="D813" s="18" t="s">
        <v>324</v>
      </c>
      <c r="E813" s="18" t="s">
        <v>404</v>
      </c>
      <c r="F813" s="18" t="s">
        <v>1343</v>
      </c>
      <c r="G813" s="18" t="n">
        <v>0.6</v>
      </c>
      <c r="H813" s="18" t="n">
        <v>2692</v>
      </c>
      <c r="I813" s="18" t="n">
        <v>113</v>
      </c>
      <c r="J813" s="18" t="n">
        <v>112</v>
      </c>
      <c r="K813" s="18" t="n">
        <v>0.00028514843713353</v>
      </c>
      <c r="L813" s="18" t="n">
        <v>0.00285403468508993</v>
      </c>
      <c r="M813" s="18" t="n">
        <v>0.0999106418093671</v>
      </c>
      <c r="N813" s="18" t="n">
        <v>2690</v>
      </c>
      <c r="O813" s="18" t="n">
        <v>0.920422712696046</v>
      </c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 t="s">
        <v>402</v>
      </c>
      <c r="AI813" s="18"/>
      <c r="AJ813" s="18" t="s">
        <v>1358</v>
      </c>
    </row>
    <row r="814" customFormat="false" ht="15" hidden="false" customHeight="false" outlineLevel="0" collapsed="false">
      <c r="A814" s="18" t="s">
        <v>273</v>
      </c>
      <c r="B814" s="18" t="s">
        <v>459</v>
      </c>
      <c r="C814" s="18" t="s">
        <v>1342</v>
      </c>
      <c r="D814" s="18" t="s">
        <v>324</v>
      </c>
      <c r="E814" s="18" t="s">
        <v>404</v>
      </c>
      <c r="F814" s="18" t="s">
        <v>1343</v>
      </c>
      <c r="G814" s="18" t="n">
        <v>0.6</v>
      </c>
      <c r="H814" s="18" t="n">
        <v>2692</v>
      </c>
      <c r="I814" s="18" t="n">
        <v>113</v>
      </c>
      <c r="J814" s="18" t="n">
        <v>112</v>
      </c>
      <c r="K814" s="18" t="n">
        <v>0.000235485655850649</v>
      </c>
      <c r="L814" s="18" t="n">
        <v>0.00285661420333565</v>
      </c>
      <c r="M814" s="18" t="n">
        <v>0.0824352324425445</v>
      </c>
      <c r="N814" s="18" t="n">
        <v>2690</v>
      </c>
      <c r="O814" s="18" t="n">
        <v>0.934306753127628</v>
      </c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 t="s">
        <v>402</v>
      </c>
      <c r="AI814" s="18"/>
      <c r="AJ814" s="18" t="s">
        <v>1359</v>
      </c>
    </row>
    <row r="815" customFormat="false" ht="15" hidden="false" customHeight="false" outlineLevel="0" collapsed="false">
      <c r="A815" s="18" t="s">
        <v>273</v>
      </c>
      <c r="B815" s="18" t="s">
        <v>461</v>
      </c>
      <c r="C815" s="18" t="s">
        <v>1342</v>
      </c>
      <c r="D815" s="18" t="s">
        <v>324</v>
      </c>
      <c r="E815" s="18" t="s">
        <v>404</v>
      </c>
      <c r="F815" s="18" t="s">
        <v>1343</v>
      </c>
      <c r="G815" s="18" t="n">
        <v>0.6</v>
      </c>
      <c r="H815" s="18" t="n">
        <v>2692</v>
      </c>
      <c r="I815" s="18" t="n">
        <v>113</v>
      </c>
      <c r="J815" s="18" t="n">
        <v>112</v>
      </c>
      <c r="K815" s="18" t="n">
        <v>0.00364535093855394</v>
      </c>
      <c r="L815" s="18" t="n">
        <v>0.0061442821094487</v>
      </c>
      <c r="M815" s="18" t="n">
        <v>0.593291595929182</v>
      </c>
      <c r="N815" s="18" t="n">
        <v>2690</v>
      </c>
      <c r="O815" s="18" t="n">
        <v>0.553035900108576</v>
      </c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 t="s">
        <v>402</v>
      </c>
      <c r="AI815" s="18"/>
      <c r="AJ815" s="18" t="s">
        <v>1360</v>
      </c>
    </row>
    <row r="816" customFormat="false" ht="15" hidden="false" customHeight="false" outlineLevel="0" collapsed="false">
      <c r="A816" s="18" t="s">
        <v>273</v>
      </c>
      <c r="B816" s="18" t="s">
        <v>463</v>
      </c>
      <c r="C816" s="18" t="s">
        <v>1342</v>
      </c>
      <c r="D816" s="18" t="s">
        <v>324</v>
      </c>
      <c r="E816" s="18" t="s">
        <v>404</v>
      </c>
      <c r="F816" s="18" t="s">
        <v>1343</v>
      </c>
      <c r="G816" s="18" t="n">
        <v>0.6</v>
      </c>
      <c r="H816" s="18" t="n">
        <v>2692</v>
      </c>
      <c r="I816" s="18" t="n">
        <v>113</v>
      </c>
      <c r="J816" s="18" t="n">
        <v>112</v>
      </c>
      <c r="K816" s="18" t="n">
        <v>0.00914443054957321</v>
      </c>
      <c r="L816" s="18" t="n">
        <v>0.00553725255495715</v>
      </c>
      <c r="M816" s="18" t="n">
        <v>1.65143822840206</v>
      </c>
      <c r="N816" s="18" t="n">
        <v>2690</v>
      </c>
      <c r="O816" s="18" t="n">
        <v>0.0987658455094685</v>
      </c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 t="s">
        <v>402</v>
      </c>
      <c r="AI816" s="18"/>
      <c r="AJ816" s="18" t="s">
        <v>1361</v>
      </c>
    </row>
    <row r="817" customFormat="false" ht="15" hidden="false" customHeight="false" outlineLevel="0" collapsed="false">
      <c r="A817" s="18" t="s">
        <v>273</v>
      </c>
      <c r="B817" s="18" t="s">
        <v>465</v>
      </c>
      <c r="C817" s="18" t="s">
        <v>1342</v>
      </c>
      <c r="D817" s="18" t="s">
        <v>324</v>
      </c>
      <c r="E817" s="18" t="s">
        <v>404</v>
      </c>
      <c r="F817" s="18" t="s">
        <v>1343</v>
      </c>
      <c r="G817" s="18" t="n">
        <v>0.6</v>
      </c>
      <c r="H817" s="18" t="n">
        <v>2692</v>
      </c>
      <c r="I817" s="18" t="n">
        <v>113</v>
      </c>
      <c r="J817" s="18" t="n">
        <v>112</v>
      </c>
      <c r="K817" s="18" t="n">
        <v>-0.000535920390417447</v>
      </c>
      <c r="L817" s="18" t="n">
        <v>0.00408485993688179</v>
      </c>
      <c r="M817" s="18" t="n">
        <v>-0.131196760402646</v>
      </c>
      <c r="N817" s="18" t="n">
        <v>2690</v>
      </c>
      <c r="O817" s="18" t="n">
        <v>0.895629469434721</v>
      </c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 t="s">
        <v>402</v>
      </c>
      <c r="AI817" s="18"/>
      <c r="AJ817" s="18" t="s">
        <v>1362</v>
      </c>
    </row>
    <row r="818" customFormat="false" ht="15" hidden="false" customHeight="false" outlineLevel="0" collapsed="false">
      <c r="A818" s="18" t="s">
        <v>273</v>
      </c>
      <c r="B818" s="18" t="s">
        <v>467</v>
      </c>
      <c r="C818" s="18" t="s">
        <v>1342</v>
      </c>
      <c r="D818" s="18" t="s">
        <v>324</v>
      </c>
      <c r="E818" s="18" t="s">
        <v>404</v>
      </c>
      <c r="F818" s="18" t="s">
        <v>1343</v>
      </c>
      <c r="G818" s="18" t="n">
        <v>0.6</v>
      </c>
      <c r="H818" s="18" t="n">
        <v>924</v>
      </c>
      <c r="I818" s="18" t="n">
        <v>40</v>
      </c>
      <c r="J818" s="18" t="n">
        <v>40</v>
      </c>
      <c r="K818" s="18" t="n">
        <v>0.0044105978853552</v>
      </c>
      <c r="L818" s="18" t="n">
        <v>0.00310106492097799</v>
      </c>
      <c r="M818" s="18" t="n">
        <v>1.42228492396871</v>
      </c>
      <c r="N818" s="18" t="n">
        <v>922</v>
      </c>
      <c r="O818" s="18" t="n">
        <v>0.155281760874715</v>
      </c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 t="s">
        <v>402</v>
      </c>
      <c r="AI818" s="18"/>
      <c r="AJ818" s="18" t="s">
        <v>1363</v>
      </c>
    </row>
    <row r="819" customFormat="false" ht="15" hidden="false" customHeight="false" outlineLevel="0" collapsed="false">
      <c r="A819" s="18" t="s">
        <v>273</v>
      </c>
      <c r="B819" s="18" t="s">
        <v>469</v>
      </c>
      <c r="C819" s="18" t="s">
        <v>1342</v>
      </c>
      <c r="D819" s="18" t="s">
        <v>324</v>
      </c>
      <c r="E819" s="18" t="s">
        <v>404</v>
      </c>
      <c r="F819" s="18" t="s">
        <v>1343</v>
      </c>
      <c r="G819" s="18" t="n">
        <v>0.6</v>
      </c>
      <c r="H819" s="18" t="n">
        <v>2705</v>
      </c>
      <c r="I819" s="18" t="n">
        <v>113</v>
      </c>
      <c r="J819" s="18" t="n">
        <v>112</v>
      </c>
      <c r="K819" s="18" t="n">
        <v>0.00332678903148287</v>
      </c>
      <c r="L819" s="18" t="n">
        <v>0.00247015459489064</v>
      </c>
      <c r="M819" s="18" t="n">
        <v>1.34679385588421</v>
      </c>
      <c r="N819" s="18" t="n">
        <v>2703</v>
      </c>
      <c r="O819" s="18" t="n">
        <v>0.178159541508735</v>
      </c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 t="s">
        <v>402</v>
      </c>
      <c r="AI819" s="18"/>
      <c r="AJ819" s="18" t="s">
        <v>1364</v>
      </c>
    </row>
    <row r="820" customFormat="false" ht="15" hidden="false" customHeight="false" outlineLevel="0" collapsed="false">
      <c r="A820" s="18" t="s">
        <v>273</v>
      </c>
      <c r="B820" s="18" t="s">
        <v>471</v>
      </c>
      <c r="C820" s="18" t="s">
        <v>1342</v>
      </c>
      <c r="D820" s="18" t="s">
        <v>324</v>
      </c>
      <c r="E820" s="18" t="s">
        <v>404</v>
      </c>
      <c r="F820" s="18" t="s">
        <v>1343</v>
      </c>
      <c r="G820" s="18" t="n">
        <v>0.6</v>
      </c>
      <c r="H820" s="18" t="n">
        <v>2705</v>
      </c>
      <c r="I820" s="18" t="n">
        <v>113</v>
      </c>
      <c r="J820" s="18" t="n">
        <v>112</v>
      </c>
      <c r="K820" s="18" t="n">
        <v>0.00307250679887492</v>
      </c>
      <c r="L820" s="18" t="n">
        <v>0.0024724744019977</v>
      </c>
      <c r="M820" s="18" t="n">
        <v>1.24268497841369</v>
      </c>
      <c r="N820" s="18" t="n">
        <v>2703</v>
      </c>
      <c r="O820" s="18" t="n">
        <v>0.21409173223226</v>
      </c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 t="s">
        <v>402</v>
      </c>
      <c r="AI820" s="18"/>
      <c r="AJ820" s="18" t="s">
        <v>1365</v>
      </c>
    </row>
    <row r="821" customFormat="false" ht="15" hidden="false" customHeight="false" outlineLevel="0" collapsed="false">
      <c r="A821" s="18" t="s">
        <v>273</v>
      </c>
      <c r="B821" s="18" t="s">
        <v>473</v>
      </c>
      <c r="C821" s="18" t="s">
        <v>1342</v>
      </c>
      <c r="D821" s="18" t="s">
        <v>324</v>
      </c>
      <c r="E821" s="18" t="s">
        <v>404</v>
      </c>
      <c r="F821" s="18" t="s">
        <v>1343</v>
      </c>
      <c r="G821" s="18" t="n">
        <v>0.6</v>
      </c>
      <c r="H821" s="18" t="n">
        <v>2705</v>
      </c>
      <c r="I821" s="18" t="n">
        <v>113</v>
      </c>
      <c r="J821" s="18" t="n">
        <v>112</v>
      </c>
      <c r="K821" s="18" t="n">
        <v>0.00257740326778365</v>
      </c>
      <c r="L821" s="18" t="n">
        <v>0.00662711993148699</v>
      </c>
      <c r="M821" s="18" t="n">
        <v>0.38891755308936</v>
      </c>
      <c r="N821" s="18" t="n">
        <v>2703</v>
      </c>
      <c r="O821" s="18" t="n">
        <v>0.697367770386067</v>
      </c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 t="s">
        <v>402</v>
      </c>
      <c r="AI821" s="18"/>
      <c r="AJ821" s="18" t="s">
        <v>1366</v>
      </c>
    </row>
    <row r="822" customFormat="false" ht="15" hidden="false" customHeight="false" outlineLevel="0" collapsed="false">
      <c r="A822" s="18" t="s">
        <v>273</v>
      </c>
      <c r="B822" s="18" t="s">
        <v>475</v>
      </c>
      <c r="C822" s="18" t="s">
        <v>1342</v>
      </c>
      <c r="D822" s="18" t="s">
        <v>324</v>
      </c>
      <c r="E822" s="18" t="s">
        <v>404</v>
      </c>
      <c r="F822" s="18" t="s">
        <v>1343</v>
      </c>
      <c r="G822" s="18" t="n">
        <v>0.6</v>
      </c>
      <c r="H822" s="18" t="n">
        <v>2705</v>
      </c>
      <c r="I822" s="18" t="n">
        <v>113</v>
      </c>
      <c r="J822" s="18" t="n">
        <v>112</v>
      </c>
      <c r="K822" s="18" t="n">
        <v>0.00314693220472563</v>
      </c>
      <c r="L822" s="18" t="n">
        <v>0.00247269360037889</v>
      </c>
      <c r="M822" s="18" t="n">
        <v>1.27267373694963</v>
      </c>
      <c r="N822" s="18" t="n">
        <v>2703</v>
      </c>
      <c r="O822" s="18" t="n">
        <v>0.203243298619538</v>
      </c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 t="s">
        <v>402</v>
      </c>
      <c r="AI822" s="18"/>
      <c r="AJ822" s="18" t="s">
        <v>1367</v>
      </c>
    </row>
    <row r="823" customFormat="false" ht="15" hidden="false" customHeight="false" outlineLevel="0" collapsed="false">
      <c r="A823" s="18" t="s">
        <v>273</v>
      </c>
      <c r="B823" s="18" t="s">
        <v>477</v>
      </c>
      <c r="C823" s="18" t="s">
        <v>1342</v>
      </c>
      <c r="D823" s="18" t="s">
        <v>324</v>
      </c>
      <c r="E823" s="18" t="s">
        <v>404</v>
      </c>
      <c r="F823" s="18" t="s">
        <v>1343</v>
      </c>
      <c r="G823" s="18" t="n">
        <v>0.6</v>
      </c>
      <c r="H823" s="18" t="n">
        <v>2705</v>
      </c>
      <c r="I823" s="18" t="n">
        <v>113</v>
      </c>
      <c r="J823" s="18" t="n">
        <v>112</v>
      </c>
      <c r="K823" s="18" t="n">
        <v>0.00415036660071743</v>
      </c>
      <c r="L823" s="18" t="n">
        <v>0.00247913765430065</v>
      </c>
      <c r="M823" s="18" t="n">
        <v>1.67411704368963</v>
      </c>
      <c r="N823" s="18" t="n">
        <v>2703</v>
      </c>
      <c r="O823" s="18" t="n">
        <v>0.0942232915070758</v>
      </c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 t="s">
        <v>402</v>
      </c>
      <c r="AI823" s="18"/>
      <c r="AJ823" s="18" t="s">
        <v>1368</v>
      </c>
    </row>
    <row r="824" customFormat="false" ht="15" hidden="false" customHeight="false" outlineLevel="0" collapsed="false">
      <c r="A824" s="18" t="s">
        <v>273</v>
      </c>
      <c r="B824" s="18" t="s">
        <v>479</v>
      </c>
      <c r="C824" s="18" t="s">
        <v>1342</v>
      </c>
      <c r="D824" s="18" t="s">
        <v>324</v>
      </c>
      <c r="E824" s="18" t="s">
        <v>404</v>
      </c>
      <c r="F824" s="18" t="s">
        <v>1343</v>
      </c>
      <c r="G824" s="18" t="n">
        <v>0.6</v>
      </c>
      <c r="H824" s="18" t="n">
        <v>2705</v>
      </c>
      <c r="I824" s="18" t="n">
        <v>113</v>
      </c>
      <c r="J824" s="18" t="n">
        <v>112</v>
      </c>
      <c r="K824" s="18" t="n">
        <v>0.00407666725387619</v>
      </c>
      <c r="L824" s="18" t="n">
        <v>0.00248142632786496</v>
      </c>
      <c r="M824" s="18" t="n">
        <v>1.64287257215643</v>
      </c>
      <c r="N824" s="18" t="n">
        <v>2703</v>
      </c>
      <c r="O824" s="18" t="n">
        <v>0.100525612641218</v>
      </c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 t="s">
        <v>402</v>
      </c>
      <c r="AI824" s="18"/>
      <c r="AJ824" s="18" t="s">
        <v>1369</v>
      </c>
    </row>
    <row r="825" customFormat="false" ht="15" hidden="false" customHeight="false" outlineLevel="0" collapsed="false">
      <c r="A825" s="18" t="s">
        <v>273</v>
      </c>
      <c r="B825" s="18" t="s">
        <v>481</v>
      </c>
      <c r="C825" s="18" t="s">
        <v>1342</v>
      </c>
      <c r="D825" s="18" t="s">
        <v>324</v>
      </c>
      <c r="E825" s="18" t="s">
        <v>404</v>
      </c>
      <c r="F825" s="18" t="s">
        <v>1343</v>
      </c>
      <c r="G825" s="18" t="n">
        <v>0.6</v>
      </c>
      <c r="H825" s="18" t="n">
        <v>2705</v>
      </c>
      <c r="I825" s="18" t="n">
        <v>113</v>
      </c>
      <c r="J825" s="18" t="n">
        <v>112</v>
      </c>
      <c r="K825" s="18" t="n">
        <v>0.00190761094483095</v>
      </c>
      <c r="L825" s="18" t="n">
        <v>0.00533852859541648</v>
      </c>
      <c r="M825" s="18" t="n">
        <v>0.357328973842862</v>
      </c>
      <c r="N825" s="18" t="n">
        <v>2703</v>
      </c>
      <c r="O825" s="18" t="n">
        <v>0.720873437805911</v>
      </c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 t="s">
        <v>402</v>
      </c>
      <c r="AI825" s="18"/>
      <c r="AJ825" s="18" t="s">
        <v>1370</v>
      </c>
    </row>
    <row r="826" customFormat="false" ht="15" hidden="false" customHeight="false" outlineLevel="0" collapsed="false">
      <c r="A826" s="18" t="s">
        <v>273</v>
      </c>
      <c r="B826" s="18" t="s">
        <v>483</v>
      </c>
      <c r="C826" s="18" t="s">
        <v>1342</v>
      </c>
      <c r="D826" s="18" t="s">
        <v>324</v>
      </c>
      <c r="E826" s="18" t="s">
        <v>404</v>
      </c>
      <c r="F826" s="18" t="s">
        <v>1343</v>
      </c>
      <c r="G826" s="18" t="n">
        <v>0.6</v>
      </c>
      <c r="H826" s="18" t="n">
        <v>2705</v>
      </c>
      <c r="I826" s="18" t="n">
        <v>113</v>
      </c>
      <c r="J826" s="18" t="n">
        <v>112</v>
      </c>
      <c r="K826" s="18" t="n">
        <v>0.00777565278778538</v>
      </c>
      <c r="L826" s="18" t="n">
        <v>0.00481043388846285</v>
      </c>
      <c r="M826" s="18" t="n">
        <v>1.61641402170274</v>
      </c>
      <c r="N826" s="18" t="n">
        <v>2703</v>
      </c>
      <c r="O826" s="18" t="n">
        <v>0.106121523070094</v>
      </c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 t="s">
        <v>402</v>
      </c>
      <c r="AI826" s="18"/>
      <c r="AJ826" s="18" t="s">
        <v>1371</v>
      </c>
    </row>
    <row r="827" customFormat="false" ht="15" hidden="false" customHeight="false" outlineLevel="0" collapsed="false">
      <c r="A827" s="18" t="s">
        <v>273</v>
      </c>
      <c r="B827" s="18" t="s">
        <v>485</v>
      </c>
      <c r="C827" s="18" t="s">
        <v>1342</v>
      </c>
      <c r="D827" s="18" t="s">
        <v>324</v>
      </c>
      <c r="E827" s="18" t="s">
        <v>404</v>
      </c>
      <c r="F827" s="18" t="s">
        <v>1343</v>
      </c>
      <c r="G827" s="18" t="n">
        <v>0.6</v>
      </c>
      <c r="H827" s="18" t="n">
        <v>2705</v>
      </c>
      <c r="I827" s="18" t="n">
        <v>113</v>
      </c>
      <c r="J827" s="18" t="n">
        <v>112</v>
      </c>
      <c r="K827" s="18" t="n">
        <v>-0.00250458710565145</v>
      </c>
      <c r="L827" s="18" t="n">
        <v>0.00354930802132972</v>
      </c>
      <c r="M827" s="18" t="n">
        <v>-0.705655043349303</v>
      </c>
      <c r="N827" s="18" t="n">
        <v>2703</v>
      </c>
      <c r="O827" s="18" t="n">
        <v>0.480463493496184</v>
      </c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 t="s">
        <v>402</v>
      </c>
      <c r="AI827" s="18"/>
      <c r="AJ827" s="18" t="s">
        <v>1372</v>
      </c>
    </row>
    <row r="828" customFormat="false" ht="15" hidden="false" customHeight="false" outlineLevel="0" collapsed="false">
      <c r="A828" s="18" t="s">
        <v>273</v>
      </c>
      <c r="B828" s="18" t="s">
        <v>487</v>
      </c>
      <c r="C828" s="18" t="s">
        <v>1342</v>
      </c>
      <c r="D828" s="18" t="s">
        <v>324</v>
      </c>
      <c r="E828" s="18" t="s">
        <v>404</v>
      </c>
      <c r="F828" s="18" t="s">
        <v>1343</v>
      </c>
      <c r="G828" s="18" t="n">
        <v>0.6</v>
      </c>
      <c r="H828" s="18" t="n">
        <v>929</v>
      </c>
      <c r="I828" s="18" t="n">
        <v>40</v>
      </c>
      <c r="J828" s="18" t="n">
        <v>40</v>
      </c>
      <c r="K828" s="18" t="n">
        <v>0.004774209477617</v>
      </c>
      <c r="L828" s="18" t="n">
        <v>0.00310114037643767</v>
      </c>
      <c r="M828" s="18" t="n">
        <v>1.53950124731252</v>
      </c>
      <c r="N828" s="18" t="n">
        <v>927</v>
      </c>
      <c r="O828" s="18" t="n">
        <v>0.124023231826245</v>
      </c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 t="s">
        <v>402</v>
      </c>
      <c r="AI828" s="18"/>
      <c r="AJ828" s="18" t="s">
        <v>1373</v>
      </c>
    </row>
    <row r="829" customFormat="false" ht="15" hidden="false" customHeight="false" outlineLevel="0" collapsed="false">
      <c r="A829" s="18" t="s">
        <v>273</v>
      </c>
      <c r="B829" s="18" t="s">
        <v>489</v>
      </c>
      <c r="C829" s="18" t="s">
        <v>1342</v>
      </c>
      <c r="D829" s="18" t="s">
        <v>324</v>
      </c>
      <c r="E829" s="18" t="s">
        <v>404</v>
      </c>
      <c r="F829" s="18" t="s">
        <v>1343</v>
      </c>
      <c r="G829" s="18" t="n">
        <v>0.6</v>
      </c>
      <c r="H829" s="18" t="n">
        <v>2607</v>
      </c>
      <c r="I829" s="18" t="n">
        <v>110</v>
      </c>
      <c r="J829" s="18" t="n">
        <v>109</v>
      </c>
      <c r="K829" s="18" t="n">
        <v>-0.000385657771874191</v>
      </c>
      <c r="L829" s="18" t="n">
        <v>0.00309786773689082</v>
      </c>
      <c r="M829" s="18" t="n">
        <v>-0.124491361358525</v>
      </c>
      <c r="N829" s="18" t="n">
        <v>2605</v>
      </c>
      <c r="O829" s="18" t="n">
        <v>0.900935844962156</v>
      </c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 t="s">
        <v>402</v>
      </c>
      <c r="AI829" s="18"/>
      <c r="AJ829" s="18" t="s">
        <v>1374</v>
      </c>
    </row>
    <row r="830" customFormat="false" ht="15" hidden="false" customHeight="false" outlineLevel="0" collapsed="false">
      <c r="A830" s="18" t="s">
        <v>273</v>
      </c>
      <c r="B830" s="18" t="s">
        <v>491</v>
      </c>
      <c r="C830" s="18" t="s">
        <v>1342</v>
      </c>
      <c r="D830" s="18" t="s">
        <v>324</v>
      </c>
      <c r="E830" s="18" t="s">
        <v>404</v>
      </c>
      <c r="F830" s="18" t="s">
        <v>1343</v>
      </c>
      <c r="G830" s="18" t="n">
        <v>0.6</v>
      </c>
      <c r="H830" s="18" t="n">
        <v>2607</v>
      </c>
      <c r="I830" s="18" t="n">
        <v>110</v>
      </c>
      <c r="J830" s="18" t="n">
        <v>109</v>
      </c>
      <c r="K830" s="18" t="n">
        <v>-0.000685896057644374</v>
      </c>
      <c r="L830" s="18" t="n">
        <v>0.00310052002361899</v>
      </c>
      <c r="M830" s="18" t="n">
        <v>-0.221219683285187</v>
      </c>
      <c r="N830" s="18" t="n">
        <v>2605</v>
      </c>
      <c r="O830" s="18" t="n">
        <v>0.824938721803364</v>
      </c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 t="s">
        <v>402</v>
      </c>
      <c r="AI830" s="18"/>
      <c r="AJ830" s="18" t="s">
        <v>1375</v>
      </c>
    </row>
    <row r="831" customFormat="false" ht="15" hidden="false" customHeight="false" outlineLevel="0" collapsed="false">
      <c r="A831" s="18" t="s">
        <v>273</v>
      </c>
      <c r="B831" s="18" t="s">
        <v>493</v>
      </c>
      <c r="C831" s="18" t="s">
        <v>1342</v>
      </c>
      <c r="D831" s="18" t="s">
        <v>324</v>
      </c>
      <c r="E831" s="18" t="s">
        <v>404</v>
      </c>
      <c r="F831" s="18" t="s">
        <v>1343</v>
      </c>
      <c r="G831" s="18" t="n">
        <v>0.6</v>
      </c>
      <c r="H831" s="18" t="n">
        <v>2607</v>
      </c>
      <c r="I831" s="18" t="n">
        <v>110</v>
      </c>
      <c r="J831" s="18" t="n">
        <v>109</v>
      </c>
      <c r="K831" s="18" t="n">
        <v>0.00172872408613894</v>
      </c>
      <c r="L831" s="18" t="n">
        <v>0.00868583279091629</v>
      </c>
      <c r="M831" s="18" t="n">
        <v>0.19902801812474</v>
      </c>
      <c r="N831" s="18" t="n">
        <v>2605</v>
      </c>
      <c r="O831" s="18" t="n">
        <v>0.842256359981141</v>
      </c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 t="s">
        <v>402</v>
      </c>
      <c r="AI831" s="18"/>
      <c r="AJ831" s="18" t="s">
        <v>1376</v>
      </c>
    </row>
    <row r="832" customFormat="false" ht="15" hidden="false" customHeight="false" outlineLevel="0" collapsed="false">
      <c r="A832" s="18" t="s">
        <v>273</v>
      </c>
      <c r="B832" s="18" t="s">
        <v>495</v>
      </c>
      <c r="C832" s="18" t="s">
        <v>1342</v>
      </c>
      <c r="D832" s="18" t="s">
        <v>324</v>
      </c>
      <c r="E832" s="18" t="s">
        <v>404</v>
      </c>
      <c r="F832" s="18" t="s">
        <v>1343</v>
      </c>
      <c r="G832" s="18" t="n">
        <v>0.6</v>
      </c>
      <c r="H832" s="18" t="n">
        <v>2607</v>
      </c>
      <c r="I832" s="18" t="n">
        <v>110</v>
      </c>
      <c r="J832" s="18" t="n">
        <v>109</v>
      </c>
      <c r="K832" s="18" t="n">
        <v>-0.000606447799019475</v>
      </c>
      <c r="L832" s="18" t="n">
        <v>0.00310083601396756</v>
      </c>
      <c r="M832" s="18" t="n">
        <v>-0.195575579065698</v>
      </c>
      <c r="N832" s="18" t="n">
        <v>2605</v>
      </c>
      <c r="O832" s="18" t="n">
        <v>0.844957629431549</v>
      </c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 t="s">
        <v>402</v>
      </c>
      <c r="AI832" s="18"/>
      <c r="AJ832" s="18" t="s">
        <v>1377</v>
      </c>
    </row>
    <row r="833" customFormat="false" ht="15" hidden="false" customHeight="false" outlineLevel="0" collapsed="false">
      <c r="A833" s="18" t="s">
        <v>273</v>
      </c>
      <c r="B833" s="18" t="s">
        <v>497</v>
      </c>
      <c r="C833" s="18" t="s">
        <v>1342</v>
      </c>
      <c r="D833" s="18" t="s">
        <v>324</v>
      </c>
      <c r="E833" s="18" t="s">
        <v>404</v>
      </c>
      <c r="F833" s="18" t="s">
        <v>1343</v>
      </c>
      <c r="G833" s="18" t="n">
        <v>0.6</v>
      </c>
      <c r="H833" s="18" t="n">
        <v>2607</v>
      </c>
      <c r="I833" s="18" t="n">
        <v>110</v>
      </c>
      <c r="J833" s="18" t="n">
        <v>109</v>
      </c>
      <c r="K833" s="18" t="n">
        <v>0.0003449624475639</v>
      </c>
      <c r="L833" s="18" t="n">
        <v>0.00310828812113144</v>
      </c>
      <c r="M833" s="18" t="n">
        <v>0.110981490170973</v>
      </c>
      <c r="N833" s="18" t="n">
        <v>2605</v>
      </c>
      <c r="O833" s="18" t="n">
        <v>0.911639574311899</v>
      </c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 t="s">
        <v>402</v>
      </c>
      <c r="AI833" s="18"/>
      <c r="AJ833" s="18" t="s">
        <v>1378</v>
      </c>
    </row>
    <row r="834" customFormat="false" ht="15" hidden="false" customHeight="false" outlineLevel="0" collapsed="false">
      <c r="A834" s="18" t="s">
        <v>273</v>
      </c>
      <c r="B834" s="18" t="s">
        <v>499</v>
      </c>
      <c r="C834" s="18" t="s">
        <v>1342</v>
      </c>
      <c r="D834" s="18" t="s">
        <v>324</v>
      </c>
      <c r="E834" s="18" t="s">
        <v>404</v>
      </c>
      <c r="F834" s="18" t="s">
        <v>1343</v>
      </c>
      <c r="G834" s="18" t="n">
        <v>0.6</v>
      </c>
      <c r="H834" s="18" t="n">
        <v>2607</v>
      </c>
      <c r="I834" s="18" t="n">
        <v>110</v>
      </c>
      <c r="J834" s="18" t="n">
        <v>109</v>
      </c>
      <c r="K834" s="18" t="n">
        <v>0.000295461768183354</v>
      </c>
      <c r="L834" s="18" t="n">
        <v>0.00311097285160093</v>
      </c>
      <c r="M834" s="18" t="n">
        <v>0.0949740747597032</v>
      </c>
      <c r="N834" s="18" t="n">
        <v>2605</v>
      </c>
      <c r="O834" s="18" t="n">
        <v>0.924342723782469</v>
      </c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 t="s">
        <v>402</v>
      </c>
      <c r="AI834" s="18"/>
      <c r="AJ834" s="18" t="s">
        <v>1379</v>
      </c>
    </row>
    <row r="835" customFormat="false" ht="15" hidden="false" customHeight="false" outlineLevel="0" collapsed="false">
      <c r="A835" s="18" t="s">
        <v>273</v>
      </c>
      <c r="B835" s="18" t="s">
        <v>501</v>
      </c>
      <c r="C835" s="18" t="s">
        <v>1342</v>
      </c>
      <c r="D835" s="18" t="s">
        <v>324</v>
      </c>
      <c r="E835" s="18" t="s">
        <v>404</v>
      </c>
      <c r="F835" s="18" t="s">
        <v>1343</v>
      </c>
      <c r="G835" s="18" t="n">
        <v>0.6</v>
      </c>
      <c r="H835" s="18" t="n">
        <v>2607</v>
      </c>
      <c r="I835" s="18" t="n">
        <v>110</v>
      </c>
      <c r="J835" s="18" t="n">
        <v>109</v>
      </c>
      <c r="K835" s="18" t="n">
        <v>0.00188717297126701</v>
      </c>
      <c r="L835" s="18" t="n">
        <v>0.00687369479903364</v>
      </c>
      <c r="M835" s="18" t="n">
        <v>0.274550009338839</v>
      </c>
      <c r="N835" s="18" t="n">
        <v>2605</v>
      </c>
      <c r="O835" s="18" t="n">
        <v>0.783683747850654</v>
      </c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 t="s">
        <v>402</v>
      </c>
      <c r="AI835" s="18"/>
      <c r="AJ835" s="18" t="s">
        <v>1380</v>
      </c>
    </row>
    <row r="836" customFormat="false" ht="15" hidden="false" customHeight="false" outlineLevel="0" collapsed="false">
      <c r="A836" s="18" t="s">
        <v>273</v>
      </c>
      <c r="B836" s="18" t="s">
        <v>503</v>
      </c>
      <c r="C836" s="18" t="s">
        <v>1342</v>
      </c>
      <c r="D836" s="18" t="s">
        <v>324</v>
      </c>
      <c r="E836" s="18" t="s">
        <v>404</v>
      </c>
      <c r="F836" s="18" t="s">
        <v>1343</v>
      </c>
      <c r="G836" s="18" t="n">
        <v>0.6</v>
      </c>
      <c r="H836" s="18" t="n">
        <v>2607</v>
      </c>
      <c r="I836" s="18" t="n">
        <v>110</v>
      </c>
      <c r="J836" s="18" t="n">
        <v>109</v>
      </c>
      <c r="K836" s="18" t="n">
        <v>0.00972969391326407</v>
      </c>
      <c r="L836" s="18" t="n">
        <v>0.00615404481115208</v>
      </c>
      <c r="M836" s="18" t="n">
        <v>1.58102422257835</v>
      </c>
      <c r="N836" s="18" t="n">
        <v>2605</v>
      </c>
      <c r="O836" s="18" t="n">
        <v>0.113993899748778</v>
      </c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 t="s">
        <v>402</v>
      </c>
      <c r="AI836" s="18"/>
      <c r="AJ836" s="18" t="s">
        <v>1381</v>
      </c>
    </row>
    <row r="837" customFormat="false" ht="15" hidden="false" customHeight="false" outlineLevel="0" collapsed="false">
      <c r="A837" s="18" t="s">
        <v>273</v>
      </c>
      <c r="B837" s="18" t="s">
        <v>505</v>
      </c>
      <c r="C837" s="18" t="s">
        <v>1342</v>
      </c>
      <c r="D837" s="18" t="s">
        <v>324</v>
      </c>
      <c r="E837" s="18" t="s">
        <v>404</v>
      </c>
      <c r="F837" s="18" t="s">
        <v>1343</v>
      </c>
      <c r="G837" s="18" t="n">
        <v>0.6</v>
      </c>
      <c r="H837" s="18" t="n">
        <v>2607</v>
      </c>
      <c r="I837" s="18" t="n">
        <v>110</v>
      </c>
      <c r="J837" s="18" t="n">
        <v>109</v>
      </c>
      <c r="K837" s="18" t="n">
        <v>-0.000451529359086277</v>
      </c>
      <c r="L837" s="18" t="n">
        <v>0.00448478298210715</v>
      </c>
      <c r="M837" s="18" t="n">
        <v>-0.100680314050364</v>
      </c>
      <c r="N837" s="18" t="n">
        <v>2605</v>
      </c>
      <c r="O837" s="18" t="n">
        <v>0.919811986805412</v>
      </c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 t="s">
        <v>402</v>
      </c>
      <c r="AI837" s="18"/>
      <c r="AJ837" s="18" t="s">
        <v>1382</v>
      </c>
    </row>
    <row r="838" customFormat="false" ht="15" hidden="false" customHeight="false" outlineLevel="0" collapsed="false">
      <c r="A838" s="18" t="s">
        <v>273</v>
      </c>
      <c r="B838" s="18" t="s">
        <v>507</v>
      </c>
      <c r="C838" s="18" t="s">
        <v>1342</v>
      </c>
      <c r="D838" s="18" t="s">
        <v>324</v>
      </c>
      <c r="E838" s="18" t="s">
        <v>404</v>
      </c>
      <c r="F838" s="18" t="s">
        <v>1343</v>
      </c>
      <c r="G838" s="18" t="n">
        <v>0.6</v>
      </c>
      <c r="H838" s="18" t="n">
        <v>905</v>
      </c>
      <c r="I838" s="18" t="n">
        <v>38</v>
      </c>
      <c r="J838" s="18" t="n">
        <v>38</v>
      </c>
      <c r="K838" s="18" t="n">
        <v>0.00184284776834342</v>
      </c>
      <c r="L838" s="18" t="n">
        <v>0.00346860197000438</v>
      </c>
      <c r="M838" s="18" t="n">
        <v>0.531294101854267</v>
      </c>
      <c r="N838" s="18" t="n">
        <v>903</v>
      </c>
      <c r="O838" s="18" t="n">
        <v>0.595345650100849</v>
      </c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 t="s">
        <v>402</v>
      </c>
      <c r="AI838" s="18"/>
      <c r="AJ838" s="18" t="s">
        <v>1383</v>
      </c>
    </row>
    <row r="839" customFormat="false" ht="15" hidden="false" customHeight="false" outlineLevel="0" collapsed="false">
      <c r="A839" s="18" t="s">
        <v>273</v>
      </c>
      <c r="B839" s="18" t="s">
        <v>509</v>
      </c>
      <c r="C839" s="18" t="s">
        <v>1342</v>
      </c>
      <c r="D839" s="18" t="s">
        <v>324</v>
      </c>
      <c r="E839" s="18" t="s">
        <v>404</v>
      </c>
      <c r="F839" s="18" t="s">
        <v>1343</v>
      </c>
      <c r="G839" s="18" t="n">
        <v>0.6</v>
      </c>
      <c r="H839" s="18" t="n">
        <v>2594</v>
      </c>
      <c r="I839" s="18" t="n">
        <v>110</v>
      </c>
      <c r="J839" s="18" t="n">
        <v>109</v>
      </c>
      <c r="K839" s="18" t="n">
        <v>-0.000864447457855942</v>
      </c>
      <c r="L839" s="18" t="n">
        <v>0.00290281303286117</v>
      </c>
      <c r="M839" s="18" t="n">
        <v>-0.29779646435027</v>
      </c>
      <c r="N839" s="18" t="n">
        <v>2592</v>
      </c>
      <c r="O839" s="18" t="n">
        <v>0.765882379602016</v>
      </c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 t="s">
        <v>402</v>
      </c>
      <c r="AI839" s="18"/>
      <c r="AJ839" s="18" t="s">
        <v>1384</v>
      </c>
    </row>
    <row r="840" customFormat="false" ht="15" hidden="false" customHeight="false" outlineLevel="0" collapsed="false">
      <c r="A840" s="18" t="s">
        <v>273</v>
      </c>
      <c r="B840" s="18" t="s">
        <v>511</v>
      </c>
      <c r="C840" s="18" t="s">
        <v>1342</v>
      </c>
      <c r="D840" s="18" t="s">
        <v>324</v>
      </c>
      <c r="E840" s="18" t="s">
        <v>404</v>
      </c>
      <c r="F840" s="18" t="s">
        <v>1343</v>
      </c>
      <c r="G840" s="18" t="n">
        <v>0.6</v>
      </c>
      <c r="H840" s="18" t="n">
        <v>2594</v>
      </c>
      <c r="I840" s="18" t="n">
        <v>110</v>
      </c>
      <c r="J840" s="18" t="n">
        <v>109</v>
      </c>
      <c r="K840" s="18" t="n">
        <v>-0.00116147278051291</v>
      </c>
      <c r="L840" s="18" t="n">
        <v>0.00290527287053846</v>
      </c>
      <c r="M840" s="18" t="n">
        <v>-0.399780961124538</v>
      </c>
      <c r="N840" s="18" t="n">
        <v>2592</v>
      </c>
      <c r="O840" s="18" t="n">
        <v>0.689350795300061</v>
      </c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 t="s">
        <v>402</v>
      </c>
      <c r="AI840" s="18"/>
      <c r="AJ840" s="18" t="s">
        <v>1385</v>
      </c>
    </row>
    <row r="841" customFormat="false" ht="15" hidden="false" customHeight="false" outlineLevel="0" collapsed="false">
      <c r="A841" s="18" t="s">
        <v>273</v>
      </c>
      <c r="B841" s="18" t="s">
        <v>513</v>
      </c>
      <c r="C841" s="18" t="s">
        <v>1342</v>
      </c>
      <c r="D841" s="18" t="s">
        <v>324</v>
      </c>
      <c r="E841" s="18" t="s">
        <v>404</v>
      </c>
      <c r="F841" s="18" t="s">
        <v>1343</v>
      </c>
      <c r="G841" s="18" t="n">
        <v>0.6</v>
      </c>
      <c r="H841" s="18" t="n">
        <v>2594</v>
      </c>
      <c r="I841" s="18" t="n">
        <v>110</v>
      </c>
      <c r="J841" s="18" t="n">
        <v>109</v>
      </c>
      <c r="K841" s="18" t="n">
        <v>0.00107187993706331</v>
      </c>
      <c r="L841" s="18" t="n">
        <v>0.0081418855544649</v>
      </c>
      <c r="M841" s="18" t="n">
        <v>0.131650086444105</v>
      </c>
      <c r="N841" s="18" t="n">
        <v>2592</v>
      </c>
      <c r="O841" s="18" t="n">
        <v>0.895271284501085</v>
      </c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 t="s">
        <v>402</v>
      </c>
      <c r="AI841" s="18"/>
      <c r="AJ841" s="18" t="s">
        <v>1386</v>
      </c>
    </row>
    <row r="842" customFormat="false" ht="15" hidden="false" customHeight="false" outlineLevel="0" collapsed="false">
      <c r="A842" s="18" t="s">
        <v>273</v>
      </c>
      <c r="B842" s="18" t="s">
        <v>515</v>
      </c>
      <c r="C842" s="18" t="s">
        <v>1342</v>
      </c>
      <c r="D842" s="18" t="s">
        <v>324</v>
      </c>
      <c r="E842" s="18" t="s">
        <v>404</v>
      </c>
      <c r="F842" s="18" t="s">
        <v>1343</v>
      </c>
      <c r="G842" s="18" t="n">
        <v>0.6</v>
      </c>
      <c r="H842" s="18" t="n">
        <v>2594</v>
      </c>
      <c r="I842" s="18" t="n">
        <v>110</v>
      </c>
      <c r="J842" s="18" t="n">
        <v>109</v>
      </c>
      <c r="K842" s="18" t="n">
        <v>-0.00108165700324682</v>
      </c>
      <c r="L842" s="18" t="n">
        <v>0.00290557446799321</v>
      </c>
      <c r="M842" s="18" t="n">
        <v>-0.372269585640284</v>
      </c>
      <c r="N842" s="18" t="n">
        <v>2592</v>
      </c>
      <c r="O842" s="18" t="n">
        <v>0.709722574504873</v>
      </c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 t="s">
        <v>402</v>
      </c>
      <c r="AI842" s="18"/>
      <c r="AJ842" s="18" t="s">
        <v>1387</v>
      </c>
    </row>
    <row r="843" customFormat="false" ht="15" hidden="false" customHeight="false" outlineLevel="0" collapsed="false">
      <c r="A843" s="18" t="s">
        <v>273</v>
      </c>
      <c r="B843" s="18" t="s">
        <v>517</v>
      </c>
      <c r="C843" s="18" t="s">
        <v>1342</v>
      </c>
      <c r="D843" s="18" t="s">
        <v>324</v>
      </c>
      <c r="E843" s="18" t="s">
        <v>404</v>
      </c>
      <c r="F843" s="18" t="s">
        <v>1343</v>
      </c>
      <c r="G843" s="18" t="n">
        <v>0.6</v>
      </c>
      <c r="H843" s="18" t="n">
        <v>2594</v>
      </c>
      <c r="I843" s="18" t="n">
        <v>110</v>
      </c>
      <c r="J843" s="18" t="n">
        <v>109</v>
      </c>
      <c r="K843" s="18" t="n">
        <v>-0.000123182159155692</v>
      </c>
      <c r="L843" s="18" t="n">
        <v>0.00291261119659206</v>
      </c>
      <c r="M843" s="18" t="n">
        <v>-0.0422926888765045</v>
      </c>
      <c r="N843" s="18" t="n">
        <v>2592</v>
      </c>
      <c r="O843" s="18" t="n">
        <v>0.966268630949682</v>
      </c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 t="s">
        <v>402</v>
      </c>
      <c r="AI843" s="18"/>
      <c r="AJ843" s="18" t="s">
        <v>1388</v>
      </c>
    </row>
    <row r="844" customFormat="false" ht="15" hidden="false" customHeight="false" outlineLevel="0" collapsed="false">
      <c r="A844" s="18" t="s">
        <v>273</v>
      </c>
      <c r="B844" s="18" t="s">
        <v>519</v>
      </c>
      <c r="C844" s="18" t="s">
        <v>1342</v>
      </c>
      <c r="D844" s="18" t="s">
        <v>324</v>
      </c>
      <c r="E844" s="18" t="s">
        <v>404</v>
      </c>
      <c r="F844" s="18" t="s">
        <v>1343</v>
      </c>
      <c r="G844" s="18" t="n">
        <v>0.6</v>
      </c>
      <c r="H844" s="18" t="n">
        <v>2594</v>
      </c>
      <c r="I844" s="18" t="n">
        <v>110</v>
      </c>
      <c r="J844" s="18" t="n">
        <v>109</v>
      </c>
      <c r="K844" s="18" t="n">
        <v>-0.000170730101847975</v>
      </c>
      <c r="L844" s="18" t="n">
        <v>0.00291512176284491</v>
      </c>
      <c r="M844" s="18" t="n">
        <v>-0.0585670567946903</v>
      </c>
      <c r="N844" s="18" t="n">
        <v>2592</v>
      </c>
      <c r="O844" s="18" t="n">
        <v>0.953301465097953</v>
      </c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 t="s">
        <v>402</v>
      </c>
      <c r="AI844" s="18"/>
      <c r="AJ844" s="18" t="s">
        <v>1389</v>
      </c>
    </row>
    <row r="845" customFormat="false" ht="15" hidden="false" customHeight="false" outlineLevel="0" collapsed="false">
      <c r="A845" s="18" t="s">
        <v>273</v>
      </c>
      <c r="B845" s="18" t="s">
        <v>521</v>
      </c>
      <c r="C845" s="18" t="s">
        <v>1342</v>
      </c>
      <c r="D845" s="18" t="s">
        <v>324</v>
      </c>
      <c r="E845" s="18" t="s">
        <v>404</v>
      </c>
      <c r="F845" s="18" t="s">
        <v>1343</v>
      </c>
      <c r="G845" s="18" t="n">
        <v>0.6</v>
      </c>
      <c r="H845" s="18" t="n">
        <v>2594</v>
      </c>
      <c r="I845" s="18" t="n">
        <v>110</v>
      </c>
      <c r="J845" s="18" t="n">
        <v>109</v>
      </c>
      <c r="K845" s="18" t="n">
        <v>0.00131473625733162</v>
      </c>
      <c r="L845" s="18" t="n">
        <v>0.00644316073644235</v>
      </c>
      <c r="M845" s="18" t="n">
        <v>0.204051444797195</v>
      </c>
      <c r="N845" s="18" t="n">
        <v>2592</v>
      </c>
      <c r="O845" s="18" t="n">
        <v>0.838329316496049</v>
      </c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 t="s">
        <v>402</v>
      </c>
      <c r="AI845" s="18"/>
      <c r="AJ845" s="18" t="s">
        <v>1390</v>
      </c>
    </row>
    <row r="846" customFormat="false" ht="15" hidden="false" customHeight="false" outlineLevel="0" collapsed="false">
      <c r="A846" s="18" t="s">
        <v>273</v>
      </c>
      <c r="B846" s="18" t="s">
        <v>523</v>
      </c>
      <c r="C846" s="18" t="s">
        <v>1342</v>
      </c>
      <c r="D846" s="18" t="s">
        <v>324</v>
      </c>
      <c r="E846" s="18" t="s">
        <v>404</v>
      </c>
      <c r="F846" s="18" t="s">
        <v>1343</v>
      </c>
      <c r="G846" s="18" t="n">
        <v>0.6</v>
      </c>
      <c r="H846" s="18" t="n">
        <v>2594</v>
      </c>
      <c r="I846" s="18" t="n">
        <v>110</v>
      </c>
      <c r="J846" s="18" t="n">
        <v>109</v>
      </c>
      <c r="K846" s="18" t="n">
        <v>0.00757879597036737</v>
      </c>
      <c r="L846" s="18" t="n">
        <v>0.00577009860669647</v>
      </c>
      <c r="M846" s="18" t="n">
        <v>1.31346039070664</v>
      </c>
      <c r="N846" s="18" t="n">
        <v>2592</v>
      </c>
      <c r="O846" s="18" t="n">
        <v>0.189144110147826</v>
      </c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 t="s">
        <v>402</v>
      </c>
      <c r="AI846" s="18"/>
      <c r="AJ846" s="18" t="s">
        <v>1391</v>
      </c>
    </row>
    <row r="847" customFormat="false" ht="15" hidden="false" customHeight="false" outlineLevel="0" collapsed="false">
      <c r="A847" s="18" t="s">
        <v>273</v>
      </c>
      <c r="B847" s="18" t="s">
        <v>525</v>
      </c>
      <c r="C847" s="18" t="s">
        <v>1342</v>
      </c>
      <c r="D847" s="18" t="s">
        <v>324</v>
      </c>
      <c r="E847" s="18" t="s">
        <v>404</v>
      </c>
      <c r="F847" s="18" t="s">
        <v>1343</v>
      </c>
      <c r="G847" s="18" t="n">
        <v>0.6</v>
      </c>
      <c r="H847" s="18" t="n">
        <v>2594</v>
      </c>
      <c r="I847" s="18" t="n">
        <v>110</v>
      </c>
      <c r="J847" s="18" t="n">
        <v>109</v>
      </c>
      <c r="K847" s="18" t="n">
        <v>-0.00149363253667027</v>
      </c>
      <c r="L847" s="18" t="n">
        <v>0.00420295701035487</v>
      </c>
      <c r="M847" s="18" t="n">
        <v>-0.355376591526012</v>
      </c>
      <c r="N847" s="18" t="n">
        <v>2592</v>
      </c>
      <c r="O847" s="18" t="n">
        <v>0.722336399090024</v>
      </c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 t="s">
        <v>402</v>
      </c>
      <c r="AI847" s="18"/>
      <c r="AJ847" s="18" t="s">
        <v>1392</v>
      </c>
    </row>
    <row r="848" customFormat="false" ht="15" hidden="false" customHeight="false" outlineLevel="0" collapsed="false">
      <c r="A848" s="18" t="s">
        <v>273</v>
      </c>
      <c r="B848" s="18" t="s">
        <v>527</v>
      </c>
      <c r="C848" s="18" t="s">
        <v>1342</v>
      </c>
      <c r="D848" s="18" t="s">
        <v>324</v>
      </c>
      <c r="E848" s="18" t="s">
        <v>404</v>
      </c>
      <c r="F848" s="18" t="s">
        <v>1343</v>
      </c>
      <c r="G848" s="18" t="n">
        <v>0.6</v>
      </c>
      <c r="H848" s="18" t="n">
        <v>900</v>
      </c>
      <c r="I848" s="18" t="n">
        <v>38</v>
      </c>
      <c r="J848" s="18" t="n">
        <v>38</v>
      </c>
      <c r="K848" s="18" t="n">
        <v>0.000947735129637084</v>
      </c>
      <c r="L848" s="18" t="n">
        <v>0.00325537847488624</v>
      </c>
      <c r="M848" s="18" t="n">
        <v>0.29112901524306</v>
      </c>
      <c r="N848" s="18" t="n">
        <v>898</v>
      </c>
      <c r="O848" s="18" t="n">
        <v>0.771019877916101</v>
      </c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 t="s">
        <v>402</v>
      </c>
      <c r="AI848" s="18"/>
      <c r="AJ848" s="18" t="s">
        <v>1393</v>
      </c>
    </row>
    <row r="849" customFormat="false" ht="15" hidden="false" customHeight="false" outlineLevel="0" collapsed="false">
      <c r="A849" s="18" t="s">
        <v>273</v>
      </c>
      <c r="B849" s="18" t="s">
        <v>529</v>
      </c>
      <c r="C849" s="18" t="s">
        <v>1342</v>
      </c>
      <c r="D849" s="18" t="s">
        <v>324</v>
      </c>
      <c r="E849" s="18" t="s">
        <v>404</v>
      </c>
      <c r="F849" s="18" t="s">
        <v>1343</v>
      </c>
      <c r="G849" s="18" t="n">
        <v>0.6</v>
      </c>
      <c r="H849" s="18" t="n">
        <v>2607</v>
      </c>
      <c r="I849" s="18" t="n">
        <v>110</v>
      </c>
      <c r="J849" s="18" t="n">
        <v>109</v>
      </c>
      <c r="K849" s="18" t="n">
        <v>0.00309838219850876</v>
      </c>
      <c r="L849" s="18" t="n">
        <v>0.00252128166614689</v>
      </c>
      <c r="M849" s="18" t="n">
        <v>1.2288917339584</v>
      </c>
      <c r="N849" s="18" t="n">
        <v>2605</v>
      </c>
      <c r="O849" s="18" t="n">
        <v>0.219223398994593</v>
      </c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 t="s">
        <v>402</v>
      </c>
      <c r="AI849" s="18"/>
      <c r="AJ849" s="18" t="s">
        <v>1394</v>
      </c>
    </row>
    <row r="850" customFormat="false" ht="15" hidden="false" customHeight="false" outlineLevel="0" collapsed="false">
      <c r="A850" s="18" t="s">
        <v>273</v>
      </c>
      <c r="B850" s="18" t="s">
        <v>531</v>
      </c>
      <c r="C850" s="18" t="s">
        <v>1342</v>
      </c>
      <c r="D850" s="18" t="s">
        <v>324</v>
      </c>
      <c r="E850" s="18" t="s">
        <v>404</v>
      </c>
      <c r="F850" s="18" t="s">
        <v>1343</v>
      </c>
      <c r="G850" s="18" t="n">
        <v>0.6</v>
      </c>
      <c r="H850" s="18" t="n">
        <v>2607</v>
      </c>
      <c r="I850" s="18" t="n">
        <v>110</v>
      </c>
      <c r="J850" s="18" t="n">
        <v>109</v>
      </c>
      <c r="K850" s="18" t="n">
        <v>0.00284612644409494</v>
      </c>
      <c r="L850" s="18" t="n">
        <v>0.00252357181133049</v>
      </c>
      <c r="M850" s="18" t="n">
        <v>1.12781670460743</v>
      </c>
      <c r="N850" s="18" t="n">
        <v>2605</v>
      </c>
      <c r="O850" s="18" t="n">
        <v>0.259501200940816</v>
      </c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 t="s">
        <v>402</v>
      </c>
      <c r="AI850" s="18"/>
      <c r="AJ850" s="18" t="s">
        <v>1395</v>
      </c>
    </row>
    <row r="851" customFormat="false" ht="15" hidden="false" customHeight="false" outlineLevel="0" collapsed="false">
      <c r="A851" s="18" t="s">
        <v>273</v>
      </c>
      <c r="B851" s="18" t="s">
        <v>533</v>
      </c>
      <c r="C851" s="18" t="s">
        <v>1342</v>
      </c>
      <c r="D851" s="18" t="s">
        <v>324</v>
      </c>
      <c r="E851" s="18" t="s">
        <v>404</v>
      </c>
      <c r="F851" s="18" t="s">
        <v>1343</v>
      </c>
      <c r="G851" s="18" t="n">
        <v>0.6</v>
      </c>
      <c r="H851" s="18" t="n">
        <v>2607</v>
      </c>
      <c r="I851" s="18" t="n">
        <v>110</v>
      </c>
      <c r="J851" s="18" t="n">
        <v>109</v>
      </c>
      <c r="K851" s="18" t="n">
        <v>-0.000752246981814028</v>
      </c>
      <c r="L851" s="18" t="n">
        <v>0.00707126110745714</v>
      </c>
      <c r="M851" s="18" t="n">
        <v>-0.106380880352549</v>
      </c>
      <c r="N851" s="18" t="n">
        <v>2605</v>
      </c>
      <c r="O851" s="18" t="n">
        <v>0.91528835340455</v>
      </c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 t="s">
        <v>402</v>
      </c>
      <c r="AI851" s="18"/>
      <c r="AJ851" s="18" t="s">
        <v>1396</v>
      </c>
    </row>
    <row r="852" customFormat="false" ht="15" hidden="false" customHeight="false" outlineLevel="0" collapsed="false">
      <c r="A852" s="18" t="s">
        <v>273</v>
      </c>
      <c r="B852" s="18" t="s">
        <v>535</v>
      </c>
      <c r="C852" s="18" t="s">
        <v>1342</v>
      </c>
      <c r="D852" s="18" t="s">
        <v>324</v>
      </c>
      <c r="E852" s="18" t="s">
        <v>404</v>
      </c>
      <c r="F852" s="18" t="s">
        <v>1343</v>
      </c>
      <c r="G852" s="18" t="n">
        <v>0.6</v>
      </c>
      <c r="H852" s="18" t="n">
        <v>2607</v>
      </c>
      <c r="I852" s="18" t="n">
        <v>110</v>
      </c>
      <c r="J852" s="18" t="n">
        <v>109</v>
      </c>
      <c r="K852" s="18" t="n">
        <v>0.00292142723375509</v>
      </c>
      <c r="L852" s="18" t="n">
        <v>0.00252379091819687</v>
      </c>
      <c r="M852" s="18" t="n">
        <v>1.15755517332724</v>
      </c>
      <c r="N852" s="18" t="n">
        <v>2605</v>
      </c>
      <c r="O852" s="18" t="n">
        <v>0.24715173454833</v>
      </c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 t="s">
        <v>402</v>
      </c>
      <c r="AI852" s="18"/>
      <c r="AJ852" s="18" t="s">
        <v>1397</v>
      </c>
    </row>
    <row r="853" customFormat="false" ht="15" hidden="false" customHeight="false" outlineLevel="0" collapsed="false">
      <c r="A853" s="18" t="s">
        <v>273</v>
      </c>
      <c r="B853" s="18" t="s">
        <v>537</v>
      </c>
      <c r="C853" s="18" t="s">
        <v>1342</v>
      </c>
      <c r="D853" s="18" t="s">
        <v>324</v>
      </c>
      <c r="E853" s="18" t="s">
        <v>404</v>
      </c>
      <c r="F853" s="18" t="s">
        <v>1343</v>
      </c>
      <c r="G853" s="18" t="n">
        <v>0.6</v>
      </c>
      <c r="H853" s="18" t="n">
        <v>2607</v>
      </c>
      <c r="I853" s="18" t="n">
        <v>110</v>
      </c>
      <c r="J853" s="18" t="n">
        <v>109</v>
      </c>
      <c r="K853" s="18" t="n">
        <v>0.00378956625096048</v>
      </c>
      <c r="L853" s="18" t="n">
        <v>0.00252940469389598</v>
      </c>
      <c r="M853" s="18" t="n">
        <v>1.49820479898118</v>
      </c>
      <c r="N853" s="18" t="n">
        <v>2605</v>
      </c>
      <c r="O853" s="18" t="n">
        <v>0.134201209730337</v>
      </c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 t="s">
        <v>402</v>
      </c>
      <c r="AI853" s="18"/>
      <c r="AJ853" s="18" t="s">
        <v>1398</v>
      </c>
    </row>
    <row r="854" customFormat="false" ht="15" hidden="false" customHeight="false" outlineLevel="0" collapsed="false">
      <c r="A854" s="18" t="s">
        <v>273</v>
      </c>
      <c r="B854" s="18" t="s">
        <v>539</v>
      </c>
      <c r="C854" s="18" t="s">
        <v>1342</v>
      </c>
      <c r="D854" s="18" t="s">
        <v>324</v>
      </c>
      <c r="E854" s="18" t="s">
        <v>404</v>
      </c>
      <c r="F854" s="18" t="s">
        <v>1343</v>
      </c>
      <c r="G854" s="18" t="n">
        <v>0.6</v>
      </c>
      <c r="H854" s="18" t="n">
        <v>2607</v>
      </c>
      <c r="I854" s="18" t="n">
        <v>110</v>
      </c>
      <c r="J854" s="18" t="n">
        <v>109</v>
      </c>
      <c r="K854" s="18" t="n">
        <v>0.00371734110018901</v>
      </c>
      <c r="L854" s="18" t="n">
        <v>0.00253163080901869</v>
      </c>
      <c r="M854" s="18" t="n">
        <v>1.4683582957461</v>
      </c>
      <c r="N854" s="18" t="n">
        <v>2605</v>
      </c>
      <c r="O854" s="18" t="n">
        <v>0.142127657687929</v>
      </c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 t="s">
        <v>402</v>
      </c>
      <c r="AI854" s="18"/>
      <c r="AJ854" s="18" t="s">
        <v>1399</v>
      </c>
    </row>
    <row r="855" customFormat="false" ht="15" hidden="false" customHeight="false" outlineLevel="0" collapsed="false">
      <c r="A855" s="18" t="s">
        <v>273</v>
      </c>
      <c r="B855" s="18" t="s">
        <v>541</v>
      </c>
      <c r="C855" s="18" t="s">
        <v>1342</v>
      </c>
      <c r="D855" s="18" t="s">
        <v>324</v>
      </c>
      <c r="E855" s="18" t="s">
        <v>404</v>
      </c>
      <c r="F855" s="18" t="s">
        <v>1343</v>
      </c>
      <c r="G855" s="18" t="n">
        <v>0.6</v>
      </c>
      <c r="H855" s="18" t="n">
        <v>2607</v>
      </c>
      <c r="I855" s="18" t="n">
        <v>110</v>
      </c>
      <c r="J855" s="18" t="n">
        <v>109</v>
      </c>
      <c r="K855" s="18" t="n">
        <v>-0.000397409614450055</v>
      </c>
      <c r="L855" s="18" t="n">
        <v>0.00559601871884215</v>
      </c>
      <c r="M855" s="18" t="n">
        <v>-0.0710164912622525</v>
      </c>
      <c r="N855" s="18" t="n">
        <v>2605</v>
      </c>
      <c r="O855" s="18" t="n">
        <v>0.94339008180211</v>
      </c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 t="s">
        <v>402</v>
      </c>
      <c r="AI855" s="18"/>
      <c r="AJ855" s="18" t="s">
        <v>1400</v>
      </c>
    </row>
    <row r="856" customFormat="false" ht="15" hidden="false" customHeight="false" outlineLevel="0" collapsed="false">
      <c r="A856" s="18" t="s">
        <v>273</v>
      </c>
      <c r="B856" s="18" t="s">
        <v>543</v>
      </c>
      <c r="C856" s="18" t="s">
        <v>1342</v>
      </c>
      <c r="D856" s="18" t="s">
        <v>324</v>
      </c>
      <c r="E856" s="18" t="s">
        <v>404</v>
      </c>
      <c r="F856" s="18" t="s">
        <v>1343</v>
      </c>
      <c r="G856" s="18" t="n">
        <v>0.6</v>
      </c>
      <c r="H856" s="18" t="n">
        <v>2607</v>
      </c>
      <c r="I856" s="18" t="n">
        <v>110</v>
      </c>
      <c r="J856" s="18" t="n">
        <v>109</v>
      </c>
      <c r="K856" s="18" t="n">
        <v>0.00624748498363353</v>
      </c>
      <c r="L856" s="18" t="n">
        <v>0.00501097730606483</v>
      </c>
      <c r="M856" s="18" t="n">
        <v>1.24675978397909</v>
      </c>
      <c r="N856" s="18" t="n">
        <v>2605</v>
      </c>
      <c r="O856" s="18" t="n">
        <v>0.212597680101633</v>
      </c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 t="s">
        <v>402</v>
      </c>
      <c r="AI856" s="18"/>
      <c r="AJ856" s="18" t="s">
        <v>1401</v>
      </c>
    </row>
    <row r="857" customFormat="false" ht="15" hidden="false" customHeight="false" outlineLevel="0" collapsed="false">
      <c r="A857" s="18" t="s">
        <v>273</v>
      </c>
      <c r="B857" s="18" t="s">
        <v>545</v>
      </c>
      <c r="C857" s="18" t="s">
        <v>1342</v>
      </c>
      <c r="D857" s="18" t="s">
        <v>324</v>
      </c>
      <c r="E857" s="18" t="s">
        <v>404</v>
      </c>
      <c r="F857" s="18" t="s">
        <v>1343</v>
      </c>
      <c r="G857" s="18" t="n">
        <v>0.6</v>
      </c>
      <c r="H857" s="18" t="n">
        <v>2607</v>
      </c>
      <c r="I857" s="18" t="n">
        <v>110</v>
      </c>
      <c r="J857" s="18" t="n">
        <v>109</v>
      </c>
      <c r="K857" s="18" t="n">
        <v>-0.00346053354222595</v>
      </c>
      <c r="L857" s="18" t="n">
        <v>0.00365048385834566</v>
      </c>
      <c r="M857" s="18" t="n">
        <v>-0.94796571537073</v>
      </c>
      <c r="N857" s="18" t="n">
        <v>2605</v>
      </c>
      <c r="O857" s="18" t="n">
        <v>0.343234836840488</v>
      </c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 t="s">
        <v>402</v>
      </c>
      <c r="AI857" s="18"/>
      <c r="AJ857" s="18" t="s">
        <v>1402</v>
      </c>
    </row>
    <row r="858" customFormat="false" ht="15" hidden="false" customHeight="false" outlineLevel="0" collapsed="false">
      <c r="A858" s="18" t="s">
        <v>273</v>
      </c>
      <c r="B858" s="18" t="s">
        <v>547</v>
      </c>
      <c r="C858" s="18" t="s">
        <v>1342</v>
      </c>
      <c r="D858" s="18" t="s">
        <v>324</v>
      </c>
      <c r="E858" s="18" t="s">
        <v>404</v>
      </c>
      <c r="F858" s="18" t="s">
        <v>1343</v>
      </c>
      <c r="G858" s="18" t="n">
        <v>0.6</v>
      </c>
      <c r="H858" s="18" t="n">
        <v>905</v>
      </c>
      <c r="I858" s="18" t="n">
        <v>38</v>
      </c>
      <c r="J858" s="18" t="n">
        <v>38</v>
      </c>
      <c r="K858" s="18" t="n">
        <v>0.0013494669142758</v>
      </c>
      <c r="L858" s="18" t="n">
        <v>0.00325575488606323</v>
      </c>
      <c r="M858" s="18" t="n">
        <v>0.414486643344192</v>
      </c>
      <c r="N858" s="18" t="n">
        <v>903</v>
      </c>
      <c r="O858" s="18" t="n">
        <v>0.678616188987838</v>
      </c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 t="s">
        <v>402</v>
      </c>
      <c r="AI858" s="18"/>
      <c r="AJ858" s="18" t="s">
        <v>1403</v>
      </c>
    </row>
    <row r="859" customFormat="false" ht="15" hidden="false" customHeight="false" outlineLevel="0" collapsed="false">
      <c r="A859" s="18" t="s">
        <v>273</v>
      </c>
      <c r="B859" s="18" t="s">
        <v>549</v>
      </c>
      <c r="C859" s="18" t="s">
        <v>1342</v>
      </c>
      <c r="D859" s="18" t="s">
        <v>324</v>
      </c>
      <c r="E859" s="18" t="s">
        <v>404</v>
      </c>
      <c r="F859" s="18" t="s">
        <v>1343</v>
      </c>
      <c r="G859" s="18" t="n">
        <v>0.6</v>
      </c>
      <c r="H859" s="18" t="n">
        <v>2705</v>
      </c>
      <c r="I859" s="18" t="n">
        <v>113</v>
      </c>
      <c r="J859" s="18" t="n">
        <v>112</v>
      </c>
      <c r="K859" s="18" t="n">
        <v>-0.000130478916183591</v>
      </c>
      <c r="L859" s="18" t="n">
        <v>0.00303298927799763</v>
      </c>
      <c r="M859" s="18" t="n">
        <v>-0.0430199068391474</v>
      </c>
      <c r="N859" s="18" t="n">
        <v>2703</v>
      </c>
      <c r="O859" s="18" t="n">
        <v>0.965688842671879</v>
      </c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 t="s">
        <v>402</v>
      </c>
      <c r="AI859" s="18"/>
      <c r="AJ859" s="18" t="s">
        <v>1404</v>
      </c>
    </row>
    <row r="860" customFormat="false" ht="15" hidden="false" customHeight="false" outlineLevel="0" collapsed="false">
      <c r="A860" s="18" t="s">
        <v>273</v>
      </c>
      <c r="B860" s="18" t="s">
        <v>551</v>
      </c>
      <c r="C860" s="18" t="s">
        <v>1342</v>
      </c>
      <c r="D860" s="18" t="s">
        <v>324</v>
      </c>
      <c r="E860" s="18" t="s">
        <v>404</v>
      </c>
      <c r="F860" s="18" t="s">
        <v>1343</v>
      </c>
      <c r="G860" s="18" t="n">
        <v>0.6</v>
      </c>
      <c r="H860" s="18" t="n">
        <v>2705</v>
      </c>
      <c r="I860" s="18" t="n">
        <v>113</v>
      </c>
      <c r="J860" s="18" t="n">
        <v>112</v>
      </c>
      <c r="K860" s="18" t="n">
        <v>-0.000433250731472823</v>
      </c>
      <c r="L860" s="18" t="n">
        <v>0.0030356651480227</v>
      </c>
      <c r="M860" s="18" t="n">
        <v>-0.142720198159874</v>
      </c>
      <c r="N860" s="18" t="n">
        <v>2703</v>
      </c>
      <c r="O860" s="18" t="n">
        <v>0.886521801539666</v>
      </c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 t="s">
        <v>402</v>
      </c>
      <c r="AI860" s="18"/>
      <c r="AJ860" s="18" t="s">
        <v>1405</v>
      </c>
    </row>
    <row r="861" customFormat="false" ht="15" hidden="false" customHeight="false" outlineLevel="0" collapsed="false">
      <c r="A861" s="18" t="s">
        <v>273</v>
      </c>
      <c r="B861" s="18" t="s">
        <v>553</v>
      </c>
      <c r="C861" s="18" t="s">
        <v>1342</v>
      </c>
      <c r="D861" s="18" t="s">
        <v>324</v>
      </c>
      <c r="E861" s="18" t="s">
        <v>404</v>
      </c>
      <c r="F861" s="18" t="s">
        <v>1343</v>
      </c>
      <c r="G861" s="18" t="n">
        <v>0.6</v>
      </c>
      <c r="H861" s="18" t="n">
        <v>2705</v>
      </c>
      <c r="I861" s="18" t="n">
        <v>113</v>
      </c>
      <c r="J861" s="18" t="n">
        <v>112</v>
      </c>
      <c r="K861" s="18" t="n">
        <v>0.00494405464499884</v>
      </c>
      <c r="L861" s="18" t="n">
        <v>0.00814297145396547</v>
      </c>
      <c r="M861" s="18" t="n">
        <v>0.607156082143845</v>
      </c>
      <c r="N861" s="18" t="n">
        <v>2703</v>
      </c>
      <c r="O861" s="18" t="n">
        <v>0.543798331976506</v>
      </c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 t="s">
        <v>402</v>
      </c>
      <c r="AI861" s="18"/>
      <c r="AJ861" s="18" t="s">
        <v>1406</v>
      </c>
    </row>
    <row r="862" customFormat="false" ht="15" hidden="false" customHeight="false" outlineLevel="0" collapsed="false">
      <c r="A862" s="18" t="s">
        <v>273</v>
      </c>
      <c r="B862" s="18" t="s">
        <v>555</v>
      </c>
      <c r="C862" s="18" t="s">
        <v>1342</v>
      </c>
      <c r="D862" s="18" t="s">
        <v>324</v>
      </c>
      <c r="E862" s="18" t="s">
        <v>404</v>
      </c>
      <c r="F862" s="18" t="s">
        <v>1343</v>
      </c>
      <c r="G862" s="18" t="n">
        <v>0.6</v>
      </c>
      <c r="H862" s="18" t="n">
        <v>2705</v>
      </c>
      <c r="I862" s="18" t="n">
        <v>113</v>
      </c>
      <c r="J862" s="18" t="n">
        <v>112</v>
      </c>
      <c r="K862" s="18" t="n">
        <v>-0.000354944214868681</v>
      </c>
      <c r="L862" s="18" t="n">
        <v>0.00303597913302374</v>
      </c>
      <c r="M862" s="18" t="n">
        <v>-0.116912600290229</v>
      </c>
      <c r="N862" s="18" t="n">
        <v>2703</v>
      </c>
      <c r="O862" s="18" t="n">
        <v>0.906937998706742</v>
      </c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 t="s">
        <v>402</v>
      </c>
      <c r="AI862" s="18"/>
      <c r="AJ862" s="18" t="s">
        <v>1407</v>
      </c>
    </row>
    <row r="863" customFormat="false" ht="15" hidden="false" customHeight="false" outlineLevel="0" collapsed="false">
      <c r="A863" s="18" t="s">
        <v>273</v>
      </c>
      <c r="B863" s="18" t="s">
        <v>557</v>
      </c>
      <c r="C863" s="18" t="s">
        <v>1342</v>
      </c>
      <c r="D863" s="18" t="s">
        <v>324</v>
      </c>
      <c r="E863" s="18" t="s">
        <v>404</v>
      </c>
      <c r="F863" s="18" t="s">
        <v>1343</v>
      </c>
      <c r="G863" s="18" t="n">
        <v>0.6</v>
      </c>
      <c r="H863" s="18" t="n">
        <v>2705</v>
      </c>
      <c r="I863" s="18" t="n">
        <v>113</v>
      </c>
      <c r="J863" s="18" t="n">
        <v>112</v>
      </c>
      <c r="K863" s="18" t="n">
        <v>0.000740060919965556</v>
      </c>
      <c r="L863" s="18" t="n">
        <v>0.00304450668027382</v>
      </c>
      <c r="M863" s="18" t="n">
        <v>0.243080734478466</v>
      </c>
      <c r="N863" s="18" t="n">
        <v>2703</v>
      </c>
      <c r="O863" s="18" t="n">
        <v>0.807961299757369</v>
      </c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 t="s">
        <v>402</v>
      </c>
      <c r="AI863" s="18"/>
      <c r="AJ863" s="18" t="s">
        <v>1408</v>
      </c>
    </row>
    <row r="864" customFormat="false" ht="15" hidden="false" customHeight="false" outlineLevel="0" collapsed="false">
      <c r="A864" s="18" t="s">
        <v>273</v>
      </c>
      <c r="B864" s="18" t="s">
        <v>559</v>
      </c>
      <c r="C864" s="18" t="s">
        <v>1342</v>
      </c>
      <c r="D864" s="18" t="s">
        <v>324</v>
      </c>
      <c r="E864" s="18" t="s">
        <v>404</v>
      </c>
      <c r="F864" s="18" t="s">
        <v>1343</v>
      </c>
      <c r="G864" s="18" t="n">
        <v>0.6</v>
      </c>
      <c r="H864" s="18" t="n">
        <v>2705</v>
      </c>
      <c r="I864" s="18" t="n">
        <v>113</v>
      </c>
      <c r="J864" s="18" t="n">
        <v>112</v>
      </c>
      <c r="K864" s="18" t="n">
        <v>0.000688870338382313</v>
      </c>
      <c r="L864" s="18" t="n">
        <v>0.00304723785907859</v>
      </c>
      <c r="M864" s="18" t="n">
        <v>0.226063855281258</v>
      </c>
      <c r="N864" s="18" t="n">
        <v>2703</v>
      </c>
      <c r="O864" s="18" t="n">
        <v>0.821168848215824</v>
      </c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 t="s">
        <v>402</v>
      </c>
      <c r="AI864" s="18"/>
      <c r="AJ864" s="18" t="s">
        <v>1409</v>
      </c>
    </row>
    <row r="865" customFormat="false" ht="15" hidden="false" customHeight="false" outlineLevel="0" collapsed="false">
      <c r="A865" s="18" t="s">
        <v>273</v>
      </c>
      <c r="B865" s="18" t="s">
        <v>561</v>
      </c>
      <c r="C865" s="18" t="s">
        <v>1342</v>
      </c>
      <c r="D865" s="18" t="s">
        <v>324</v>
      </c>
      <c r="E865" s="18" t="s">
        <v>404</v>
      </c>
      <c r="F865" s="18" t="s">
        <v>1343</v>
      </c>
      <c r="G865" s="18" t="n">
        <v>0.6</v>
      </c>
      <c r="H865" s="18" t="n">
        <v>2705</v>
      </c>
      <c r="I865" s="18" t="n">
        <v>113</v>
      </c>
      <c r="J865" s="18" t="n">
        <v>112</v>
      </c>
      <c r="K865" s="18" t="n">
        <v>0.00411179863378734</v>
      </c>
      <c r="L865" s="18" t="n">
        <v>0.00655827731091214</v>
      </c>
      <c r="M865" s="18" t="n">
        <v>0.62696321592651</v>
      </c>
      <c r="N865" s="18" t="n">
        <v>2703</v>
      </c>
      <c r="O865" s="18" t="n">
        <v>0.530736297669955</v>
      </c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 t="s">
        <v>402</v>
      </c>
      <c r="AI865" s="18"/>
      <c r="AJ865" s="18" t="s">
        <v>1410</v>
      </c>
    </row>
    <row r="866" customFormat="false" ht="15" hidden="false" customHeight="false" outlineLevel="0" collapsed="false">
      <c r="A866" s="18" t="s">
        <v>273</v>
      </c>
      <c r="B866" s="18" t="s">
        <v>563</v>
      </c>
      <c r="C866" s="18" t="s">
        <v>1342</v>
      </c>
      <c r="D866" s="18" t="s">
        <v>324</v>
      </c>
      <c r="E866" s="18" t="s">
        <v>404</v>
      </c>
      <c r="F866" s="18" t="s">
        <v>1343</v>
      </c>
      <c r="G866" s="18" t="n">
        <v>0.6</v>
      </c>
      <c r="H866" s="18" t="n">
        <v>2705</v>
      </c>
      <c r="I866" s="18" t="n">
        <v>113</v>
      </c>
      <c r="J866" s="18" t="n">
        <v>112</v>
      </c>
      <c r="K866" s="18" t="n">
        <v>0.011138239344782</v>
      </c>
      <c r="L866" s="18" t="n">
        <v>0.00590812958095045</v>
      </c>
      <c r="M866" s="18" t="n">
        <v>1.88523951483646</v>
      </c>
      <c r="N866" s="18" t="n">
        <v>2703</v>
      </c>
      <c r="O866" s="18" t="n">
        <v>0.0595046783491641</v>
      </c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 t="s">
        <v>402</v>
      </c>
      <c r="AI866" s="18"/>
      <c r="AJ866" s="18" t="s">
        <v>1411</v>
      </c>
    </row>
    <row r="867" customFormat="false" ht="15" hidden="false" customHeight="false" outlineLevel="0" collapsed="false">
      <c r="A867" s="18" t="s">
        <v>273</v>
      </c>
      <c r="B867" s="18" t="s">
        <v>565</v>
      </c>
      <c r="C867" s="18" t="s">
        <v>1342</v>
      </c>
      <c r="D867" s="18" t="s">
        <v>324</v>
      </c>
      <c r="E867" s="18" t="s">
        <v>404</v>
      </c>
      <c r="F867" s="18" t="s">
        <v>1343</v>
      </c>
      <c r="G867" s="18" t="n">
        <v>0.6</v>
      </c>
      <c r="H867" s="18" t="n">
        <v>2705</v>
      </c>
      <c r="I867" s="18" t="n">
        <v>113</v>
      </c>
      <c r="J867" s="18" t="n">
        <v>112</v>
      </c>
      <c r="K867" s="18" t="n">
        <v>0.000448745881337091</v>
      </c>
      <c r="L867" s="18" t="n">
        <v>0.00435882949072579</v>
      </c>
      <c r="M867" s="18" t="n">
        <v>0.102951006065248</v>
      </c>
      <c r="N867" s="18" t="n">
        <v>2703</v>
      </c>
      <c r="O867" s="18" t="n">
        <v>0.918009492725241</v>
      </c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 t="s">
        <v>402</v>
      </c>
      <c r="AI867" s="18"/>
      <c r="AJ867" s="18" t="s">
        <v>1412</v>
      </c>
    </row>
    <row r="868" customFormat="false" ht="15" hidden="false" customHeight="false" outlineLevel="0" collapsed="false">
      <c r="A868" s="18" t="s">
        <v>273</v>
      </c>
      <c r="B868" s="18" t="s">
        <v>567</v>
      </c>
      <c r="C868" s="18" t="s">
        <v>1342</v>
      </c>
      <c r="D868" s="18" t="s">
        <v>324</v>
      </c>
      <c r="E868" s="18" t="s">
        <v>404</v>
      </c>
      <c r="F868" s="18" t="s">
        <v>1343</v>
      </c>
      <c r="G868" s="18" t="n">
        <v>0.6</v>
      </c>
      <c r="H868" s="18" t="n">
        <v>929</v>
      </c>
      <c r="I868" s="18" t="n">
        <v>40</v>
      </c>
      <c r="J868" s="18" t="n">
        <v>40</v>
      </c>
      <c r="K868" s="18" t="n">
        <v>0.00515923079758416</v>
      </c>
      <c r="L868" s="18" t="n">
        <v>0.00329634034419609</v>
      </c>
      <c r="M868" s="18" t="n">
        <v>1.56513899017378</v>
      </c>
      <c r="N868" s="18" t="n">
        <v>927</v>
      </c>
      <c r="O868" s="18" t="n">
        <v>0.117891608718825</v>
      </c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 t="s">
        <v>402</v>
      </c>
      <c r="AI868" s="18"/>
      <c r="AJ868" s="18" t="s">
        <v>1413</v>
      </c>
    </row>
    <row r="869" customFormat="false" ht="15" hidden="false" customHeight="false" outlineLevel="0" collapsed="false">
      <c r="A869" s="18" t="s">
        <v>273</v>
      </c>
      <c r="B869" s="18" t="s">
        <v>569</v>
      </c>
      <c r="C869" s="18" t="s">
        <v>1342</v>
      </c>
      <c r="D869" s="18" t="s">
        <v>324</v>
      </c>
      <c r="E869" s="18" t="s">
        <v>404</v>
      </c>
      <c r="F869" s="18" t="s">
        <v>1343</v>
      </c>
      <c r="G869" s="18" t="n">
        <v>0.6</v>
      </c>
      <c r="H869" s="18" t="n">
        <v>2692</v>
      </c>
      <c r="I869" s="18" t="n">
        <v>113</v>
      </c>
      <c r="J869" s="18" t="n">
        <v>112</v>
      </c>
      <c r="K869" s="18" t="n">
        <v>-0.000602233862999055</v>
      </c>
      <c r="L869" s="18" t="n">
        <v>0.00284308333006198</v>
      </c>
      <c r="M869" s="18" t="n">
        <v>-0.211824203895539</v>
      </c>
      <c r="N869" s="18" t="n">
        <v>2690</v>
      </c>
      <c r="O869" s="18" t="n">
        <v>0.832260232266855</v>
      </c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 t="s">
        <v>402</v>
      </c>
      <c r="AI869" s="18"/>
      <c r="AJ869" s="18" t="s">
        <v>1414</v>
      </c>
    </row>
    <row r="870" customFormat="false" ht="15" hidden="false" customHeight="false" outlineLevel="0" collapsed="false">
      <c r="A870" s="18" t="s">
        <v>273</v>
      </c>
      <c r="B870" s="18" t="s">
        <v>571</v>
      </c>
      <c r="C870" s="18" t="s">
        <v>1342</v>
      </c>
      <c r="D870" s="18" t="s">
        <v>324</v>
      </c>
      <c r="E870" s="18" t="s">
        <v>404</v>
      </c>
      <c r="F870" s="18" t="s">
        <v>1343</v>
      </c>
      <c r="G870" s="18" t="n">
        <v>0.6</v>
      </c>
      <c r="H870" s="18" t="n">
        <v>2692</v>
      </c>
      <c r="I870" s="18" t="n">
        <v>113</v>
      </c>
      <c r="J870" s="18" t="n">
        <v>112</v>
      </c>
      <c r="K870" s="18" t="n">
        <v>-0.00090190165744599</v>
      </c>
      <c r="L870" s="18" t="n">
        <v>0.00284556802369682</v>
      </c>
      <c r="M870" s="18" t="n">
        <v>-0.31694960371191</v>
      </c>
      <c r="N870" s="18" t="n">
        <v>2690</v>
      </c>
      <c r="O870" s="18" t="n">
        <v>0.751306438023062</v>
      </c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 t="s">
        <v>402</v>
      </c>
      <c r="AI870" s="18"/>
      <c r="AJ870" s="18" t="s">
        <v>1415</v>
      </c>
    </row>
    <row r="871" customFormat="false" ht="15" hidden="false" customHeight="false" outlineLevel="0" collapsed="false">
      <c r="A871" s="18" t="s">
        <v>273</v>
      </c>
      <c r="B871" s="18" t="s">
        <v>573</v>
      </c>
      <c r="C871" s="18" t="s">
        <v>1342</v>
      </c>
      <c r="D871" s="18" t="s">
        <v>324</v>
      </c>
      <c r="E871" s="18" t="s">
        <v>404</v>
      </c>
      <c r="F871" s="18" t="s">
        <v>1343</v>
      </c>
      <c r="G871" s="18" t="n">
        <v>0.6</v>
      </c>
      <c r="H871" s="18" t="n">
        <v>2692</v>
      </c>
      <c r="I871" s="18" t="n">
        <v>113</v>
      </c>
      <c r="J871" s="18" t="n">
        <v>112</v>
      </c>
      <c r="K871" s="18" t="n">
        <v>0.0043774031531036</v>
      </c>
      <c r="L871" s="18" t="n">
        <v>0.00763545689963863</v>
      </c>
      <c r="M871" s="18" t="n">
        <v>0.573299438480332</v>
      </c>
      <c r="N871" s="18" t="n">
        <v>2690</v>
      </c>
      <c r="O871" s="18" t="n">
        <v>0.566489887007138</v>
      </c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 t="s">
        <v>402</v>
      </c>
      <c r="AI871" s="18"/>
      <c r="AJ871" s="18" t="s">
        <v>1416</v>
      </c>
    </row>
    <row r="872" customFormat="false" ht="15" hidden="false" customHeight="false" outlineLevel="0" collapsed="false">
      <c r="A872" s="18" t="s">
        <v>273</v>
      </c>
      <c r="B872" s="18" t="s">
        <v>575</v>
      </c>
      <c r="C872" s="18" t="s">
        <v>1342</v>
      </c>
      <c r="D872" s="18" t="s">
        <v>324</v>
      </c>
      <c r="E872" s="18" t="s">
        <v>404</v>
      </c>
      <c r="F872" s="18" t="s">
        <v>1343</v>
      </c>
      <c r="G872" s="18" t="n">
        <v>0.6</v>
      </c>
      <c r="H872" s="18" t="n">
        <v>2692</v>
      </c>
      <c r="I872" s="18" t="n">
        <v>113</v>
      </c>
      <c r="J872" s="18" t="n">
        <v>112</v>
      </c>
      <c r="K872" s="18" t="n">
        <v>-0.000823239717246436</v>
      </c>
      <c r="L872" s="18" t="n">
        <v>0.00284586728172126</v>
      </c>
      <c r="M872" s="18" t="n">
        <v>-0.289275512787974</v>
      </c>
      <c r="N872" s="18" t="n">
        <v>2690</v>
      </c>
      <c r="O872" s="18" t="n">
        <v>0.772392841568213</v>
      </c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 t="s">
        <v>402</v>
      </c>
      <c r="AI872" s="18"/>
      <c r="AJ872" s="18" t="s">
        <v>1417</v>
      </c>
    </row>
    <row r="873" customFormat="false" ht="15" hidden="false" customHeight="false" outlineLevel="0" collapsed="false">
      <c r="A873" s="18" t="s">
        <v>273</v>
      </c>
      <c r="B873" s="18" t="s">
        <v>577</v>
      </c>
      <c r="C873" s="18" t="s">
        <v>1342</v>
      </c>
      <c r="D873" s="18" t="s">
        <v>324</v>
      </c>
      <c r="E873" s="18" t="s">
        <v>404</v>
      </c>
      <c r="F873" s="18" t="s">
        <v>1343</v>
      </c>
      <c r="G873" s="18" t="n">
        <v>0.6</v>
      </c>
      <c r="H873" s="18" t="n">
        <v>2692</v>
      </c>
      <c r="I873" s="18" t="n">
        <v>113</v>
      </c>
      <c r="J873" s="18" t="n">
        <v>112</v>
      </c>
      <c r="K873" s="18" t="n">
        <v>0.000279479517472949</v>
      </c>
      <c r="L873" s="18" t="n">
        <v>0.00285391515744978</v>
      </c>
      <c r="M873" s="18" t="n">
        <v>0.0979284603970807</v>
      </c>
      <c r="N873" s="18" t="n">
        <v>2690</v>
      </c>
      <c r="O873" s="18" t="n">
        <v>0.921996396371691</v>
      </c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 t="s">
        <v>402</v>
      </c>
      <c r="AI873" s="18"/>
      <c r="AJ873" s="18" t="s">
        <v>1418</v>
      </c>
    </row>
    <row r="874" customFormat="false" ht="15" hidden="false" customHeight="false" outlineLevel="0" collapsed="false">
      <c r="A874" s="18" t="s">
        <v>273</v>
      </c>
      <c r="B874" s="18" t="s">
        <v>579</v>
      </c>
      <c r="C874" s="18" t="s">
        <v>1342</v>
      </c>
      <c r="D874" s="18" t="s">
        <v>324</v>
      </c>
      <c r="E874" s="18" t="s">
        <v>404</v>
      </c>
      <c r="F874" s="18" t="s">
        <v>1343</v>
      </c>
      <c r="G874" s="18" t="n">
        <v>0.6</v>
      </c>
      <c r="H874" s="18" t="n">
        <v>2692</v>
      </c>
      <c r="I874" s="18" t="n">
        <v>113</v>
      </c>
      <c r="J874" s="18" t="n">
        <v>112</v>
      </c>
      <c r="K874" s="18" t="n">
        <v>0.000230144611422203</v>
      </c>
      <c r="L874" s="18" t="n">
        <v>0.0028564705987394</v>
      </c>
      <c r="M874" s="18" t="n">
        <v>0.0805695712477378</v>
      </c>
      <c r="N874" s="18" t="n">
        <v>2690</v>
      </c>
      <c r="O874" s="18" t="n">
        <v>0.93579025961448</v>
      </c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 t="s">
        <v>402</v>
      </c>
      <c r="AI874" s="18"/>
      <c r="AJ874" s="18" t="s">
        <v>1419</v>
      </c>
    </row>
    <row r="875" customFormat="false" ht="15" hidden="false" customHeight="false" outlineLevel="0" collapsed="false">
      <c r="A875" s="18" t="s">
        <v>273</v>
      </c>
      <c r="B875" s="18" t="s">
        <v>581</v>
      </c>
      <c r="C875" s="18" t="s">
        <v>1342</v>
      </c>
      <c r="D875" s="18" t="s">
        <v>324</v>
      </c>
      <c r="E875" s="18" t="s">
        <v>404</v>
      </c>
      <c r="F875" s="18" t="s">
        <v>1343</v>
      </c>
      <c r="G875" s="18" t="n">
        <v>0.6</v>
      </c>
      <c r="H875" s="18" t="n">
        <v>2692</v>
      </c>
      <c r="I875" s="18" t="n">
        <v>113</v>
      </c>
      <c r="J875" s="18" t="n">
        <v>112</v>
      </c>
      <c r="K875" s="18" t="n">
        <v>0.00359323724753202</v>
      </c>
      <c r="L875" s="18" t="n">
        <v>0.0061495754295256</v>
      </c>
      <c r="M875" s="18" t="n">
        <v>0.58430655721044</v>
      </c>
      <c r="N875" s="18" t="n">
        <v>2690</v>
      </c>
      <c r="O875" s="18" t="n">
        <v>0.559063078064778</v>
      </c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 t="s">
        <v>402</v>
      </c>
      <c r="AI875" s="18"/>
      <c r="AJ875" s="18" t="s">
        <v>1420</v>
      </c>
    </row>
    <row r="876" customFormat="false" ht="15" hidden="false" customHeight="false" outlineLevel="0" collapsed="false">
      <c r="A876" s="18" t="s">
        <v>273</v>
      </c>
      <c r="B876" s="18" t="s">
        <v>583</v>
      </c>
      <c r="C876" s="18" t="s">
        <v>1342</v>
      </c>
      <c r="D876" s="18" t="s">
        <v>324</v>
      </c>
      <c r="E876" s="18" t="s">
        <v>404</v>
      </c>
      <c r="F876" s="18" t="s">
        <v>1343</v>
      </c>
      <c r="G876" s="18" t="n">
        <v>0.6</v>
      </c>
      <c r="H876" s="18" t="n">
        <v>2692</v>
      </c>
      <c r="I876" s="18" t="n">
        <v>113</v>
      </c>
      <c r="J876" s="18" t="n">
        <v>112</v>
      </c>
      <c r="K876" s="18" t="n">
        <v>0.00910738574397365</v>
      </c>
      <c r="L876" s="18" t="n">
        <v>0.0055414265287554</v>
      </c>
      <c r="M876" s="18" t="n">
        <v>1.64350924743185</v>
      </c>
      <c r="N876" s="18" t="n">
        <v>2690</v>
      </c>
      <c r="O876" s="18" t="n">
        <v>0.100394476543061</v>
      </c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 t="s">
        <v>402</v>
      </c>
      <c r="AI876" s="18"/>
      <c r="AJ876" s="18" t="s">
        <v>1421</v>
      </c>
    </row>
    <row r="877" customFormat="false" ht="15" hidden="false" customHeight="false" outlineLevel="0" collapsed="false">
      <c r="A877" s="18" t="s">
        <v>273</v>
      </c>
      <c r="B877" s="18" t="s">
        <v>585</v>
      </c>
      <c r="C877" s="18" t="s">
        <v>1342</v>
      </c>
      <c r="D877" s="18" t="s">
        <v>324</v>
      </c>
      <c r="E877" s="18" t="s">
        <v>404</v>
      </c>
      <c r="F877" s="18" t="s">
        <v>1343</v>
      </c>
      <c r="G877" s="18" t="n">
        <v>0.6</v>
      </c>
      <c r="H877" s="18" t="n">
        <v>2692</v>
      </c>
      <c r="I877" s="18" t="n">
        <v>113</v>
      </c>
      <c r="J877" s="18" t="n">
        <v>112</v>
      </c>
      <c r="K877" s="18" t="n">
        <v>-0.000560176942871263</v>
      </c>
      <c r="L877" s="18" t="n">
        <v>0.00408647664438529</v>
      </c>
      <c r="M877" s="18" t="n">
        <v>-0.137080666701211</v>
      </c>
      <c r="N877" s="18" t="n">
        <v>2690</v>
      </c>
      <c r="O877" s="18" t="n">
        <v>0.890977292538677</v>
      </c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 t="s">
        <v>402</v>
      </c>
      <c r="AI877" s="18"/>
      <c r="AJ877" s="18" t="s">
        <v>1422</v>
      </c>
    </row>
    <row r="878" customFormat="false" ht="15" hidden="false" customHeight="false" outlineLevel="0" collapsed="false">
      <c r="A878" s="18" t="s">
        <v>273</v>
      </c>
      <c r="B878" s="18" t="s">
        <v>587</v>
      </c>
      <c r="C878" s="18" t="s">
        <v>1342</v>
      </c>
      <c r="D878" s="18" t="s">
        <v>324</v>
      </c>
      <c r="E878" s="18" t="s">
        <v>404</v>
      </c>
      <c r="F878" s="18" t="s">
        <v>1343</v>
      </c>
      <c r="G878" s="18" t="n">
        <v>0.6</v>
      </c>
      <c r="H878" s="18" t="n">
        <v>924</v>
      </c>
      <c r="I878" s="18" t="n">
        <v>40</v>
      </c>
      <c r="J878" s="18" t="n">
        <v>40</v>
      </c>
      <c r="K878" s="18" t="n">
        <v>0.00435601390001068</v>
      </c>
      <c r="L878" s="18" t="n">
        <v>0.00309949546923468</v>
      </c>
      <c r="M878" s="18" t="n">
        <v>1.40539450476637</v>
      </c>
      <c r="N878" s="18" t="n">
        <v>922</v>
      </c>
      <c r="O878" s="18" t="n">
        <v>0.160240857552411</v>
      </c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 t="s">
        <v>402</v>
      </c>
      <c r="AI878" s="18"/>
      <c r="AJ878" s="18" t="s">
        <v>1423</v>
      </c>
    </row>
    <row r="879" customFormat="false" ht="15" hidden="false" customHeight="false" outlineLevel="0" collapsed="false">
      <c r="A879" s="18" t="s">
        <v>273</v>
      </c>
      <c r="B879" s="18" t="s">
        <v>589</v>
      </c>
      <c r="C879" s="18" t="s">
        <v>1342</v>
      </c>
      <c r="D879" s="18" t="s">
        <v>324</v>
      </c>
      <c r="E879" s="18" t="s">
        <v>404</v>
      </c>
      <c r="F879" s="18" t="s">
        <v>1343</v>
      </c>
      <c r="G879" s="18" t="n">
        <v>0.6</v>
      </c>
      <c r="H879" s="18" t="n">
        <v>2705</v>
      </c>
      <c r="I879" s="18" t="n">
        <v>113</v>
      </c>
      <c r="J879" s="18" t="n">
        <v>112</v>
      </c>
      <c r="K879" s="18" t="n">
        <v>0.00332416974382812</v>
      </c>
      <c r="L879" s="18" t="n">
        <v>0.00246993096518676</v>
      </c>
      <c r="M879" s="18" t="n">
        <v>1.34585532578915</v>
      </c>
      <c r="N879" s="18" t="n">
        <v>2703</v>
      </c>
      <c r="O879" s="18" t="n">
        <v>0.178462048599019</v>
      </c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 t="s">
        <v>402</v>
      </c>
      <c r="AI879" s="18"/>
      <c r="AJ879" s="18" t="s">
        <v>1424</v>
      </c>
    </row>
    <row r="880" customFormat="false" ht="15" hidden="false" customHeight="false" outlineLevel="0" collapsed="false">
      <c r="A880" s="18" t="s">
        <v>273</v>
      </c>
      <c r="B880" s="18" t="s">
        <v>591</v>
      </c>
      <c r="C880" s="18" t="s">
        <v>1342</v>
      </c>
      <c r="D880" s="18" t="s">
        <v>324</v>
      </c>
      <c r="E880" s="18" t="s">
        <v>404</v>
      </c>
      <c r="F880" s="18" t="s">
        <v>1343</v>
      </c>
      <c r="G880" s="18" t="n">
        <v>0.6</v>
      </c>
      <c r="H880" s="18" t="n">
        <v>2705</v>
      </c>
      <c r="I880" s="18" t="n">
        <v>113</v>
      </c>
      <c r="J880" s="18" t="n">
        <v>112</v>
      </c>
      <c r="K880" s="18" t="n">
        <v>0.00306959193341593</v>
      </c>
      <c r="L880" s="18" t="n">
        <v>0.00247224180024882</v>
      </c>
      <c r="M880" s="18" t="n">
        <v>1.2416228595063</v>
      </c>
      <c r="N880" s="18" t="n">
        <v>2703</v>
      </c>
      <c r="O880" s="18" t="n">
        <v>0.21448347246085</v>
      </c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 t="s">
        <v>402</v>
      </c>
      <c r="AI880" s="18"/>
      <c r="AJ880" s="18" t="s">
        <v>1425</v>
      </c>
    </row>
    <row r="881" customFormat="false" ht="15" hidden="false" customHeight="false" outlineLevel="0" collapsed="false">
      <c r="A881" s="18" t="s">
        <v>273</v>
      </c>
      <c r="B881" s="18" t="s">
        <v>593</v>
      </c>
      <c r="C881" s="18" t="s">
        <v>1342</v>
      </c>
      <c r="D881" s="18" t="s">
        <v>324</v>
      </c>
      <c r="E881" s="18" t="s">
        <v>404</v>
      </c>
      <c r="F881" s="18" t="s">
        <v>1343</v>
      </c>
      <c r="G881" s="18" t="n">
        <v>0.6</v>
      </c>
      <c r="H881" s="18" t="n">
        <v>2705</v>
      </c>
      <c r="I881" s="18" t="n">
        <v>113</v>
      </c>
      <c r="J881" s="18" t="n">
        <v>112</v>
      </c>
      <c r="K881" s="18" t="n">
        <v>0.00251933316222437</v>
      </c>
      <c r="L881" s="18" t="n">
        <v>0.00663376671996541</v>
      </c>
      <c r="M881" s="18" t="n">
        <v>0.379774156761049</v>
      </c>
      <c r="N881" s="18" t="n">
        <v>2703</v>
      </c>
      <c r="O881" s="18" t="n">
        <v>0.704142902858029</v>
      </c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 t="s">
        <v>402</v>
      </c>
      <c r="AI881" s="18"/>
      <c r="AJ881" s="18" t="s">
        <v>1426</v>
      </c>
    </row>
    <row r="882" customFormat="false" ht="15" hidden="false" customHeight="false" outlineLevel="0" collapsed="false">
      <c r="A882" s="18" t="s">
        <v>273</v>
      </c>
      <c r="B882" s="18" t="s">
        <v>595</v>
      </c>
      <c r="C882" s="18" t="s">
        <v>1342</v>
      </c>
      <c r="D882" s="18" t="s">
        <v>324</v>
      </c>
      <c r="E882" s="18" t="s">
        <v>404</v>
      </c>
      <c r="F882" s="18" t="s">
        <v>1343</v>
      </c>
      <c r="G882" s="18" t="n">
        <v>0.6</v>
      </c>
      <c r="H882" s="18" t="n">
        <v>2705</v>
      </c>
      <c r="I882" s="18" t="n">
        <v>113</v>
      </c>
      <c r="J882" s="18" t="n">
        <v>112</v>
      </c>
      <c r="K882" s="18" t="n">
        <v>0.00314382923245503</v>
      </c>
      <c r="L882" s="18" t="n">
        <v>0.00247246007881478</v>
      </c>
      <c r="M882" s="18" t="n">
        <v>1.27153892570111</v>
      </c>
      <c r="N882" s="18" t="n">
        <v>2703</v>
      </c>
      <c r="O882" s="18" t="n">
        <v>0.203646386016024</v>
      </c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 t="s">
        <v>402</v>
      </c>
      <c r="AI882" s="18"/>
      <c r="AJ882" s="18" t="s">
        <v>1427</v>
      </c>
    </row>
    <row r="883" customFormat="false" ht="15" hidden="false" customHeight="false" outlineLevel="0" collapsed="false">
      <c r="A883" s="18" t="s">
        <v>273</v>
      </c>
      <c r="B883" s="18" t="s">
        <v>597</v>
      </c>
      <c r="C883" s="18" t="s">
        <v>1342</v>
      </c>
      <c r="D883" s="18" t="s">
        <v>324</v>
      </c>
      <c r="E883" s="18" t="s">
        <v>404</v>
      </c>
      <c r="F883" s="18" t="s">
        <v>1343</v>
      </c>
      <c r="G883" s="18" t="n">
        <v>0.6</v>
      </c>
      <c r="H883" s="18" t="n">
        <v>2705</v>
      </c>
      <c r="I883" s="18" t="n">
        <v>113</v>
      </c>
      <c r="J883" s="18" t="n">
        <v>112</v>
      </c>
      <c r="K883" s="18" t="n">
        <v>0.00414644301068073</v>
      </c>
      <c r="L883" s="18" t="n">
        <v>0.00247888441126253</v>
      </c>
      <c r="M883" s="18" t="n">
        <v>1.67270526686998</v>
      </c>
      <c r="N883" s="18" t="n">
        <v>2703</v>
      </c>
      <c r="O883" s="18" t="n">
        <v>0.0945010564568967</v>
      </c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 t="s">
        <v>402</v>
      </c>
      <c r="AI883" s="18"/>
      <c r="AJ883" s="18" t="s">
        <v>1428</v>
      </c>
    </row>
    <row r="884" customFormat="false" ht="15" hidden="false" customHeight="false" outlineLevel="0" collapsed="false">
      <c r="A884" s="18" t="s">
        <v>273</v>
      </c>
      <c r="B884" s="18" t="s">
        <v>599</v>
      </c>
      <c r="C884" s="18" t="s">
        <v>1342</v>
      </c>
      <c r="D884" s="18" t="s">
        <v>324</v>
      </c>
      <c r="E884" s="18" t="s">
        <v>404</v>
      </c>
      <c r="F884" s="18" t="s">
        <v>1343</v>
      </c>
      <c r="G884" s="18" t="n">
        <v>0.6</v>
      </c>
      <c r="H884" s="18" t="n">
        <v>2705</v>
      </c>
      <c r="I884" s="18" t="n">
        <v>113</v>
      </c>
      <c r="J884" s="18" t="n">
        <v>112</v>
      </c>
      <c r="K884" s="18" t="n">
        <v>0.00407316527125604</v>
      </c>
      <c r="L884" s="18" t="n">
        <v>0.00248115171771503</v>
      </c>
      <c r="M884" s="18" t="n">
        <v>1.64164296853525</v>
      </c>
      <c r="N884" s="18" t="n">
        <v>2703</v>
      </c>
      <c r="O884" s="18" t="n">
        <v>0.100780349676163</v>
      </c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 t="s">
        <v>402</v>
      </c>
      <c r="AI884" s="18"/>
      <c r="AJ884" s="18" t="s">
        <v>1429</v>
      </c>
    </row>
    <row r="885" customFormat="false" ht="15" hidden="false" customHeight="false" outlineLevel="0" collapsed="false">
      <c r="A885" s="18" t="s">
        <v>273</v>
      </c>
      <c r="B885" s="18" t="s">
        <v>601</v>
      </c>
      <c r="C885" s="18" t="s">
        <v>1342</v>
      </c>
      <c r="D885" s="18" t="s">
        <v>324</v>
      </c>
      <c r="E885" s="18" t="s">
        <v>404</v>
      </c>
      <c r="F885" s="18" t="s">
        <v>1343</v>
      </c>
      <c r="G885" s="18" t="n">
        <v>0.6</v>
      </c>
      <c r="H885" s="18" t="n">
        <v>2705</v>
      </c>
      <c r="I885" s="18" t="n">
        <v>113</v>
      </c>
      <c r="J885" s="18" t="n">
        <v>112</v>
      </c>
      <c r="K885" s="18" t="n">
        <v>0.00185233140400951</v>
      </c>
      <c r="L885" s="18" t="n">
        <v>0.00534282504762432</v>
      </c>
      <c r="M885" s="18" t="n">
        <v>0.346695126173585</v>
      </c>
      <c r="N885" s="18" t="n">
        <v>2703</v>
      </c>
      <c r="O885" s="18" t="n">
        <v>0.728847359085508</v>
      </c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 t="s">
        <v>402</v>
      </c>
      <c r="AI885" s="18"/>
      <c r="AJ885" s="18" t="s">
        <v>1430</v>
      </c>
    </row>
    <row r="886" customFormat="false" ht="15" hidden="false" customHeight="false" outlineLevel="0" collapsed="false">
      <c r="A886" s="18" t="s">
        <v>273</v>
      </c>
      <c r="B886" s="18" t="s">
        <v>603</v>
      </c>
      <c r="C886" s="18" t="s">
        <v>1342</v>
      </c>
      <c r="D886" s="18" t="s">
        <v>324</v>
      </c>
      <c r="E886" s="18" t="s">
        <v>404</v>
      </c>
      <c r="F886" s="18" t="s">
        <v>1343</v>
      </c>
      <c r="G886" s="18" t="n">
        <v>0.6</v>
      </c>
      <c r="H886" s="18" t="n">
        <v>2705</v>
      </c>
      <c r="I886" s="18" t="n">
        <v>113</v>
      </c>
      <c r="J886" s="18" t="n">
        <v>112</v>
      </c>
      <c r="K886" s="18" t="n">
        <v>0.00773609204325304</v>
      </c>
      <c r="L886" s="18" t="n">
        <v>0.00481379091265096</v>
      </c>
      <c r="M886" s="18" t="n">
        <v>1.60706856272508</v>
      </c>
      <c r="N886" s="18" t="n">
        <v>2703</v>
      </c>
      <c r="O886" s="18" t="n">
        <v>0.108156126582306</v>
      </c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 t="s">
        <v>402</v>
      </c>
      <c r="AI886" s="18"/>
      <c r="AJ886" s="18" t="s">
        <v>1431</v>
      </c>
    </row>
    <row r="887" customFormat="false" ht="15" hidden="false" customHeight="false" outlineLevel="0" collapsed="false">
      <c r="A887" s="18" t="s">
        <v>273</v>
      </c>
      <c r="B887" s="18" t="s">
        <v>605</v>
      </c>
      <c r="C887" s="18" t="s">
        <v>1342</v>
      </c>
      <c r="D887" s="18" t="s">
        <v>324</v>
      </c>
      <c r="E887" s="18" t="s">
        <v>404</v>
      </c>
      <c r="F887" s="18" t="s">
        <v>1343</v>
      </c>
      <c r="G887" s="18" t="n">
        <v>0.6</v>
      </c>
      <c r="H887" s="18" t="n">
        <v>2705</v>
      </c>
      <c r="I887" s="18" t="n">
        <v>113</v>
      </c>
      <c r="J887" s="18" t="n">
        <v>112</v>
      </c>
      <c r="K887" s="18" t="n">
        <v>-0.00253042631526506</v>
      </c>
      <c r="L887" s="18" t="n">
        <v>0.00355049730222197</v>
      </c>
      <c r="M887" s="18" t="n">
        <v>-0.71269630698817</v>
      </c>
      <c r="N887" s="18" t="n">
        <v>2703</v>
      </c>
      <c r="O887" s="18" t="n">
        <v>0.476095219001251</v>
      </c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 t="s">
        <v>402</v>
      </c>
      <c r="AI887" s="18"/>
      <c r="AJ887" s="18" t="s">
        <v>1432</v>
      </c>
    </row>
    <row r="888" customFormat="false" ht="15" hidden="false" customHeight="false" outlineLevel="0" collapsed="false">
      <c r="A888" s="18" t="s">
        <v>273</v>
      </c>
      <c r="B888" s="18" t="s">
        <v>607</v>
      </c>
      <c r="C888" s="18" t="s">
        <v>1342</v>
      </c>
      <c r="D888" s="18" t="s">
        <v>324</v>
      </c>
      <c r="E888" s="18" t="s">
        <v>404</v>
      </c>
      <c r="F888" s="18" t="s">
        <v>1343</v>
      </c>
      <c r="G888" s="18" t="n">
        <v>0.6</v>
      </c>
      <c r="H888" s="18" t="n">
        <v>929</v>
      </c>
      <c r="I888" s="18" t="n">
        <v>40</v>
      </c>
      <c r="J888" s="18" t="n">
        <v>40</v>
      </c>
      <c r="K888" s="18" t="n">
        <v>0.004716189373297</v>
      </c>
      <c r="L888" s="18" t="n">
        <v>0.00309964938496897</v>
      </c>
      <c r="M888" s="18" t="n">
        <v>1.52152349751784</v>
      </c>
      <c r="N888" s="18" t="n">
        <v>927</v>
      </c>
      <c r="O888" s="18" t="n">
        <v>0.12846953631077</v>
      </c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 t="s">
        <v>402</v>
      </c>
      <c r="AI888" s="18"/>
      <c r="AJ888" s="18" t="s">
        <v>1433</v>
      </c>
    </row>
    <row r="889" customFormat="false" ht="15" hidden="false" customHeight="false" outlineLevel="0" collapsed="false">
      <c r="A889" s="18" t="s">
        <v>273</v>
      </c>
      <c r="B889" s="18" t="s">
        <v>609</v>
      </c>
      <c r="C889" s="18" t="s">
        <v>1342</v>
      </c>
      <c r="D889" s="18" t="s">
        <v>324</v>
      </c>
      <c r="E889" s="18" t="s">
        <v>404</v>
      </c>
      <c r="F889" s="18" t="s">
        <v>1343</v>
      </c>
      <c r="G889" s="18" t="n">
        <v>0.6</v>
      </c>
      <c r="H889" s="18" t="n">
        <v>2607</v>
      </c>
      <c r="I889" s="18" t="n">
        <v>110</v>
      </c>
      <c r="J889" s="18" t="n">
        <v>109</v>
      </c>
      <c r="K889" s="18" t="n">
        <v>-0.000391653088367572</v>
      </c>
      <c r="L889" s="18" t="n">
        <v>0.00309678475717869</v>
      </c>
      <c r="M889" s="18" t="n">
        <v>-0.126470878371407</v>
      </c>
      <c r="N889" s="18" t="n">
        <v>2605</v>
      </c>
      <c r="O889" s="18" t="n">
        <v>0.899368959847394</v>
      </c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 t="s">
        <v>402</v>
      </c>
      <c r="AI889" s="18"/>
      <c r="AJ889" s="18" t="s">
        <v>1434</v>
      </c>
    </row>
    <row r="890" customFormat="false" ht="15" hidden="false" customHeight="false" outlineLevel="0" collapsed="false">
      <c r="A890" s="18" t="s">
        <v>273</v>
      </c>
      <c r="B890" s="18" t="s">
        <v>611</v>
      </c>
      <c r="C890" s="18" t="s">
        <v>1342</v>
      </c>
      <c r="D890" s="18" t="s">
        <v>324</v>
      </c>
      <c r="E890" s="18" t="s">
        <v>404</v>
      </c>
      <c r="F890" s="18" t="s">
        <v>1343</v>
      </c>
      <c r="G890" s="18" t="n">
        <v>0.6</v>
      </c>
      <c r="H890" s="18" t="n">
        <v>2607</v>
      </c>
      <c r="I890" s="18" t="n">
        <v>110</v>
      </c>
      <c r="J890" s="18" t="n">
        <v>109</v>
      </c>
      <c r="K890" s="18" t="n">
        <v>-0.00069224882188158</v>
      </c>
      <c r="L890" s="18" t="n">
        <v>0.00309942489848737</v>
      </c>
      <c r="M890" s="18" t="n">
        <v>-0.223347506248472</v>
      </c>
      <c r="N890" s="18" t="n">
        <v>2605</v>
      </c>
      <c r="O890" s="18" t="n">
        <v>0.823282568501608</v>
      </c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 t="s">
        <v>402</v>
      </c>
      <c r="AI890" s="18"/>
      <c r="AJ890" s="18" t="s">
        <v>1435</v>
      </c>
    </row>
    <row r="891" customFormat="false" ht="15" hidden="false" customHeight="false" outlineLevel="0" collapsed="false">
      <c r="A891" s="18" t="s">
        <v>273</v>
      </c>
      <c r="B891" s="18" t="s">
        <v>613</v>
      </c>
      <c r="C891" s="18" t="s">
        <v>1342</v>
      </c>
      <c r="D891" s="18" t="s">
        <v>324</v>
      </c>
      <c r="E891" s="18" t="s">
        <v>404</v>
      </c>
      <c r="F891" s="18" t="s">
        <v>1343</v>
      </c>
      <c r="G891" s="18" t="n">
        <v>0.6</v>
      </c>
      <c r="H891" s="18" t="n">
        <v>2607</v>
      </c>
      <c r="I891" s="18" t="n">
        <v>110</v>
      </c>
      <c r="J891" s="18" t="n">
        <v>109</v>
      </c>
      <c r="K891" s="18" t="n">
        <v>0.00165075927055246</v>
      </c>
      <c r="L891" s="18" t="n">
        <v>0.00869313860238477</v>
      </c>
      <c r="M891" s="18" t="n">
        <v>0.189892206492557</v>
      </c>
      <c r="N891" s="18" t="n">
        <v>2605</v>
      </c>
      <c r="O891" s="18" t="n">
        <v>0.849408394590021</v>
      </c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 t="s">
        <v>402</v>
      </c>
      <c r="AI891" s="18"/>
      <c r="AJ891" s="18" t="s">
        <v>1436</v>
      </c>
    </row>
    <row r="892" customFormat="false" ht="15" hidden="false" customHeight="false" outlineLevel="0" collapsed="false">
      <c r="A892" s="18" t="s">
        <v>273</v>
      </c>
      <c r="B892" s="18" t="s">
        <v>615</v>
      </c>
      <c r="C892" s="18" t="s">
        <v>1342</v>
      </c>
      <c r="D892" s="18" t="s">
        <v>324</v>
      </c>
      <c r="E892" s="18" t="s">
        <v>404</v>
      </c>
      <c r="F892" s="18" t="s">
        <v>1343</v>
      </c>
      <c r="G892" s="18" t="n">
        <v>0.6</v>
      </c>
      <c r="H892" s="18" t="n">
        <v>2607</v>
      </c>
      <c r="I892" s="18" t="n">
        <v>110</v>
      </c>
      <c r="J892" s="18" t="n">
        <v>109</v>
      </c>
      <c r="K892" s="18" t="n">
        <v>-0.000612993934113595</v>
      </c>
      <c r="L892" s="18" t="n">
        <v>0.00309973956900185</v>
      </c>
      <c r="M892" s="18" t="n">
        <v>-0.19775659227752</v>
      </c>
      <c r="N892" s="18" t="n">
        <v>2605</v>
      </c>
      <c r="O892" s="18" t="n">
        <v>0.843250939166199</v>
      </c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 t="s">
        <v>402</v>
      </c>
      <c r="AI892" s="18"/>
      <c r="AJ892" s="18" t="s">
        <v>1437</v>
      </c>
    </row>
    <row r="893" customFormat="false" ht="15" hidden="false" customHeight="false" outlineLevel="0" collapsed="false">
      <c r="A893" s="18" t="s">
        <v>273</v>
      </c>
      <c r="B893" s="18" t="s">
        <v>617</v>
      </c>
      <c r="C893" s="18" t="s">
        <v>1342</v>
      </c>
      <c r="D893" s="18" t="s">
        <v>324</v>
      </c>
      <c r="E893" s="18" t="s">
        <v>404</v>
      </c>
      <c r="F893" s="18" t="s">
        <v>1343</v>
      </c>
      <c r="G893" s="18" t="n">
        <v>0.6</v>
      </c>
      <c r="H893" s="18" t="n">
        <v>2607</v>
      </c>
      <c r="I893" s="18" t="n">
        <v>110</v>
      </c>
      <c r="J893" s="18" t="n">
        <v>109</v>
      </c>
      <c r="K893" s="18" t="n">
        <v>0.000338006102312893</v>
      </c>
      <c r="L893" s="18" t="n">
        <v>0.00310716987620275</v>
      </c>
      <c r="M893" s="18" t="n">
        <v>0.108782627207357</v>
      </c>
      <c r="N893" s="18" t="n">
        <v>2605</v>
      </c>
      <c r="O893" s="18" t="n">
        <v>0.913383281708295</v>
      </c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 t="s">
        <v>402</v>
      </c>
      <c r="AI893" s="18"/>
      <c r="AJ893" s="18" t="s">
        <v>1438</v>
      </c>
    </row>
    <row r="894" customFormat="false" ht="15" hidden="false" customHeight="false" outlineLevel="0" collapsed="false">
      <c r="A894" s="18" t="s">
        <v>273</v>
      </c>
      <c r="B894" s="18" t="s">
        <v>619</v>
      </c>
      <c r="C894" s="18" t="s">
        <v>1342</v>
      </c>
      <c r="D894" s="18" t="s">
        <v>324</v>
      </c>
      <c r="E894" s="18" t="s">
        <v>404</v>
      </c>
      <c r="F894" s="18" t="s">
        <v>1343</v>
      </c>
      <c r="G894" s="18" t="n">
        <v>0.6</v>
      </c>
      <c r="H894" s="18" t="n">
        <v>2607</v>
      </c>
      <c r="I894" s="18" t="n">
        <v>110</v>
      </c>
      <c r="J894" s="18" t="n">
        <v>109</v>
      </c>
      <c r="K894" s="18" t="n">
        <v>0.000288844084698314</v>
      </c>
      <c r="L894" s="18" t="n">
        <v>0.00310982855843045</v>
      </c>
      <c r="M894" s="18" t="n">
        <v>0.0928810316296329</v>
      </c>
      <c r="N894" s="18" t="n">
        <v>2605</v>
      </c>
      <c r="O894" s="18" t="n">
        <v>0.926005217423568</v>
      </c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 t="s">
        <v>402</v>
      </c>
      <c r="AI894" s="18"/>
      <c r="AJ894" s="18" t="s">
        <v>1439</v>
      </c>
    </row>
    <row r="895" customFormat="false" ht="15" hidden="false" customHeight="false" outlineLevel="0" collapsed="false">
      <c r="A895" s="18" t="s">
        <v>273</v>
      </c>
      <c r="B895" s="18" t="s">
        <v>621</v>
      </c>
      <c r="C895" s="18" t="s">
        <v>1342</v>
      </c>
      <c r="D895" s="18" t="s">
        <v>324</v>
      </c>
      <c r="E895" s="18" t="s">
        <v>404</v>
      </c>
      <c r="F895" s="18" t="s">
        <v>1343</v>
      </c>
      <c r="G895" s="18" t="n">
        <v>0.6</v>
      </c>
      <c r="H895" s="18" t="n">
        <v>2607</v>
      </c>
      <c r="I895" s="18" t="n">
        <v>110</v>
      </c>
      <c r="J895" s="18" t="n">
        <v>109</v>
      </c>
      <c r="K895" s="18" t="n">
        <v>0.0018272793220835</v>
      </c>
      <c r="L895" s="18" t="n">
        <v>0.00687764707219034</v>
      </c>
      <c r="M895" s="18" t="n">
        <v>0.265683787333618</v>
      </c>
      <c r="N895" s="18" t="n">
        <v>2605</v>
      </c>
      <c r="O895" s="18" t="n">
        <v>0.790503774328109</v>
      </c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 t="s">
        <v>402</v>
      </c>
      <c r="AI895" s="18"/>
      <c r="AJ895" s="18" t="s">
        <v>1440</v>
      </c>
    </row>
    <row r="896" customFormat="false" ht="15" hidden="false" customHeight="false" outlineLevel="0" collapsed="false">
      <c r="A896" s="18" t="s">
        <v>273</v>
      </c>
      <c r="B896" s="18" t="s">
        <v>623</v>
      </c>
      <c r="C896" s="18" t="s">
        <v>1342</v>
      </c>
      <c r="D896" s="18" t="s">
        <v>324</v>
      </c>
      <c r="E896" s="18" t="s">
        <v>404</v>
      </c>
      <c r="F896" s="18" t="s">
        <v>1343</v>
      </c>
      <c r="G896" s="18" t="n">
        <v>0.6</v>
      </c>
      <c r="H896" s="18" t="n">
        <v>2607</v>
      </c>
      <c r="I896" s="18" t="n">
        <v>110</v>
      </c>
      <c r="J896" s="18" t="n">
        <v>109</v>
      </c>
      <c r="K896" s="18" t="n">
        <v>0.00968280505962893</v>
      </c>
      <c r="L896" s="18" t="n">
        <v>0.00615686324137137</v>
      </c>
      <c r="M896" s="18" t="n">
        <v>1.57268477145388</v>
      </c>
      <c r="N896" s="18" t="n">
        <v>2605</v>
      </c>
      <c r="O896" s="18" t="n">
        <v>0.115913266410654</v>
      </c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 t="s">
        <v>402</v>
      </c>
      <c r="AI896" s="18"/>
      <c r="AJ896" s="18" t="s">
        <v>1441</v>
      </c>
    </row>
    <row r="897" customFormat="false" ht="15" hidden="false" customHeight="false" outlineLevel="0" collapsed="false">
      <c r="A897" s="18" t="s">
        <v>273</v>
      </c>
      <c r="B897" s="18" t="s">
        <v>625</v>
      </c>
      <c r="C897" s="18" t="s">
        <v>1342</v>
      </c>
      <c r="D897" s="18" t="s">
        <v>324</v>
      </c>
      <c r="E897" s="18" t="s">
        <v>404</v>
      </c>
      <c r="F897" s="18" t="s">
        <v>1343</v>
      </c>
      <c r="G897" s="18" t="n">
        <v>0.6</v>
      </c>
      <c r="H897" s="18" t="n">
        <v>2607</v>
      </c>
      <c r="I897" s="18" t="n">
        <v>110</v>
      </c>
      <c r="J897" s="18" t="n">
        <v>109</v>
      </c>
      <c r="K897" s="18" t="n">
        <v>-0.000480332914831093</v>
      </c>
      <c r="L897" s="18" t="n">
        <v>0.0044851522206751</v>
      </c>
      <c r="M897" s="18" t="n">
        <v>-0.10709400510799</v>
      </c>
      <c r="N897" s="18" t="n">
        <v>2605</v>
      </c>
      <c r="O897" s="18" t="n">
        <v>0.914722649717686</v>
      </c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 t="s">
        <v>402</v>
      </c>
      <c r="AI897" s="18"/>
      <c r="AJ897" s="18" t="s">
        <v>1442</v>
      </c>
    </row>
    <row r="898" customFormat="false" ht="15" hidden="false" customHeight="false" outlineLevel="0" collapsed="false">
      <c r="A898" s="18" t="s">
        <v>273</v>
      </c>
      <c r="B898" s="18" t="s">
        <v>627</v>
      </c>
      <c r="C898" s="18" t="s">
        <v>1342</v>
      </c>
      <c r="D898" s="18" t="s">
        <v>324</v>
      </c>
      <c r="E898" s="18" t="s">
        <v>404</v>
      </c>
      <c r="F898" s="18" t="s">
        <v>1343</v>
      </c>
      <c r="G898" s="18" t="n">
        <v>0.6</v>
      </c>
      <c r="H898" s="18" t="n">
        <v>905</v>
      </c>
      <c r="I898" s="18" t="n">
        <v>38</v>
      </c>
      <c r="J898" s="18" t="n">
        <v>38</v>
      </c>
      <c r="K898" s="18" t="n">
        <v>0.00176411380688494</v>
      </c>
      <c r="L898" s="18" t="n">
        <v>0.00346556904595566</v>
      </c>
      <c r="M898" s="18" t="n">
        <v>0.509040155741139</v>
      </c>
      <c r="N898" s="18" t="n">
        <v>903</v>
      </c>
      <c r="O898" s="18" t="n">
        <v>0.610848434377965</v>
      </c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 t="s">
        <v>402</v>
      </c>
      <c r="AI898" s="18"/>
      <c r="AJ898" s="18" t="s">
        <v>1443</v>
      </c>
    </row>
    <row r="899" customFormat="false" ht="15" hidden="false" customHeight="false" outlineLevel="0" collapsed="false">
      <c r="A899" s="18" t="s">
        <v>273</v>
      </c>
      <c r="B899" s="18" t="s">
        <v>629</v>
      </c>
      <c r="C899" s="18" t="s">
        <v>1342</v>
      </c>
      <c r="D899" s="18" t="s">
        <v>324</v>
      </c>
      <c r="E899" s="18" t="s">
        <v>404</v>
      </c>
      <c r="F899" s="18" t="s">
        <v>1343</v>
      </c>
      <c r="G899" s="18" t="n">
        <v>0.6</v>
      </c>
      <c r="H899" s="18" t="n">
        <v>2594</v>
      </c>
      <c r="I899" s="18" t="n">
        <v>110</v>
      </c>
      <c r="J899" s="18" t="n">
        <v>109</v>
      </c>
      <c r="K899" s="18" t="n">
        <v>-0.000867635666816712</v>
      </c>
      <c r="L899" s="18" t="n">
        <v>0.00290273450085502</v>
      </c>
      <c r="M899" s="18" t="n">
        <v>-0.29890286781693</v>
      </c>
      <c r="N899" s="18" t="n">
        <v>2592</v>
      </c>
      <c r="O899" s="18" t="n">
        <v>0.765038120537383</v>
      </c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 t="s">
        <v>402</v>
      </c>
      <c r="AI899" s="18"/>
      <c r="AJ899" s="18" t="s">
        <v>1444</v>
      </c>
    </row>
    <row r="900" customFormat="false" ht="15" hidden="false" customHeight="false" outlineLevel="0" collapsed="false">
      <c r="A900" s="18" t="s">
        <v>273</v>
      </c>
      <c r="B900" s="18" t="s">
        <v>631</v>
      </c>
      <c r="C900" s="18" t="s">
        <v>1342</v>
      </c>
      <c r="D900" s="18" t="s">
        <v>324</v>
      </c>
      <c r="E900" s="18" t="s">
        <v>404</v>
      </c>
      <c r="F900" s="18" t="s">
        <v>1343</v>
      </c>
      <c r="G900" s="18" t="n">
        <v>0.6</v>
      </c>
      <c r="H900" s="18" t="n">
        <v>2594</v>
      </c>
      <c r="I900" s="18" t="n">
        <v>110</v>
      </c>
      <c r="J900" s="18" t="n">
        <v>109</v>
      </c>
      <c r="K900" s="18" t="n">
        <v>-0.00116505299625661</v>
      </c>
      <c r="L900" s="18" t="n">
        <v>0.00290518387676136</v>
      </c>
      <c r="M900" s="18" t="n">
        <v>-0.401025561781439</v>
      </c>
      <c r="N900" s="18" t="n">
        <v>2592</v>
      </c>
      <c r="O900" s="18" t="n">
        <v>0.6884343592303</v>
      </c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 t="s">
        <v>402</v>
      </c>
      <c r="AI900" s="18"/>
      <c r="AJ900" s="18" t="s">
        <v>1445</v>
      </c>
    </row>
    <row r="901" customFormat="false" ht="15" hidden="false" customHeight="false" outlineLevel="0" collapsed="false">
      <c r="A901" s="18" t="s">
        <v>273</v>
      </c>
      <c r="B901" s="18" t="s">
        <v>633</v>
      </c>
      <c r="C901" s="18" t="s">
        <v>1342</v>
      </c>
      <c r="D901" s="18" t="s">
        <v>324</v>
      </c>
      <c r="E901" s="18" t="s">
        <v>404</v>
      </c>
      <c r="F901" s="18" t="s">
        <v>1343</v>
      </c>
      <c r="G901" s="18" t="n">
        <v>0.6</v>
      </c>
      <c r="H901" s="18" t="n">
        <v>2594</v>
      </c>
      <c r="I901" s="18" t="n">
        <v>110</v>
      </c>
      <c r="J901" s="18" t="n">
        <v>109</v>
      </c>
      <c r="K901" s="18" t="n">
        <v>0.00100646859475817</v>
      </c>
      <c r="L901" s="18" t="n">
        <v>0.00815130067244417</v>
      </c>
      <c r="M901" s="18" t="n">
        <v>0.123473373784454</v>
      </c>
      <c r="N901" s="18" t="n">
        <v>2592</v>
      </c>
      <c r="O901" s="18" t="n">
        <v>0.901741830789186</v>
      </c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 t="s">
        <v>402</v>
      </c>
      <c r="AI901" s="18"/>
      <c r="AJ901" s="18" t="s">
        <v>1446</v>
      </c>
    </row>
    <row r="902" customFormat="false" ht="15" hidden="false" customHeight="false" outlineLevel="0" collapsed="false">
      <c r="A902" s="18" t="s">
        <v>273</v>
      </c>
      <c r="B902" s="18" t="s">
        <v>635</v>
      </c>
      <c r="C902" s="18" t="s">
        <v>1342</v>
      </c>
      <c r="D902" s="18" t="s">
        <v>324</v>
      </c>
      <c r="E902" s="18" t="s">
        <v>404</v>
      </c>
      <c r="F902" s="18" t="s">
        <v>1343</v>
      </c>
      <c r="G902" s="18" t="n">
        <v>0.6</v>
      </c>
      <c r="H902" s="18" t="n">
        <v>2594</v>
      </c>
      <c r="I902" s="18" t="n">
        <v>110</v>
      </c>
      <c r="J902" s="18" t="n">
        <v>109</v>
      </c>
      <c r="K902" s="18" t="n">
        <v>-0.00108543443372312</v>
      </c>
      <c r="L902" s="18" t="n">
        <v>0.00290548429973351</v>
      </c>
      <c r="M902" s="18" t="n">
        <v>-0.373581242143582</v>
      </c>
      <c r="N902" s="18" t="n">
        <v>2592</v>
      </c>
      <c r="O902" s="18" t="n">
        <v>0.708746443683927</v>
      </c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 t="s">
        <v>402</v>
      </c>
      <c r="AI902" s="18"/>
      <c r="AJ902" s="18" t="s">
        <v>1447</v>
      </c>
    </row>
    <row r="903" customFormat="false" ht="15" hidden="false" customHeight="false" outlineLevel="0" collapsed="false">
      <c r="A903" s="18" t="s">
        <v>273</v>
      </c>
      <c r="B903" s="18" t="s">
        <v>637</v>
      </c>
      <c r="C903" s="18" t="s">
        <v>1342</v>
      </c>
      <c r="D903" s="18" t="s">
        <v>324</v>
      </c>
      <c r="E903" s="18" t="s">
        <v>404</v>
      </c>
      <c r="F903" s="18" t="s">
        <v>1343</v>
      </c>
      <c r="G903" s="18" t="n">
        <v>0.6</v>
      </c>
      <c r="H903" s="18" t="n">
        <v>2594</v>
      </c>
      <c r="I903" s="18" t="n">
        <v>110</v>
      </c>
      <c r="J903" s="18" t="n">
        <v>109</v>
      </c>
      <c r="K903" s="18" t="n">
        <v>-0.000127436781153765</v>
      </c>
      <c r="L903" s="18" t="n">
        <v>0.00291250268693907</v>
      </c>
      <c r="M903" s="18" t="n">
        <v>-0.0437550776262789</v>
      </c>
      <c r="N903" s="18" t="n">
        <v>2592</v>
      </c>
      <c r="O903" s="18" t="n">
        <v>0.965103005916335</v>
      </c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 t="s">
        <v>402</v>
      </c>
      <c r="AI903" s="18"/>
      <c r="AJ903" s="18" t="s">
        <v>1448</v>
      </c>
    </row>
    <row r="904" customFormat="false" ht="15" hidden="false" customHeight="false" outlineLevel="0" collapsed="false">
      <c r="A904" s="18" t="s">
        <v>273</v>
      </c>
      <c r="B904" s="18" t="s">
        <v>639</v>
      </c>
      <c r="C904" s="18" t="s">
        <v>1342</v>
      </c>
      <c r="D904" s="18" t="s">
        <v>324</v>
      </c>
      <c r="E904" s="18" t="s">
        <v>404</v>
      </c>
      <c r="F904" s="18" t="s">
        <v>1343</v>
      </c>
      <c r="G904" s="18" t="n">
        <v>0.6</v>
      </c>
      <c r="H904" s="18" t="n">
        <v>2594</v>
      </c>
      <c r="I904" s="18" t="n">
        <v>110</v>
      </c>
      <c r="J904" s="18" t="n">
        <v>109</v>
      </c>
      <c r="K904" s="18" t="n">
        <v>-0.000174678009501387</v>
      </c>
      <c r="L904" s="18" t="n">
        <v>0.00291498972783828</v>
      </c>
      <c r="M904" s="18" t="n">
        <v>-0.059924056621265</v>
      </c>
      <c r="N904" s="18" t="n">
        <v>2592</v>
      </c>
      <c r="O904" s="18" t="n">
        <v>0.95222073948497</v>
      </c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 t="s">
        <v>402</v>
      </c>
      <c r="AI904" s="18"/>
      <c r="AJ904" s="18" t="s">
        <v>1449</v>
      </c>
    </row>
    <row r="905" customFormat="false" ht="15" hidden="false" customHeight="false" outlineLevel="0" collapsed="false">
      <c r="A905" s="18" t="s">
        <v>273</v>
      </c>
      <c r="B905" s="18" t="s">
        <v>641</v>
      </c>
      <c r="C905" s="18" t="s">
        <v>1342</v>
      </c>
      <c r="D905" s="18" t="s">
        <v>324</v>
      </c>
      <c r="E905" s="18" t="s">
        <v>404</v>
      </c>
      <c r="F905" s="18" t="s">
        <v>1343</v>
      </c>
      <c r="G905" s="18" t="n">
        <v>0.6</v>
      </c>
      <c r="H905" s="18" t="n">
        <v>2594</v>
      </c>
      <c r="I905" s="18" t="n">
        <v>110</v>
      </c>
      <c r="J905" s="18" t="n">
        <v>109</v>
      </c>
      <c r="K905" s="18" t="n">
        <v>0.00126367766555855</v>
      </c>
      <c r="L905" s="18" t="n">
        <v>0.00644890971421097</v>
      </c>
      <c r="M905" s="18" t="n">
        <v>0.195952140991194</v>
      </c>
      <c r="N905" s="18" t="n">
        <v>2592</v>
      </c>
      <c r="O905" s="18" t="n">
        <v>0.844662985943078</v>
      </c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 t="s">
        <v>402</v>
      </c>
      <c r="AI905" s="18"/>
      <c r="AJ905" s="18" t="s">
        <v>1450</v>
      </c>
    </row>
    <row r="906" customFormat="false" ht="15" hidden="false" customHeight="false" outlineLevel="0" collapsed="false">
      <c r="A906" s="18" t="s">
        <v>273</v>
      </c>
      <c r="B906" s="18" t="s">
        <v>643</v>
      </c>
      <c r="C906" s="18" t="s">
        <v>1342</v>
      </c>
      <c r="D906" s="18" t="s">
        <v>324</v>
      </c>
      <c r="E906" s="18" t="s">
        <v>404</v>
      </c>
      <c r="F906" s="18" t="s">
        <v>1343</v>
      </c>
      <c r="G906" s="18" t="n">
        <v>0.6</v>
      </c>
      <c r="H906" s="18" t="n">
        <v>2594</v>
      </c>
      <c r="I906" s="18" t="n">
        <v>110</v>
      </c>
      <c r="J906" s="18" t="n">
        <v>109</v>
      </c>
      <c r="K906" s="18" t="n">
        <v>0.0075438793337866</v>
      </c>
      <c r="L906" s="18" t="n">
        <v>0.00577456855143067</v>
      </c>
      <c r="M906" s="18" t="n">
        <v>1.30639705228152</v>
      </c>
      <c r="N906" s="18" t="n">
        <v>2592</v>
      </c>
      <c r="O906" s="18" t="n">
        <v>0.191533475602937</v>
      </c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 t="s">
        <v>402</v>
      </c>
      <c r="AI906" s="18"/>
      <c r="AJ906" s="18" t="s">
        <v>1451</v>
      </c>
    </row>
    <row r="907" customFormat="false" ht="15" hidden="false" customHeight="false" outlineLevel="0" collapsed="false">
      <c r="A907" s="18" t="s">
        <v>273</v>
      </c>
      <c r="B907" s="18" t="s">
        <v>645</v>
      </c>
      <c r="C907" s="18" t="s">
        <v>1342</v>
      </c>
      <c r="D907" s="18" t="s">
        <v>324</v>
      </c>
      <c r="E907" s="18" t="s">
        <v>404</v>
      </c>
      <c r="F907" s="18" t="s">
        <v>1343</v>
      </c>
      <c r="G907" s="18" t="n">
        <v>0.6</v>
      </c>
      <c r="H907" s="18" t="n">
        <v>2594</v>
      </c>
      <c r="I907" s="18" t="n">
        <v>110</v>
      </c>
      <c r="J907" s="18" t="n">
        <v>109</v>
      </c>
      <c r="K907" s="18" t="n">
        <v>-0.0015160449703759</v>
      </c>
      <c r="L907" s="18" t="n">
        <v>0.00420464927382543</v>
      </c>
      <c r="M907" s="18" t="n">
        <v>-0.36056395471877</v>
      </c>
      <c r="N907" s="18" t="n">
        <v>2592</v>
      </c>
      <c r="O907" s="18" t="n">
        <v>0.718454819277273</v>
      </c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 t="s">
        <v>402</v>
      </c>
      <c r="AI907" s="18"/>
      <c r="AJ907" s="18" t="s">
        <v>1452</v>
      </c>
    </row>
    <row r="908" customFormat="false" ht="15" hidden="false" customHeight="false" outlineLevel="0" collapsed="false">
      <c r="A908" s="18" t="s">
        <v>273</v>
      </c>
      <c r="B908" s="18" t="s">
        <v>647</v>
      </c>
      <c r="C908" s="18" t="s">
        <v>1342</v>
      </c>
      <c r="D908" s="18" t="s">
        <v>324</v>
      </c>
      <c r="E908" s="18" t="s">
        <v>404</v>
      </c>
      <c r="F908" s="18" t="s">
        <v>1343</v>
      </c>
      <c r="G908" s="18" t="n">
        <v>0.6</v>
      </c>
      <c r="H908" s="18" t="n">
        <v>900</v>
      </c>
      <c r="I908" s="18" t="n">
        <v>38</v>
      </c>
      <c r="J908" s="18" t="n">
        <v>38</v>
      </c>
      <c r="K908" s="18" t="n">
        <v>0.000882638475749233</v>
      </c>
      <c r="L908" s="18" t="n">
        <v>0.00325394655022156</v>
      </c>
      <c r="M908" s="18" t="n">
        <v>0.271251682265381</v>
      </c>
      <c r="N908" s="18" t="n">
        <v>898</v>
      </c>
      <c r="O908" s="18" t="n">
        <v>0.786259805925432</v>
      </c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 t="s">
        <v>402</v>
      </c>
      <c r="AI908" s="18"/>
      <c r="AJ908" s="18" t="s">
        <v>1453</v>
      </c>
    </row>
    <row r="909" customFormat="false" ht="15" hidden="false" customHeight="false" outlineLevel="0" collapsed="false">
      <c r="A909" s="18" t="s">
        <v>273</v>
      </c>
      <c r="B909" s="18" t="s">
        <v>649</v>
      </c>
      <c r="C909" s="18" t="s">
        <v>1342</v>
      </c>
      <c r="D909" s="18" t="s">
        <v>324</v>
      </c>
      <c r="E909" s="18" t="s">
        <v>404</v>
      </c>
      <c r="F909" s="18" t="s">
        <v>1343</v>
      </c>
      <c r="G909" s="18" t="n">
        <v>0.6</v>
      </c>
      <c r="H909" s="18" t="n">
        <v>2607</v>
      </c>
      <c r="I909" s="18" t="n">
        <v>110</v>
      </c>
      <c r="J909" s="18" t="n">
        <v>109</v>
      </c>
      <c r="K909" s="18" t="n">
        <v>0.00309680379863864</v>
      </c>
      <c r="L909" s="18" t="n">
        <v>0.00252106659679891</v>
      </c>
      <c r="M909" s="18" t="n">
        <v>1.22837048516321</v>
      </c>
      <c r="N909" s="18" t="n">
        <v>2605</v>
      </c>
      <c r="O909" s="18" t="n">
        <v>0.219418887560267</v>
      </c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 t="s">
        <v>402</v>
      </c>
      <c r="AI909" s="18"/>
      <c r="AJ909" s="18" t="s">
        <v>1454</v>
      </c>
    </row>
    <row r="910" customFormat="false" ht="15" hidden="false" customHeight="false" outlineLevel="0" collapsed="false">
      <c r="A910" s="18" t="s">
        <v>273</v>
      </c>
      <c r="B910" s="18" t="s">
        <v>651</v>
      </c>
      <c r="C910" s="18" t="s">
        <v>1342</v>
      </c>
      <c r="D910" s="18" t="s">
        <v>324</v>
      </c>
      <c r="E910" s="18" t="s">
        <v>404</v>
      </c>
      <c r="F910" s="18" t="s">
        <v>1343</v>
      </c>
      <c r="G910" s="18" t="n">
        <v>0.6</v>
      </c>
      <c r="H910" s="18" t="n">
        <v>2607</v>
      </c>
      <c r="I910" s="18" t="n">
        <v>110</v>
      </c>
      <c r="J910" s="18" t="n">
        <v>109</v>
      </c>
      <c r="K910" s="18" t="n">
        <v>0.00284423521084789</v>
      </c>
      <c r="L910" s="18" t="n">
        <v>0.00252334771988109</v>
      </c>
      <c r="M910" s="18" t="n">
        <v>1.12716736914163</v>
      </c>
      <c r="N910" s="18" t="n">
        <v>2605</v>
      </c>
      <c r="O910" s="18" t="n">
        <v>0.259775537073491</v>
      </c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 t="s">
        <v>402</v>
      </c>
      <c r="AI910" s="18"/>
      <c r="AJ910" s="18" t="s">
        <v>1455</v>
      </c>
    </row>
    <row r="911" customFormat="false" ht="15" hidden="false" customHeight="false" outlineLevel="0" collapsed="false">
      <c r="A911" s="18" t="s">
        <v>273</v>
      </c>
      <c r="B911" s="18" t="s">
        <v>653</v>
      </c>
      <c r="C911" s="18" t="s">
        <v>1342</v>
      </c>
      <c r="D911" s="18" t="s">
        <v>324</v>
      </c>
      <c r="E911" s="18" t="s">
        <v>404</v>
      </c>
      <c r="F911" s="18" t="s">
        <v>1343</v>
      </c>
      <c r="G911" s="18" t="n">
        <v>0.6</v>
      </c>
      <c r="H911" s="18" t="n">
        <v>2607</v>
      </c>
      <c r="I911" s="18" t="n">
        <v>110</v>
      </c>
      <c r="J911" s="18" t="n">
        <v>109</v>
      </c>
      <c r="K911" s="18" t="n">
        <v>-0.000821912904595268</v>
      </c>
      <c r="L911" s="18" t="n">
        <v>0.00707906976137883</v>
      </c>
      <c r="M911" s="18" t="n">
        <v>-0.11610464825186</v>
      </c>
      <c r="N911" s="18" t="n">
        <v>2605</v>
      </c>
      <c r="O911" s="18" t="n">
        <v>0.907578554257716</v>
      </c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 t="s">
        <v>402</v>
      </c>
      <c r="AI911" s="18"/>
      <c r="AJ911" s="18" t="s">
        <v>1456</v>
      </c>
    </row>
    <row r="912" customFormat="false" ht="15" hidden="false" customHeight="false" outlineLevel="0" collapsed="false">
      <c r="A912" s="18" t="s">
        <v>273</v>
      </c>
      <c r="B912" s="18" t="s">
        <v>655</v>
      </c>
      <c r="C912" s="18" t="s">
        <v>1342</v>
      </c>
      <c r="D912" s="18" t="s">
        <v>324</v>
      </c>
      <c r="E912" s="18" t="s">
        <v>404</v>
      </c>
      <c r="F912" s="18" t="s">
        <v>1343</v>
      </c>
      <c r="G912" s="18" t="n">
        <v>0.6</v>
      </c>
      <c r="H912" s="18" t="n">
        <v>2607</v>
      </c>
      <c r="I912" s="18" t="n">
        <v>110</v>
      </c>
      <c r="J912" s="18" t="n">
        <v>109</v>
      </c>
      <c r="K912" s="18" t="n">
        <v>0.00291934385201113</v>
      </c>
      <c r="L912" s="18" t="n">
        <v>0.00252356588144038</v>
      </c>
      <c r="M912" s="18" t="n">
        <v>1.15683282670823</v>
      </c>
      <c r="N912" s="18" t="n">
        <v>2605</v>
      </c>
      <c r="O912" s="18" t="n">
        <v>0.247446737064913</v>
      </c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 t="s">
        <v>402</v>
      </c>
      <c r="AI912" s="18"/>
      <c r="AJ912" s="18" t="s">
        <v>1457</v>
      </c>
    </row>
    <row r="913" customFormat="false" ht="15" hidden="false" customHeight="false" outlineLevel="0" collapsed="false">
      <c r="A913" s="18" t="s">
        <v>273</v>
      </c>
      <c r="B913" s="18" t="s">
        <v>657</v>
      </c>
      <c r="C913" s="18" t="s">
        <v>1342</v>
      </c>
      <c r="D913" s="18" t="s">
        <v>324</v>
      </c>
      <c r="E913" s="18" t="s">
        <v>404</v>
      </c>
      <c r="F913" s="18" t="s">
        <v>1343</v>
      </c>
      <c r="G913" s="18" t="n">
        <v>0.6</v>
      </c>
      <c r="H913" s="18" t="n">
        <v>2607</v>
      </c>
      <c r="I913" s="18" t="n">
        <v>110</v>
      </c>
      <c r="J913" s="18" t="n">
        <v>109</v>
      </c>
      <c r="K913" s="18" t="n">
        <v>0.00378700052067656</v>
      </c>
      <c r="L913" s="18" t="n">
        <v>0.00252916336083329</v>
      </c>
      <c r="M913" s="18" t="n">
        <v>1.49733329974733</v>
      </c>
      <c r="N913" s="18" t="n">
        <v>2605</v>
      </c>
      <c r="O913" s="18" t="n">
        <v>0.134427704970798</v>
      </c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 t="s">
        <v>402</v>
      </c>
      <c r="AI913" s="18"/>
      <c r="AJ913" s="18" t="s">
        <v>1458</v>
      </c>
    </row>
    <row r="914" customFormat="false" ht="15" hidden="false" customHeight="false" outlineLevel="0" collapsed="false">
      <c r="A914" s="18" t="s">
        <v>273</v>
      </c>
      <c r="B914" s="18" t="s">
        <v>659</v>
      </c>
      <c r="C914" s="18" t="s">
        <v>1342</v>
      </c>
      <c r="D914" s="18" t="s">
        <v>324</v>
      </c>
      <c r="E914" s="18" t="s">
        <v>404</v>
      </c>
      <c r="F914" s="18" t="s">
        <v>1343</v>
      </c>
      <c r="G914" s="18" t="n">
        <v>0.6</v>
      </c>
      <c r="H914" s="18" t="n">
        <v>2607</v>
      </c>
      <c r="I914" s="18" t="n">
        <v>110</v>
      </c>
      <c r="J914" s="18" t="n">
        <v>109</v>
      </c>
      <c r="K914" s="18" t="n">
        <v>0.00371518066137231</v>
      </c>
      <c r="L914" s="18" t="n">
        <v>0.0025313686228937</v>
      </c>
      <c r="M914" s="18" t="n">
        <v>1.46765691403939</v>
      </c>
      <c r="N914" s="18" t="n">
        <v>2605</v>
      </c>
      <c r="O914" s="18" t="n">
        <v>0.142318161801093</v>
      </c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 t="s">
        <v>402</v>
      </c>
      <c r="AI914" s="18"/>
      <c r="AJ914" s="18" t="s">
        <v>1459</v>
      </c>
    </row>
    <row r="915" customFormat="false" ht="15" hidden="false" customHeight="false" outlineLevel="0" collapsed="false">
      <c r="A915" s="18" t="s">
        <v>273</v>
      </c>
      <c r="B915" s="18" t="s">
        <v>661</v>
      </c>
      <c r="C915" s="18" t="s">
        <v>1342</v>
      </c>
      <c r="D915" s="18" t="s">
        <v>324</v>
      </c>
      <c r="E915" s="18" t="s">
        <v>404</v>
      </c>
      <c r="F915" s="18" t="s">
        <v>1343</v>
      </c>
      <c r="G915" s="18" t="n">
        <v>0.6</v>
      </c>
      <c r="H915" s="18" t="n">
        <v>2607</v>
      </c>
      <c r="I915" s="18" t="n">
        <v>110</v>
      </c>
      <c r="J915" s="18" t="n">
        <v>109</v>
      </c>
      <c r="K915" s="18" t="n">
        <v>-0.000451794472981989</v>
      </c>
      <c r="L915" s="18" t="n">
        <v>0.00560070803815291</v>
      </c>
      <c r="M915" s="18" t="n">
        <v>-0.080667385249203</v>
      </c>
      <c r="N915" s="18" t="n">
        <v>2605</v>
      </c>
      <c r="O915" s="18" t="n">
        <v>0.935712671656475</v>
      </c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 t="s">
        <v>402</v>
      </c>
      <c r="AI915" s="18"/>
      <c r="AJ915" s="18" t="s">
        <v>1460</v>
      </c>
    </row>
    <row r="916" customFormat="false" ht="15" hidden="false" customHeight="false" outlineLevel="0" collapsed="false">
      <c r="A916" s="18" t="s">
        <v>273</v>
      </c>
      <c r="B916" s="18" t="s">
        <v>663</v>
      </c>
      <c r="C916" s="18" t="s">
        <v>1342</v>
      </c>
      <c r="D916" s="18" t="s">
        <v>324</v>
      </c>
      <c r="E916" s="18" t="s">
        <v>404</v>
      </c>
      <c r="F916" s="18" t="s">
        <v>1343</v>
      </c>
      <c r="G916" s="18" t="n">
        <v>0.6</v>
      </c>
      <c r="H916" s="18" t="n">
        <v>2607</v>
      </c>
      <c r="I916" s="18" t="n">
        <v>110</v>
      </c>
      <c r="J916" s="18" t="n">
        <v>109</v>
      </c>
      <c r="K916" s="18" t="n">
        <v>0.00620997163149587</v>
      </c>
      <c r="L916" s="18" t="n">
        <v>0.00501459067165595</v>
      </c>
      <c r="M916" s="18" t="n">
        <v>1.23838056545604</v>
      </c>
      <c r="N916" s="18" t="n">
        <v>2605</v>
      </c>
      <c r="O916" s="18" t="n">
        <v>0.215686567726438</v>
      </c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 t="s">
        <v>402</v>
      </c>
      <c r="AI916" s="18"/>
      <c r="AJ916" s="18" t="s">
        <v>1461</v>
      </c>
    </row>
    <row r="917" customFormat="false" ht="15" hidden="false" customHeight="false" outlineLevel="0" collapsed="false">
      <c r="A917" s="18" t="s">
        <v>273</v>
      </c>
      <c r="B917" s="18" t="s">
        <v>665</v>
      </c>
      <c r="C917" s="18" t="s">
        <v>1342</v>
      </c>
      <c r="D917" s="18" t="s">
        <v>324</v>
      </c>
      <c r="E917" s="18" t="s">
        <v>404</v>
      </c>
      <c r="F917" s="18" t="s">
        <v>1343</v>
      </c>
      <c r="G917" s="18" t="n">
        <v>0.6</v>
      </c>
      <c r="H917" s="18" t="n">
        <v>2607</v>
      </c>
      <c r="I917" s="18" t="n">
        <v>110</v>
      </c>
      <c r="J917" s="18" t="n">
        <v>109</v>
      </c>
      <c r="K917" s="18" t="n">
        <v>-0.00348454197613663</v>
      </c>
      <c r="L917" s="18" t="n">
        <v>0.00365174096177039</v>
      </c>
      <c r="M917" s="18" t="n">
        <v>-0.954213897594561</v>
      </c>
      <c r="N917" s="18" t="n">
        <v>2605</v>
      </c>
      <c r="O917" s="18" t="n">
        <v>0.340063915758272</v>
      </c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 t="s">
        <v>402</v>
      </c>
      <c r="AI917" s="18"/>
      <c r="AJ917" s="18" t="s">
        <v>1462</v>
      </c>
    </row>
    <row r="918" customFormat="false" ht="15" hidden="false" customHeight="false" outlineLevel="0" collapsed="false">
      <c r="A918" s="18" t="s">
        <v>273</v>
      </c>
      <c r="B918" s="18" t="s">
        <v>667</v>
      </c>
      <c r="C918" s="18" t="s">
        <v>1342</v>
      </c>
      <c r="D918" s="18" t="s">
        <v>324</v>
      </c>
      <c r="E918" s="18" t="s">
        <v>404</v>
      </c>
      <c r="F918" s="18" t="s">
        <v>1343</v>
      </c>
      <c r="G918" s="18" t="n">
        <v>0.6</v>
      </c>
      <c r="H918" s="18" t="n">
        <v>905</v>
      </c>
      <c r="I918" s="18" t="n">
        <v>38</v>
      </c>
      <c r="J918" s="18" t="n">
        <v>38</v>
      </c>
      <c r="K918" s="18" t="n">
        <v>0.00128060095180287</v>
      </c>
      <c r="L918" s="18" t="n">
        <v>0.00325440641947161</v>
      </c>
      <c r="M918" s="18" t="n">
        <v>0.393497549703946</v>
      </c>
      <c r="N918" s="18" t="n">
        <v>903</v>
      </c>
      <c r="O918" s="18" t="n">
        <v>0.694044922512191</v>
      </c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 t="s">
        <v>402</v>
      </c>
      <c r="AI918" s="18"/>
      <c r="AJ918" s="18" t="s">
        <v>1463</v>
      </c>
    </row>
    <row r="919" customFormat="false" ht="15" hidden="false" customHeight="false" outlineLevel="0" collapsed="false">
      <c r="A919" s="18" t="s">
        <v>273</v>
      </c>
      <c r="B919" s="18" t="s">
        <v>669</v>
      </c>
      <c r="C919" s="18" t="s">
        <v>1342</v>
      </c>
      <c r="D919" s="18" t="s">
        <v>324</v>
      </c>
      <c r="E919" s="18" t="s">
        <v>404</v>
      </c>
      <c r="F919" s="18" t="s">
        <v>1343</v>
      </c>
      <c r="G919" s="18" t="n">
        <v>0.6</v>
      </c>
      <c r="H919" s="18" t="n">
        <v>2704</v>
      </c>
      <c r="I919" s="18" t="n">
        <v>113</v>
      </c>
      <c r="J919" s="18" t="n">
        <v>112</v>
      </c>
      <c r="K919" s="18" t="n">
        <v>-0.000137543878990513</v>
      </c>
      <c r="L919" s="18" t="n">
        <v>0.00303248478327247</v>
      </c>
      <c r="M919" s="18" t="n">
        <v>-0.0453568241295786</v>
      </c>
      <c r="N919" s="18" t="n">
        <v>2702</v>
      </c>
      <c r="O919" s="18" t="n">
        <v>0.963826246582473</v>
      </c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 t="s">
        <v>402</v>
      </c>
      <c r="AI919" s="18"/>
      <c r="AJ919" s="18" t="s">
        <v>1464</v>
      </c>
    </row>
    <row r="920" customFormat="false" ht="15" hidden="false" customHeight="false" outlineLevel="0" collapsed="false">
      <c r="A920" s="18" t="s">
        <v>273</v>
      </c>
      <c r="B920" s="18" t="s">
        <v>671</v>
      </c>
      <c r="C920" s="18" t="s">
        <v>1342</v>
      </c>
      <c r="D920" s="18" t="s">
        <v>324</v>
      </c>
      <c r="E920" s="18" t="s">
        <v>404</v>
      </c>
      <c r="F920" s="18" t="s">
        <v>1343</v>
      </c>
      <c r="G920" s="18" t="n">
        <v>0.6</v>
      </c>
      <c r="H920" s="18" t="n">
        <v>2704</v>
      </c>
      <c r="I920" s="18" t="n">
        <v>113</v>
      </c>
      <c r="J920" s="18" t="n">
        <v>112</v>
      </c>
      <c r="K920" s="18" t="n">
        <v>-0.000440656052696192</v>
      </c>
      <c r="L920" s="18" t="n">
        <v>0.00303514911713369</v>
      </c>
      <c r="M920" s="18" t="n">
        <v>-0.145184317372958</v>
      </c>
      <c r="N920" s="18" t="n">
        <v>2702</v>
      </c>
      <c r="O920" s="18" t="n">
        <v>0.884576176354397</v>
      </c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 t="s">
        <v>402</v>
      </c>
      <c r="AI920" s="18"/>
      <c r="AJ920" s="18" t="s">
        <v>1465</v>
      </c>
    </row>
    <row r="921" customFormat="false" ht="15" hidden="false" customHeight="false" outlineLevel="0" collapsed="false">
      <c r="A921" s="18" t="s">
        <v>273</v>
      </c>
      <c r="B921" s="18" t="s">
        <v>673</v>
      </c>
      <c r="C921" s="18" t="s">
        <v>1342</v>
      </c>
      <c r="D921" s="18" t="s">
        <v>324</v>
      </c>
      <c r="E921" s="18" t="s">
        <v>404</v>
      </c>
      <c r="F921" s="18" t="s">
        <v>1343</v>
      </c>
      <c r="G921" s="18" t="n">
        <v>0.6</v>
      </c>
      <c r="H921" s="18" t="n">
        <v>2704</v>
      </c>
      <c r="I921" s="18" t="n">
        <v>113</v>
      </c>
      <c r="J921" s="18" t="n">
        <v>112</v>
      </c>
      <c r="K921" s="18" t="n">
        <v>0.0048782003073593</v>
      </c>
      <c r="L921" s="18" t="n">
        <v>0.0081505577291543</v>
      </c>
      <c r="M921" s="18" t="n">
        <v>0.598511227018259</v>
      </c>
      <c r="N921" s="18" t="n">
        <v>2702</v>
      </c>
      <c r="O921" s="18" t="n">
        <v>0.54954903752506</v>
      </c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 t="s">
        <v>402</v>
      </c>
      <c r="AI921" s="18"/>
      <c r="AJ921" s="18" t="s">
        <v>1466</v>
      </c>
    </row>
    <row r="922" customFormat="false" ht="15" hidden="false" customHeight="false" outlineLevel="0" collapsed="false">
      <c r="A922" s="18" t="s">
        <v>273</v>
      </c>
      <c r="B922" s="18" t="s">
        <v>675</v>
      </c>
      <c r="C922" s="18" t="s">
        <v>1342</v>
      </c>
      <c r="D922" s="18" t="s">
        <v>324</v>
      </c>
      <c r="E922" s="18" t="s">
        <v>404</v>
      </c>
      <c r="F922" s="18" t="s">
        <v>1343</v>
      </c>
      <c r="G922" s="18" t="n">
        <v>0.6</v>
      </c>
      <c r="H922" s="18" t="n">
        <v>2704</v>
      </c>
      <c r="I922" s="18" t="n">
        <v>113</v>
      </c>
      <c r="J922" s="18" t="n">
        <v>112</v>
      </c>
      <c r="K922" s="18" t="n">
        <v>-0.000362538916649471</v>
      </c>
      <c r="L922" s="18" t="n">
        <v>0.0030354618721571</v>
      </c>
      <c r="M922" s="18" t="n">
        <v>-0.119434515048558</v>
      </c>
      <c r="N922" s="18" t="n">
        <v>2702</v>
      </c>
      <c r="O922" s="18" t="n">
        <v>0.904939996809417</v>
      </c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 t="s">
        <v>402</v>
      </c>
      <c r="AI922" s="18"/>
      <c r="AJ922" s="18" t="s">
        <v>1467</v>
      </c>
    </row>
    <row r="923" customFormat="false" ht="15" hidden="false" customHeight="false" outlineLevel="0" collapsed="false">
      <c r="A923" s="18" t="s">
        <v>273</v>
      </c>
      <c r="B923" s="18" t="s">
        <v>677</v>
      </c>
      <c r="C923" s="18" t="s">
        <v>1342</v>
      </c>
      <c r="D923" s="18" t="s">
        <v>324</v>
      </c>
      <c r="E923" s="18" t="s">
        <v>404</v>
      </c>
      <c r="F923" s="18" t="s">
        <v>1343</v>
      </c>
      <c r="G923" s="18" t="n">
        <v>0.6</v>
      </c>
      <c r="H923" s="18" t="n">
        <v>2704</v>
      </c>
      <c r="I923" s="18" t="n">
        <v>113</v>
      </c>
      <c r="J923" s="18" t="n">
        <v>112</v>
      </c>
      <c r="K923" s="18" t="n">
        <v>0.00073170695026795</v>
      </c>
      <c r="L923" s="18" t="n">
        <v>0.00304396454027814</v>
      </c>
      <c r="M923" s="18" t="n">
        <v>0.240379590690334</v>
      </c>
      <c r="N923" s="18" t="n">
        <v>2702</v>
      </c>
      <c r="O923" s="18" t="n">
        <v>0.810054234311807</v>
      </c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 t="s">
        <v>402</v>
      </c>
      <c r="AI923" s="18"/>
      <c r="AJ923" s="18" t="s">
        <v>1468</v>
      </c>
    </row>
    <row r="924" customFormat="false" ht="15" hidden="false" customHeight="false" outlineLevel="0" collapsed="false">
      <c r="A924" s="18" t="s">
        <v>273</v>
      </c>
      <c r="B924" s="18" t="s">
        <v>679</v>
      </c>
      <c r="C924" s="18" t="s">
        <v>1342</v>
      </c>
      <c r="D924" s="18" t="s">
        <v>324</v>
      </c>
      <c r="E924" s="18" t="s">
        <v>404</v>
      </c>
      <c r="F924" s="18" t="s">
        <v>1343</v>
      </c>
      <c r="G924" s="18" t="n">
        <v>0.6</v>
      </c>
      <c r="H924" s="18" t="n">
        <v>2704</v>
      </c>
      <c r="I924" s="18" t="n">
        <v>113</v>
      </c>
      <c r="J924" s="18" t="n">
        <v>112</v>
      </c>
      <c r="K924" s="18" t="n">
        <v>0.000680874168916948</v>
      </c>
      <c r="L924" s="18" t="n">
        <v>0.00304666965411956</v>
      </c>
      <c r="M924" s="18" t="n">
        <v>0.223481455561256</v>
      </c>
      <c r="N924" s="18" t="n">
        <v>2702</v>
      </c>
      <c r="O924" s="18" t="n">
        <v>0.823177708648979</v>
      </c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 t="s">
        <v>402</v>
      </c>
      <c r="AI924" s="18"/>
      <c r="AJ924" s="18" t="s">
        <v>1469</v>
      </c>
    </row>
    <row r="925" customFormat="false" ht="15" hidden="false" customHeight="false" outlineLevel="0" collapsed="false">
      <c r="A925" s="18" t="s">
        <v>273</v>
      </c>
      <c r="B925" s="18" t="s">
        <v>681</v>
      </c>
      <c r="C925" s="18" t="s">
        <v>1342</v>
      </c>
      <c r="D925" s="18" t="s">
        <v>324</v>
      </c>
      <c r="E925" s="18" t="s">
        <v>404</v>
      </c>
      <c r="F925" s="18" t="s">
        <v>1343</v>
      </c>
      <c r="G925" s="18" t="n">
        <v>0.6</v>
      </c>
      <c r="H925" s="18" t="n">
        <v>2704</v>
      </c>
      <c r="I925" s="18" t="n">
        <v>113</v>
      </c>
      <c r="J925" s="18" t="n">
        <v>112</v>
      </c>
      <c r="K925" s="18" t="n">
        <v>0.00405116464863995</v>
      </c>
      <c r="L925" s="18" t="n">
        <v>0.00656308306126877</v>
      </c>
      <c r="M925" s="18" t="n">
        <v>0.617265484958951</v>
      </c>
      <c r="N925" s="18" t="n">
        <v>2702</v>
      </c>
      <c r="O925" s="18" t="n">
        <v>0.537111640361075</v>
      </c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 t="s">
        <v>402</v>
      </c>
      <c r="AI925" s="18"/>
      <c r="AJ925" s="18" t="s">
        <v>1470</v>
      </c>
    </row>
    <row r="926" customFormat="false" ht="15" hidden="false" customHeight="false" outlineLevel="0" collapsed="false">
      <c r="A926" s="18" t="s">
        <v>273</v>
      </c>
      <c r="B926" s="18" t="s">
        <v>683</v>
      </c>
      <c r="C926" s="18" t="s">
        <v>1342</v>
      </c>
      <c r="D926" s="18" t="s">
        <v>324</v>
      </c>
      <c r="E926" s="18" t="s">
        <v>404</v>
      </c>
      <c r="F926" s="18" t="s">
        <v>1343</v>
      </c>
      <c r="G926" s="18" t="n">
        <v>0.6</v>
      </c>
      <c r="H926" s="18" t="n">
        <v>2704</v>
      </c>
      <c r="I926" s="18" t="n">
        <v>113</v>
      </c>
      <c r="J926" s="18" t="n">
        <v>112</v>
      </c>
      <c r="K926" s="18" t="n">
        <v>0.0110895979846184</v>
      </c>
      <c r="L926" s="18" t="n">
        <v>0.00591182388634818</v>
      </c>
      <c r="M926" s="18" t="n">
        <v>1.87583361713919</v>
      </c>
      <c r="N926" s="18" t="n">
        <v>2702</v>
      </c>
      <c r="O926" s="18" t="n">
        <v>0.0607858648254624</v>
      </c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 t="s">
        <v>402</v>
      </c>
      <c r="AI926" s="18"/>
      <c r="AJ926" s="18" t="s">
        <v>1471</v>
      </c>
    </row>
    <row r="927" customFormat="false" ht="15" hidden="false" customHeight="false" outlineLevel="0" collapsed="false">
      <c r="A927" s="18" t="s">
        <v>273</v>
      </c>
      <c r="B927" s="18" t="s">
        <v>685</v>
      </c>
      <c r="C927" s="18" t="s">
        <v>1342</v>
      </c>
      <c r="D927" s="18" t="s">
        <v>324</v>
      </c>
      <c r="E927" s="18" t="s">
        <v>404</v>
      </c>
      <c r="F927" s="18" t="s">
        <v>1343</v>
      </c>
      <c r="G927" s="18" t="n">
        <v>0.6</v>
      </c>
      <c r="H927" s="18" t="n">
        <v>2704</v>
      </c>
      <c r="I927" s="18" t="n">
        <v>113</v>
      </c>
      <c r="J927" s="18" t="n">
        <v>112</v>
      </c>
      <c r="K927" s="18" t="n">
        <v>0.000418194754664921</v>
      </c>
      <c r="L927" s="18" t="n">
        <v>0.00435997460677124</v>
      </c>
      <c r="M927" s="18" t="n">
        <v>0.0959167867664745</v>
      </c>
      <c r="N927" s="18" t="n">
        <v>2702</v>
      </c>
      <c r="O927" s="18" t="n">
        <v>0.92359377507087</v>
      </c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 t="s">
        <v>402</v>
      </c>
      <c r="AI927" s="18"/>
      <c r="AJ927" s="18" t="s">
        <v>1472</v>
      </c>
    </row>
    <row r="928" customFormat="false" ht="15" hidden="false" customHeight="false" outlineLevel="0" collapsed="false">
      <c r="A928" s="18" t="s">
        <v>273</v>
      </c>
      <c r="B928" s="18" t="s">
        <v>687</v>
      </c>
      <c r="C928" s="18" t="s">
        <v>1342</v>
      </c>
      <c r="D928" s="18" t="s">
        <v>324</v>
      </c>
      <c r="E928" s="18" t="s">
        <v>404</v>
      </c>
      <c r="F928" s="18" t="s">
        <v>1343</v>
      </c>
      <c r="G928" s="18" t="n">
        <v>0.6</v>
      </c>
      <c r="H928" s="18" t="n">
        <v>929</v>
      </c>
      <c r="I928" s="18" t="n">
        <v>40</v>
      </c>
      <c r="J928" s="18" t="n">
        <v>40</v>
      </c>
      <c r="K928" s="18" t="n">
        <v>0.00509182908389767</v>
      </c>
      <c r="L928" s="18" t="n">
        <v>0.00329324267084726</v>
      </c>
      <c r="M928" s="18" t="n">
        <v>1.54614451251103</v>
      </c>
      <c r="N928" s="18" t="n">
        <v>927</v>
      </c>
      <c r="O928" s="18" t="n">
        <v>0.12241097164689</v>
      </c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 t="s">
        <v>402</v>
      </c>
      <c r="AI928" s="18"/>
      <c r="AJ928" s="18" t="s">
        <v>1473</v>
      </c>
    </row>
    <row r="929" customFormat="false" ht="15" hidden="false" customHeight="false" outlineLevel="0" collapsed="false">
      <c r="A929" s="18" t="s">
        <v>273</v>
      </c>
      <c r="B929" s="18" t="s">
        <v>689</v>
      </c>
      <c r="C929" s="18" t="s">
        <v>1342</v>
      </c>
      <c r="D929" s="18" t="s">
        <v>324</v>
      </c>
      <c r="E929" s="18" t="s">
        <v>404</v>
      </c>
      <c r="F929" s="18" t="s">
        <v>1343</v>
      </c>
      <c r="G929" s="18" t="n">
        <v>0.6</v>
      </c>
      <c r="H929" s="18" t="n">
        <v>2691</v>
      </c>
      <c r="I929" s="18" t="n">
        <v>113</v>
      </c>
      <c r="J929" s="18" t="n">
        <v>112</v>
      </c>
      <c r="K929" s="18" t="n">
        <v>-0.000606523044730904</v>
      </c>
      <c r="L929" s="18" t="n">
        <v>0.0028435263725958</v>
      </c>
      <c r="M929" s="18" t="n">
        <v>-0.213299602414878</v>
      </c>
      <c r="N929" s="18" t="n">
        <v>2689</v>
      </c>
      <c r="O929" s="18" t="n">
        <v>0.831109453333021</v>
      </c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 t="s">
        <v>402</v>
      </c>
      <c r="AI929" s="18"/>
      <c r="AJ929" s="18" t="s">
        <v>1474</v>
      </c>
    </row>
    <row r="930" customFormat="false" ht="15" hidden="false" customHeight="false" outlineLevel="0" collapsed="false">
      <c r="A930" s="18" t="s">
        <v>273</v>
      </c>
      <c r="B930" s="18" t="s">
        <v>691</v>
      </c>
      <c r="C930" s="18" t="s">
        <v>1342</v>
      </c>
      <c r="D930" s="18" t="s">
        <v>324</v>
      </c>
      <c r="E930" s="18" t="s">
        <v>404</v>
      </c>
      <c r="F930" s="18" t="s">
        <v>1343</v>
      </c>
      <c r="G930" s="18" t="n">
        <v>0.6</v>
      </c>
      <c r="H930" s="18" t="n">
        <v>2691</v>
      </c>
      <c r="I930" s="18" t="n">
        <v>113</v>
      </c>
      <c r="J930" s="18" t="n">
        <v>112</v>
      </c>
      <c r="K930" s="18" t="n">
        <v>-0.000906564913549963</v>
      </c>
      <c r="L930" s="18" t="n">
        <v>0.0028460011637226</v>
      </c>
      <c r="M930" s="18" t="n">
        <v>-0.318539895593074</v>
      </c>
      <c r="N930" s="18" t="n">
        <v>2689</v>
      </c>
      <c r="O930" s="18" t="n">
        <v>0.750100175345687</v>
      </c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 t="s">
        <v>402</v>
      </c>
      <c r="AI930" s="18"/>
      <c r="AJ930" s="18" t="s">
        <v>1475</v>
      </c>
    </row>
    <row r="931" customFormat="false" ht="15" hidden="false" customHeight="false" outlineLevel="0" collapsed="false">
      <c r="A931" s="18" t="s">
        <v>273</v>
      </c>
      <c r="B931" s="18" t="s">
        <v>693</v>
      </c>
      <c r="C931" s="18" t="s">
        <v>1342</v>
      </c>
      <c r="D931" s="18" t="s">
        <v>324</v>
      </c>
      <c r="E931" s="18" t="s">
        <v>404</v>
      </c>
      <c r="F931" s="18" t="s">
        <v>1343</v>
      </c>
      <c r="G931" s="18" t="n">
        <v>0.6</v>
      </c>
      <c r="H931" s="18" t="n">
        <v>2691</v>
      </c>
      <c r="I931" s="18" t="n">
        <v>113</v>
      </c>
      <c r="J931" s="18" t="n">
        <v>112</v>
      </c>
      <c r="K931" s="18" t="n">
        <v>0.00432298306005882</v>
      </c>
      <c r="L931" s="18" t="n">
        <v>0.00764497997757349</v>
      </c>
      <c r="M931" s="18" t="n">
        <v>0.56546689105011</v>
      </c>
      <c r="N931" s="18" t="n">
        <v>2689</v>
      </c>
      <c r="O931" s="18" t="n">
        <v>0.57180341489474</v>
      </c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 t="s">
        <v>402</v>
      </c>
      <c r="AI931" s="18"/>
      <c r="AJ931" s="18" t="s">
        <v>1476</v>
      </c>
    </row>
    <row r="932" customFormat="false" ht="15" hidden="false" customHeight="false" outlineLevel="0" collapsed="false">
      <c r="A932" s="18" t="s">
        <v>273</v>
      </c>
      <c r="B932" s="18" t="s">
        <v>695</v>
      </c>
      <c r="C932" s="18" t="s">
        <v>1342</v>
      </c>
      <c r="D932" s="18" t="s">
        <v>324</v>
      </c>
      <c r="E932" s="18" t="s">
        <v>404</v>
      </c>
      <c r="F932" s="18" t="s">
        <v>1343</v>
      </c>
      <c r="G932" s="18" t="n">
        <v>0.6</v>
      </c>
      <c r="H932" s="18" t="n">
        <v>2691</v>
      </c>
      <c r="I932" s="18" t="n">
        <v>113</v>
      </c>
      <c r="J932" s="18" t="n">
        <v>112</v>
      </c>
      <c r="K932" s="18" t="n">
        <v>-0.000828096104869759</v>
      </c>
      <c r="L932" s="18" t="n">
        <v>0.00284629933653125</v>
      </c>
      <c r="M932" s="18" t="n">
        <v>-0.29093781326561</v>
      </c>
      <c r="N932" s="18" t="n">
        <v>2689</v>
      </c>
      <c r="O932" s="18" t="n">
        <v>0.771121318312759</v>
      </c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 t="s">
        <v>402</v>
      </c>
      <c r="AI932" s="18"/>
      <c r="AJ932" s="18" t="s">
        <v>1477</v>
      </c>
    </row>
    <row r="933" customFormat="false" ht="15" hidden="false" customHeight="false" outlineLevel="0" collapsed="false">
      <c r="A933" s="18" t="s">
        <v>273</v>
      </c>
      <c r="B933" s="18" t="s">
        <v>697</v>
      </c>
      <c r="C933" s="18" t="s">
        <v>1342</v>
      </c>
      <c r="D933" s="18" t="s">
        <v>324</v>
      </c>
      <c r="E933" s="18" t="s">
        <v>404</v>
      </c>
      <c r="F933" s="18" t="s">
        <v>1343</v>
      </c>
      <c r="G933" s="18" t="n">
        <v>0.6</v>
      </c>
      <c r="H933" s="18" t="n">
        <v>2691</v>
      </c>
      <c r="I933" s="18" t="n">
        <v>113</v>
      </c>
      <c r="J933" s="18" t="n">
        <v>112</v>
      </c>
      <c r="K933" s="18" t="n">
        <v>0.000273788191228839</v>
      </c>
      <c r="L933" s="18" t="n">
        <v>0.00285432632788791</v>
      </c>
      <c r="M933" s="18" t="n">
        <v>0.0959204238680835</v>
      </c>
      <c r="N933" s="18" t="n">
        <v>2689</v>
      </c>
      <c r="O933" s="18" t="n">
        <v>0.923590921062086</v>
      </c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 t="s">
        <v>402</v>
      </c>
      <c r="AI933" s="18"/>
      <c r="AJ933" s="18" t="s">
        <v>1478</v>
      </c>
    </row>
    <row r="934" customFormat="false" ht="15" hidden="false" customHeight="false" outlineLevel="0" collapsed="false">
      <c r="A934" s="18" t="s">
        <v>273</v>
      </c>
      <c r="B934" s="18" t="s">
        <v>699</v>
      </c>
      <c r="C934" s="18" t="s">
        <v>1342</v>
      </c>
      <c r="D934" s="18" t="s">
        <v>324</v>
      </c>
      <c r="E934" s="18" t="s">
        <v>404</v>
      </c>
      <c r="F934" s="18" t="s">
        <v>1343</v>
      </c>
      <c r="G934" s="18" t="n">
        <v>0.6</v>
      </c>
      <c r="H934" s="18" t="n">
        <v>2691</v>
      </c>
      <c r="I934" s="18" t="n">
        <v>113</v>
      </c>
      <c r="J934" s="18" t="n">
        <v>112</v>
      </c>
      <c r="K934" s="18" t="n">
        <v>0.000224780375732262</v>
      </c>
      <c r="L934" s="18" t="n">
        <v>0.00285685822639097</v>
      </c>
      <c r="M934" s="18" t="n">
        <v>0.078680969764546</v>
      </c>
      <c r="N934" s="18" t="n">
        <v>2689</v>
      </c>
      <c r="O934" s="18" t="n">
        <v>0.937292236770713</v>
      </c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 t="s">
        <v>402</v>
      </c>
      <c r="AI934" s="18"/>
      <c r="AJ934" s="18" t="s">
        <v>1479</v>
      </c>
    </row>
    <row r="935" customFormat="false" ht="15" hidden="false" customHeight="false" outlineLevel="0" collapsed="false">
      <c r="A935" s="18" t="s">
        <v>273</v>
      </c>
      <c r="B935" s="18" t="s">
        <v>701</v>
      </c>
      <c r="C935" s="18" t="s">
        <v>1342</v>
      </c>
      <c r="D935" s="18" t="s">
        <v>324</v>
      </c>
      <c r="E935" s="18" t="s">
        <v>404</v>
      </c>
      <c r="F935" s="18" t="s">
        <v>1343</v>
      </c>
      <c r="G935" s="18" t="n">
        <v>0.6</v>
      </c>
      <c r="H935" s="18" t="n">
        <v>2691</v>
      </c>
      <c r="I935" s="18" t="n">
        <v>113</v>
      </c>
      <c r="J935" s="18" t="n">
        <v>112</v>
      </c>
      <c r="K935" s="18" t="n">
        <v>0.00354088315972571</v>
      </c>
      <c r="L935" s="18" t="n">
        <v>0.00615603300184448</v>
      </c>
      <c r="M935" s="18" t="n">
        <v>0.575189112641986</v>
      </c>
      <c r="N935" s="18" t="n">
        <v>2689</v>
      </c>
      <c r="O935" s="18" t="n">
        <v>0.565211528802248</v>
      </c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 t="s">
        <v>402</v>
      </c>
      <c r="AI935" s="18"/>
      <c r="AJ935" s="18" t="s">
        <v>1480</v>
      </c>
    </row>
    <row r="936" customFormat="false" ht="15" hidden="false" customHeight="false" outlineLevel="0" collapsed="false">
      <c r="A936" s="18" t="s">
        <v>273</v>
      </c>
      <c r="B936" s="18" t="s">
        <v>703</v>
      </c>
      <c r="C936" s="18" t="s">
        <v>1342</v>
      </c>
      <c r="D936" s="18" t="s">
        <v>324</v>
      </c>
      <c r="E936" s="18" t="s">
        <v>404</v>
      </c>
      <c r="F936" s="18" t="s">
        <v>1343</v>
      </c>
      <c r="G936" s="18" t="n">
        <v>0.6</v>
      </c>
      <c r="H936" s="18" t="n">
        <v>2691</v>
      </c>
      <c r="I936" s="18" t="n">
        <v>113</v>
      </c>
      <c r="J936" s="18" t="n">
        <v>112</v>
      </c>
      <c r="K936" s="18" t="n">
        <v>0.00907018720912979</v>
      </c>
      <c r="L936" s="18" t="n">
        <v>0.00554664608668206</v>
      </c>
      <c r="M936" s="18" t="n">
        <v>1.635256165146</v>
      </c>
      <c r="N936" s="18" t="n">
        <v>2689</v>
      </c>
      <c r="O936" s="18" t="n">
        <v>0.102112400015347</v>
      </c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 t="s">
        <v>402</v>
      </c>
      <c r="AI936" s="18"/>
      <c r="AJ936" s="18" t="s">
        <v>1481</v>
      </c>
    </row>
    <row r="937" customFormat="false" ht="15" hidden="false" customHeight="false" outlineLevel="0" collapsed="false">
      <c r="A937" s="18" t="s">
        <v>273</v>
      </c>
      <c r="B937" s="18" t="s">
        <v>705</v>
      </c>
      <c r="C937" s="18" t="s">
        <v>1342</v>
      </c>
      <c r="D937" s="18" t="s">
        <v>324</v>
      </c>
      <c r="E937" s="18" t="s">
        <v>404</v>
      </c>
      <c r="F937" s="18" t="s">
        <v>1343</v>
      </c>
      <c r="G937" s="18" t="n">
        <v>0.6</v>
      </c>
      <c r="H937" s="18" t="n">
        <v>2691</v>
      </c>
      <c r="I937" s="18" t="n">
        <v>113</v>
      </c>
      <c r="J937" s="18" t="n">
        <v>112</v>
      </c>
      <c r="K937" s="18" t="n">
        <v>-0.000584498784560867</v>
      </c>
      <c r="L937" s="18" t="n">
        <v>0.00408885761826462</v>
      </c>
      <c r="M937" s="18" t="n">
        <v>-0.142949165544419</v>
      </c>
      <c r="N937" s="18" t="n">
        <v>2689</v>
      </c>
      <c r="O937" s="18" t="n">
        <v>0.88634103898924</v>
      </c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 t="s">
        <v>402</v>
      </c>
      <c r="AI937" s="18"/>
      <c r="AJ937" s="18" t="s">
        <v>1482</v>
      </c>
    </row>
    <row r="938" customFormat="false" ht="15" hidden="false" customHeight="false" outlineLevel="0" collapsed="false">
      <c r="A938" s="18" t="s">
        <v>273</v>
      </c>
      <c r="B938" s="18" t="s">
        <v>707</v>
      </c>
      <c r="C938" s="18" t="s">
        <v>1342</v>
      </c>
      <c r="D938" s="18" t="s">
        <v>324</v>
      </c>
      <c r="E938" s="18" t="s">
        <v>404</v>
      </c>
      <c r="F938" s="18" t="s">
        <v>1343</v>
      </c>
      <c r="G938" s="18" t="n">
        <v>0.6</v>
      </c>
      <c r="H938" s="18" t="n">
        <v>924</v>
      </c>
      <c r="I938" s="18" t="n">
        <v>40</v>
      </c>
      <c r="J938" s="18" t="n">
        <v>40</v>
      </c>
      <c r="K938" s="18" t="n">
        <v>0.0043011247098</v>
      </c>
      <c r="L938" s="18" t="n">
        <v>0.00309791757007736</v>
      </c>
      <c r="M938" s="18" t="n">
        <v>1.38839223849736</v>
      </c>
      <c r="N938" s="18" t="n">
        <v>922</v>
      </c>
      <c r="O938" s="18" t="n">
        <v>0.16535297643622</v>
      </c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 t="s">
        <v>402</v>
      </c>
      <c r="AI938" s="18"/>
      <c r="AJ938" s="18" t="s">
        <v>1483</v>
      </c>
    </row>
    <row r="939" customFormat="false" ht="15" hidden="false" customHeight="false" outlineLevel="0" collapsed="false">
      <c r="A939" s="18" t="s">
        <v>273</v>
      </c>
      <c r="B939" s="18" t="s">
        <v>709</v>
      </c>
      <c r="C939" s="18" t="s">
        <v>1342</v>
      </c>
      <c r="D939" s="18" t="s">
        <v>324</v>
      </c>
      <c r="E939" s="18" t="s">
        <v>404</v>
      </c>
      <c r="F939" s="18" t="s">
        <v>1343</v>
      </c>
      <c r="G939" s="18" t="n">
        <v>0.6</v>
      </c>
      <c r="H939" s="18" t="n">
        <v>2704</v>
      </c>
      <c r="I939" s="18" t="n">
        <v>113</v>
      </c>
      <c r="J939" s="18" t="n">
        <v>112</v>
      </c>
      <c r="K939" s="18" t="n">
        <v>0.00332153065171269</v>
      </c>
      <c r="L939" s="18" t="n">
        <v>0.00247016430583947</v>
      </c>
      <c r="M939" s="18" t="n">
        <v>1.34465980415173</v>
      </c>
      <c r="N939" s="18" t="n">
        <v>2702</v>
      </c>
      <c r="O939" s="18" t="n">
        <v>0.17884798455863</v>
      </c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 t="s">
        <v>402</v>
      </c>
      <c r="AI939" s="18"/>
      <c r="AJ939" s="18" t="s">
        <v>1484</v>
      </c>
    </row>
    <row r="940" customFormat="false" ht="15" hidden="false" customHeight="false" outlineLevel="0" collapsed="false">
      <c r="A940" s="18" t="s">
        <v>273</v>
      </c>
      <c r="B940" s="18" t="s">
        <v>711</v>
      </c>
      <c r="C940" s="18" t="s">
        <v>1342</v>
      </c>
      <c r="D940" s="18" t="s">
        <v>324</v>
      </c>
      <c r="E940" s="18" t="s">
        <v>404</v>
      </c>
      <c r="F940" s="18" t="s">
        <v>1343</v>
      </c>
      <c r="G940" s="18" t="n">
        <v>0.6</v>
      </c>
      <c r="H940" s="18" t="n">
        <v>2704</v>
      </c>
      <c r="I940" s="18" t="n">
        <v>113</v>
      </c>
      <c r="J940" s="18" t="n">
        <v>112</v>
      </c>
      <c r="K940" s="18" t="n">
        <v>0.00306665686695027</v>
      </c>
      <c r="L940" s="18" t="n">
        <v>0.00247246660781348</v>
      </c>
      <c r="M940" s="18" t="n">
        <v>1.24032286513356</v>
      </c>
      <c r="N940" s="18" t="n">
        <v>2702</v>
      </c>
      <c r="O940" s="18" t="n">
        <v>0.214963691354701</v>
      </c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 t="s">
        <v>402</v>
      </c>
      <c r="AI940" s="18"/>
      <c r="AJ940" s="18" t="s">
        <v>1485</v>
      </c>
    </row>
    <row r="941" customFormat="false" ht="15" hidden="false" customHeight="false" outlineLevel="0" collapsed="false">
      <c r="A941" s="18" t="s">
        <v>273</v>
      </c>
      <c r="B941" s="18" t="s">
        <v>713</v>
      </c>
      <c r="C941" s="18" t="s">
        <v>1342</v>
      </c>
      <c r="D941" s="18" t="s">
        <v>324</v>
      </c>
      <c r="E941" s="18" t="s">
        <v>404</v>
      </c>
      <c r="F941" s="18" t="s">
        <v>1343</v>
      </c>
      <c r="G941" s="18" t="n">
        <v>0.6</v>
      </c>
      <c r="H941" s="18" t="n">
        <v>2704</v>
      </c>
      <c r="I941" s="18" t="n">
        <v>113</v>
      </c>
      <c r="J941" s="18" t="n">
        <v>112</v>
      </c>
      <c r="K941" s="18" t="n">
        <v>0.00246094703782975</v>
      </c>
      <c r="L941" s="18" t="n">
        <v>0.00664167144368142</v>
      </c>
      <c r="M941" s="18" t="n">
        <v>0.370531282478748</v>
      </c>
      <c r="N941" s="18" t="n">
        <v>2702</v>
      </c>
      <c r="O941" s="18" t="n">
        <v>0.711015716558255</v>
      </c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 t="s">
        <v>402</v>
      </c>
      <c r="AI941" s="18"/>
      <c r="AJ941" s="18" t="s">
        <v>1486</v>
      </c>
    </row>
    <row r="942" customFormat="false" ht="15" hidden="false" customHeight="false" outlineLevel="0" collapsed="false">
      <c r="A942" s="18" t="s">
        <v>273</v>
      </c>
      <c r="B942" s="18" t="s">
        <v>715</v>
      </c>
      <c r="C942" s="18" t="s">
        <v>1342</v>
      </c>
      <c r="D942" s="18" t="s">
        <v>324</v>
      </c>
      <c r="E942" s="18" t="s">
        <v>404</v>
      </c>
      <c r="F942" s="18" t="s">
        <v>1343</v>
      </c>
      <c r="G942" s="18" t="n">
        <v>0.6</v>
      </c>
      <c r="H942" s="18" t="n">
        <v>2704</v>
      </c>
      <c r="I942" s="18" t="n">
        <v>113</v>
      </c>
      <c r="J942" s="18" t="n">
        <v>112</v>
      </c>
      <c r="K942" s="18" t="n">
        <v>0.00314070589714792</v>
      </c>
      <c r="L942" s="18" t="n">
        <v>0.00247268400852412</v>
      </c>
      <c r="M942" s="18" t="n">
        <v>1.27016063772036</v>
      </c>
      <c r="N942" s="18" t="n">
        <v>2702</v>
      </c>
      <c r="O942" s="18" t="n">
        <v>0.204136779957307</v>
      </c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 t="s">
        <v>402</v>
      </c>
      <c r="AI942" s="18"/>
      <c r="AJ942" s="18" t="s">
        <v>1487</v>
      </c>
    </row>
    <row r="943" customFormat="false" ht="15" hidden="false" customHeight="false" outlineLevel="0" collapsed="false">
      <c r="A943" s="18" t="s">
        <v>273</v>
      </c>
      <c r="B943" s="18" t="s">
        <v>717</v>
      </c>
      <c r="C943" s="18" t="s">
        <v>1342</v>
      </c>
      <c r="D943" s="18" t="s">
        <v>324</v>
      </c>
      <c r="E943" s="18" t="s">
        <v>404</v>
      </c>
      <c r="F943" s="18" t="s">
        <v>1343</v>
      </c>
      <c r="G943" s="18" t="n">
        <v>0.6</v>
      </c>
      <c r="H943" s="18" t="n">
        <v>2704</v>
      </c>
      <c r="I943" s="18" t="n">
        <v>113</v>
      </c>
      <c r="J943" s="18" t="n">
        <v>112</v>
      </c>
      <c r="K943" s="18" t="n">
        <v>0.00414249852934594</v>
      </c>
      <c r="L943" s="18" t="n">
        <v>0.00247908982325034</v>
      </c>
      <c r="M943" s="18" t="n">
        <v>1.67097556953975</v>
      </c>
      <c r="N943" s="18" t="n">
        <v>2702</v>
      </c>
      <c r="O943" s="18" t="n">
        <v>0.0948423093283136</v>
      </c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 t="s">
        <v>402</v>
      </c>
      <c r="AI943" s="18"/>
      <c r="AJ943" s="18" t="s">
        <v>1488</v>
      </c>
    </row>
    <row r="944" customFormat="false" ht="15" hidden="false" customHeight="false" outlineLevel="0" collapsed="false">
      <c r="A944" s="18" t="s">
        <v>273</v>
      </c>
      <c r="B944" s="18" t="s">
        <v>719</v>
      </c>
      <c r="C944" s="18" t="s">
        <v>1342</v>
      </c>
      <c r="D944" s="18" t="s">
        <v>324</v>
      </c>
      <c r="E944" s="18" t="s">
        <v>404</v>
      </c>
      <c r="F944" s="18" t="s">
        <v>1343</v>
      </c>
      <c r="G944" s="18" t="n">
        <v>0.6</v>
      </c>
      <c r="H944" s="18" t="n">
        <v>2704</v>
      </c>
      <c r="I944" s="18" t="n">
        <v>113</v>
      </c>
      <c r="J944" s="18" t="n">
        <v>112</v>
      </c>
      <c r="K944" s="18" t="n">
        <v>0.00406964195794094</v>
      </c>
      <c r="L944" s="18" t="n">
        <v>0.00248133623635258</v>
      </c>
      <c r="M944" s="18" t="n">
        <v>1.64010096589049</v>
      </c>
      <c r="N944" s="18" t="n">
        <v>2702</v>
      </c>
      <c r="O944" s="18" t="n">
        <v>0.101100576610351</v>
      </c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 t="s">
        <v>402</v>
      </c>
      <c r="AI944" s="18"/>
      <c r="AJ944" s="18" t="s">
        <v>1489</v>
      </c>
    </row>
    <row r="945" customFormat="false" ht="15" hidden="false" customHeight="false" outlineLevel="0" collapsed="false">
      <c r="A945" s="18" t="s">
        <v>273</v>
      </c>
      <c r="B945" s="18" t="s">
        <v>721</v>
      </c>
      <c r="C945" s="18" t="s">
        <v>1342</v>
      </c>
      <c r="D945" s="18" t="s">
        <v>324</v>
      </c>
      <c r="E945" s="18" t="s">
        <v>404</v>
      </c>
      <c r="F945" s="18" t="s">
        <v>1343</v>
      </c>
      <c r="G945" s="18" t="n">
        <v>0.6</v>
      </c>
      <c r="H945" s="18" t="n">
        <v>2704</v>
      </c>
      <c r="I945" s="18" t="n">
        <v>113</v>
      </c>
      <c r="J945" s="18" t="n">
        <v>112</v>
      </c>
      <c r="K945" s="18" t="n">
        <v>0.00179679796782789</v>
      </c>
      <c r="L945" s="18" t="n">
        <v>0.00534812753364984</v>
      </c>
      <c r="M945" s="18" t="n">
        <v>0.335967674017238</v>
      </c>
      <c r="N945" s="18" t="n">
        <v>2702</v>
      </c>
      <c r="O945" s="18" t="n">
        <v>0.736921329319271</v>
      </c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 t="s">
        <v>402</v>
      </c>
      <c r="AI945" s="18"/>
      <c r="AJ945" s="18" t="s">
        <v>1490</v>
      </c>
    </row>
    <row r="946" customFormat="false" ht="15" hidden="false" customHeight="false" outlineLevel="0" collapsed="false">
      <c r="A946" s="18" t="s">
        <v>273</v>
      </c>
      <c r="B946" s="18" t="s">
        <v>723</v>
      </c>
      <c r="C946" s="18" t="s">
        <v>1342</v>
      </c>
      <c r="D946" s="18" t="s">
        <v>324</v>
      </c>
      <c r="E946" s="18" t="s">
        <v>404</v>
      </c>
      <c r="F946" s="18" t="s">
        <v>1343</v>
      </c>
      <c r="G946" s="18" t="n">
        <v>0.6</v>
      </c>
      <c r="H946" s="18" t="n">
        <v>2704</v>
      </c>
      <c r="I946" s="18" t="n">
        <v>113</v>
      </c>
      <c r="J946" s="18" t="n">
        <v>112</v>
      </c>
      <c r="K946" s="18" t="n">
        <v>0.00769636844468911</v>
      </c>
      <c r="L946" s="18" t="n">
        <v>0.0048180513639522</v>
      </c>
      <c r="M946" s="18" t="n">
        <v>1.59740273884832</v>
      </c>
      <c r="N946" s="18" t="n">
        <v>2702</v>
      </c>
      <c r="O946" s="18" t="n">
        <v>0.110292893320705</v>
      </c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 t="s">
        <v>402</v>
      </c>
      <c r="AI946" s="18"/>
      <c r="AJ946" s="18" t="s">
        <v>1491</v>
      </c>
    </row>
    <row r="947" customFormat="false" ht="15" hidden="false" customHeight="false" outlineLevel="0" collapsed="false">
      <c r="A947" s="18" t="s">
        <v>273</v>
      </c>
      <c r="B947" s="18" t="s">
        <v>725</v>
      </c>
      <c r="C947" s="18" t="s">
        <v>1342</v>
      </c>
      <c r="D947" s="18" t="s">
        <v>324</v>
      </c>
      <c r="E947" s="18" t="s">
        <v>404</v>
      </c>
      <c r="F947" s="18" t="s">
        <v>1343</v>
      </c>
      <c r="G947" s="18" t="n">
        <v>0.6</v>
      </c>
      <c r="H947" s="18" t="n">
        <v>2704</v>
      </c>
      <c r="I947" s="18" t="n">
        <v>113</v>
      </c>
      <c r="J947" s="18" t="n">
        <v>112</v>
      </c>
      <c r="K947" s="18" t="n">
        <v>-0.00255633422200955</v>
      </c>
      <c r="L947" s="18" t="n">
        <v>0.00355234709087839</v>
      </c>
      <c r="M947" s="18" t="n">
        <v>-0.719618369661465</v>
      </c>
      <c r="N947" s="18" t="n">
        <v>2702</v>
      </c>
      <c r="O947" s="18" t="n">
        <v>0.471822235083485</v>
      </c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 t="s">
        <v>402</v>
      </c>
      <c r="AI947" s="18"/>
      <c r="AJ947" s="18" t="s">
        <v>1492</v>
      </c>
    </row>
    <row r="948" customFormat="false" ht="15" hidden="false" customHeight="false" outlineLevel="0" collapsed="false">
      <c r="A948" s="18" t="s">
        <v>273</v>
      </c>
      <c r="B948" s="18" t="s">
        <v>727</v>
      </c>
      <c r="C948" s="18" t="s">
        <v>1342</v>
      </c>
      <c r="D948" s="18" t="s">
        <v>324</v>
      </c>
      <c r="E948" s="18" t="s">
        <v>404</v>
      </c>
      <c r="F948" s="18" t="s">
        <v>1343</v>
      </c>
      <c r="G948" s="18" t="n">
        <v>0.6</v>
      </c>
      <c r="H948" s="18" t="n">
        <v>929</v>
      </c>
      <c r="I948" s="18" t="n">
        <v>40</v>
      </c>
      <c r="J948" s="18" t="n">
        <v>40</v>
      </c>
      <c r="K948" s="18" t="n">
        <v>0.00465784411134127</v>
      </c>
      <c r="L948" s="18" t="n">
        <v>0.0030981502410047</v>
      </c>
      <c r="M948" s="18" t="n">
        <v>1.50342744831857</v>
      </c>
      <c r="N948" s="18" t="n">
        <v>927</v>
      </c>
      <c r="O948" s="18" t="n">
        <v>0.133069441805403</v>
      </c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 t="s">
        <v>402</v>
      </c>
      <c r="AI948" s="18"/>
      <c r="AJ948" s="18" t="s">
        <v>1493</v>
      </c>
    </row>
    <row r="949" customFormat="false" ht="15" hidden="false" customHeight="false" outlineLevel="0" collapsed="false">
      <c r="A949" s="18" t="s">
        <v>273</v>
      </c>
      <c r="B949" s="18" t="s">
        <v>729</v>
      </c>
      <c r="C949" s="18" t="s">
        <v>1342</v>
      </c>
      <c r="D949" s="18" t="s">
        <v>324</v>
      </c>
      <c r="E949" s="18" t="s">
        <v>404</v>
      </c>
      <c r="F949" s="18" t="s">
        <v>1343</v>
      </c>
      <c r="G949" s="18" t="n">
        <v>0.6</v>
      </c>
      <c r="H949" s="18" t="n">
        <v>2606</v>
      </c>
      <c r="I949" s="18" t="n">
        <v>110</v>
      </c>
      <c r="J949" s="18" t="n">
        <v>109</v>
      </c>
      <c r="K949" s="18" t="n">
        <v>-0.000397671436693111</v>
      </c>
      <c r="L949" s="18" t="n">
        <v>0.00309629505632687</v>
      </c>
      <c r="M949" s="18" t="n">
        <v>-0.128434606346873</v>
      </c>
      <c r="N949" s="18" t="n">
        <v>2604</v>
      </c>
      <c r="O949" s="18" t="n">
        <v>0.897814964012458</v>
      </c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 t="s">
        <v>402</v>
      </c>
      <c r="AI949" s="18"/>
      <c r="AJ949" s="18" t="s">
        <v>1494</v>
      </c>
    </row>
    <row r="950" customFormat="false" ht="15" hidden="false" customHeight="false" outlineLevel="0" collapsed="false">
      <c r="A950" s="18" t="s">
        <v>273</v>
      </c>
      <c r="B950" s="18" t="s">
        <v>731</v>
      </c>
      <c r="C950" s="18" t="s">
        <v>1342</v>
      </c>
      <c r="D950" s="18" t="s">
        <v>324</v>
      </c>
      <c r="E950" s="18" t="s">
        <v>404</v>
      </c>
      <c r="F950" s="18" t="s">
        <v>1343</v>
      </c>
      <c r="G950" s="18" t="n">
        <v>0.6</v>
      </c>
      <c r="H950" s="18" t="n">
        <v>2606</v>
      </c>
      <c r="I950" s="18" t="n">
        <v>110</v>
      </c>
      <c r="J950" s="18" t="n">
        <v>109</v>
      </c>
      <c r="K950" s="18" t="n">
        <v>-0.000698625181860441</v>
      </c>
      <c r="L950" s="18" t="n">
        <v>0.00309892357779333</v>
      </c>
      <c r="M950" s="18" t="n">
        <v>-0.225441242522642</v>
      </c>
      <c r="N950" s="18" t="n">
        <v>2604</v>
      </c>
      <c r="O950" s="18" t="n">
        <v>0.821653721086149</v>
      </c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 t="s">
        <v>402</v>
      </c>
      <c r="AI950" s="18"/>
      <c r="AJ950" s="18" t="s">
        <v>1495</v>
      </c>
    </row>
    <row r="951" customFormat="false" ht="15" hidden="false" customHeight="false" outlineLevel="0" collapsed="false">
      <c r="A951" s="18" t="s">
        <v>273</v>
      </c>
      <c r="B951" s="18" t="s">
        <v>733</v>
      </c>
      <c r="C951" s="18" t="s">
        <v>1342</v>
      </c>
      <c r="D951" s="18" t="s">
        <v>324</v>
      </c>
      <c r="E951" s="18" t="s">
        <v>404</v>
      </c>
      <c r="F951" s="18" t="s">
        <v>1343</v>
      </c>
      <c r="G951" s="18" t="n">
        <v>0.6</v>
      </c>
      <c r="H951" s="18" t="n">
        <v>2606</v>
      </c>
      <c r="I951" s="18" t="n">
        <v>110</v>
      </c>
      <c r="J951" s="18" t="n">
        <v>109</v>
      </c>
      <c r="K951" s="18" t="n">
        <v>0.00157233702506456</v>
      </c>
      <c r="L951" s="18" t="n">
        <v>0.00870215103560715</v>
      </c>
      <c r="M951" s="18" t="n">
        <v>0.18068372045382</v>
      </c>
      <c r="N951" s="18" t="n">
        <v>2604</v>
      </c>
      <c r="O951" s="18" t="n">
        <v>0.856629898115609</v>
      </c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 t="s">
        <v>402</v>
      </c>
      <c r="AI951" s="18"/>
      <c r="AJ951" s="18" t="s">
        <v>1496</v>
      </c>
    </row>
    <row r="952" customFormat="false" ht="15" hidden="false" customHeight="false" outlineLevel="0" collapsed="false">
      <c r="A952" s="18" t="s">
        <v>273</v>
      </c>
      <c r="B952" s="18" t="s">
        <v>735</v>
      </c>
      <c r="C952" s="18" t="s">
        <v>1342</v>
      </c>
      <c r="D952" s="18" t="s">
        <v>324</v>
      </c>
      <c r="E952" s="18" t="s">
        <v>404</v>
      </c>
      <c r="F952" s="18" t="s">
        <v>1343</v>
      </c>
      <c r="G952" s="18" t="n">
        <v>0.6</v>
      </c>
      <c r="H952" s="18" t="n">
        <v>2606</v>
      </c>
      <c r="I952" s="18" t="n">
        <v>110</v>
      </c>
      <c r="J952" s="18" t="n">
        <v>109</v>
      </c>
      <c r="K952" s="18" t="n">
        <v>-0.000619563840523446</v>
      </c>
      <c r="L952" s="18" t="n">
        <v>0.00309923699118327</v>
      </c>
      <c r="M952" s="18" t="n">
        <v>-0.199908507250651</v>
      </c>
      <c r="N952" s="18" t="n">
        <v>2604</v>
      </c>
      <c r="O952" s="18" t="n">
        <v>0.841567746419631</v>
      </c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 t="s">
        <v>402</v>
      </c>
      <c r="AI952" s="18"/>
      <c r="AJ952" s="18" t="s">
        <v>1497</v>
      </c>
    </row>
    <row r="953" customFormat="false" ht="15" hidden="false" customHeight="false" outlineLevel="0" collapsed="false">
      <c r="A953" s="18" t="s">
        <v>273</v>
      </c>
      <c r="B953" s="18" t="s">
        <v>737</v>
      </c>
      <c r="C953" s="18" t="s">
        <v>1342</v>
      </c>
      <c r="D953" s="18" t="s">
        <v>324</v>
      </c>
      <c r="E953" s="18" t="s">
        <v>404</v>
      </c>
      <c r="F953" s="18" t="s">
        <v>1343</v>
      </c>
      <c r="G953" s="18" t="n">
        <v>0.6</v>
      </c>
      <c r="H953" s="18" t="n">
        <v>2606</v>
      </c>
      <c r="I953" s="18" t="n">
        <v>110</v>
      </c>
      <c r="J953" s="18" t="n">
        <v>109</v>
      </c>
      <c r="K953" s="18" t="n">
        <v>0.000331025790203103</v>
      </c>
      <c r="L953" s="18" t="n">
        <v>0.00310664694349359</v>
      </c>
      <c r="M953" s="18" t="n">
        <v>0.106554042420684</v>
      </c>
      <c r="N953" s="18" t="n">
        <v>2604</v>
      </c>
      <c r="O953" s="18" t="n">
        <v>0.915150987543691</v>
      </c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 t="s">
        <v>402</v>
      </c>
      <c r="AI953" s="18"/>
      <c r="AJ953" s="18" t="s">
        <v>1498</v>
      </c>
    </row>
    <row r="954" customFormat="false" ht="15" hidden="false" customHeight="false" outlineLevel="0" collapsed="false">
      <c r="A954" s="18" t="s">
        <v>273</v>
      </c>
      <c r="B954" s="18" t="s">
        <v>739</v>
      </c>
      <c r="C954" s="18" t="s">
        <v>1342</v>
      </c>
      <c r="D954" s="18" t="s">
        <v>324</v>
      </c>
      <c r="E954" s="18" t="s">
        <v>404</v>
      </c>
      <c r="F954" s="18" t="s">
        <v>1343</v>
      </c>
      <c r="G954" s="18" t="n">
        <v>0.6</v>
      </c>
      <c r="H954" s="18" t="n">
        <v>2606</v>
      </c>
      <c r="I954" s="18" t="n">
        <v>110</v>
      </c>
      <c r="J954" s="18" t="n">
        <v>109</v>
      </c>
      <c r="K954" s="18" t="n">
        <v>0.000282201484292786</v>
      </c>
      <c r="L954" s="18" t="n">
        <v>0.00310928016624353</v>
      </c>
      <c r="M954" s="18" t="n">
        <v>0.0907610344531054</v>
      </c>
      <c r="N954" s="18" t="n">
        <v>2604</v>
      </c>
      <c r="O954" s="18" t="n">
        <v>0.927689452798936</v>
      </c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 t="s">
        <v>402</v>
      </c>
      <c r="AI954" s="18"/>
      <c r="AJ954" s="18" t="s">
        <v>1499</v>
      </c>
    </row>
    <row r="955" customFormat="false" ht="15" hidden="false" customHeight="false" outlineLevel="0" collapsed="false">
      <c r="A955" s="18" t="s">
        <v>273</v>
      </c>
      <c r="B955" s="18" t="s">
        <v>741</v>
      </c>
      <c r="C955" s="18" t="s">
        <v>1342</v>
      </c>
      <c r="D955" s="18" t="s">
        <v>324</v>
      </c>
      <c r="E955" s="18" t="s">
        <v>404</v>
      </c>
      <c r="F955" s="18" t="s">
        <v>1343</v>
      </c>
      <c r="G955" s="18" t="n">
        <v>0.6</v>
      </c>
      <c r="H955" s="18" t="n">
        <v>2606</v>
      </c>
      <c r="I955" s="18" t="n">
        <v>110</v>
      </c>
      <c r="J955" s="18" t="n">
        <v>109</v>
      </c>
      <c r="K955" s="18" t="n">
        <v>0.00176709933695041</v>
      </c>
      <c r="L955" s="18" t="n">
        <v>0.00688293751399106</v>
      </c>
      <c r="M955" s="18" t="n">
        <v>0.256736216674697</v>
      </c>
      <c r="N955" s="18" t="n">
        <v>2604</v>
      </c>
      <c r="O955" s="18" t="n">
        <v>0.797402693630437</v>
      </c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 t="s">
        <v>402</v>
      </c>
      <c r="AI955" s="18"/>
      <c r="AJ955" s="18" t="s">
        <v>1500</v>
      </c>
    </row>
    <row r="956" customFormat="false" ht="15" hidden="false" customHeight="false" outlineLevel="0" collapsed="false">
      <c r="A956" s="18" t="s">
        <v>273</v>
      </c>
      <c r="B956" s="18" t="s">
        <v>743</v>
      </c>
      <c r="C956" s="18" t="s">
        <v>1342</v>
      </c>
      <c r="D956" s="18" t="s">
        <v>324</v>
      </c>
      <c r="E956" s="18" t="s">
        <v>404</v>
      </c>
      <c r="F956" s="18" t="s">
        <v>1343</v>
      </c>
      <c r="G956" s="18" t="n">
        <v>0.6</v>
      </c>
      <c r="H956" s="18" t="n">
        <v>2606</v>
      </c>
      <c r="I956" s="18" t="n">
        <v>110</v>
      </c>
      <c r="J956" s="18" t="n">
        <v>109</v>
      </c>
      <c r="K956" s="18" t="n">
        <v>0.00963571707673071</v>
      </c>
      <c r="L956" s="18" t="n">
        <v>0.00616087566495219</v>
      </c>
      <c r="M956" s="18" t="n">
        <v>1.56401745478262</v>
      </c>
      <c r="N956" s="18" t="n">
        <v>2604</v>
      </c>
      <c r="O956" s="18" t="n">
        <v>0.11793497974349</v>
      </c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 t="s">
        <v>402</v>
      </c>
      <c r="AI956" s="18"/>
      <c r="AJ956" s="18" t="s">
        <v>1501</v>
      </c>
    </row>
    <row r="957" customFormat="false" ht="15" hidden="false" customHeight="false" outlineLevel="0" collapsed="false">
      <c r="A957" s="18" t="s">
        <v>273</v>
      </c>
      <c r="B957" s="18" t="s">
        <v>745</v>
      </c>
      <c r="C957" s="18" t="s">
        <v>1342</v>
      </c>
      <c r="D957" s="18" t="s">
        <v>324</v>
      </c>
      <c r="E957" s="18" t="s">
        <v>404</v>
      </c>
      <c r="F957" s="18" t="s">
        <v>1343</v>
      </c>
      <c r="G957" s="18" t="n">
        <v>0.6</v>
      </c>
      <c r="H957" s="18" t="n">
        <v>2606</v>
      </c>
      <c r="I957" s="18" t="n">
        <v>110</v>
      </c>
      <c r="J957" s="18" t="n">
        <v>109</v>
      </c>
      <c r="K957" s="18" t="n">
        <v>-0.000509215308576679</v>
      </c>
      <c r="L957" s="18" t="n">
        <v>0.0044863843756105</v>
      </c>
      <c r="M957" s="18" t="n">
        <v>-0.113502380969617</v>
      </c>
      <c r="N957" s="18" t="n">
        <v>2604</v>
      </c>
      <c r="O957" s="18" t="n">
        <v>0.9096410250712</v>
      </c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 t="s">
        <v>402</v>
      </c>
      <c r="AI957" s="18"/>
      <c r="AJ957" s="18" t="s">
        <v>1502</v>
      </c>
    </row>
    <row r="958" customFormat="false" ht="15" hidden="false" customHeight="false" outlineLevel="0" collapsed="false">
      <c r="A958" s="18" t="s">
        <v>273</v>
      </c>
      <c r="B958" s="18" t="s">
        <v>747</v>
      </c>
      <c r="C958" s="18" t="s">
        <v>1342</v>
      </c>
      <c r="D958" s="18" t="s">
        <v>324</v>
      </c>
      <c r="E958" s="18" t="s">
        <v>404</v>
      </c>
      <c r="F958" s="18" t="s">
        <v>1343</v>
      </c>
      <c r="G958" s="18" t="n">
        <v>0.6</v>
      </c>
      <c r="H958" s="18" t="n">
        <v>905</v>
      </c>
      <c r="I958" s="18" t="n">
        <v>38</v>
      </c>
      <c r="J958" s="18" t="n">
        <v>38</v>
      </c>
      <c r="K958" s="18" t="n">
        <v>0.0016849128666</v>
      </c>
      <c r="L958" s="18" t="n">
        <v>0.00346251657642253</v>
      </c>
      <c r="M958" s="18" t="n">
        <v>0.486615104768928</v>
      </c>
      <c r="N958" s="18" t="n">
        <v>903</v>
      </c>
      <c r="O958" s="18" t="n">
        <v>0.62664919902383</v>
      </c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 t="s">
        <v>402</v>
      </c>
      <c r="AI958" s="18"/>
      <c r="AJ958" s="18" t="s">
        <v>1503</v>
      </c>
    </row>
    <row r="959" customFormat="false" ht="15" hidden="false" customHeight="false" outlineLevel="0" collapsed="false">
      <c r="A959" s="18" t="s">
        <v>273</v>
      </c>
      <c r="B959" s="18" t="s">
        <v>749</v>
      </c>
      <c r="C959" s="18" t="s">
        <v>1342</v>
      </c>
      <c r="D959" s="18" t="s">
        <v>324</v>
      </c>
      <c r="E959" s="18" t="s">
        <v>404</v>
      </c>
      <c r="F959" s="18" t="s">
        <v>1343</v>
      </c>
      <c r="G959" s="18" t="n">
        <v>0.6</v>
      </c>
      <c r="H959" s="18" t="n">
        <v>2593</v>
      </c>
      <c r="I959" s="18" t="n">
        <v>110</v>
      </c>
      <c r="J959" s="18" t="n">
        <v>109</v>
      </c>
      <c r="K959" s="18" t="n">
        <v>-0.000870843642592004</v>
      </c>
      <c r="L959" s="18" t="n">
        <v>0.00290321614131731</v>
      </c>
      <c r="M959" s="18" t="n">
        <v>-0.299958253262145</v>
      </c>
      <c r="N959" s="18" t="n">
        <v>2591</v>
      </c>
      <c r="O959" s="18" t="n">
        <v>0.764233061104544</v>
      </c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 t="s">
        <v>402</v>
      </c>
      <c r="AI959" s="18"/>
      <c r="AJ959" s="18" t="s">
        <v>1504</v>
      </c>
    </row>
    <row r="960" customFormat="false" ht="15" hidden="false" customHeight="false" outlineLevel="0" collapsed="false">
      <c r="A960" s="18" t="s">
        <v>273</v>
      </c>
      <c r="B960" s="18" t="s">
        <v>751</v>
      </c>
      <c r="C960" s="18" t="s">
        <v>1342</v>
      </c>
      <c r="D960" s="18" t="s">
        <v>324</v>
      </c>
      <c r="E960" s="18" t="s">
        <v>404</v>
      </c>
      <c r="F960" s="18" t="s">
        <v>1343</v>
      </c>
      <c r="G960" s="18" t="n">
        <v>0.6</v>
      </c>
      <c r="H960" s="18" t="n">
        <v>2593</v>
      </c>
      <c r="I960" s="18" t="n">
        <v>110</v>
      </c>
      <c r="J960" s="18" t="n">
        <v>109</v>
      </c>
      <c r="K960" s="18" t="n">
        <v>-0.00116865349268524</v>
      </c>
      <c r="L960" s="18" t="n">
        <v>0.00290565554029858</v>
      </c>
      <c r="M960" s="18" t="n">
        <v>-0.402199598843418</v>
      </c>
      <c r="N960" s="18" t="n">
        <v>2591</v>
      </c>
      <c r="O960" s="18" t="n">
        <v>0.687570313263853</v>
      </c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 t="s">
        <v>402</v>
      </c>
      <c r="AI960" s="18"/>
      <c r="AJ960" s="18" t="s">
        <v>1505</v>
      </c>
    </row>
    <row r="961" customFormat="false" ht="15" hidden="false" customHeight="false" outlineLevel="0" collapsed="false">
      <c r="A961" s="18" t="s">
        <v>273</v>
      </c>
      <c r="B961" s="18" t="s">
        <v>753</v>
      </c>
      <c r="C961" s="18" t="s">
        <v>1342</v>
      </c>
      <c r="D961" s="18" t="s">
        <v>324</v>
      </c>
      <c r="E961" s="18" t="s">
        <v>404</v>
      </c>
      <c r="F961" s="18" t="s">
        <v>1343</v>
      </c>
      <c r="G961" s="18" t="n">
        <v>0.6</v>
      </c>
      <c r="H961" s="18" t="n">
        <v>2593</v>
      </c>
      <c r="I961" s="18" t="n">
        <v>110</v>
      </c>
      <c r="J961" s="18" t="n">
        <v>109</v>
      </c>
      <c r="K961" s="18" t="n">
        <v>0.000940679297340465</v>
      </c>
      <c r="L961" s="18" t="n">
        <v>0.00816233325046411</v>
      </c>
      <c r="M961" s="18" t="n">
        <v>0.115246372388309</v>
      </c>
      <c r="N961" s="18" t="n">
        <v>2591</v>
      </c>
      <c r="O961" s="18" t="n">
        <v>0.908258773939421</v>
      </c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 t="s">
        <v>402</v>
      </c>
      <c r="AI961" s="18"/>
      <c r="AJ961" s="18" t="s">
        <v>1506</v>
      </c>
    </row>
    <row r="962" customFormat="false" ht="15" hidden="false" customHeight="false" outlineLevel="0" collapsed="false">
      <c r="A962" s="18" t="s">
        <v>273</v>
      </c>
      <c r="B962" s="18" t="s">
        <v>755</v>
      </c>
      <c r="C962" s="18" t="s">
        <v>1342</v>
      </c>
      <c r="D962" s="18" t="s">
        <v>324</v>
      </c>
      <c r="E962" s="18" t="s">
        <v>404</v>
      </c>
      <c r="F962" s="18" t="s">
        <v>1343</v>
      </c>
      <c r="G962" s="18" t="n">
        <v>0.6</v>
      </c>
      <c r="H962" s="18" t="n">
        <v>2593</v>
      </c>
      <c r="I962" s="18" t="n">
        <v>110</v>
      </c>
      <c r="J962" s="18" t="n">
        <v>109</v>
      </c>
      <c r="K962" s="18" t="n">
        <v>-0.00108923231498159</v>
      </c>
      <c r="L962" s="18" t="n">
        <v>0.00290595484830139</v>
      </c>
      <c r="M962" s="18" t="n">
        <v>-0.374827680346883</v>
      </c>
      <c r="N962" s="18" t="n">
        <v>2591</v>
      </c>
      <c r="O962" s="18" t="n">
        <v>0.707819303207391</v>
      </c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 t="s">
        <v>402</v>
      </c>
      <c r="AI962" s="18"/>
      <c r="AJ962" s="18" t="s">
        <v>1507</v>
      </c>
    </row>
    <row r="963" customFormat="false" ht="15" hidden="false" customHeight="false" outlineLevel="0" collapsed="false">
      <c r="A963" s="18" t="s">
        <v>273</v>
      </c>
      <c r="B963" s="18" t="s">
        <v>757</v>
      </c>
      <c r="C963" s="18" t="s">
        <v>1342</v>
      </c>
      <c r="D963" s="18" t="s">
        <v>324</v>
      </c>
      <c r="E963" s="18" t="s">
        <v>404</v>
      </c>
      <c r="F963" s="18" t="s">
        <v>1343</v>
      </c>
      <c r="G963" s="18" t="n">
        <v>0.6</v>
      </c>
      <c r="H963" s="18" t="n">
        <v>2593</v>
      </c>
      <c r="I963" s="18" t="n">
        <v>110</v>
      </c>
      <c r="J963" s="18" t="n">
        <v>109</v>
      </c>
      <c r="K963" s="18" t="n">
        <v>-0.000131712085464055</v>
      </c>
      <c r="L963" s="18" t="n">
        <v>0.00291295625622933</v>
      </c>
      <c r="M963" s="18" t="n">
        <v>-0.0452159503536622</v>
      </c>
      <c r="N963" s="18" t="n">
        <v>2591</v>
      </c>
      <c r="O963" s="18" t="n">
        <v>0.963938665096215</v>
      </c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 t="s">
        <v>402</v>
      </c>
      <c r="AI963" s="18"/>
      <c r="AJ963" s="18" t="s">
        <v>1508</v>
      </c>
    </row>
    <row r="964" customFormat="false" ht="15" hidden="false" customHeight="false" outlineLevel="0" collapsed="false">
      <c r="A964" s="18" t="s">
        <v>273</v>
      </c>
      <c r="B964" s="18" t="s">
        <v>759</v>
      </c>
      <c r="C964" s="18" t="s">
        <v>1342</v>
      </c>
      <c r="D964" s="18" t="s">
        <v>324</v>
      </c>
      <c r="E964" s="18" t="s">
        <v>404</v>
      </c>
      <c r="F964" s="18" t="s">
        <v>1343</v>
      </c>
      <c r="G964" s="18" t="n">
        <v>0.6</v>
      </c>
      <c r="H964" s="18" t="n">
        <v>2593</v>
      </c>
      <c r="I964" s="18" t="n">
        <v>110</v>
      </c>
      <c r="J964" s="18" t="n">
        <v>109</v>
      </c>
      <c r="K964" s="18" t="n">
        <v>-0.000178647332212789</v>
      </c>
      <c r="L964" s="18" t="n">
        <v>0.00291542031040354</v>
      </c>
      <c r="M964" s="18" t="n">
        <v>-0.0612766987920384</v>
      </c>
      <c r="N964" s="18" t="n">
        <v>2591</v>
      </c>
      <c r="O964" s="18" t="n">
        <v>0.951143573653842</v>
      </c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 t="s">
        <v>402</v>
      </c>
      <c r="AI964" s="18"/>
      <c r="AJ964" s="18" t="s">
        <v>1509</v>
      </c>
    </row>
    <row r="965" customFormat="false" ht="15" hidden="false" customHeight="false" outlineLevel="0" collapsed="false">
      <c r="A965" s="18" t="s">
        <v>273</v>
      </c>
      <c r="B965" s="18" t="s">
        <v>761</v>
      </c>
      <c r="C965" s="18" t="s">
        <v>1342</v>
      </c>
      <c r="D965" s="18" t="s">
        <v>324</v>
      </c>
      <c r="E965" s="18" t="s">
        <v>404</v>
      </c>
      <c r="F965" s="18" t="s">
        <v>1343</v>
      </c>
      <c r="G965" s="18" t="n">
        <v>0.6</v>
      </c>
      <c r="H965" s="18" t="n">
        <v>2593</v>
      </c>
      <c r="I965" s="18" t="n">
        <v>110</v>
      </c>
      <c r="J965" s="18" t="n">
        <v>109</v>
      </c>
      <c r="K965" s="18" t="n">
        <v>0.00121237970026533</v>
      </c>
      <c r="L965" s="18" t="n">
        <v>0.00645592610787979</v>
      </c>
      <c r="M965" s="18" t="n">
        <v>0.187793304942812</v>
      </c>
      <c r="N965" s="18" t="n">
        <v>2591</v>
      </c>
      <c r="O965" s="18" t="n">
        <v>0.851053389289798</v>
      </c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 t="s">
        <v>402</v>
      </c>
      <c r="AI965" s="18"/>
      <c r="AJ965" s="18" t="s">
        <v>1510</v>
      </c>
    </row>
    <row r="966" customFormat="false" ht="15" hidden="false" customHeight="false" outlineLevel="0" collapsed="false">
      <c r="A966" s="18" t="s">
        <v>273</v>
      </c>
      <c r="B966" s="18" t="s">
        <v>763</v>
      </c>
      <c r="C966" s="18" t="s">
        <v>1342</v>
      </c>
      <c r="D966" s="18" t="s">
        <v>324</v>
      </c>
      <c r="E966" s="18" t="s">
        <v>404</v>
      </c>
      <c r="F966" s="18" t="s">
        <v>1343</v>
      </c>
      <c r="G966" s="18" t="n">
        <v>0.6</v>
      </c>
      <c r="H966" s="18" t="n">
        <v>2593</v>
      </c>
      <c r="I966" s="18" t="n">
        <v>110</v>
      </c>
      <c r="J966" s="18" t="n">
        <v>109</v>
      </c>
      <c r="K966" s="18" t="n">
        <v>0.00750881686042236</v>
      </c>
      <c r="L966" s="18" t="n">
        <v>0.00578016926751993</v>
      </c>
      <c r="M966" s="18" t="n">
        <v>1.29906521987446</v>
      </c>
      <c r="N966" s="18" t="n">
        <v>2591</v>
      </c>
      <c r="O966" s="18" t="n">
        <v>0.194037134551628</v>
      </c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 t="s">
        <v>402</v>
      </c>
      <c r="AI966" s="18"/>
      <c r="AJ966" s="18" t="s">
        <v>1511</v>
      </c>
    </row>
    <row r="967" customFormat="false" ht="15" hidden="false" customHeight="false" outlineLevel="0" collapsed="false">
      <c r="A967" s="18" t="s">
        <v>273</v>
      </c>
      <c r="B967" s="18" t="s">
        <v>765</v>
      </c>
      <c r="C967" s="18" t="s">
        <v>1342</v>
      </c>
      <c r="D967" s="18" t="s">
        <v>324</v>
      </c>
      <c r="E967" s="18" t="s">
        <v>404</v>
      </c>
      <c r="F967" s="18" t="s">
        <v>1343</v>
      </c>
      <c r="G967" s="18" t="n">
        <v>0.6</v>
      </c>
      <c r="H967" s="18" t="n">
        <v>2593</v>
      </c>
      <c r="I967" s="18" t="n">
        <v>110</v>
      </c>
      <c r="J967" s="18" t="n">
        <v>109</v>
      </c>
      <c r="K967" s="18" t="n">
        <v>-0.00153851672689866</v>
      </c>
      <c r="L967" s="18" t="n">
        <v>0.00420715753506623</v>
      </c>
      <c r="M967" s="18" t="n">
        <v>-0.365690306121242</v>
      </c>
      <c r="N967" s="18" t="n">
        <v>2591</v>
      </c>
      <c r="O967" s="18" t="n">
        <v>0.714626032434832</v>
      </c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 t="s">
        <v>402</v>
      </c>
      <c r="AI967" s="18"/>
      <c r="AJ967" s="18" t="s">
        <v>1512</v>
      </c>
    </row>
    <row r="968" customFormat="false" ht="15" hidden="false" customHeight="false" outlineLevel="0" collapsed="false">
      <c r="A968" s="18" t="s">
        <v>273</v>
      </c>
      <c r="B968" s="18" t="s">
        <v>767</v>
      </c>
      <c r="C968" s="18" t="s">
        <v>1342</v>
      </c>
      <c r="D968" s="18" t="s">
        <v>324</v>
      </c>
      <c r="E968" s="18" t="s">
        <v>404</v>
      </c>
      <c r="F968" s="18" t="s">
        <v>1343</v>
      </c>
      <c r="G968" s="18" t="n">
        <v>0.6</v>
      </c>
      <c r="H968" s="18" t="n">
        <v>900</v>
      </c>
      <c r="I968" s="18" t="n">
        <v>38</v>
      </c>
      <c r="J968" s="18" t="n">
        <v>38</v>
      </c>
      <c r="K968" s="18" t="n">
        <v>0.000817155033784385</v>
      </c>
      <c r="L968" s="18" t="n">
        <v>0.00325250616808964</v>
      </c>
      <c r="M968" s="18" t="n">
        <v>0.251238580821613</v>
      </c>
      <c r="N968" s="18" t="n">
        <v>898</v>
      </c>
      <c r="O968" s="18" t="n">
        <v>0.801687135874811</v>
      </c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 t="s">
        <v>402</v>
      </c>
      <c r="AI968" s="18"/>
      <c r="AJ968" s="18" t="s">
        <v>1513</v>
      </c>
    </row>
    <row r="969" customFormat="false" ht="15" hidden="false" customHeight="false" outlineLevel="0" collapsed="false">
      <c r="A969" s="18" t="s">
        <v>273</v>
      </c>
      <c r="B969" s="18" t="s">
        <v>769</v>
      </c>
      <c r="C969" s="18" t="s">
        <v>1342</v>
      </c>
      <c r="D969" s="18" t="s">
        <v>324</v>
      </c>
      <c r="E969" s="18" t="s">
        <v>404</v>
      </c>
      <c r="F969" s="18" t="s">
        <v>1343</v>
      </c>
      <c r="G969" s="18" t="n">
        <v>0.6</v>
      </c>
      <c r="H969" s="18" t="n">
        <v>2606</v>
      </c>
      <c r="I969" s="18" t="n">
        <v>110</v>
      </c>
      <c r="J969" s="18" t="n">
        <v>109</v>
      </c>
      <c r="K969" s="18" t="n">
        <v>0.00309520680304357</v>
      </c>
      <c r="L969" s="18" t="n">
        <v>0.00252133553256544</v>
      </c>
      <c r="M969" s="18" t="n">
        <v>1.22760606950802</v>
      </c>
      <c r="N969" s="18" t="n">
        <v>2604</v>
      </c>
      <c r="O969" s="18" t="n">
        <v>0.21970584215713</v>
      </c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 t="s">
        <v>402</v>
      </c>
      <c r="AI969" s="18"/>
      <c r="AJ969" s="18" t="s">
        <v>1514</v>
      </c>
    </row>
    <row r="970" customFormat="false" ht="15" hidden="false" customHeight="false" outlineLevel="0" collapsed="false">
      <c r="A970" s="18" t="s">
        <v>273</v>
      </c>
      <c r="B970" s="18" t="s">
        <v>771</v>
      </c>
      <c r="C970" s="18" t="s">
        <v>1342</v>
      </c>
      <c r="D970" s="18" t="s">
        <v>324</v>
      </c>
      <c r="E970" s="18" t="s">
        <v>404</v>
      </c>
      <c r="F970" s="18" t="s">
        <v>1343</v>
      </c>
      <c r="G970" s="18" t="n">
        <v>0.6</v>
      </c>
      <c r="H970" s="18" t="n">
        <v>2606</v>
      </c>
      <c r="I970" s="18" t="n">
        <v>110</v>
      </c>
      <c r="J970" s="18" t="n">
        <v>109</v>
      </c>
      <c r="K970" s="18" t="n">
        <v>0.00284232500976393</v>
      </c>
      <c r="L970" s="18" t="n">
        <v>0.00252360808357069</v>
      </c>
      <c r="M970" s="18" t="n">
        <v>1.12629414538183</v>
      </c>
      <c r="N970" s="18" t="n">
        <v>2604</v>
      </c>
      <c r="O970" s="18" t="n">
        <v>0.260144819713788</v>
      </c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 t="s">
        <v>402</v>
      </c>
      <c r="AI970" s="18"/>
      <c r="AJ970" s="18" t="s">
        <v>1515</v>
      </c>
    </row>
    <row r="971" customFormat="false" ht="15" hidden="false" customHeight="false" outlineLevel="0" collapsed="false">
      <c r="A971" s="18" t="s">
        <v>273</v>
      </c>
      <c r="B971" s="18" t="s">
        <v>773</v>
      </c>
      <c r="C971" s="18" t="s">
        <v>1342</v>
      </c>
      <c r="D971" s="18" t="s">
        <v>324</v>
      </c>
      <c r="E971" s="18" t="s">
        <v>404</v>
      </c>
      <c r="F971" s="18" t="s">
        <v>1343</v>
      </c>
      <c r="G971" s="18" t="n">
        <v>0.6</v>
      </c>
      <c r="H971" s="18" t="n">
        <v>2606</v>
      </c>
      <c r="I971" s="18" t="n">
        <v>110</v>
      </c>
      <c r="J971" s="18" t="n">
        <v>109</v>
      </c>
      <c r="K971" s="18" t="n">
        <v>-0.000891980554318588</v>
      </c>
      <c r="L971" s="18" t="n">
        <v>0.00708827537877936</v>
      </c>
      <c r="M971" s="18" t="n">
        <v>-0.125838868646239</v>
      </c>
      <c r="N971" s="18" t="n">
        <v>2604</v>
      </c>
      <c r="O971" s="18" t="n">
        <v>0.899869188021104</v>
      </c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 t="s">
        <v>402</v>
      </c>
      <c r="AI971" s="18"/>
      <c r="AJ971" s="18" t="s">
        <v>1516</v>
      </c>
    </row>
    <row r="972" customFormat="false" ht="15" hidden="false" customHeight="false" outlineLevel="0" collapsed="false">
      <c r="A972" s="18" t="s">
        <v>273</v>
      </c>
      <c r="B972" s="18" t="s">
        <v>775</v>
      </c>
      <c r="C972" s="18" t="s">
        <v>1342</v>
      </c>
      <c r="D972" s="18" t="s">
        <v>324</v>
      </c>
      <c r="E972" s="18" t="s">
        <v>404</v>
      </c>
      <c r="F972" s="18" t="s">
        <v>1343</v>
      </c>
      <c r="G972" s="18" t="n">
        <v>0.6</v>
      </c>
      <c r="H972" s="18" t="n">
        <v>2606</v>
      </c>
      <c r="I972" s="18" t="n">
        <v>110</v>
      </c>
      <c r="J972" s="18" t="n">
        <v>109</v>
      </c>
      <c r="K972" s="18" t="n">
        <v>0.002917241344878</v>
      </c>
      <c r="L972" s="18" t="n">
        <v>0.00252382534337975</v>
      </c>
      <c r="M972" s="18" t="n">
        <v>1.15588083483281</v>
      </c>
      <c r="N972" s="18" t="n">
        <v>2604</v>
      </c>
      <c r="O972" s="18" t="n">
        <v>0.247835942829533</v>
      </c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 t="s">
        <v>402</v>
      </c>
      <c r="AI972" s="18"/>
      <c r="AJ972" s="18" t="s">
        <v>1517</v>
      </c>
    </row>
    <row r="973" customFormat="false" ht="15" hidden="false" customHeight="false" outlineLevel="0" collapsed="false">
      <c r="A973" s="18" t="s">
        <v>273</v>
      </c>
      <c r="B973" s="18" t="s">
        <v>777</v>
      </c>
      <c r="C973" s="18" t="s">
        <v>1342</v>
      </c>
      <c r="D973" s="18" t="s">
        <v>324</v>
      </c>
      <c r="E973" s="18" t="s">
        <v>404</v>
      </c>
      <c r="F973" s="18" t="s">
        <v>1343</v>
      </c>
      <c r="G973" s="18" t="n">
        <v>0.6</v>
      </c>
      <c r="H973" s="18" t="n">
        <v>2606</v>
      </c>
      <c r="I973" s="18" t="n">
        <v>110</v>
      </c>
      <c r="J973" s="18" t="n">
        <v>109</v>
      </c>
      <c r="K973" s="18" t="n">
        <v>0.00378441548259229</v>
      </c>
      <c r="L973" s="18" t="n">
        <v>0.0025294076101751</v>
      </c>
      <c r="M973" s="18" t="n">
        <v>1.49616671799699</v>
      </c>
      <c r="N973" s="18" t="n">
        <v>2604</v>
      </c>
      <c r="O973" s="18" t="n">
        <v>0.134731398895578</v>
      </c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 t="s">
        <v>402</v>
      </c>
      <c r="AI973" s="18"/>
      <c r="AJ973" s="18" t="s">
        <v>1518</v>
      </c>
    </row>
    <row r="974" customFormat="false" ht="15" hidden="false" customHeight="false" outlineLevel="0" collapsed="false">
      <c r="A974" s="18" t="s">
        <v>273</v>
      </c>
      <c r="B974" s="18" t="s">
        <v>779</v>
      </c>
      <c r="C974" s="18" t="s">
        <v>1342</v>
      </c>
      <c r="D974" s="18" t="s">
        <v>324</v>
      </c>
      <c r="E974" s="18" t="s">
        <v>404</v>
      </c>
      <c r="F974" s="18" t="s">
        <v>1343</v>
      </c>
      <c r="G974" s="18" t="n">
        <v>0.6</v>
      </c>
      <c r="H974" s="18" t="n">
        <v>2606</v>
      </c>
      <c r="I974" s="18" t="n">
        <v>110</v>
      </c>
      <c r="J974" s="18" t="n">
        <v>109</v>
      </c>
      <c r="K974" s="18" t="n">
        <v>0.00371300052551363</v>
      </c>
      <c r="L974" s="18" t="n">
        <v>0.00253159249633208</v>
      </c>
      <c r="M974" s="18" t="n">
        <v>1.46666595468791</v>
      </c>
      <c r="N974" s="18" t="n">
        <v>2604</v>
      </c>
      <c r="O974" s="18" t="n">
        <v>0.142587699514958</v>
      </c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 t="s">
        <v>402</v>
      </c>
      <c r="AI974" s="18"/>
      <c r="AJ974" s="18" t="s">
        <v>1519</v>
      </c>
    </row>
    <row r="975" customFormat="false" ht="15" hidden="false" customHeight="false" outlineLevel="0" collapsed="false">
      <c r="A975" s="18" t="s">
        <v>273</v>
      </c>
      <c r="B975" s="18" t="s">
        <v>781</v>
      </c>
      <c r="C975" s="18" t="s">
        <v>1342</v>
      </c>
      <c r="D975" s="18" t="s">
        <v>324</v>
      </c>
      <c r="E975" s="18" t="s">
        <v>404</v>
      </c>
      <c r="F975" s="18" t="s">
        <v>1343</v>
      </c>
      <c r="G975" s="18" t="n">
        <v>0.6</v>
      </c>
      <c r="H975" s="18" t="n">
        <v>2606</v>
      </c>
      <c r="I975" s="18" t="n">
        <v>110</v>
      </c>
      <c r="J975" s="18" t="n">
        <v>109</v>
      </c>
      <c r="K975" s="18" t="n">
        <v>-0.000506433303252354</v>
      </c>
      <c r="L975" s="18" t="n">
        <v>0.00560649198791148</v>
      </c>
      <c r="M975" s="18" t="n">
        <v>-0.0903298005855191</v>
      </c>
      <c r="N975" s="18" t="n">
        <v>2604</v>
      </c>
      <c r="O975" s="18" t="n">
        <v>0.928032086650419</v>
      </c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 t="s">
        <v>402</v>
      </c>
      <c r="AI975" s="18"/>
      <c r="AJ975" s="18" t="s">
        <v>1520</v>
      </c>
    </row>
    <row r="976" customFormat="false" ht="15" hidden="false" customHeight="false" outlineLevel="0" collapsed="false">
      <c r="A976" s="18" t="s">
        <v>273</v>
      </c>
      <c r="B976" s="18" t="s">
        <v>783</v>
      </c>
      <c r="C976" s="18" t="s">
        <v>1342</v>
      </c>
      <c r="D976" s="18" t="s">
        <v>324</v>
      </c>
      <c r="E976" s="18" t="s">
        <v>404</v>
      </c>
      <c r="F976" s="18" t="s">
        <v>1343</v>
      </c>
      <c r="G976" s="18" t="n">
        <v>0.6</v>
      </c>
      <c r="H976" s="18" t="n">
        <v>2606</v>
      </c>
      <c r="I976" s="18" t="n">
        <v>110</v>
      </c>
      <c r="J976" s="18" t="n">
        <v>109</v>
      </c>
      <c r="K976" s="18" t="n">
        <v>0.00617230283523577</v>
      </c>
      <c r="L976" s="18" t="n">
        <v>0.00501918061874724</v>
      </c>
      <c r="M976" s="18" t="n">
        <v>1.22974312025781</v>
      </c>
      <c r="N976" s="18" t="n">
        <v>2604</v>
      </c>
      <c r="O976" s="18" t="n">
        <v>0.218904407822282</v>
      </c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 t="s">
        <v>402</v>
      </c>
      <c r="AI976" s="18"/>
      <c r="AJ976" s="18" t="s">
        <v>1521</v>
      </c>
    </row>
    <row r="977" customFormat="false" ht="15" hidden="false" customHeight="false" outlineLevel="0" collapsed="false">
      <c r="A977" s="18" t="s">
        <v>273</v>
      </c>
      <c r="B977" s="18" t="s">
        <v>785</v>
      </c>
      <c r="C977" s="18" t="s">
        <v>1342</v>
      </c>
      <c r="D977" s="18" t="s">
        <v>324</v>
      </c>
      <c r="E977" s="18" t="s">
        <v>404</v>
      </c>
      <c r="F977" s="18" t="s">
        <v>1343</v>
      </c>
      <c r="G977" s="18" t="n">
        <v>0.6</v>
      </c>
      <c r="H977" s="18" t="n">
        <v>2606</v>
      </c>
      <c r="I977" s="18" t="n">
        <v>110</v>
      </c>
      <c r="J977" s="18" t="n">
        <v>109</v>
      </c>
      <c r="K977" s="18" t="n">
        <v>-0.00350861319297232</v>
      </c>
      <c r="L977" s="18" t="n">
        <v>0.00365370291615929</v>
      </c>
      <c r="M977" s="18" t="n">
        <v>-0.960289676934246</v>
      </c>
      <c r="N977" s="18" t="n">
        <v>2604</v>
      </c>
      <c r="O977" s="18" t="n">
        <v>0.336998599106138</v>
      </c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 t="s">
        <v>402</v>
      </c>
      <c r="AI977" s="18"/>
      <c r="AJ977" s="18" t="s">
        <v>1522</v>
      </c>
    </row>
    <row r="978" customFormat="false" ht="15" hidden="false" customHeight="false" outlineLevel="0" collapsed="false">
      <c r="A978" s="18" t="s">
        <v>273</v>
      </c>
      <c r="B978" s="18" t="s">
        <v>787</v>
      </c>
      <c r="C978" s="18" t="s">
        <v>1342</v>
      </c>
      <c r="D978" s="18" t="s">
        <v>324</v>
      </c>
      <c r="E978" s="18" t="s">
        <v>404</v>
      </c>
      <c r="F978" s="18" t="s">
        <v>1343</v>
      </c>
      <c r="G978" s="18" t="n">
        <v>0.6</v>
      </c>
      <c r="H978" s="18" t="n">
        <v>905</v>
      </c>
      <c r="I978" s="18" t="n">
        <v>38</v>
      </c>
      <c r="J978" s="18" t="n">
        <v>38</v>
      </c>
      <c r="K978" s="18" t="n">
        <v>0.00121132456807818</v>
      </c>
      <c r="L978" s="18" t="n">
        <v>0.00325304980578382</v>
      </c>
      <c r="M978" s="18" t="n">
        <v>0.372365822965416</v>
      </c>
      <c r="N978" s="18" t="n">
        <v>903</v>
      </c>
      <c r="O978" s="18" t="n">
        <v>0.709707869882537</v>
      </c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 t="s">
        <v>402</v>
      </c>
      <c r="AI978" s="18"/>
      <c r="AJ978" s="18" t="s">
        <v>1523</v>
      </c>
    </row>
    <row r="979" customFormat="false" ht="15" hidden="false" customHeight="false" outlineLevel="0" collapsed="false">
      <c r="A979" s="18" t="s">
        <v>273</v>
      </c>
      <c r="B979" s="18" t="s">
        <v>322</v>
      </c>
      <c r="C979" s="18" t="s">
        <v>1524</v>
      </c>
      <c r="D979" s="18" t="s">
        <v>324</v>
      </c>
      <c r="E979" s="18" t="s">
        <v>404</v>
      </c>
      <c r="F979" s="18" t="s">
        <v>401</v>
      </c>
      <c r="G979" s="18" t="n">
        <v>0.8</v>
      </c>
      <c r="H979" s="18" t="n">
        <v>2705</v>
      </c>
      <c r="I979" s="18" t="n">
        <v>113</v>
      </c>
      <c r="J979" s="18" t="n">
        <v>112</v>
      </c>
      <c r="K979" s="18" t="n">
        <v>0.0100020869935732</v>
      </c>
      <c r="L979" s="18" t="n">
        <v>0.0181583543365794</v>
      </c>
      <c r="M979" s="18" t="n">
        <v>0.550825631451869</v>
      </c>
      <c r="N979" s="18" t="n">
        <v>15.5744217038457</v>
      </c>
      <c r="O979" s="18" t="n">
        <v>0.589567985490264</v>
      </c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 t="s">
        <v>402</v>
      </c>
      <c r="AI979" s="18"/>
      <c r="AJ979" s="18" t="s">
        <v>1525</v>
      </c>
    </row>
    <row r="980" customFormat="false" ht="15" hidden="false" customHeight="false" outlineLevel="0" collapsed="false">
      <c r="A980" s="18" t="s">
        <v>273</v>
      </c>
      <c r="B980" s="18" t="s">
        <v>326</v>
      </c>
      <c r="C980" s="18" t="s">
        <v>1524</v>
      </c>
      <c r="D980" s="18" t="s">
        <v>324</v>
      </c>
      <c r="E980" s="18" t="s">
        <v>404</v>
      </c>
      <c r="F980" s="18" t="s">
        <v>401</v>
      </c>
      <c r="G980" s="18" t="n">
        <v>0.8</v>
      </c>
      <c r="H980" s="18" t="n">
        <v>2705</v>
      </c>
      <c r="I980" s="18" t="n">
        <v>113</v>
      </c>
      <c r="J980" s="18" t="n">
        <v>112</v>
      </c>
      <c r="K980" s="18" t="n">
        <v>0.00968963584410645</v>
      </c>
      <c r="L980" s="18" t="n">
        <v>0.0177864229170131</v>
      </c>
      <c r="M980" s="18" t="n">
        <v>0.544777097076563</v>
      </c>
      <c r="N980" s="18" t="n">
        <v>12.7090234061572</v>
      </c>
      <c r="O980" s="18" t="n">
        <v>0.595337445143702</v>
      </c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 t="s">
        <v>402</v>
      </c>
      <c r="AI980" s="18"/>
      <c r="AJ980" s="18" t="s">
        <v>1526</v>
      </c>
    </row>
    <row r="981" customFormat="false" ht="15" hidden="false" customHeight="false" outlineLevel="0" collapsed="false">
      <c r="A981" s="18" t="s">
        <v>273</v>
      </c>
      <c r="B981" s="18" t="s">
        <v>328</v>
      </c>
      <c r="C981" s="18" t="s">
        <v>1524</v>
      </c>
      <c r="D981" s="18" t="s">
        <v>324</v>
      </c>
      <c r="E981" s="18" t="s">
        <v>404</v>
      </c>
      <c r="F981" s="18" t="s">
        <v>401</v>
      </c>
      <c r="G981" s="18" t="n">
        <v>0.8</v>
      </c>
      <c r="H981" s="18" t="n">
        <v>2705</v>
      </c>
      <c r="I981" s="18" t="n">
        <v>113</v>
      </c>
      <c r="J981" s="18" t="n">
        <v>112</v>
      </c>
      <c r="K981" s="18" t="n">
        <v>-0.0195091882771325</v>
      </c>
      <c r="L981" s="18" t="n">
        <v>0.0209606394796755</v>
      </c>
      <c r="M981" s="18" t="n">
        <v>-0.930753486602811</v>
      </c>
      <c r="N981" s="18" t="n">
        <v>41.4076754734473</v>
      </c>
      <c r="O981" s="18" t="n">
        <v>0.357376073873615</v>
      </c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 t="s">
        <v>402</v>
      </c>
      <c r="AI981" s="18"/>
      <c r="AJ981" s="18" t="s">
        <v>1527</v>
      </c>
    </row>
    <row r="982" customFormat="false" ht="15" hidden="false" customHeight="false" outlineLevel="0" collapsed="false">
      <c r="A982" s="18" t="s">
        <v>273</v>
      </c>
      <c r="B982" s="18" t="s">
        <v>330</v>
      </c>
      <c r="C982" s="18" t="s">
        <v>1524</v>
      </c>
      <c r="D982" s="18" t="s">
        <v>324</v>
      </c>
      <c r="E982" s="18" t="s">
        <v>404</v>
      </c>
      <c r="F982" s="18" t="s">
        <v>401</v>
      </c>
      <c r="G982" s="18" t="n">
        <v>0.8</v>
      </c>
      <c r="H982" s="18" t="n">
        <v>2705</v>
      </c>
      <c r="I982" s="18" t="n">
        <v>113</v>
      </c>
      <c r="J982" s="18" t="n">
        <v>112</v>
      </c>
      <c r="K982" s="18" t="n">
        <v>0.00796971264830172</v>
      </c>
      <c r="L982" s="18" t="n">
        <v>0.0180181473855444</v>
      </c>
      <c r="M982" s="18" t="n">
        <v>0.442315876197998</v>
      </c>
      <c r="N982" s="18" t="n">
        <v>11.2351435110236</v>
      </c>
      <c r="O982" s="18" t="n">
        <v>0.666654818697699</v>
      </c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 t="s">
        <v>402</v>
      </c>
      <c r="AI982" s="18"/>
      <c r="AJ982" s="18" t="s">
        <v>1528</v>
      </c>
    </row>
    <row r="983" customFormat="false" ht="15" hidden="false" customHeight="false" outlineLevel="0" collapsed="false">
      <c r="A983" s="18" t="s">
        <v>273</v>
      </c>
      <c r="B983" s="18" t="s">
        <v>332</v>
      </c>
      <c r="C983" s="18" t="s">
        <v>1524</v>
      </c>
      <c r="D983" s="18" t="s">
        <v>324</v>
      </c>
      <c r="E983" s="18" t="s">
        <v>404</v>
      </c>
      <c r="F983" s="18" t="s">
        <v>401</v>
      </c>
      <c r="G983" s="18" t="n">
        <v>0.8</v>
      </c>
      <c r="H983" s="18" t="n">
        <v>2705</v>
      </c>
      <c r="I983" s="18" t="n">
        <v>113</v>
      </c>
      <c r="J983" s="18" t="n">
        <v>112</v>
      </c>
      <c r="K983" s="18" t="n">
        <v>0.00347283859032374</v>
      </c>
      <c r="L983" s="18" t="n">
        <v>0.0223863572395042</v>
      </c>
      <c r="M983" s="18" t="n">
        <v>0.155131920444626</v>
      </c>
      <c r="N983" s="18" t="n">
        <v>18.7627803472849</v>
      </c>
      <c r="O983" s="18" t="n">
        <v>0.878374028399349</v>
      </c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 t="s">
        <v>402</v>
      </c>
      <c r="AI983" s="18"/>
      <c r="AJ983" s="18" t="s">
        <v>1529</v>
      </c>
    </row>
    <row r="984" customFormat="false" ht="15" hidden="false" customHeight="false" outlineLevel="0" collapsed="false">
      <c r="A984" s="18" t="s">
        <v>273</v>
      </c>
      <c r="B984" s="18" t="s">
        <v>334</v>
      </c>
      <c r="C984" s="18" t="s">
        <v>1524</v>
      </c>
      <c r="D984" s="18" t="s">
        <v>324</v>
      </c>
      <c r="E984" s="18" t="s">
        <v>404</v>
      </c>
      <c r="F984" s="18" t="s">
        <v>401</v>
      </c>
      <c r="G984" s="18" t="n">
        <v>0.8</v>
      </c>
      <c r="H984" s="18" t="n">
        <v>2705</v>
      </c>
      <c r="I984" s="18" t="n">
        <v>113</v>
      </c>
      <c r="J984" s="18" t="n">
        <v>112</v>
      </c>
      <c r="K984" s="18" t="n">
        <v>0.00418169502705993</v>
      </c>
      <c r="L984" s="18" t="n">
        <v>0.0230135467577871</v>
      </c>
      <c r="M984" s="18" t="n">
        <v>0.181705804458193</v>
      </c>
      <c r="N984" s="18" t="n">
        <v>15.4326009662145</v>
      </c>
      <c r="O984" s="18" t="n">
        <v>0.858178756086581</v>
      </c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 t="s">
        <v>402</v>
      </c>
      <c r="AI984" s="18"/>
      <c r="AJ984" s="18" t="s">
        <v>1530</v>
      </c>
    </row>
    <row r="985" customFormat="false" ht="15" hidden="false" customHeight="false" outlineLevel="0" collapsed="false">
      <c r="A985" s="18" t="s">
        <v>273</v>
      </c>
      <c r="B985" s="18" t="s">
        <v>336</v>
      </c>
      <c r="C985" s="18" t="s">
        <v>1524</v>
      </c>
      <c r="D985" s="18" t="s">
        <v>324</v>
      </c>
      <c r="E985" s="18" t="s">
        <v>404</v>
      </c>
      <c r="F985" s="18" t="s">
        <v>401</v>
      </c>
      <c r="G985" s="18" t="n">
        <v>0.8</v>
      </c>
      <c r="H985" s="18" t="n">
        <v>2705</v>
      </c>
      <c r="I985" s="18" t="n">
        <v>113</v>
      </c>
      <c r="J985" s="18" t="n">
        <v>112</v>
      </c>
      <c r="K985" s="18" t="n">
        <v>-0.00702312669496337</v>
      </c>
      <c r="L985" s="18" t="n">
        <v>0.0206359360778961</v>
      </c>
      <c r="M985" s="18" t="n">
        <v>-0.340334776598097</v>
      </c>
      <c r="N985" s="18" t="n">
        <v>18.4146545677115</v>
      </c>
      <c r="O985" s="18" t="n">
        <v>0.737456068224485</v>
      </c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 t="s">
        <v>402</v>
      </c>
      <c r="AI985" s="18"/>
      <c r="AJ985" s="18" t="s">
        <v>1531</v>
      </c>
    </row>
    <row r="986" customFormat="false" ht="15" hidden="false" customHeight="false" outlineLevel="0" collapsed="false">
      <c r="A986" s="18" t="s">
        <v>273</v>
      </c>
      <c r="B986" s="18" t="s">
        <v>338</v>
      </c>
      <c r="C986" s="18" t="s">
        <v>1524</v>
      </c>
      <c r="D986" s="18" t="s">
        <v>324</v>
      </c>
      <c r="E986" s="18" t="s">
        <v>404</v>
      </c>
      <c r="F986" s="18" t="s">
        <v>401</v>
      </c>
      <c r="G986" s="18" t="n">
        <v>0.8</v>
      </c>
      <c r="H986" s="18" t="n">
        <v>2705</v>
      </c>
      <c r="I986" s="18" t="n">
        <v>113</v>
      </c>
      <c r="J986" s="18" t="n">
        <v>112</v>
      </c>
      <c r="K986" s="18" t="n">
        <v>0.0393665965787749</v>
      </c>
      <c r="L986" s="18" t="n">
        <v>0.0263060766174354</v>
      </c>
      <c r="M986" s="18" t="n">
        <v>1.49648300471698</v>
      </c>
      <c r="N986" s="18" t="n">
        <v>22.8906665663711</v>
      </c>
      <c r="O986" s="18" t="n">
        <v>0.148189680817991</v>
      </c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 t="s">
        <v>402</v>
      </c>
      <c r="AI986" s="18"/>
      <c r="AJ986" s="18" t="s">
        <v>1532</v>
      </c>
    </row>
    <row r="987" customFormat="false" ht="15" hidden="false" customHeight="false" outlineLevel="0" collapsed="false">
      <c r="A987" s="18" t="s">
        <v>273</v>
      </c>
      <c r="B987" s="18" t="s">
        <v>340</v>
      </c>
      <c r="C987" s="18" t="s">
        <v>1524</v>
      </c>
      <c r="D987" s="18" t="s">
        <v>324</v>
      </c>
      <c r="E987" s="18" t="s">
        <v>404</v>
      </c>
      <c r="F987" s="18" t="s">
        <v>401</v>
      </c>
      <c r="G987" s="18" t="n">
        <v>0.8</v>
      </c>
      <c r="H987" s="18" t="n">
        <v>2705</v>
      </c>
      <c r="I987" s="18" t="n">
        <v>113</v>
      </c>
      <c r="J987" s="18" t="n">
        <v>112</v>
      </c>
      <c r="K987" s="18" t="n">
        <v>0.0208247656532261</v>
      </c>
      <c r="L987" s="18" t="n">
        <v>0.021890148173462</v>
      </c>
      <c r="M987" s="18" t="n">
        <v>0.951330502114758</v>
      </c>
      <c r="N987" s="18" t="n">
        <v>23.2683791137427</v>
      </c>
      <c r="O987" s="18" t="n">
        <v>0.351214718865337</v>
      </c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 t="s">
        <v>402</v>
      </c>
      <c r="AI987" s="18"/>
      <c r="AJ987" s="18" t="s">
        <v>1533</v>
      </c>
    </row>
    <row r="988" customFormat="false" ht="15" hidden="false" customHeight="false" outlineLevel="0" collapsed="false">
      <c r="A988" s="18" t="s">
        <v>273</v>
      </c>
      <c r="B988" s="18" t="s">
        <v>342</v>
      </c>
      <c r="C988" s="18" t="s">
        <v>1524</v>
      </c>
      <c r="D988" s="18" t="s">
        <v>324</v>
      </c>
      <c r="E988" s="18" t="s">
        <v>404</v>
      </c>
      <c r="F988" s="18" t="s">
        <v>401</v>
      </c>
      <c r="G988" s="18" t="n">
        <v>0.8</v>
      </c>
      <c r="H988" s="18" t="n">
        <v>929</v>
      </c>
      <c r="I988" s="18" t="n">
        <v>40</v>
      </c>
      <c r="J988" s="18" t="n">
        <v>40</v>
      </c>
      <c r="K988" s="18" t="n">
        <v>-0.010893791957108</v>
      </c>
      <c r="L988" s="18" t="n">
        <v>0.0163054120073112</v>
      </c>
      <c r="M988" s="18" t="n">
        <v>-0.668108966042888</v>
      </c>
      <c r="N988" s="18" t="n">
        <v>22.1269784983743</v>
      </c>
      <c r="O988" s="18" t="n">
        <v>0.510973675052234</v>
      </c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 t="s">
        <v>402</v>
      </c>
      <c r="AI988" s="18"/>
      <c r="AJ988" s="18" t="s">
        <v>1534</v>
      </c>
    </row>
    <row r="989" customFormat="false" ht="15" hidden="false" customHeight="false" outlineLevel="0" collapsed="false">
      <c r="A989" s="18" t="s">
        <v>273</v>
      </c>
      <c r="B989" s="18" t="s">
        <v>449</v>
      </c>
      <c r="C989" s="18" t="s">
        <v>1524</v>
      </c>
      <c r="D989" s="18" t="s">
        <v>324</v>
      </c>
      <c r="E989" s="18" t="s">
        <v>404</v>
      </c>
      <c r="F989" s="18" t="s">
        <v>401</v>
      </c>
      <c r="G989" s="18" t="n">
        <v>0.8</v>
      </c>
      <c r="H989" s="18" t="n">
        <v>2692</v>
      </c>
      <c r="I989" s="18" t="n">
        <v>113</v>
      </c>
      <c r="J989" s="18" t="n">
        <v>112</v>
      </c>
      <c r="K989" s="18" t="n">
        <v>-0.0137668155011681</v>
      </c>
      <c r="L989" s="18" t="n">
        <v>0.0104008205049572</v>
      </c>
      <c r="M989" s="18" t="n">
        <v>-1.32362783249713</v>
      </c>
      <c r="N989" s="18" t="n">
        <v>41.3633787160838</v>
      </c>
      <c r="O989" s="18" t="n">
        <v>0.192896018338263</v>
      </c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 t="s">
        <v>402</v>
      </c>
      <c r="AI989" s="18"/>
      <c r="AJ989" s="18" t="s">
        <v>1535</v>
      </c>
    </row>
    <row r="990" customFormat="false" ht="15" hidden="false" customHeight="false" outlineLevel="0" collapsed="false">
      <c r="A990" s="18" t="s">
        <v>273</v>
      </c>
      <c r="B990" s="18" t="s">
        <v>451</v>
      </c>
      <c r="C990" s="18" t="s">
        <v>1524</v>
      </c>
      <c r="D990" s="18" t="s">
        <v>324</v>
      </c>
      <c r="E990" s="18" t="s">
        <v>404</v>
      </c>
      <c r="F990" s="18" t="s">
        <v>401</v>
      </c>
      <c r="G990" s="18" t="n">
        <v>0.8</v>
      </c>
      <c r="H990" s="18" t="n">
        <v>2692</v>
      </c>
      <c r="I990" s="18" t="n">
        <v>113</v>
      </c>
      <c r="J990" s="18" t="n">
        <v>112</v>
      </c>
      <c r="K990" s="18" t="n">
        <v>-0.0125929055263355</v>
      </c>
      <c r="L990" s="18" t="n">
        <v>0.0109496801204766</v>
      </c>
      <c r="M990" s="18" t="n">
        <v>-1.15007063108501</v>
      </c>
      <c r="N990" s="18" t="n">
        <v>31.2277373859354</v>
      </c>
      <c r="O990" s="18" t="n">
        <v>0.258846274645171</v>
      </c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 t="s">
        <v>402</v>
      </c>
      <c r="AI990" s="18"/>
      <c r="AJ990" s="18" t="s">
        <v>1536</v>
      </c>
    </row>
    <row r="991" customFormat="false" ht="15" hidden="false" customHeight="false" outlineLevel="0" collapsed="false">
      <c r="A991" s="18" t="s">
        <v>273</v>
      </c>
      <c r="B991" s="18" t="s">
        <v>453</v>
      </c>
      <c r="C991" s="18" t="s">
        <v>1524</v>
      </c>
      <c r="D991" s="18" t="s">
        <v>324</v>
      </c>
      <c r="E991" s="18" t="s">
        <v>404</v>
      </c>
      <c r="F991" s="18" t="s">
        <v>401</v>
      </c>
      <c r="G991" s="18" t="n">
        <v>0.8</v>
      </c>
      <c r="H991" s="18" t="n">
        <v>2692</v>
      </c>
      <c r="I991" s="18" t="n">
        <v>113</v>
      </c>
      <c r="J991" s="18" t="n">
        <v>112</v>
      </c>
      <c r="K991" s="18" t="n">
        <v>0.00147252206923219</v>
      </c>
      <c r="L991" s="18" t="n">
        <v>0.0104822439390717</v>
      </c>
      <c r="M991" s="18" t="n">
        <v>0.140477752453698</v>
      </c>
      <c r="N991" s="18" t="n">
        <v>34.154093868378</v>
      </c>
      <c r="O991" s="18" t="n">
        <v>0.889107759559079</v>
      </c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 t="s">
        <v>402</v>
      </c>
      <c r="AI991" s="18"/>
      <c r="AJ991" s="18" t="s">
        <v>1537</v>
      </c>
    </row>
    <row r="992" customFormat="false" ht="15" hidden="false" customHeight="false" outlineLevel="0" collapsed="false">
      <c r="A992" s="18" t="s">
        <v>273</v>
      </c>
      <c r="B992" s="18" t="s">
        <v>455</v>
      </c>
      <c r="C992" s="18" t="s">
        <v>1524</v>
      </c>
      <c r="D992" s="18" t="s">
        <v>324</v>
      </c>
      <c r="E992" s="18" t="s">
        <v>404</v>
      </c>
      <c r="F992" s="18" t="s">
        <v>401</v>
      </c>
      <c r="G992" s="18" t="n">
        <v>0.8</v>
      </c>
      <c r="H992" s="18" t="n">
        <v>2692</v>
      </c>
      <c r="I992" s="18" t="n">
        <v>113</v>
      </c>
      <c r="J992" s="18" t="n">
        <v>112</v>
      </c>
      <c r="K992" s="18" t="n">
        <v>-0.0128005018856124</v>
      </c>
      <c r="L992" s="18" t="n">
        <v>0.0113808054358885</v>
      </c>
      <c r="M992" s="18" t="n">
        <v>-1.12474481333694</v>
      </c>
      <c r="N992" s="18" t="n">
        <v>27.310066070385</v>
      </c>
      <c r="O992" s="18" t="n">
        <v>0.27048582907914</v>
      </c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 t="s">
        <v>402</v>
      </c>
      <c r="AI992" s="18"/>
      <c r="AJ992" s="18" t="s">
        <v>1538</v>
      </c>
    </row>
    <row r="993" customFormat="false" ht="15" hidden="false" customHeight="false" outlineLevel="0" collapsed="false">
      <c r="A993" s="18" t="s">
        <v>273</v>
      </c>
      <c r="B993" s="18" t="s">
        <v>457</v>
      </c>
      <c r="C993" s="18" t="s">
        <v>1524</v>
      </c>
      <c r="D993" s="18" t="s">
        <v>324</v>
      </c>
      <c r="E993" s="18" t="s">
        <v>404</v>
      </c>
      <c r="F993" s="18" t="s">
        <v>401</v>
      </c>
      <c r="G993" s="18" t="n">
        <v>0.8</v>
      </c>
      <c r="H993" s="18" t="n">
        <v>2692</v>
      </c>
      <c r="I993" s="18" t="n">
        <v>113</v>
      </c>
      <c r="J993" s="18" t="n">
        <v>112</v>
      </c>
      <c r="K993" s="18" t="n">
        <v>-0.0129778332407433</v>
      </c>
      <c r="L993" s="18" t="n">
        <v>0.0148298092763279</v>
      </c>
      <c r="M993" s="18" t="n">
        <v>-0.875118013922079</v>
      </c>
      <c r="N993" s="18" t="n">
        <v>17.4742516301929</v>
      </c>
      <c r="O993" s="18" t="n">
        <v>0.393379649095489</v>
      </c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 t="s">
        <v>402</v>
      </c>
      <c r="AI993" s="18"/>
      <c r="AJ993" s="18" t="s">
        <v>1539</v>
      </c>
    </row>
    <row r="994" customFormat="false" ht="15" hidden="false" customHeight="false" outlineLevel="0" collapsed="false">
      <c r="A994" s="18" t="s">
        <v>273</v>
      </c>
      <c r="B994" s="18" t="s">
        <v>459</v>
      </c>
      <c r="C994" s="18" t="s">
        <v>1524</v>
      </c>
      <c r="D994" s="18" t="s">
        <v>324</v>
      </c>
      <c r="E994" s="18" t="s">
        <v>404</v>
      </c>
      <c r="F994" s="18" t="s">
        <v>401</v>
      </c>
      <c r="G994" s="18" t="n">
        <v>0.8</v>
      </c>
      <c r="H994" s="18" t="n">
        <v>2692</v>
      </c>
      <c r="I994" s="18" t="n">
        <v>113</v>
      </c>
      <c r="J994" s="18" t="n">
        <v>112</v>
      </c>
      <c r="K994" s="18" t="n">
        <v>-0.0137109251622447</v>
      </c>
      <c r="L994" s="18" t="n">
        <v>0.0160813719447571</v>
      </c>
      <c r="M994" s="18" t="n">
        <v>-0.852596731755512</v>
      </c>
      <c r="N994" s="18" t="n">
        <v>14.3671605534555</v>
      </c>
      <c r="O994" s="18" t="n">
        <v>0.407871913049001</v>
      </c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 t="s">
        <v>402</v>
      </c>
      <c r="AI994" s="18"/>
      <c r="AJ994" s="18" t="s">
        <v>1540</v>
      </c>
    </row>
    <row r="995" customFormat="false" ht="15" hidden="false" customHeight="false" outlineLevel="0" collapsed="false">
      <c r="A995" s="18" t="s">
        <v>273</v>
      </c>
      <c r="B995" s="18" t="s">
        <v>461</v>
      </c>
      <c r="C995" s="18" t="s">
        <v>1524</v>
      </c>
      <c r="D995" s="18" t="s">
        <v>324</v>
      </c>
      <c r="E995" s="18" t="s">
        <v>404</v>
      </c>
      <c r="F995" s="18" t="s">
        <v>401</v>
      </c>
      <c r="G995" s="18" t="n">
        <v>0.8</v>
      </c>
      <c r="H995" s="18" t="n">
        <v>2692</v>
      </c>
      <c r="I995" s="18" t="n">
        <v>113</v>
      </c>
      <c r="J995" s="18" t="n">
        <v>112</v>
      </c>
      <c r="K995" s="18" t="n">
        <v>0.00225694102807086</v>
      </c>
      <c r="L995" s="18" t="n">
        <v>0.00901203240947445</v>
      </c>
      <c r="M995" s="18" t="n">
        <v>0.250436408295438</v>
      </c>
      <c r="N995" s="18" t="n">
        <v>47.1872892204856</v>
      </c>
      <c r="O995" s="18" t="n">
        <v>0.80333709220547</v>
      </c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 t="s">
        <v>402</v>
      </c>
      <c r="AI995" s="18"/>
      <c r="AJ995" s="18" t="s">
        <v>1541</v>
      </c>
    </row>
    <row r="996" customFormat="false" ht="15" hidden="false" customHeight="false" outlineLevel="0" collapsed="false">
      <c r="A996" s="18" t="s">
        <v>273</v>
      </c>
      <c r="B996" s="18" t="s">
        <v>463</v>
      </c>
      <c r="C996" s="18" t="s">
        <v>1524</v>
      </c>
      <c r="D996" s="18" t="s">
        <v>324</v>
      </c>
      <c r="E996" s="18" t="s">
        <v>404</v>
      </c>
      <c r="F996" s="18" t="s">
        <v>401</v>
      </c>
      <c r="G996" s="18" t="n">
        <v>0.8</v>
      </c>
      <c r="H996" s="18" t="n">
        <v>2692</v>
      </c>
      <c r="I996" s="18" t="n">
        <v>113</v>
      </c>
      <c r="J996" s="18" t="n">
        <v>112</v>
      </c>
      <c r="K996" s="18" t="n">
        <v>0.0102569625806909</v>
      </c>
      <c r="L996" s="18" t="n">
        <v>0.00875557179943273</v>
      </c>
      <c r="M996" s="18" t="n">
        <v>1.17147832439172</v>
      </c>
      <c r="N996" s="18" t="n">
        <v>63.4014447467791</v>
      </c>
      <c r="O996" s="18" t="n">
        <v>0.245790309676886</v>
      </c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 t="s">
        <v>402</v>
      </c>
      <c r="AI996" s="18"/>
      <c r="AJ996" s="18" t="s">
        <v>1542</v>
      </c>
    </row>
    <row r="997" customFormat="false" ht="15" hidden="false" customHeight="false" outlineLevel="0" collapsed="false">
      <c r="A997" s="18" t="s">
        <v>273</v>
      </c>
      <c r="B997" s="18" t="s">
        <v>465</v>
      </c>
      <c r="C997" s="18" t="s">
        <v>1524</v>
      </c>
      <c r="D997" s="18" t="s">
        <v>324</v>
      </c>
      <c r="E997" s="18" t="s">
        <v>404</v>
      </c>
      <c r="F997" s="18" t="s">
        <v>401</v>
      </c>
      <c r="G997" s="18" t="n">
        <v>0.8</v>
      </c>
      <c r="H997" s="18" t="n">
        <v>2692</v>
      </c>
      <c r="I997" s="18" t="n">
        <v>113</v>
      </c>
      <c r="J997" s="18" t="n">
        <v>112</v>
      </c>
      <c r="K997" s="18" t="n">
        <v>-0.00113020645469798</v>
      </c>
      <c r="L997" s="18" t="n">
        <v>0.00899165630161141</v>
      </c>
      <c r="M997" s="18" t="n">
        <v>-0.125695024007471</v>
      </c>
      <c r="N997" s="18" t="n">
        <v>73.0020836238501</v>
      </c>
      <c r="O997" s="18" t="n">
        <v>0.900318862377384</v>
      </c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 t="s">
        <v>402</v>
      </c>
      <c r="AI997" s="18"/>
      <c r="AJ997" s="18" t="s">
        <v>1543</v>
      </c>
    </row>
    <row r="998" customFormat="false" ht="15" hidden="false" customHeight="false" outlineLevel="0" collapsed="false">
      <c r="A998" s="18" t="s">
        <v>273</v>
      </c>
      <c r="B998" s="18" t="s">
        <v>467</v>
      </c>
      <c r="C998" s="18" t="s">
        <v>1524</v>
      </c>
      <c r="D998" s="18" t="s">
        <v>324</v>
      </c>
      <c r="E998" s="18" t="s">
        <v>404</v>
      </c>
      <c r="F998" s="18" t="s">
        <v>401</v>
      </c>
      <c r="G998" s="18" t="n">
        <v>0.8</v>
      </c>
      <c r="H998" s="18" t="n">
        <v>924</v>
      </c>
      <c r="I998" s="18" t="n">
        <v>40</v>
      </c>
      <c r="J998" s="18" t="n">
        <v>40</v>
      </c>
      <c r="K998" s="18" t="n">
        <v>-0.0198000368537193</v>
      </c>
      <c r="L998" s="18" t="n">
        <v>0.0191654089759656</v>
      </c>
      <c r="M998" s="18" t="n">
        <v>-1.03311319255172</v>
      </c>
      <c r="N998" s="18" t="n">
        <v>23.5663982010699</v>
      </c>
      <c r="O998" s="18" t="n">
        <v>0.312037159718875</v>
      </c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 t="s">
        <v>402</v>
      </c>
      <c r="AI998" s="18"/>
      <c r="AJ998" s="18" t="s">
        <v>1544</v>
      </c>
    </row>
    <row r="999" customFormat="false" ht="15" hidden="false" customHeight="false" outlineLevel="0" collapsed="false">
      <c r="A999" s="18" t="s">
        <v>273</v>
      </c>
      <c r="B999" s="18" t="s">
        <v>469</v>
      </c>
      <c r="C999" s="18" t="s">
        <v>1524</v>
      </c>
      <c r="D999" s="18" t="s">
        <v>324</v>
      </c>
      <c r="E999" s="18" t="s">
        <v>404</v>
      </c>
      <c r="F999" s="18" t="s">
        <v>401</v>
      </c>
      <c r="G999" s="18" t="n">
        <v>0.8</v>
      </c>
      <c r="H999" s="18" t="n">
        <v>2705</v>
      </c>
      <c r="I999" s="18" t="n">
        <v>113</v>
      </c>
      <c r="J999" s="18" t="n">
        <v>112</v>
      </c>
      <c r="K999" s="18" t="n">
        <v>-0.0102732656683051</v>
      </c>
      <c r="L999" s="18" t="n">
        <v>0.0108773928137621</v>
      </c>
      <c r="M999" s="18" t="n">
        <v>-0.944460298915319</v>
      </c>
      <c r="N999" s="18" t="n">
        <v>37.7093040788657</v>
      </c>
      <c r="O999" s="18" t="n">
        <v>0.350946935986959</v>
      </c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 t="s">
        <v>402</v>
      </c>
      <c r="AI999" s="18"/>
      <c r="AJ999" s="18" t="s">
        <v>1545</v>
      </c>
    </row>
    <row r="1000" customFormat="false" ht="15" hidden="false" customHeight="false" outlineLevel="0" collapsed="false">
      <c r="A1000" s="18" t="s">
        <v>273</v>
      </c>
      <c r="B1000" s="18" t="s">
        <v>471</v>
      </c>
      <c r="C1000" s="18" t="s">
        <v>1524</v>
      </c>
      <c r="D1000" s="18" t="s">
        <v>324</v>
      </c>
      <c r="E1000" s="18" t="s">
        <v>404</v>
      </c>
      <c r="F1000" s="18" t="s">
        <v>401</v>
      </c>
      <c r="G1000" s="18" t="n">
        <v>0.8</v>
      </c>
      <c r="H1000" s="18" t="n">
        <v>2705</v>
      </c>
      <c r="I1000" s="18" t="n">
        <v>113</v>
      </c>
      <c r="J1000" s="18" t="n">
        <v>112</v>
      </c>
      <c r="K1000" s="18" t="n">
        <v>-0.00815890003534984</v>
      </c>
      <c r="L1000" s="18" t="n">
        <v>0.0112047808252175</v>
      </c>
      <c r="M1000" s="18" t="n">
        <v>-0.728162394483205</v>
      </c>
      <c r="N1000" s="18" t="n">
        <v>28.7013795260528</v>
      </c>
      <c r="O1000" s="18" t="n">
        <v>0.472413612227434</v>
      </c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 t="s">
        <v>402</v>
      </c>
      <c r="AI1000" s="18"/>
      <c r="AJ1000" s="18" t="s">
        <v>1546</v>
      </c>
    </row>
    <row r="1001" customFormat="false" ht="15" hidden="false" customHeight="false" outlineLevel="0" collapsed="false">
      <c r="A1001" s="18" t="s">
        <v>273</v>
      </c>
      <c r="B1001" s="18" t="s">
        <v>473</v>
      </c>
      <c r="C1001" s="18" t="s">
        <v>1524</v>
      </c>
      <c r="D1001" s="18" t="s">
        <v>324</v>
      </c>
      <c r="E1001" s="18" t="s">
        <v>404</v>
      </c>
      <c r="F1001" s="18" t="s">
        <v>401</v>
      </c>
      <c r="G1001" s="18" t="n">
        <v>0.8</v>
      </c>
      <c r="H1001" s="18" t="n">
        <v>2705</v>
      </c>
      <c r="I1001" s="18" t="n">
        <v>113</v>
      </c>
      <c r="J1001" s="18" t="n">
        <v>112</v>
      </c>
      <c r="K1001" s="18" t="n">
        <v>0.00232111856870808</v>
      </c>
      <c r="L1001" s="18" t="n">
        <v>0.0104474567162745</v>
      </c>
      <c r="M1001" s="18" t="n">
        <v>0.222170680553513</v>
      </c>
      <c r="N1001" s="18" t="n">
        <v>35.1672152893627</v>
      </c>
      <c r="O1001" s="18" t="n">
        <v>0.82546624241789</v>
      </c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  <c r="AF1001" s="18"/>
      <c r="AG1001" s="18"/>
      <c r="AH1001" s="18" t="s">
        <v>402</v>
      </c>
      <c r="AI1001" s="18"/>
      <c r="AJ1001" s="18" t="s">
        <v>1547</v>
      </c>
    </row>
    <row r="1002" customFormat="false" ht="15" hidden="false" customHeight="false" outlineLevel="0" collapsed="false">
      <c r="A1002" s="18" t="s">
        <v>273</v>
      </c>
      <c r="B1002" s="18" t="s">
        <v>475</v>
      </c>
      <c r="C1002" s="18" t="s">
        <v>1524</v>
      </c>
      <c r="D1002" s="18" t="s">
        <v>324</v>
      </c>
      <c r="E1002" s="18" t="s">
        <v>404</v>
      </c>
      <c r="F1002" s="18" t="s">
        <v>401</v>
      </c>
      <c r="G1002" s="18" t="n">
        <v>0.8</v>
      </c>
      <c r="H1002" s="18" t="n">
        <v>2705</v>
      </c>
      <c r="I1002" s="18" t="n">
        <v>113</v>
      </c>
      <c r="J1002" s="18" t="n">
        <v>112</v>
      </c>
      <c r="K1002" s="18" t="n">
        <v>-0.00857975056232924</v>
      </c>
      <c r="L1002" s="18" t="n">
        <v>0.0116737199214029</v>
      </c>
      <c r="M1002" s="18" t="n">
        <v>-0.73496285846287</v>
      </c>
      <c r="N1002" s="18" t="n">
        <v>25.0458159637851</v>
      </c>
      <c r="O1002" s="18" t="n">
        <v>0.469188574262399</v>
      </c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  <c r="AA1002" s="18"/>
      <c r="AB1002" s="18"/>
      <c r="AC1002" s="18"/>
      <c r="AD1002" s="18"/>
      <c r="AE1002" s="18"/>
      <c r="AF1002" s="18"/>
      <c r="AG1002" s="18"/>
      <c r="AH1002" s="18" t="s">
        <v>402</v>
      </c>
      <c r="AI1002" s="18"/>
      <c r="AJ1002" s="18" t="s">
        <v>1548</v>
      </c>
    </row>
    <row r="1003" customFormat="false" ht="15" hidden="false" customHeight="false" outlineLevel="0" collapsed="false">
      <c r="A1003" s="18" t="s">
        <v>273</v>
      </c>
      <c r="B1003" s="18" t="s">
        <v>477</v>
      </c>
      <c r="C1003" s="18" t="s">
        <v>1524</v>
      </c>
      <c r="D1003" s="18" t="s">
        <v>324</v>
      </c>
      <c r="E1003" s="18" t="s">
        <v>404</v>
      </c>
      <c r="F1003" s="18" t="s">
        <v>401</v>
      </c>
      <c r="G1003" s="18" t="n">
        <v>0.8</v>
      </c>
      <c r="H1003" s="18" t="n">
        <v>2705</v>
      </c>
      <c r="I1003" s="18" t="n">
        <v>113</v>
      </c>
      <c r="J1003" s="18" t="n">
        <v>112</v>
      </c>
      <c r="K1003" s="18" t="n">
        <v>-0.00948562271869474</v>
      </c>
      <c r="L1003" s="18" t="n">
        <v>0.0150897286073778</v>
      </c>
      <c r="M1003" s="18" t="n">
        <v>-0.628614534131314</v>
      </c>
      <c r="N1003" s="18" t="n">
        <v>17.6687798364903</v>
      </c>
      <c r="O1003" s="18" t="n">
        <v>0.537643791817811</v>
      </c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  <c r="AF1003" s="18"/>
      <c r="AG1003" s="18"/>
      <c r="AH1003" s="18" t="s">
        <v>402</v>
      </c>
      <c r="AI1003" s="18"/>
      <c r="AJ1003" s="18" t="s">
        <v>1549</v>
      </c>
    </row>
    <row r="1004" customFormat="false" ht="15" hidden="false" customHeight="false" outlineLevel="0" collapsed="false">
      <c r="A1004" s="18" t="s">
        <v>273</v>
      </c>
      <c r="B1004" s="18" t="s">
        <v>479</v>
      </c>
      <c r="C1004" s="18" t="s">
        <v>1524</v>
      </c>
      <c r="D1004" s="18" t="s">
        <v>324</v>
      </c>
      <c r="E1004" s="18" t="s">
        <v>404</v>
      </c>
      <c r="F1004" s="18" t="s">
        <v>401</v>
      </c>
      <c r="G1004" s="18" t="n">
        <v>0.8</v>
      </c>
      <c r="H1004" s="18" t="n">
        <v>2705</v>
      </c>
      <c r="I1004" s="18" t="n">
        <v>113</v>
      </c>
      <c r="J1004" s="18" t="n">
        <v>112</v>
      </c>
      <c r="K1004" s="18" t="n">
        <v>-0.00999676466653028</v>
      </c>
      <c r="L1004" s="18" t="n">
        <v>0.0164068797995515</v>
      </c>
      <c r="M1004" s="18" t="n">
        <v>-0.609303218446418</v>
      </c>
      <c r="N1004" s="18" t="n">
        <v>14.5261844813014</v>
      </c>
      <c r="O1004" s="18" t="n">
        <v>0.551734920225895</v>
      </c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  <c r="AB1004" s="18"/>
      <c r="AC1004" s="18"/>
      <c r="AD1004" s="18"/>
      <c r="AE1004" s="18"/>
      <c r="AF1004" s="18"/>
      <c r="AG1004" s="18"/>
      <c r="AH1004" s="18" t="s">
        <v>402</v>
      </c>
      <c r="AI1004" s="18"/>
      <c r="AJ1004" s="18" t="s">
        <v>1550</v>
      </c>
    </row>
    <row r="1005" customFormat="false" ht="15" hidden="false" customHeight="false" outlineLevel="0" collapsed="false">
      <c r="A1005" s="18" t="s">
        <v>273</v>
      </c>
      <c r="B1005" s="18" t="s">
        <v>481</v>
      </c>
      <c r="C1005" s="18" t="s">
        <v>1524</v>
      </c>
      <c r="D1005" s="18" t="s">
        <v>324</v>
      </c>
      <c r="E1005" s="18" t="s">
        <v>404</v>
      </c>
      <c r="F1005" s="18" t="s">
        <v>401</v>
      </c>
      <c r="G1005" s="18" t="n">
        <v>0.8</v>
      </c>
      <c r="H1005" s="18" t="n">
        <v>2705</v>
      </c>
      <c r="I1005" s="18" t="n">
        <v>113</v>
      </c>
      <c r="J1005" s="18" t="n">
        <v>112</v>
      </c>
      <c r="K1005" s="18" t="n">
        <v>0.00496959530659639</v>
      </c>
      <c r="L1005" s="18" t="n">
        <v>0.00932360366806377</v>
      </c>
      <c r="M1005" s="18" t="n">
        <v>0.533012286184878</v>
      </c>
      <c r="N1005" s="18" t="n">
        <v>42.8113859213216</v>
      </c>
      <c r="O1005" s="18" t="n">
        <v>0.596781303882009</v>
      </c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  <c r="AF1005" s="18"/>
      <c r="AG1005" s="18"/>
      <c r="AH1005" s="18" t="s">
        <v>402</v>
      </c>
      <c r="AI1005" s="18"/>
      <c r="AJ1005" s="18" t="s">
        <v>1551</v>
      </c>
    </row>
    <row r="1006" customFormat="false" ht="15" hidden="false" customHeight="false" outlineLevel="0" collapsed="false">
      <c r="A1006" s="18" t="s">
        <v>273</v>
      </c>
      <c r="B1006" s="18" t="s">
        <v>483</v>
      </c>
      <c r="C1006" s="18" t="s">
        <v>1524</v>
      </c>
      <c r="D1006" s="18" t="s">
        <v>324</v>
      </c>
      <c r="E1006" s="18" t="s">
        <v>404</v>
      </c>
      <c r="F1006" s="18" t="s">
        <v>401</v>
      </c>
      <c r="G1006" s="18" t="n">
        <v>0.8</v>
      </c>
      <c r="H1006" s="18" t="n">
        <v>2705</v>
      </c>
      <c r="I1006" s="18" t="n">
        <v>113</v>
      </c>
      <c r="J1006" s="18" t="n">
        <v>112</v>
      </c>
      <c r="K1006" s="18" t="n">
        <v>0.016357233965518</v>
      </c>
      <c r="L1006" s="18" t="n">
        <v>0.00914899471942388</v>
      </c>
      <c r="M1006" s="18" t="n">
        <v>1.78787227090541</v>
      </c>
      <c r="N1006" s="18" t="n">
        <v>57.5078324992435</v>
      </c>
      <c r="O1006" s="18" t="n">
        <v>0.0790655915754802</v>
      </c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  <c r="AA1006" s="18"/>
      <c r="AB1006" s="18"/>
      <c r="AC1006" s="18"/>
      <c r="AD1006" s="18"/>
      <c r="AE1006" s="18"/>
      <c r="AF1006" s="18"/>
      <c r="AG1006" s="18"/>
      <c r="AH1006" s="18" t="s">
        <v>402</v>
      </c>
      <c r="AI1006" s="18"/>
      <c r="AJ1006" s="18" t="s">
        <v>1552</v>
      </c>
    </row>
    <row r="1007" customFormat="false" ht="15" hidden="false" customHeight="false" outlineLevel="0" collapsed="false">
      <c r="A1007" s="18" t="s">
        <v>273</v>
      </c>
      <c r="B1007" s="18" t="s">
        <v>485</v>
      </c>
      <c r="C1007" s="18" t="s">
        <v>1524</v>
      </c>
      <c r="D1007" s="18" t="s">
        <v>324</v>
      </c>
      <c r="E1007" s="18" t="s">
        <v>404</v>
      </c>
      <c r="F1007" s="18" t="s">
        <v>401</v>
      </c>
      <c r="G1007" s="18" t="n">
        <v>0.8</v>
      </c>
      <c r="H1007" s="18" t="n">
        <v>2705</v>
      </c>
      <c r="I1007" s="18" t="n">
        <v>113</v>
      </c>
      <c r="J1007" s="18" t="n">
        <v>112</v>
      </c>
      <c r="K1007" s="18" t="n">
        <v>0.00421039780302163</v>
      </c>
      <c r="L1007" s="18" t="n">
        <v>0.00910925833139159</v>
      </c>
      <c r="M1007" s="18" t="n">
        <v>0.462210824399622</v>
      </c>
      <c r="N1007" s="18" t="n">
        <v>64.7016434688685</v>
      </c>
      <c r="O1007" s="18" t="n">
        <v>0.645480685855257</v>
      </c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  <c r="AA1007" s="18"/>
      <c r="AB1007" s="18"/>
      <c r="AC1007" s="18"/>
      <c r="AD1007" s="18"/>
      <c r="AE1007" s="18"/>
      <c r="AF1007" s="18"/>
      <c r="AG1007" s="18"/>
      <c r="AH1007" s="18" t="s">
        <v>402</v>
      </c>
      <c r="AI1007" s="18"/>
      <c r="AJ1007" s="18" t="s">
        <v>1553</v>
      </c>
    </row>
    <row r="1008" customFormat="false" ht="15" hidden="false" customHeight="false" outlineLevel="0" collapsed="false">
      <c r="A1008" s="18" t="s">
        <v>273</v>
      </c>
      <c r="B1008" s="18" t="s">
        <v>487</v>
      </c>
      <c r="C1008" s="18" t="s">
        <v>1524</v>
      </c>
      <c r="D1008" s="18" t="s">
        <v>324</v>
      </c>
      <c r="E1008" s="18" t="s">
        <v>404</v>
      </c>
      <c r="F1008" s="18" t="s">
        <v>401</v>
      </c>
      <c r="G1008" s="18" t="n">
        <v>0.8</v>
      </c>
      <c r="H1008" s="18" t="n">
        <v>929</v>
      </c>
      <c r="I1008" s="18" t="n">
        <v>40</v>
      </c>
      <c r="J1008" s="18" t="n">
        <v>40</v>
      </c>
      <c r="K1008" s="18" t="n">
        <v>-0.0152428883148292</v>
      </c>
      <c r="L1008" s="18" t="n">
        <v>0.0186096061320486</v>
      </c>
      <c r="M1008" s="18" t="n">
        <v>-0.819087099784377</v>
      </c>
      <c r="N1008" s="18" t="n">
        <v>23.4193321003939</v>
      </c>
      <c r="O1008" s="18" t="n">
        <v>0.420994204561776</v>
      </c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  <c r="AA1008" s="18"/>
      <c r="AB1008" s="18"/>
      <c r="AC1008" s="18"/>
      <c r="AD1008" s="18"/>
      <c r="AE1008" s="18"/>
      <c r="AF1008" s="18"/>
      <c r="AG1008" s="18"/>
      <c r="AH1008" s="18" t="s">
        <v>402</v>
      </c>
      <c r="AI1008" s="18"/>
      <c r="AJ1008" s="18" t="s">
        <v>1554</v>
      </c>
    </row>
    <row r="1009" customFormat="false" ht="15" hidden="false" customHeight="false" outlineLevel="0" collapsed="false">
      <c r="A1009" s="18" t="s">
        <v>273</v>
      </c>
      <c r="B1009" s="18" t="s">
        <v>489</v>
      </c>
      <c r="C1009" s="18" t="s">
        <v>1524</v>
      </c>
      <c r="D1009" s="18" t="s">
        <v>324</v>
      </c>
      <c r="E1009" s="18" t="s">
        <v>404</v>
      </c>
      <c r="F1009" s="18" t="s">
        <v>401</v>
      </c>
      <c r="G1009" s="18" t="n">
        <v>0.8</v>
      </c>
      <c r="H1009" s="18" t="n">
        <v>2607</v>
      </c>
      <c r="I1009" s="18" t="n">
        <v>110</v>
      </c>
      <c r="J1009" s="18" t="n">
        <v>109</v>
      </c>
      <c r="K1009" s="18" t="n">
        <v>0.00595071583001976</v>
      </c>
      <c r="L1009" s="18" t="n">
        <v>0.0191740916900992</v>
      </c>
      <c r="M1009" s="18" t="n">
        <v>0.310351902254253</v>
      </c>
      <c r="N1009" s="18" t="n">
        <v>14.8291619813423</v>
      </c>
      <c r="O1009" s="18" t="n">
        <v>0.760612487956201</v>
      </c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  <c r="AA1009" s="18"/>
      <c r="AB1009" s="18"/>
      <c r="AC1009" s="18"/>
      <c r="AD1009" s="18"/>
      <c r="AE1009" s="18"/>
      <c r="AF1009" s="18"/>
      <c r="AG1009" s="18"/>
      <c r="AH1009" s="18" t="s">
        <v>402</v>
      </c>
      <c r="AI1009" s="18"/>
      <c r="AJ1009" s="18" t="s">
        <v>1555</v>
      </c>
    </row>
    <row r="1010" customFormat="false" ht="15" hidden="false" customHeight="false" outlineLevel="0" collapsed="false">
      <c r="A1010" s="18" t="s">
        <v>273</v>
      </c>
      <c r="B1010" s="18" t="s">
        <v>491</v>
      </c>
      <c r="C1010" s="18" t="s">
        <v>1524</v>
      </c>
      <c r="D1010" s="18" t="s">
        <v>324</v>
      </c>
      <c r="E1010" s="18" t="s">
        <v>404</v>
      </c>
      <c r="F1010" s="18" t="s">
        <v>401</v>
      </c>
      <c r="G1010" s="18" t="n">
        <v>0.8</v>
      </c>
      <c r="H1010" s="18" t="n">
        <v>2607</v>
      </c>
      <c r="I1010" s="18" t="n">
        <v>110</v>
      </c>
      <c r="J1010" s="18" t="n">
        <v>109</v>
      </c>
      <c r="K1010" s="18" t="n">
        <v>0.0055953266624008</v>
      </c>
      <c r="L1010" s="18" t="n">
        <v>0.0188486514955733</v>
      </c>
      <c r="M1010" s="18" t="n">
        <v>0.296855542356167</v>
      </c>
      <c r="N1010" s="18" t="n">
        <v>12.1468609715789</v>
      </c>
      <c r="O1010" s="18" t="n">
        <v>0.771591844940931</v>
      </c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  <c r="AA1010" s="18"/>
      <c r="AB1010" s="18"/>
      <c r="AC1010" s="18"/>
      <c r="AD1010" s="18"/>
      <c r="AE1010" s="18"/>
      <c r="AF1010" s="18"/>
      <c r="AG1010" s="18"/>
      <c r="AH1010" s="18" t="s">
        <v>402</v>
      </c>
      <c r="AI1010" s="18"/>
      <c r="AJ1010" s="18" t="s">
        <v>1556</v>
      </c>
    </row>
    <row r="1011" customFormat="false" ht="15" hidden="false" customHeight="false" outlineLevel="0" collapsed="false">
      <c r="A1011" s="18" t="s">
        <v>273</v>
      </c>
      <c r="B1011" s="18" t="s">
        <v>493</v>
      </c>
      <c r="C1011" s="18" t="s">
        <v>1524</v>
      </c>
      <c r="D1011" s="18" t="s">
        <v>324</v>
      </c>
      <c r="E1011" s="18" t="s">
        <v>404</v>
      </c>
      <c r="F1011" s="18" t="s">
        <v>401</v>
      </c>
      <c r="G1011" s="18" t="n">
        <v>0.8</v>
      </c>
      <c r="H1011" s="18" t="n">
        <v>2607</v>
      </c>
      <c r="I1011" s="18" t="n">
        <v>110</v>
      </c>
      <c r="J1011" s="18" t="n">
        <v>109</v>
      </c>
      <c r="K1011" s="18" t="n">
        <v>-0.0183046261092019</v>
      </c>
      <c r="L1011" s="18" t="n">
        <v>0.0218759735832888</v>
      </c>
      <c r="M1011" s="18" t="n">
        <v>-0.836745667090442</v>
      </c>
      <c r="N1011" s="18" t="n">
        <v>37.2700937453668</v>
      </c>
      <c r="O1011" s="18" t="n">
        <v>0.408068794564132</v>
      </c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  <c r="AA1011" s="18"/>
      <c r="AB1011" s="18"/>
      <c r="AC1011" s="18"/>
      <c r="AD1011" s="18"/>
      <c r="AE1011" s="18"/>
      <c r="AF1011" s="18"/>
      <c r="AG1011" s="18"/>
      <c r="AH1011" s="18" t="s">
        <v>402</v>
      </c>
      <c r="AI1011" s="18"/>
      <c r="AJ1011" s="18" t="s">
        <v>1557</v>
      </c>
    </row>
    <row r="1012" customFormat="false" ht="15" hidden="false" customHeight="false" outlineLevel="0" collapsed="false">
      <c r="A1012" s="18" t="s">
        <v>273</v>
      </c>
      <c r="B1012" s="18" t="s">
        <v>495</v>
      </c>
      <c r="C1012" s="18" t="s">
        <v>1524</v>
      </c>
      <c r="D1012" s="18" t="s">
        <v>324</v>
      </c>
      <c r="E1012" s="18" t="s">
        <v>404</v>
      </c>
      <c r="F1012" s="18" t="s">
        <v>401</v>
      </c>
      <c r="G1012" s="18" t="n">
        <v>0.8</v>
      </c>
      <c r="H1012" s="18" t="n">
        <v>2607</v>
      </c>
      <c r="I1012" s="18" t="n">
        <v>110</v>
      </c>
      <c r="J1012" s="18" t="n">
        <v>109</v>
      </c>
      <c r="K1012" s="18" t="n">
        <v>0.00379752456970205</v>
      </c>
      <c r="L1012" s="18" t="n">
        <v>0.0191717406559698</v>
      </c>
      <c r="M1012" s="18" t="n">
        <v>0.198079279176956</v>
      </c>
      <c r="N1012" s="18" t="n">
        <v>10.752425811222</v>
      </c>
      <c r="O1012" s="18" t="n">
        <v>0.846678141067828</v>
      </c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  <c r="AA1012" s="18"/>
      <c r="AB1012" s="18"/>
      <c r="AC1012" s="18"/>
      <c r="AD1012" s="18"/>
      <c r="AE1012" s="18"/>
      <c r="AF1012" s="18"/>
      <c r="AG1012" s="18"/>
      <c r="AH1012" s="18" t="s">
        <v>402</v>
      </c>
      <c r="AI1012" s="18"/>
      <c r="AJ1012" s="18" t="s">
        <v>1558</v>
      </c>
    </row>
    <row r="1013" customFormat="false" ht="15" hidden="false" customHeight="false" outlineLevel="0" collapsed="false">
      <c r="A1013" s="18" t="s">
        <v>273</v>
      </c>
      <c r="B1013" s="18" t="s">
        <v>497</v>
      </c>
      <c r="C1013" s="18" t="s">
        <v>1524</v>
      </c>
      <c r="D1013" s="18" t="s">
        <v>324</v>
      </c>
      <c r="E1013" s="18" t="s">
        <v>404</v>
      </c>
      <c r="F1013" s="18" t="s">
        <v>401</v>
      </c>
      <c r="G1013" s="18" t="n">
        <v>0.8</v>
      </c>
      <c r="H1013" s="18" t="n">
        <v>2607</v>
      </c>
      <c r="I1013" s="18" t="n">
        <v>110</v>
      </c>
      <c r="J1013" s="18" t="n">
        <v>109</v>
      </c>
      <c r="K1013" s="18" t="n">
        <v>-0.0027229260763571</v>
      </c>
      <c r="L1013" s="18" t="n">
        <v>0.0229212176194545</v>
      </c>
      <c r="M1013" s="18" t="n">
        <v>-0.118795001276285</v>
      </c>
      <c r="N1013" s="18" t="n">
        <v>18.9287640050132</v>
      </c>
      <c r="O1013" s="18" t="n">
        <v>0.906689430071682</v>
      </c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  <c r="AA1013" s="18"/>
      <c r="AB1013" s="18"/>
      <c r="AC1013" s="18"/>
      <c r="AD1013" s="18"/>
      <c r="AE1013" s="18"/>
      <c r="AF1013" s="18"/>
      <c r="AG1013" s="18"/>
      <c r="AH1013" s="18" t="s">
        <v>402</v>
      </c>
      <c r="AI1013" s="18"/>
      <c r="AJ1013" s="18" t="s">
        <v>1559</v>
      </c>
    </row>
    <row r="1014" customFormat="false" ht="15" hidden="false" customHeight="false" outlineLevel="0" collapsed="false">
      <c r="A1014" s="18" t="s">
        <v>273</v>
      </c>
      <c r="B1014" s="18" t="s">
        <v>499</v>
      </c>
      <c r="C1014" s="18" t="s">
        <v>1524</v>
      </c>
      <c r="D1014" s="18" t="s">
        <v>324</v>
      </c>
      <c r="E1014" s="18" t="s">
        <v>404</v>
      </c>
      <c r="F1014" s="18" t="s">
        <v>401</v>
      </c>
      <c r="G1014" s="18" t="n">
        <v>0.8</v>
      </c>
      <c r="H1014" s="18" t="n">
        <v>2607</v>
      </c>
      <c r="I1014" s="18" t="n">
        <v>110</v>
      </c>
      <c r="J1014" s="18" t="n">
        <v>109</v>
      </c>
      <c r="K1014" s="18" t="n">
        <v>-0.00245541687845757</v>
      </c>
      <c r="L1014" s="18" t="n">
        <v>0.0234992332761589</v>
      </c>
      <c r="M1014" s="18" t="n">
        <v>-0.104489233738052</v>
      </c>
      <c r="N1014" s="18" t="n">
        <v>15.5496328273712</v>
      </c>
      <c r="O1014" s="18" t="n">
        <v>0.918117001418402</v>
      </c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  <c r="Z1014" s="18"/>
      <c r="AA1014" s="18"/>
      <c r="AB1014" s="18"/>
      <c r="AC1014" s="18"/>
      <c r="AD1014" s="18"/>
      <c r="AE1014" s="18"/>
      <c r="AF1014" s="18"/>
      <c r="AG1014" s="18"/>
      <c r="AH1014" s="18" t="s">
        <v>402</v>
      </c>
      <c r="AI1014" s="18"/>
      <c r="AJ1014" s="18" t="s">
        <v>1560</v>
      </c>
    </row>
    <row r="1015" customFormat="false" ht="15" hidden="false" customHeight="false" outlineLevel="0" collapsed="false">
      <c r="A1015" s="18" t="s">
        <v>273</v>
      </c>
      <c r="B1015" s="18" t="s">
        <v>501</v>
      </c>
      <c r="C1015" s="18" t="s">
        <v>1524</v>
      </c>
      <c r="D1015" s="18" t="s">
        <v>324</v>
      </c>
      <c r="E1015" s="18" t="s">
        <v>404</v>
      </c>
      <c r="F1015" s="18" t="s">
        <v>401</v>
      </c>
      <c r="G1015" s="18" t="n">
        <v>0.8</v>
      </c>
      <c r="H1015" s="18" t="n">
        <v>2607</v>
      </c>
      <c r="I1015" s="18" t="n">
        <v>110</v>
      </c>
      <c r="J1015" s="18" t="n">
        <v>109</v>
      </c>
      <c r="K1015" s="18" t="n">
        <v>-0.0133305774683236</v>
      </c>
      <c r="L1015" s="18" t="n">
        <v>0.0223713915856257</v>
      </c>
      <c r="M1015" s="18" t="n">
        <v>-0.595876095472258</v>
      </c>
      <c r="N1015" s="18" t="n">
        <v>16.6389825975882</v>
      </c>
      <c r="O1015" s="18" t="n">
        <v>0.559277295476202</v>
      </c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  <c r="AA1015" s="18"/>
      <c r="AB1015" s="18"/>
      <c r="AC1015" s="18"/>
      <c r="AD1015" s="18"/>
      <c r="AE1015" s="18"/>
      <c r="AF1015" s="18"/>
      <c r="AG1015" s="18"/>
      <c r="AH1015" s="18" t="s">
        <v>402</v>
      </c>
      <c r="AI1015" s="18"/>
      <c r="AJ1015" s="18" t="s">
        <v>1561</v>
      </c>
    </row>
    <row r="1016" customFormat="false" ht="15" hidden="false" customHeight="false" outlineLevel="0" collapsed="false">
      <c r="A1016" s="18" t="s">
        <v>273</v>
      </c>
      <c r="B1016" s="18" t="s">
        <v>503</v>
      </c>
      <c r="C1016" s="18" t="s">
        <v>1524</v>
      </c>
      <c r="D1016" s="18" t="s">
        <v>324</v>
      </c>
      <c r="E1016" s="18" t="s">
        <v>404</v>
      </c>
      <c r="F1016" s="18" t="s">
        <v>401</v>
      </c>
      <c r="G1016" s="18" t="n">
        <v>0.8</v>
      </c>
      <c r="H1016" s="18" t="n">
        <v>2607</v>
      </c>
      <c r="I1016" s="18" t="n">
        <v>110</v>
      </c>
      <c r="J1016" s="18" t="n">
        <v>109</v>
      </c>
      <c r="K1016" s="18" t="n">
        <v>0.0354687693306334</v>
      </c>
      <c r="L1016" s="18" t="n">
        <v>0.0275360308081238</v>
      </c>
      <c r="M1016" s="18" t="n">
        <v>1.28808576580214</v>
      </c>
      <c r="N1016" s="18" t="n">
        <v>20.7888354826477</v>
      </c>
      <c r="O1016" s="18" t="n">
        <v>0.21186955626382</v>
      </c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  <c r="AA1016" s="18"/>
      <c r="AB1016" s="18"/>
      <c r="AC1016" s="18"/>
      <c r="AD1016" s="18"/>
      <c r="AE1016" s="18"/>
      <c r="AF1016" s="18"/>
      <c r="AG1016" s="18"/>
      <c r="AH1016" s="18" t="s">
        <v>402</v>
      </c>
      <c r="AI1016" s="18"/>
      <c r="AJ1016" s="18" t="s">
        <v>1562</v>
      </c>
    </row>
    <row r="1017" customFormat="false" ht="15" hidden="false" customHeight="false" outlineLevel="0" collapsed="false">
      <c r="A1017" s="18" t="s">
        <v>273</v>
      </c>
      <c r="B1017" s="18" t="s">
        <v>505</v>
      </c>
      <c r="C1017" s="18" t="s">
        <v>1524</v>
      </c>
      <c r="D1017" s="18" t="s">
        <v>324</v>
      </c>
      <c r="E1017" s="18" t="s">
        <v>404</v>
      </c>
      <c r="F1017" s="18" t="s">
        <v>401</v>
      </c>
      <c r="G1017" s="18" t="n">
        <v>0.8</v>
      </c>
      <c r="H1017" s="18" t="n">
        <v>2607</v>
      </c>
      <c r="I1017" s="18" t="n">
        <v>110</v>
      </c>
      <c r="J1017" s="18" t="n">
        <v>109</v>
      </c>
      <c r="K1017" s="18" t="n">
        <v>0.0172343790928985</v>
      </c>
      <c r="L1017" s="18" t="n">
        <v>0.0228093604905136</v>
      </c>
      <c r="M1017" s="18" t="n">
        <v>0.755583616650114</v>
      </c>
      <c r="N1017" s="18" t="n">
        <v>21.4634524962169</v>
      </c>
      <c r="O1017" s="18" t="n">
        <v>0.458111364574403</v>
      </c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  <c r="AA1017" s="18"/>
      <c r="AB1017" s="18"/>
      <c r="AC1017" s="18"/>
      <c r="AD1017" s="18"/>
      <c r="AE1017" s="18"/>
      <c r="AF1017" s="18"/>
      <c r="AG1017" s="18"/>
      <c r="AH1017" s="18" t="s">
        <v>402</v>
      </c>
      <c r="AI1017" s="18"/>
      <c r="AJ1017" s="18" t="s">
        <v>1563</v>
      </c>
    </row>
    <row r="1018" customFormat="false" ht="15" hidden="false" customHeight="false" outlineLevel="0" collapsed="false">
      <c r="A1018" s="18" t="s">
        <v>273</v>
      </c>
      <c r="B1018" s="18" t="s">
        <v>507</v>
      </c>
      <c r="C1018" s="18" t="s">
        <v>1524</v>
      </c>
      <c r="D1018" s="18" t="s">
        <v>324</v>
      </c>
      <c r="E1018" s="18" t="s">
        <v>404</v>
      </c>
      <c r="F1018" s="18" t="s">
        <v>401</v>
      </c>
      <c r="G1018" s="18" t="n">
        <v>0.8</v>
      </c>
      <c r="H1018" s="18" t="n">
        <v>905</v>
      </c>
      <c r="I1018" s="18" t="n">
        <v>38</v>
      </c>
      <c r="J1018" s="18" t="n">
        <v>38</v>
      </c>
      <c r="K1018" s="18" t="n">
        <v>-0.0170426711209925</v>
      </c>
      <c r="L1018" s="18" t="n">
        <v>0.0171283836295447</v>
      </c>
      <c r="M1018" s="18" t="n">
        <v>-0.994995878746885</v>
      </c>
      <c r="N1018" s="18" t="n">
        <v>22.8122641851084</v>
      </c>
      <c r="O1018" s="18" t="n">
        <v>0.330175984806976</v>
      </c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  <c r="AA1018" s="18"/>
      <c r="AB1018" s="18"/>
      <c r="AC1018" s="18"/>
      <c r="AD1018" s="18"/>
      <c r="AE1018" s="18"/>
      <c r="AF1018" s="18"/>
      <c r="AG1018" s="18"/>
      <c r="AH1018" s="18" t="s">
        <v>402</v>
      </c>
      <c r="AI1018" s="18"/>
      <c r="AJ1018" s="18" t="s">
        <v>1564</v>
      </c>
    </row>
    <row r="1019" customFormat="false" ht="15" hidden="false" customHeight="false" outlineLevel="0" collapsed="false">
      <c r="A1019" s="18" t="s">
        <v>273</v>
      </c>
      <c r="B1019" s="18" t="s">
        <v>509</v>
      </c>
      <c r="C1019" s="18" t="s">
        <v>1524</v>
      </c>
      <c r="D1019" s="18" t="s">
        <v>324</v>
      </c>
      <c r="E1019" s="18" t="s">
        <v>404</v>
      </c>
      <c r="F1019" s="18" t="s">
        <v>401</v>
      </c>
      <c r="G1019" s="18" t="n">
        <v>0.8</v>
      </c>
      <c r="H1019" s="18" t="n">
        <v>2594</v>
      </c>
      <c r="I1019" s="18" t="n">
        <v>110</v>
      </c>
      <c r="J1019" s="18" t="n">
        <v>109</v>
      </c>
      <c r="K1019" s="18" t="n">
        <v>-0.0178711131044398</v>
      </c>
      <c r="L1019" s="18" t="n">
        <v>0.010770311661261</v>
      </c>
      <c r="M1019" s="18" t="n">
        <v>-1.65929396163337</v>
      </c>
      <c r="N1019" s="18" t="n">
        <v>40.5069218307939</v>
      </c>
      <c r="O1019" s="18" t="n">
        <v>0.104780672690431</v>
      </c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  <c r="AA1019" s="18"/>
      <c r="AB1019" s="18"/>
      <c r="AC1019" s="18"/>
      <c r="AD1019" s="18"/>
      <c r="AE1019" s="18"/>
      <c r="AF1019" s="18"/>
      <c r="AG1019" s="18"/>
      <c r="AH1019" s="18" t="s">
        <v>402</v>
      </c>
      <c r="AI1019" s="18"/>
      <c r="AJ1019" s="18" t="s">
        <v>1565</v>
      </c>
    </row>
    <row r="1020" customFormat="false" ht="15" hidden="false" customHeight="false" outlineLevel="0" collapsed="false">
      <c r="A1020" s="18" t="s">
        <v>273</v>
      </c>
      <c r="B1020" s="18" t="s">
        <v>511</v>
      </c>
      <c r="C1020" s="18" t="s">
        <v>1524</v>
      </c>
      <c r="D1020" s="18" t="s">
        <v>324</v>
      </c>
      <c r="E1020" s="18" t="s">
        <v>404</v>
      </c>
      <c r="F1020" s="18" t="s">
        <v>401</v>
      </c>
      <c r="G1020" s="18" t="n">
        <v>0.8</v>
      </c>
      <c r="H1020" s="18" t="n">
        <v>2594</v>
      </c>
      <c r="I1020" s="18" t="n">
        <v>110</v>
      </c>
      <c r="J1020" s="18" t="n">
        <v>109</v>
      </c>
      <c r="K1020" s="18" t="n">
        <v>-0.0168931977862466</v>
      </c>
      <c r="L1020" s="18" t="n">
        <v>0.0113624683456868</v>
      </c>
      <c r="M1020" s="18" t="n">
        <v>-1.48675422208408</v>
      </c>
      <c r="N1020" s="18" t="n">
        <v>30.5621293134467</v>
      </c>
      <c r="O1020" s="18" t="n">
        <v>0.147324499864345</v>
      </c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  <c r="Z1020" s="18"/>
      <c r="AA1020" s="18"/>
      <c r="AB1020" s="18"/>
      <c r="AC1020" s="18"/>
      <c r="AD1020" s="18"/>
      <c r="AE1020" s="18"/>
      <c r="AF1020" s="18"/>
      <c r="AG1020" s="18"/>
      <c r="AH1020" s="18" t="s">
        <v>402</v>
      </c>
      <c r="AI1020" s="18"/>
      <c r="AJ1020" s="18" t="s">
        <v>1566</v>
      </c>
    </row>
    <row r="1021" customFormat="false" ht="15" hidden="false" customHeight="false" outlineLevel="0" collapsed="false">
      <c r="A1021" s="18" t="s">
        <v>273</v>
      </c>
      <c r="B1021" s="18" t="s">
        <v>513</v>
      </c>
      <c r="C1021" s="18" t="s">
        <v>1524</v>
      </c>
      <c r="D1021" s="18" t="s">
        <v>324</v>
      </c>
      <c r="E1021" s="18" t="s">
        <v>404</v>
      </c>
      <c r="F1021" s="18" t="s">
        <v>401</v>
      </c>
      <c r="G1021" s="18" t="n">
        <v>0.8</v>
      </c>
      <c r="H1021" s="18" t="n">
        <v>2594</v>
      </c>
      <c r="I1021" s="18" t="n">
        <v>110</v>
      </c>
      <c r="J1021" s="18" t="n">
        <v>109</v>
      </c>
      <c r="K1021" s="18" t="n">
        <v>0.00037731559830155</v>
      </c>
      <c r="L1021" s="18" t="n">
        <v>0.0113328336912642</v>
      </c>
      <c r="M1021" s="18" t="n">
        <v>0.0332940205936667</v>
      </c>
      <c r="N1021" s="18" t="n">
        <v>30.7048106643729</v>
      </c>
      <c r="O1021" s="18" t="n">
        <v>0.973655616339993</v>
      </c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  <c r="AA1021" s="18"/>
      <c r="AB1021" s="18"/>
      <c r="AC1021" s="18"/>
      <c r="AD1021" s="18"/>
      <c r="AE1021" s="18"/>
      <c r="AF1021" s="18"/>
      <c r="AG1021" s="18"/>
      <c r="AH1021" s="18" t="s">
        <v>402</v>
      </c>
      <c r="AI1021" s="18"/>
      <c r="AJ1021" s="18" t="s">
        <v>1567</v>
      </c>
    </row>
    <row r="1022" customFormat="false" ht="15" hidden="false" customHeight="false" outlineLevel="0" collapsed="false">
      <c r="A1022" s="18" t="s">
        <v>273</v>
      </c>
      <c r="B1022" s="18" t="s">
        <v>515</v>
      </c>
      <c r="C1022" s="18" t="s">
        <v>1524</v>
      </c>
      <c r="D1022" s="18" t="s">
        <v>324</v>
      </c>
      <c r="E1022" s="18" t="s">
        <v>404</v>
      </c>
      <c r="F1022" s="18" t="s">
        <v>401</v>
      </c>
      <c r="G1022" s="18" t="n">
        <v>0.8</v>
      </c>
      <c r="H1022" s="18" t="n">
        <v>2594</v>
      </c>
      <c r="I1022" s="18" t="n">
        <v>110</v>
      </c>
      <c r="J1022" s="18" t="n">
        <v>109</v>
      </c>
      <c r="K1022" s="18" t="n">
        <v>-0.0172714339725171</v>
      </c>
      <c r="L1022" s="18" t="n">
        <v>0.0118386450465443</v>
      </c>
      <c r="M1022" s="18" t="n">
        <v>-1.45890293227084</v>
      </c>
      <c r="N1022" s="18" t="n">
        <v>26.6544263318601</v>
      </c>
      <c r="O1022" s="18" t="n">
        <v>0.156276686268936</v>
      </c>
      <c r="P1022" s="18"/>
      <c r="Q1022" s="18"/>
      <c r="R1022" s="18"/>
      <c r="S1022" s="18"/>
      <c r="T1022" s="18"/>
      <c r="U1022" s="18"/>
      <c r="V1022" s="18"/>
      <c r="W1022" s="18"/>
      <c r="X1022" s="18"/>
      <c r="Y1022" s="18"/>
      <c r="Z1022" s="18"/>
      <c r="AA1022" s="18"/>
      <c r="AB1022" s="18"/>
      <c r="AC1022" s="18"/>
      <c r="AD1022" s="18"/>
      <c r="AE1022" s="18"/>
      <c r="AF1022" s="18"/>
      <c r="AG1022" s="18"/>
      <c r="AH1022" s="18" t="s">
        <v>402</v>
      </c>
      <c r="AI1022" s="18"/>
      <c r="AJ1022" s="18" t="s">
        <v>1568</v>
      </c>
    </row>
    <row r="1023" customFormat="false" ht="15" hidden="false" customHeight="false" outlineLevel="0" collapsed="false">
      <c r="A1023" s="18" t="s">
        <v>273</v>
      </c>
      <c r="B1023" s="18" t="s">
        <v>517</v>
      </c>
      <c r="C1023" s="18" t="s">
        <v>1524</v>
      </c>
      <c r="D1023" s="18" t="s">
        <v>324</v>
      </c>
      <c r="E1023" s="18" t="s">
        <v>404</v>
      </c>
      <c r="F1023" s="18" t="s">
        <v>401</v>
      </c>
      <c r="G1023" s="18" t="n">
        <v>0.8</v>
      </c>
      <c r="H1023" s="18" t="n">
        <v>2594</v>
      </c>
      <c r="I1023" s="18" t="n">
        <v>110</v>
      </c>
      <c r="J1023" s="18" t="n">
        <v>109</v>
      </c>
      <c r="K1023" s="18" t="n">
        <v>-0.018697229685435</v>
      </c>
      <c r="L1023" s="18" t="n">
        <v>0.0147023835449078</v>
      </c>
      <c r="M1023" s="18" t="n">
        <v>-1.27171418350807</v>
      </c>
      <c r="N1023" s="18" t="n">
        <v>17.7175544620461</v>
      </c>
      <c r="O1023" s="18" t="n">
        <v>0.219915096627992</v>
      </c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  <c r="AA1023" s="18"/>
      <c r="AB1023" s="18"/>
      <c r="AC1023" s="18"/>
      <c r="AD1023" s="18"/>
      <c r="AE1023" s="18"/>
      <c r="AF1023" s="18"/>
      <c r="AG1023" s="18"/>
      <c r="AH1023" s="18" t="s">
        <v>402</v>
      </c>
      <c r="AI1023" s="18"/>
      <c r="AJ1023" s="18" t="s">
        <v>1569</v>
      </c>
    </row>
    <row r="1024" customFormat="false" ht="15" hidden="false" customHeight="false" outlineLevel="0" collapsed="false">
      <c r="A1024" s="18" t="s">
        <v>273</v>
      </c>
      <c r="B1024" s="18" t="s">
        <v>519</v>
      </c>
      <c r="C1024" s="18" t="s">
        <v>1524</v>
      </c>
      <c r="D1024" s="18" t="s">
        <v>324</v>
      </c>
      <c r="E1024" s="18" t="s">
        <v>404</v>
      </c>
      <c r="F1024" s="18" t="s">
        <v>401</v>
      </c>
      <c r="G1024" s="18" t="n">
        <v>0.8</v>
      </c>
      <c r="H1024" s="18" t="n">
        <v>2594</v>
      </c>
      <c r="I1024" s="18" t="n">
        <v>110</v>
      </c>
      <c r="J1024" s="18" t="n">
        <v>109</v>
      </c>
      <c r="K1024" s="18" t="n">
        <v>-0.0198692893324692</v>
      </c>
      <c r="L1024" s="18" t="n">
        <v>0.015818287389761</v>
      </c>
      <c r="M1024" s="18" t="n">
        <v>-1.25609611476211</v>
      </c>
      <c r="N1024" s="18" t="n">
        <v>14.5409551158292</v>
      </c>
      <c r="O1024" s="18" t="n">
        <v>0.2288884182616</v>
      </c>
      <c r="P1024" s="18"/>
      <c r="Q1024" s="18"/>
      <c r="R1024" s="18"/>
      <c r="S1024" s="18"/>
      <c r="T1024" s="18"/>
      <c r="U1024" s="18"/>
      <c r="V1024" s="18"/>
      <c r="W1024" s="18"/>
      <c r="X1024" s="18"/>
      <c r="Y1024" s="18"/>
      <c r="Z1024" s="18"/>
      <c r="AA1024" s="18"/>
      <c r="AB1024" s="18"/>
      <c r="AC1024" s="18"/>
      <c r="AD1024" s="18"/>
      <c r="AE1024" s="18"/>
      <c r="AF1024" s="18"/>
      <c r="AG1024" s="18"/>
      <c r="AH1024" s="18" t="s">
        <v>402</v>
      </c>
      <c r="AI1024" s="18"/>
      <c r="AJ1024" s="18" t="s">
        <v>1570</v>
      </c>
    </row>
    <row r="1025" customFormat="false" ht="15" hidden="false" customHeight="false" outlineLevel="0" collapsed="false">
      <c r="A1025" s="18" t="s">
        <v>273</v>
      </c>
      <c r="B1025" s="18" t="s">
        <v>521</v>
      </c>
      <c r="C1025" s="18" t="s">
        <v>1524</v>
      </c>
      <c r="D1025" s="18" t="s">
        <v>324</v>
      </c>
      <c r="E1025" s="18" t="s">
        <v>404</v>
      </c>
      <c r="F1025" s="18" t="s">
        <v>401</v>
      </c>
      <c r="G1025" s="18" t="n">
        <v>0.8</v>
      </c>
      <c r="H1025" s="18" t="n">
        <v>2594</v>
      </c>
      <c r="I1025" s="18" t="n">
        <v>110</v>
      </c>
      <c r="J1025" s="18" t="n">
        <v>109</v>
      </c>
      <c r="K1025" s="18" t="n">
        <v>-0.00293297822355106</v>
      </c>
      <c r="L1025" s="18" t="n">
        <v>0.00998295955741393</v>
      </c>
      <c r="M1025" s="18" t="n">
        <v>-0.2937984679476</v>
      </c>
      <c r="N1025" s="18" t="n">
        <v>42.4870981907887</v>
      </c>
      <c r="O1025" s="18" t="n">
        <v>0.7703423915385</v>
      </c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  <c r="AA1025" s="18"/>
      <c r="AB1025" s="18"/>
      <c r="AC1025" s="18"/>
      <c r="AD1025" s="18"/>
      <c r="AE1025" s="18"/>
      <c r="AF1025" s="18"/>
      <c r="AG1025" s="18"/>
      <c r="AH1025" s="18" t="s">
        <v>402</v>
      </c>
      <c r="AI1025" s="18"/>
      <c r="AJ1025" s="18" t="s">
        <v>1571</v>
      </c>
    </row>
    <row r="1026" customFormat="false" ht="15" hidden="false" customHeight="false" outlineLevel="0" collapsed="false">
      <c r="A1026" s="18" t="s">
        <v>273</v>
      </c>
      <c r="B1026" s="18" t="s">
        <v>523</v>
      </c>
      <c r="C1026" s="18" t="s">
        <v>1524</v>
      </c>
      <c r="D1026" s="18" t="s">
        <v>324</v>
      </c>
      <c r="E1026" s="18" t="s">
        <v>404</v>
      </c>
      <c r="F1026" s="18" t="s">
        <v>401</v>
      </c>
      <c r="G1026" s="18" t="n">
        <v>0.8</v>
      </c>
      <c r="H1026" s="18" t="n">
        <v>2594</v>
      </c>
      <c r="I1026" s="18" t="n">
        <v>110</v>
      </c>
      <c r="J1026" s="18" t="n">
        <v>109</v>
      </c>
      <c r="K1026" s="18" t="n">
        <v>0.00634075184256509</v>
      </c>
      <c r="L1026" s="18" t="n">
        <v>0.00942912491561953</v>
      </c>
      <c r="M1026" s="18" t="n">
        <v>0.672464507502866</v>
      </c>
      <c r="N1026" s="18" t="n">
        <v>58.2281533501682</v>
      </c>
      <c r="O1026" s="18" t="n">
        <v>0.50394790468965</v>
      </c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  <c r="Z1026" s="18"/>
      <c r="AA1026" s="18"/>
      <c r="AB1026" s="18"/>
      <c r="AC1026" s="18"/>
      <c r="AD1026" s="18"/>
      <c r="AE1026" s="18"/>
      <c r="AF1026" s="18"/>
      <c r="AG1026" s="18"/>
      <c r="AH1026" s="18" t="s">
        <v>402</v>
      </c>
      <c r="AI1026" s="18"/>
      <c r="AJ1026" s="18" t="s">
        <v>1572</v>
      </c>
    </row>
    <row r="1027" customFormat="false" ht="15" hidden="false" customHeight="false" outlineLevel="0" collapsed="false">
      <c r="A1027" s="18" t="s">
        <v>273</v>
      </c>
      <c r="B1027" s="18" t="s">
        <v>525</v>
      </c>
      <c r="C1027" s="18" t="s">
        <v>1524</v>
      </c>
      <c r="D1027" s="18" t="s">
        <v>324</v>
      </c>
      <c r="E1027" s="18" t="s">
        <v>404</v>
      </c>
      <c r="F1027" s="18" t="s">
        <v>401</v>
      </c>
      <c r="G1027" s="18" t="n">
        <v>0.8</v>
      </c>
      <c r="H1027" s="18" t="n">
        <v>2594</v>
      </c>
      <c r="I1027" s="18" t="n">
        <v>110</v>
      </c>
      <c r="J1027" s="18" t="n">
        <v>109</v>
      </c>
      <c r="K1027" s="18" t="n">
        <v>-0.00473577431416167</v>
      </c>
      <c r="L1027" s="18" t="n">
        <v>0.0094633372269009</v>
      </c>
      <c r="M1027" s="18" t="n">
        <v>-0.500433853366183</v>
      </c>
      <c r="N1027" s="18" t="n">
        <v>68.5850311964918</v>
      </c>
      <c r="O1027" s="18" t="n">
        <v>0.618371702147799</v>
      </c>
      <c r="P1027" s="18"/>
      <c r="Q1027" s="18"/>
      <c r="R1027" s="18"/>
      <c r="S1027" s="18"/>
      <c r="T1027" s="18"/>
      <c r="U1027" s="18"/>
      <c r="V1027" s="18"/>
      <c r="W1027" s="18"/>
      <c r="X1027" s="18"/>
      <c r="Y1027" s="18"/>
      <c r="Z1027" s="18"/>
      <c r="AA1027" s="18"/>
      <c r="AB1027" s="18"/>
      <c r="AC1027" s="18"/>
      <c r="AD1027" s="18"/>
      <c r="AE1027" s="18"/>
      <c r="AF1027" s="18"/>
      <c r="AG1027" s="18"/>
      <c r="AH1027" s="18" t="s">
        <v>402</v>
      </c>
      <c r="AI1027" s="18"/>
      <c r="AJ1027" s="18" t="s">
        <v>1573</v>
      </c>
    </row>
    <row r="1028" customFormat="false" ht="15" hidden="false" customHeight="false" outlineLevel="0" collapsed="false">
      <c r="A1028" s="18" t="s">
        <v>273</v>
      </c>
      <c r="B1028" s="18" t="s">
        <v>527</v>
      </c>
      <c r="C1028" s="18" t="s">
        <v>1524</v>
      </c>
      <c r="D1028" s="18" t="s">
        <v>324</v>
      </c>
      <c r="E1028" s="18" t="s">
        <v>404</v>
      </c>
      <c r="F1028" s="18" t="s">
        <v>401</v>
      </c>
      <c r="G1028" s="18" t="n">
        <v>0.8</v>
      </c>
      <c r="H1028" s="18" t="n">
        <v>900</v>
      </c>
      <c r="I1028" s="18" t="n">
        <v>38</v>
      </c>
      <c r="J1028" s="18" t="n">
        <v>38</v>
      </c>
      <c r="K1028" s="18" t="n">
        <v>-0.02603304747341</v>
      </c>
      <c r="L1028" s="18" t="n">
        <v>0.0191342778242953</v>
      </c>
      <c r="M1028" s="18" t="n">
        <v>-1.3605450758301</v>
      </c>
      <c r="N1028" s="18" t="n">
        <v>24.1125729417198</v>
      </c>
      <c r="O1028" s="18" t="n">
        <v>0.186240910204207</v>
      </c>
      <c r="P1028" s="18"/>
      <c r="Q1028" s="18"/>
      <c r="R1028" s="18"/>
      <c r="S1028" s="18"/>
      <c r="T1028" s="18"/>
      <c r="U1028" s="18"/>
      <c r="V1028" s="18"/>
      <c r="W1028" s="18"/>
      <c r="X1028" s="18"/>
      <c r="Y1028" s="18"/>
      <c r="Z1028" s="18"/>
      <c r="AA1028" s="18"/>
      <c r="AB1028" s="18"/>
      <c r="AC1028" s="18"/>
      <c r="AD1028" s="18"/>
      <c r="AE1028" s="18"/>
      <c r="AF1028" s="18"/>
      <c r="AG1028" s="18"/>
      <c r="AH1028" s="18" t="s">
        <v>402</v>
      </c>
      <c r="AI1028" s="18"/>
      <c r="AJ1028" s="18" t="s">
        <v>1574</v>
      </c>
    </row>
    <row r="1029" customFormat="false" ht="15" hidden="false" customHeight="false" outlineLevel="0" collapsed="false">
      <c r="A1029" s="18" t="s">
        <v>273</v>
      </c>
      <c r="B1029" s="18" t="s">
        <v>529</v>
      </c>
      <c r="C1029" s="18" t="s">
        <v>1524</v>
      </c>
      <c r="D1029" s="18" t="s">
        <v>324</v>
      </c>
      <c r="E1029" s="18" t="s">
        <v>404</v>
      </c>
      <c r="F1029" s="18" t="s">
        <v>401</v>
      </c>
      <c r="G1029" s="18" t="n">
        <v>0.8</v>
      </c>
      <c r="H1029" s="18" t="n">
        <v>2607</v>
      </c>
      <c r="I1029" s="18" t="n">
        <v>110</v>
      </c>
      <c r="J1029" s="18" t="n">
        <v>109</v>
      </c>
      <c r="K1029" s="18" t="n">
        <v>-0.014097745122661</v>
      </c>
      <c r="L1029" s="18" t="n">
        <v>0.0112283367821445</v>
      </c>
      <c r="M1029" s="18" t="n">
        <v>-1.25555061236491</v>
      </c>
      <c r="N1029" s="18" t="n">
        <v>36.7477711221295</v>
      </c>
      <c r="O1029" s="18" t="n">
        <v>0.217204048975546</v>
      </c>
      <c r="P1029" s="18"/>
      <c r="Q1029" s="18"/>
      <c r="R1029" s="18"/>
      <c r="S1029" s="18"/>
      <c r="T1029" s="18"/>
      <c r="U1029" s="18"/>
      <c r="V1029" s="18"/>
      <c r="W1029" s="18"/>
      <c r="X1029" s="18"/>
      <c r="Y1029" s="18"/>
      <c r="Z1029" s="18"/>
      <c r="AA1029" s="18"/>
      <c r="AB1029" s="18"/>
      <c r="AC1029" s="18"/>
      <c r="AD1029" s="18"/>
      <c r="AE1029" s="18"/>
      <c r="AF1029" s="18"/>
      <c r="AG1029" s="18"/>
      <c r="AH1029" s="18" t="s">
        <v>402</v>
      </c>
      <c r="AI1029" s="18"/>
      <c r="AJ1029" s="18" t="s">
        <v>1575</v>
      </c>
    </row>
    <row r="1030" customFormat="false" ht="15" hidden="false" customHeight="false" outlineLevel="0" collapsed="false">
      <c r="A1030" s="18" t="s">
        <v>273</v>
      </c>
      <c r="B1030" s="18" t="s">
        <v>531</v>
      </c>
      <c r="C1030" s="18" t="s">
        <v>1524</v>
      </c>
      <c r="D1030" s="18" t="s">
        <v>324</v>
      </c>
      <c r="E1030" s="18" t="s">
        <v>404</v>
      </c>
      <c r="F1030" s="18" t="s">
        <v>401</v>
      </c>
      <c r="G1030" s="18" t="n">
        <v>0.8</v>
      </c>
      <c r="H1030" s="18" t="n">
        <v>2607</v>
      </c>
      <c r="I1030" s="18" t="n">
        <v>110</v>
      </c>
      <c r="J1030" s="18" t="n">
        <v>109</v>
      </c>
      <c r="K1030" s="18" t="n">
        <v>-0.012156444163472</v>
      </c>
      <c r="L1030" s="18" t="n">
        <v>0.011591997483867</v>
      </c>
      <c r="M1030" s="18" t="n">
        <v>-1.04869278831285</v>
      </c>
      <c r="N1030" s="18" t="n">
        <v>27.9444300253219</v>
      </c>
      <c r="O1030" s="18" t="n">
        <v>0.303305278433671</v>
      </c>
      <c r="P1030" s="18"/>
      <c r="Q1030" s="18"/>
      <c r="R1030" s="18"/>
      <c r="S1030" s="18"/>
      <c r="T1030" s="18"/>
      <c r="U1030" s="18"/>
      <c r="V1030" s="18"/>
      <c r="W1030" s="18"/>
      <c r="X1030" s="18"/>
      <c r="Y1030" s="18"/>
      <c r="Z1030" s="18"/>
      <c r="AA1030" s="18"/>
      <c r="AB1030" s="18"/>
      <c r="AC1030" s="18"/>
      <c r="AD1030" s="18"/>
      <c r="AE1030" s="18"/>
      <c r="AF1030" s="18"/>
      <c r="AG1030" s="18"/>
      <c r="AH1030" s="18" t="s">
        <v>402</v>
      </c>
      <c r="AI1030" s="18"/>
      <c r="AJ1030" s="18" t="s">
        <v>1576</v>
      </c>
    </row>
    <row r="1031" customFormat="false" ht="15" hidden="false" customHeight="false" outlineLevel="0" collapsed="false">
      <c r="A1031" s="18" t="s">
        <v>273</v>
      </c>
      <c r="B1031" s="18" t="s">
        <v>533</v>
      </c>
      <c r="C1031" s="18" t="s">
        <v>1524</v>
      </c>
      <c r="D1031" s="18" t="s">
        <v>324</v>
      </c>
      <c r="E1031" s="18" t="s">
        <v>404</v>
      </c>
      <c r="F1031" s="18" t="s">
        <v>401</v>
      </c>
      <c r="G1031" s="18" t="n">
        <v>0.8</v>
      </c>
      <c r="H1031" s="18" t="n">
        <v>2607</v>
      </c>
      <c r="I1031" s="18" t="n">
        <v>110</v>
      </c>
      <c r="J1031" s="18" t="n">
        <v>109</v>
      </c>
      <c r="K1031" s="18" t="n">
        <v>0.00159979688243034</v>
      </c>
      <c r="L1031" s="18" t="n">
        <v>0.0112489453452791</v>
      </c>
      <c r="M1031" s="18" t="n">
        <v>0.14221749980337</v>
      </c>
      <c r="N1031" s="18" t="n">
        <v>31.5545463990403</v>
      </c>
      <c r="O1031" s="18" t="n">
        <v>0.887812401222596</v>
      </c>
      <c r="P1031" s="18"/>
      <c r="Q1031" s="18"/>
      <c r="R1031" s="18"/>
      <c r="S1031" s="18"/>
      <c r="T1031" s="18"/>
      <c r="U1031" s="18"/>
      <c r="V1031" s="18"/>
      <c r="W1031" s="18"/>
      <c r="X1031" s="18"/>
      <c r="Y1031" s="18"/>
      <c r="Z1031" s="18"/>
      <c r="AA1031" s="18"/>
      <c r="AB1031" s="18"/>
      <c r="AC1031" s="18"/>
      <c r="AD1031" s="18"/>
      <c r="AE1031" s="18"/>
      <c r="AF1031" s="18"/>
      <c r="AG1031" s="18"/>
      <c r="AH1031" s="18" t="s">
        <v>402</v>
      </c>
      <c r="AI1031" s="18"/>
      <c r="AJ1031" s="18" t="s">
        <v>1577</v>
      </c>
    </row>
    <row r="1032" customFormat="false" ht="15" hidden="false" customHeight="false" outlineLevel="0" collapsed="false">
      <c r="A1032" s="18" t="s">
        <v>273</v>
      </c>
      <c r="B1032" s="18" t="s">
        <v>535</v>
      </c>
      <c r="C1032" s="18" t="s">
        <v>1524</v>
      </c>
      <c r="D1032" s="18" t="s">
        <v>324</v>
      </c>
      <c r="E1032" s="18" t="s">
        <v>404</v>
      </c>
      <c r="F1032" s="18" t="s">
        <v>401</v>
      </c>
      <c r="G1032" s="18" t="n">
        <v>0.8</v>
      </c>
      <c r="H1032" s="18" t="n">
        <v>2607</v>
      </c>
      <c r="I1032" s="18" t="n">
        <v>110</v>
      </c>
      <c r="J1032" s="18" t="n">
        <v>109</v>
      </c>
      <c r="K1032" s="18" t="n">
        <v>-0.0127475991239355</v>
      </c>
      <c r="L1032" s="18" t="n">
        <v>0.0121022903088312</v>
      </c>
      <c r="M1032" s="18" t="n">
        <v>-1.05332121430217</v>
      </c>
      <c r="N1032" s="18" t="n">
        <v>24.3396433490851</v>
      </c>
      <c r="O1032" s="18" t="n">
        <v>0.302538717545772</v>
      </c>
      <c r="P1032" s="18"/>
      <c r="Q1032" s="18"/>
      <c r="R1032" s="18"/>
      <c r="S1032" s="18"/>
      <c r="T1032" s="18"/>
      <c r="U1032" s="18"/>
      <c r="V1032" s="18"/>
      <c r="W1032" s="18"/>
      <c r="X1032" s="18"/>
      <c r="Y1032" s="18"/>
      <c r="Z1032" s="18"/>
      <c r="AA1032" s="18"/>
      <c r="AB1032" s="18"/>
      <c r="AC1032" s="18"/>
      <c r="AD1032" s="18"/>
      <c r="AE1032" s="18"/>
      <c r="AF1032" s="18"/>
      <c r="AG1032" s="18"/>
      <c r="AH1032" s="18" t="s">
        <v>402</v>
      </c>
      <c r="AI1032" s="18"/>
      <c r="AJ1032" s="18" t="s">
        <v>1578</v>
      </c>
    </row>
    <row r="1033" customFormat="false" ht="15" hidden="false" customHeight="false" outlineLevel="0" collapsed="false">
      <c r="A1033" s="18" t="s">
        <v>273</v>
      </c>
      <c r="B1033" s="18" t="s">
        <v>537</v>
      </c>
      <c r="C1033" s="18" t="s">
        <v>1524</v>
      </c>
      <c r="D1033" s="18" t="s">
        <v>324</v>
      </c>
      <c r="E1033" s="18" t="s">
        <v>404</v>
      </c>
      <c r="F1033" s="18" t="s">
        <v>401</v>
      </c>
      <c r="G1033" s="18" t="n">
        <v>0.8</v>
      </c>
      <c r="H1033" s="18" t="n">
        <v>2607</v>
      </c>
      <c r="I1033" s="18" t="n">
        <v>110</v>
      </c>
      <c r="J1033" s="18" t="n">
        <v>109</v>
      </c>
      <c r="K1033" s="18" t="n">
        <v>-0.014925868898809</v>
      </c>
      <c r="L1033" s="18" t="n">
        <v>0.0148248653158294</v>
      </c>
      <c r="M1033" s="18" t="n">
        <v>-1.00681311977059</v>
      </c>
      <c r="N1033" s="18" t="n">
        <v>17.8858773980635</v>
      </c>
      <c r="O1033" s="18" t="n">
        <v>0.327452113049192</v>
      </c>
      <c r="P1033" s="18"/>
      <c r="Q1033" s="18"/>
      <c r="R1033" s="18"/>
      <c r="S1033" s="18"/>
      <c r="T1033" s="18"/>
      <c r="U1033" s="18"/>
      <c r="V1033" s="18"/>
      <c r="W1033" s="18"/>
      <c r="X1033" s="18"/>
      <c r="Y1033" s="18"/>
      <c r="Z1033" s="18"/>
      <c r="AA1033" s="18"/>
      <c r="AB1033" s="18"/>
      <c r="AC1033" s="18"/>
      <c r="AD1033" s="18"/>
      <c r="AE1033" s="18"/>
      <c r="AF1033" s="18"/>
      <c r="AG1033" s="18"/>
      <c r="AH1033" s="18" t="s">
        <v>402</v>
      </c>
      <c r="AI1033" s="18"/>
      <c r="AJ1033" s="18" t="s">
        <v>1579</v>
      </c>
    </row>
    <row r="1034" customFormat="false" ht="15" hidden="false" customHeight="false" outlineLevel="0" collapsed="false">
      <c r="A1034" s="18" t="s">
        <v>273</v>
      </c>
      <c r="B1034" s="18" t="s">
        <v>539</v>
      </c>
      <c r="C1034" s="18" t="s">
        <v>1524</v>
      </c>
      <c r="D1034" s="18" t="s">
        <v>324</v>
      </c>
      <c r="E1034" s="18" t="s">
        <v>404</v>
      </c>
      <c r="F1034" s="18" t="s">
        <v>401</v>
      </c>
      <c r="G1034" s="18" t="n">
        <v>0.8</v>
      </c>
      <c r="H1034" s="18" t="n">
        <v>2607</v>
      </c>
      <c r="I1034" s="18" t="n">
        <v>110</v>
      </c>
      <c r="J1034" s="18" t="n">
        <v>109</v>
      </c>
      <c r="K1034" s="18" t="n">
        <v>-0.0159018758530904</v>
      </c>
      <c r="L1034" s="18" t="n">
        <v>0.0159898265522785</v>
      </c>
      <c r="M1034" s="18" t="n">
        <v>-0.994499583913524</v>
      </c>
      <c r="N1034" s="18" t="n">
        <v>14.6814459562948</v>
      </c>
      <c r="O1034" s="18" t="n">
        <v>0.336088994010567</v>
      </c>
      <c r="P1034" s="18"/>
      <c r="Q1034" s="18"/>
      <c r="R1034" s="18"/>
      <c r="S1034" s="18"/>
      <c r="T1034" s="18"/>
      <c r="U1034" s="18"/>
      <c r="V1034" s="18"/>
      <c r="W1034" s="18"/>
      <c r="X1034" s="18"/>
      <c r="Y1034" s="18"/>
      <c r="Z1034" s="18"/>
      <c r="AA1034" s="18"/>
      <c r="AB1034" s="18"/>
      <c r="AC1034" s="18"/>
      <c r="AD1034" s="18"/>
      <c r="AE1034" s="18"/>
      <c r="AF1034" s="18"/>
      <c r="AG1034" s="18"/>
      <c r="AH1034" s="18" t="s">
        <v>402</v>
      </c>
      <c r="AI1034" s="18"/>
      <c r="AJ1034" s="18" t="s">
        <v>1580</v>
      </c>
    </row>
    <row r="1035" customFormat="false" ht="15" hidden="false" customHeight="false" outlineLevel="0" collapsed="false">
      <c r="A1035" s="18" t="s">
        <v>273</v>
      </c>
      <c r="B1035" s="18" t="s">
        <v>541</v>
      </c>
      <c r="C1035" s="18" t="s">
        <v>1524</v>
      </c>
      <c r="D1035" s="18" t="s">
        <v>324</v>
      </c>
      <c r="E1035" s="18" t="s">
        <v>404</v>
      </c>
      <c r="F1035" s="18" t="s">
        <v>401</v>
      </c>
      <c r="G1035" s="18" t="n">
        <v>0.8</v>
      </c>
      <c r="H1035" s="18" t="n">
        <v>2607</v>
      </c>
      <c r="I1035" s="18" t="n">
        <v>110</v>
      </c>
      <c r="J1035" s="18" t="n">
        <v>109</v>
      </c>
      <c r="K1035" s="18" t="n">
        <v>0.000457562855051601</v>
      </c>
      <c r="L1035" s="18" t="n">
        <v>0.0102336223733463</v>
      </c>
      <c r="M1035" s="18" t="n">
        <v>0.0447117196979374</v>
      </c>
      <c r="N1035" s="18" t="n">
        <v>38.3793001783578</v>
      </c>
      <c r="O1035" s="18" t="n">
        <v>0.964568923949137</v>
      </c>
      <c r="P1035" s="18"/>
      <c r="Q1035" s="18"/>
      <c r="R1035" s="18"/>
      <c r="S1035" s="18"/>
      <c r="T1035" s="18"/>
      <c r="U1035" s="18"/>
      <c r="V1035" s="18"/>
      <c r="W1035" s="18"/>
      <c r="X1035" s="18"/>
      <c r="Y1035" s="18"/>
      <c r="Z1035" s="18"/>
      <c r="AA1035" s="18"/>
      <c r="AB1035" s="18"/>
      <c r="AC1035" s="18"/>
      <c r="AD1035" s="18"/>
      <c r="AE1035" s="18"/>
      <c r="AF1035" s="18"/>
      <c r="AG1035" s="18"/>
      <c r="AH1035" s="18" t="s">
        <v>402</v>
      </c>
      <c r="AI1035" s="18"/>
      <c r="AJ1035" s="18" t="s">
        <v>1581</v>
      </c>
    </row>
    <row r="1036" customFormat="false" ht="15" hidden="false" customHeight="false" outlineLevel="0" collapsed="false">
      <c r="A1036" s="18" t="s">
        <v>273</v>
      </c>
      <c r="B1036" s="18" t="s">
        <v>543</v>
      </c>
      <c r="C1036" s="18" t="s">
        <v>1524</v>
      </c>
      <c r="D1036" s="18" t="s">
        <v>324</v>
      </c>
      <c r="E1036" s="18" t="s">
        <v>404</v>
      </c>
      <c r="F1036" s="18" t="s">
        <v>401</v>
      </c>
      <c r="G1036" s="18" t="n">
        <v>0.8</v>
      </c>
      <c r="H1036" s="18" t="n">
        <v>2607</v>
      </c>
      <c r="I1036" s="18" t="n">
        <v>110</v>
      </c>
      <c r="J1036" s="18" t="n">
        <v>109</v>
      </c>
      <c r="K1036" s="18" t="n">
        <v>0.0131404078044746</v>
      </c>
      <c r="L1036" s="18" t="n">
        <v>0.00976518029437148</v>
      </c>
      <c r="M1036" s="18" t="n">
        <v>1.34563903669536</v>
      </c>
      <c r="N1036" s="18" t="n">
        <v>52.4678944280595</v>
      </c>
      <c r="O1036" s="18" t="n">
        <v>0.184205427686964</v>
      </c>
      <c r="P1036" s="18"/>
      <c r="Q1036" s="18"/>
      <c r="R1036" s="18"/>
      <c r="S1036" s="18"/>
      <c r="T1036" s="18"/>
      <c r="U1036" s="18"/>
      <c r="V1036" s="18"/>
      <c r="W1036" s="18"/>
      <c r="X1036" s="18"/>
      <c r="Y1036" s="18"/>
      <c r="Z1036" s="18"/>
      <c r="AA1036" s="18"/>
      <c r="AB1036" s="18"/>
      <c r="AC1036" s="18"/>
      <c r="AD1036" s="18"/>
      <c r="AE1036" s="18"/>
      <c r="AF1036" s="18"/>
      <c r="AG1036" s="18"/>
      <c r="AH1036" s="18" t="s">
        <v>402</v>
      </c>
      <c r="AI1036" s="18"/>
      <c r="AJ1036" s="18" t="s">
        <v>1582</v>
      </c>
    </row>
    <row r="1037" customFormat="false" ht="15" hidden="false" customHeight="false" outlineLevel="0" collapsed="false">
      <c r="A1037" s="18" t="s">
        <v>273</v>
      </c>
      <c r="B1037" s="18" t="s">
        <v>545</v>
      </c>
      <c r="C1037" s="18" t="s">
        <v>1524</v>
      </c>
      <c r="D1037" s="18" t="s">
        <v>324</v>
      </c>
      <c r="E1037" s="18" t="s">
        <v>404</v>
      </c>
      <c r="F1037" s="18" t="s">
        <v>401</v>
      </c>
      <c r="G1037" s="18" t="n">
        <v>0.8</v>
      </c>
      <c r="H1037" s="18" t="n">
        <v>2607</v>
      </c>
      <c r="I1037" s="18" t="n">
        <v>110</v>
      </c>
      <c r="J1037" s="18" t="n">
        <v>109</v>
      </c>
      <c r="K1037" s="18" t="n">
        <v>0.0011233777472512</v>
      </c>
      <c r="L1037" s="18" t="n">
        <v>0.00954776895074075</v>
      </c>
      <c r="M1037" s="18" t="n">
        <v>0.117658664872074</v>
      </c>
      <c r="N1037" s="18" t="n">
        <v>60.3485027033799</v>
      </c>
      <c r="O1037" s="18" t="n">
        <v>0.906728848171662</v>
      </c>
      <c r="P1037" s="18"/>
      <c r="Q1037" s="18"/>
      <c r="R1037" s="18"/>
      <c r="S1037" s="18"/>
      <c r="T1037" s="18"/>
      <c r="U1037" s="18"/>
      <c r="V1037" s="18"/>
      <c r="W1037" s="18"/>
      <c r="X1037" s="18"/>
      <c r="Y1037" s="18"/>
      <c r="Z1037" s="18"/>
      <c r="AA1037" s="18"/>
      <c r="AB1037" s="18"/>
      <c r="AC1037" s="18"/>
      <c r="AD1037" s="18"/>
      <c r="AE1037" s="18"/>
      <c r="AF1037" s="18"/>
      <c r="AG1037" s="18"/>
      <c r="AH1037" s="18" t="s">
        <v>402</v>
      </c>
      <c r="AI1037" s="18"/>
      <c r="AJ1037" s="18" t="s">
        <v>1583</v>
      </c>
    </row>
    <row r="1038" customFormat="false" ht="15" hidden="false" customHeight="false" outlineLevel="0" collapsed="false">
      <c r="A1038" s="18" t="s">
        <v>273</v>
      </c>
      <c r="B1038" s="18" t="s">
        <v>547</v>
      </c>
      <c r="C1038" s="18" t="s">
        <v>1524</v>
      </c>
      <c r="D1038" s="18" t="s">
        <v>324</v>
      </c>
      <c r="E1038" s="18" t="s">
        <v>404</v>
      </c>
      <c r="F1038" s="18" t="s">
        <v>401</v>
      </c>
      <c r="G1038" s="18" t="n">
        <v>0.8</v>
      </c>
      <c r="H1038" s="18" t="n">
        <v>905</v>
      </c>
      <c r="I1038" s="18" t="n">
        <v>38</v>
      </c>
      <c r="J1038" s="18" t="n">
        <v>38</v>
      </c>
      <c r="K1038" s="18" t="n">
        <v>-0.0210403523555489</v>
      </c>
      <c r="L1038" s="18" t="n">
        <v>0.0184615541762396</v>
      </c>
      <c r="M1038" s="18" t="n">
        <v>-1.13968478247776</v>
      </c>
      <c r="N1038" s="18" t="n">
        <v>23.9566904390072</v>
      </c>
      <c r="O1038" s="18" t="n">
        <v>0.26568493975117</v>
      </c>
      <c r="P1038" s="18"/>
      <c r="Q1038" s="18"/>
      <c r="R1038" s="18"/>
      <c r="S1038" s="18"/>
      <c r="T1038" s="18"/>
      <c r="U1038" s="18"/>
      <c r="V1038" s="18"/>
      <c r="W1038" s="18"/>
      <c r="X1038" s="18"/>
      <c r="Y1038" s="18"/>
      <c r="Z1038" s="18"/>
      <c r="AA1038" s="18"/>
      <c r="AB1038" s="18"/>
      <c r="AC1038" s="18"/>
      <c r="AD1038" s="18"/>
      <c r="AE1038" s="18"/>
      <c r="AF1038" s="18"/>
      <c r="AG1038" s="18"/>
      <c r="AH1038" s="18" t="s">
        <v>402</v>
      </c>
      <c r="AI1038" s="18"/>
      <c r="AJ1038" s="18" t="s">
        <v>1584</v>
      </c>
    </row>
    <row r="1039" customFormat="false" ht="15" hidden="false" customHeight="false" outlineLevel="0" collapsed="false">
      <c r="A1039" s="18" t="s">
        <v>273</v>
      </c>
      <c r="B1039" s="18" t="s">
        <v>549</v>
      </c>
      <c r="C1039" s="18" t="s">
        <v>1524</v>
      </c>
      <c r="D1039" s="18" t="s">
        <v>324</v>
      </c>
      <c r="E1039" s="18" t="s">
        <v>404</v>
      </c>
      <c r="F1039" s="18" t="s">
        <v>401</v>
      </c>
      <c r="G1039" s="18" t="n">
        <v>0.8</v>
      </c>
      <c r="H1039" s="18" t="n">
        <v>2705</v>
      </c>
      <c r="I1039" s="18" t="n">
        <v>113</v>
      </c>
      <c r="J1039" s="18" t="n">
        <v>112</v>
      </c>
      <c r="K1039" s="18" t="n">
        <v>0.00998426137395928</v>
      </c>
      <c r="L1039" s="18" t="n">
        <v>0.0181981335464851</v>
      </c>
      <c r="M1039" s="18" t="n">
        <v>0.548642054332417</v>
      </c>
      <c r="N1039" s="18" t="n">
        <v>15.3918593868669</v>
      </c>
      <c r="O1039" s="18" t="n">
        <v>0.59112126871801</v>
      </c>
      <c r="P1039" s="18"/>
      <c r="Q1039" s="18"/>
      <c r="R1039" s="18"/>
      <c r="S1039" s="18"/>
      <c r="T1039" s="18"/>
      <c r="U1039" s="18"/>
      <c r="V1039" s="18"/>
      <c r="W1039" s="18"/>
      <c r="X1039" s="18"/>
      <c r="Y1039" s="18"/>
      <c r="Z1039" s="18"/>
      <c r="AA1039" s="18"/>
      <c r="AB1039" s="18"/>
      <c r="AC1039" s="18"/>
      <c r="AD1039" s="18"/>
      <c r="AE1039" s="18"/>
      <c r="AF1039" s="18"/>
      <c r="AG1039" s="18"/>
      <c r="AH1039" s="18" t="s">
        <v>402</v>
      </c>
      <c r="AI1039" s="18"/>
      <c r="AJ1039" s="18" t="s">
        <v>1585</v>
      </c>
    </row>
    <row r="1040" customFormat="false" ht="15" hidden="false" customHeight="false" outlineLevel="0" collapsed="false">
      <c r="A1040" s="18" t="s">
        <v>273</v>
      </c>
      <c r="B1040" s="18" t="s">
        <v>551</v>
      </c>
      <c r="C1040" s="18" t="s">
        <v>1524</v>
      </c>
      <c r="D1040" s="18" t="s">
        <v>324</v>
      </c>
      <c r="E1040" s="18" t="s">
        <v>404</v>
      </c>
      <c r="F1040" s="18" t="s">
        <v>401</v>
      </c>
      <c r="G1040" s="18" t="n">
        <v>0.8</v>
      </c>
      <c r="H1040" s="18" t="n">
        <v>2705</v>
      </c>
      <c r="I1040" s="18" t="n">
        <v>113</v>
      </c>
      <c r="J1040" s="18" t="n">
        <v>112</v>
      </c>
      <c r="K1040" s="18" t="n">
        <v>0.00969718696725073</v>
      </c>
      <c r="L1040" s="18" t="n">
        <v>0.0178293730772136</v>
      </c>
      <c r="M1040" s="18" t="n">
        <v>0.543888274997398</v>
      </c>
      <c r="N1040" s="18" t="n">
        <v>12.5667291189185</v>
      </c>
      <c r="O1040" s="18" t="n">
        <v>0.596036250499552</v>
      </c>
      <c r="P1040" s="18"/>
      <c r="Q1040" s="18"/>
      <c r="R1040" s="18"/>
      <c r="S1040" s="18"/>
      <c r="T1040" s="18"/>
      <c r="U1040" s="18"/>
      <c r="V1040" s="18"/>
      <c r="W1040" s="18"/>
      <c r="X1040" s="18"/>
      <c r="Y1040" s="18"/>
      <c r="Z1040" s="18"/>
      <c r="AA1040" s="18"/>
      <c r="AB1040" s="18"/>
      <c r="AC1040" s="18"/>
      <c r="AD1040" s="18"/>
      <c r="AE1040" s="18"/>
      <c r="AF1040" s="18"/>
      <c r="AG1040" s="18"/>
      <c r="AH1040" s="18" t="s">
        <v>402</v>
      </c>
      <c r="AI1040" s="18"/>
      <c r="AJ1040" s="18" t="s">
        <v>1586</v>
      </c>
    </row>
    <row r="1041" customFormat="false" ht="15" hidden="false" customHeight="false" outlineLevel="0" collapsed="false">
      <c r="A1041" s="18" t="s">
        <v>273</v>
      </c>
      <c r="B1041" s="18" t="s">
        <v>553</v>
      </c>
      <c r="C1041" s="18" t="s">
        <v>1524</v>
      </c>
      <c r="D1041" s="18" t="s">
        <v>324</v>
      </c>
      <c r="E1041" s="18" t="s">
        <v>404</v>
      </c>
      <c r="F1041" s="18" t="s">
        <v>401</v>
      </c>
      <c r="G1041" s="18" t="n">
        <v>0.8</v>
      </c>
      <c r="H1041" s="18" t="n">
        <v>2705</v>
      </c>
      <c r="I1041" s="18" t="n">
        <v>113</v>
      </c>
      <c r="J1041" s="18" t="n">
        <v>112</v>
      </c>
      <c r="K1041" s="18" t="n">
        <v>-0.0203298096324704</v>
      </c>
      <c r="L1041" s="18" t="n">
        <v>0.0210985055828712</v>
      </c>
      <c r="M1041" s="18" t="n">
        <v>-0.963566331872111</v>
      </c>
      <c r="N1041" s="18" t="n">
        <v>41.3060145475334</v>
      </c>
      <c r="O1041" s="18" t="n">
        <v>0.340870841719103</v>
      </c>
      <c r="P1041" s="18"/>
      <c r="Q1041" s="18"/>
      <c r="R1041" s="18"/>
      <c r="S1041" s="18"/>
      <c r="T1041" s="18"/>
      <c r="U1041" s="18"/>
      <c r="V1041" s="18"/>
      <c r="W1041" s="18"/>
      <c r="X1041" s="18"/>
      <c r="Y1041" s="18"/>
      <c r="Z1041" s="18"/>
      <c r="AA1041" s="18"/>
      <c r="AB1041" s="18"/>
      <c r="AC1041" s="18"/>
      <c r="AD1041" s="18"/>
      <c r="AE1041" s="18"/>
      <c r="AF1041" s="18"/>
      <c r="AG1041" s="18"/>
      <c r="AH1041" s="18" t="s">
        <v>402</v>
      </c>
      <c r="AI1041" s="18"/>
      <c r="AJ1041" s="18" t="s">
        <v>1587</v>
      </c>
    </row>
    <row r="1042" customFormat="false" ht="15" hidden="false" customHeight="false" outlineLevel="0" collapsed="false">
      <c r="A1042" s="18" t="s">
        <v>273</v>
      </c>
      <c r="B1042" s="18" t="s">
        <v>555</v>
      </c>
      <c r="C1042" s="18" t="s">
        <v>1524</v>
      </c>
      <c r="D1042" s="18" t="s">
        <v>324</v>
      </c>
      <c r="E1042" s="18" t="s">
        <v>404</v>
      </c>
      <c r="F1042" s="18" t="s">
        <v>401</v>
      </c>
      <c r="G1042" s="18" t="n">
        <v>0.8</v>
      </c>
      <c r="H1042" s="18" t="n">
        <v>2705</v>
      </c>
      <c r="I1042" s="18" t="n">
        <v>113</v>
      </c>
      <c r="J1042" s="18" t="n">
        <v>112</v>
      </c>
      <c r="K1042" s="18" t="n">
        <v>0.00799027820271191</v>
      </c>
      <c r="L1042" s="18" t="n">
        <v>0.0180668889871232</v>
      </c>
      <c r="M1042" s="18" t="n">
        <v>0.44226087891539</v>
      </c>
      <c r="N1042" s="18" t="n">
        <v>11.110981917441</v>
      </c>
      <c r="O1042" s="18" t="n">
        <v>0.666785772044634</v>
      </c>
      <c r="P1042" s="18"/>
      <c r="Q1042" s="18"/>
      <c r="R1042" s="18"/>
      <c r="S1042" s="18"/>
      <c r="T1042" s="18"/>
      <c r="U1042" s="18"/>
      <c r="V1042" s="18"/>
      <c r="W1042" s="18"/>
      <c r="X1042" s="18"/>
      <c r="Y1042" s="18"/>
      <c r="Z1042" s="18"/>
      <c r="AA1042" s="18"/>
      <c r="AB1042" s="18"/>
      <c r="AC1042" s="18"/>
      <c r="AD1042" s="18"/>
      <c r="AE1042" s="18"/>
      <c r="AF1042" s="18"/>
      <c r="AG1042" s="18"/>
      <c r="AH1042" s="18" t="s">
        <v>402</v>
      </c>
      <c r="AI1042" s="18"/>
      <c r="AJ1042" s="18" t="s">
        <v>1588</v>
      </c>
    </row>
    <row r="1043" customFormat="false" ht="15" hidden="false" customHeight="false" outlineLevel="0" collapsed="false">
      <c r="A1043" s="18" t="s">
        <v>273</v>
      </c>
      <c r="B1043" s="18" t="s">
        <v>557</v>
      </c>
      <c r="C1043" s="18" t="s">
        <v>1524</v>
      </c>
      <c r="D1043" s="18" t="s">
        <v>324</v>
      </c>
      <c r="E1043" s="18" t="s">
        <v>404</v>
      </c>
      <c r="F1043" s="18" t="s">
        <v>401</v>
      </c>
      <c r="G1043" s="18" t="n">
        <v>0.8</v>
      </c>
      <c r="H1043" s="18" t="n">
        <v>2705</v>
      </c>
      <c r="I1043" s="18" t="n">
        <v>113</v>
      </c>
      <c r="J1043" s="18" t="n">
        <v>112</v>
      </c>
      <c r="K1043" s="18" t="n">
        <v>0.00347014376425422</v>
      </c>
      <c r="L1043" s="18" t="n">
        <v>0.0224911948974486</v>
      </c>
      <c r="M1043" s="18" t="n">
        <v>0.154288990872951</v>
      </c>
      <c r="N1043" s="18" t="n">
        <v>18.7621685069789</v>
      </c>
      <c r="O1043" s="18" t="n">
        <v>0.879029436397426</v>
      </c>
      <c r="P1043" s="18"/>
      <c r="Q1043" s="18"/>
      <c r="R1043" s="18"/>
      <c r="S1043" s="18"/>
      <c r="T1043" s="18"/>
      <c r="U1043" s="18"/>
      <c r="V1043" s="18"/>
      <c r="W1043" s="18"/>
      <c r="X1043" s="18"/>
      <c r="Y1043" s="18"/>
      <c r="Z1043" s="18"/>
      <c r="AA1043" s="18"/>
      <c r="AB1043" s="18"/>
      <c r="AC1043" s="18"/>
      <c r="AD1043" s="18"/>
      <c r="AE1043" s="18"/>
      <c r="AF1043" s="18"/>
      <c r="AG1043" s="18"/>
      <c r="AH1043" s="18" t="s">
        <v>402</v>
      </c>
      <c r="AI1043" s="18"/>
      <c r="AJ1043" s="18" t="s">
        <v>1589</v>
      </c>
    </row>
    <row r="1044" customFormat="false" ht="15" hidden="false" customHeight="false" outlineLevel="0" collapsed="false">
      <c r="A1044" s="18" t="s">
        <v>273</v>
      </c>
      <c r="B1044" s="18" t="s">
        <v>559</v>
      </c>
      <c r="C1044" s="18" t="s">
        <v>1524</v>
      </c>
      <c r="D1044" s="18" t="s">
        <v>324</v>
      </c>
      <c r="E1044" s="18" t="s">
        <v>404</v>
      </c>
      <c r="F1044" s="18" t="s">
        <v>401</v>
      </c>
      <c r="G1044" s="18" t="n">
        <v>0.8</v>
      </c>
      <c r="H1044" s="18" t="n">
        <v>2705</v>
      </c>
      <c r="I1044" s="18" t="n">
        <v>113</v>
      </c>
      <c r="J1044" s="18" t="n">
        <v>112</v>
      </c>
      <c r="K1044" s="18" t="n">
        <v>0.00412631392093026</v>
      </c>
      <c r="L1044" s="18" t="n">
        <v>0.0231478154466279</v>
      </c>
      <c r="M1044" s="18" t="n">
        <v>0.178259323452977</v>
      </c>
      <c r="N1044" s="18" t="n">
        <v>15.4316505707784</v>
      </c>
      <c r="O1044" s="18" t="n">
        <v>0.860838416726161</v>
      </c>
      <c r="P1044" s="18"/>
      <c r="Q1044" s="18"/>
      <c r="R1044" s="18"/>
      <c r="S1044" s="18"/>
      <c r="T1044" s="18"/>
      <c r="U1044" s="18"/>
      <c r="V1044" s="18"/>
      <c r="W1044" s="18"/>
      <c r="X1044" s="18"/>
      <c r="Y1044" s="18"/>
      <c r="Z1044" s="18"/>
      <c r="AA1044" s="18"/>
      <c r="AB1044" s="18"/>
      <c r="AC1044" s="18"/>
      <c r="AD1044" s="18"/>
      <c r="AE1044" s="18"/>
      <c r="AF1044" s="18"/>
      <c r="AG1044" s="18"/>
      <c r="AH1044" s="18" t="s">
        <v>402</v>
      </c>
      <c r="AI1044" s="18"/>
      <c r="AJ1044" s="18" t="s">
        <v>1590</v>
      </c>
    </row>
    <row r="1045" customFormat="false" ht="15" hidden="false" customHeight="false" outlineLevel="0" collapsed="false">
      <c r="A1045" s="18" t="s">
        <v>273</v>
      </c>
      <c r="B1045" s="18" t="s">
        <v>561</v>
      </c>
      <c r="C1045" s="18" t="s">
        <v>1524</v>
      </c>
      <c r="D1045" s="18" t="s">
        <v>324</v>
      </c>
      <c r="E1045" s="18" t="s">
        <v>404</v>
      </c>
      <c r="F1045" s="18" t="s">
        <v>401</v>
      </c>
      <c r="G1045" s="18" t="n">
        <v>0.8</v>
      </c>
      <c r="H1045" s="18" t="n">
        <v>2705</v>
      </c>
      <c r="I1045" s="18" t="n">
        <v>113</v>
      </c>
      <c r="J1045" s="18" t="n">
        <v>112</v>
      </c>
      <c r="K1045" s="18" t="n">
        <v>-0.00755065189793695</v>
      </c>
      <c r="L1045" s="18" t="n">
        <v>0.0207659711591059</v>
      </c>
      <c r="M1045" s="18" t="n">
        <v>-0.363606972199131</v>
      </c>
      <c r="N1045" s="18" t="n">
        <v>18.1734453257536</v>
      </c>
      <c r="O1045" s="18" t="n">
        <v>0.720346950243815</v>
      </c>
      <c r="P1045" s="18"/>
      <c r="Q1045" s="18"/>
      <c r="R1045" s="18"/>
      <c r="S1045" s="18"/>
      <c r="T1045" s="18"/>
      <c r="U1045" s="18"/>
      <c r="V1045" s="18"/>
      <c r="W1045" s="18"/>
      <c r="X1045" s="18"/>
      <c r="Y1045" s="18"/>
      <c r="Z1045" s="18"/>
      <c r="AA1045" s="18"/>
      <c r="AB1045" s="18"/>
      <c r="AC1045" s="18"/>
      <c r="AD1045" s="18"/>
      <c r="AE1045" s="18"/>
      <c r="AF1045" s="18"/>
      <c r="AG1045" s="18"/>
      <c r="AH1045" s="18" t="s">
        <v>402</v>
      </c>
      <c r="AI1045" s="18"/>
      <c r="AJ1045" s="18" t="s">
        <v>1591</v>
      </c>
    </row>
    <row r="1046" customFormat="false" ht="15" hidden="false" customHeight="false" outlineLevel="0" collapsed="false">
      <c r="A1046" s="18" t="s">
        <v>273</v>
      </c>
      <c r="B1046" s="18" t="s">
        <v>563</v>
      </c>
      <c r="C1046" s="18" t="s">
        <v>1524</v>
      </c>
      <c r="D1046" s="18" t="s">
        <v>324</v>
      </c>
      <c r="E1046" s="18" t="s">
        <v>404</v>
      </c>
      <c r="F1046" s="18" t="s">
        <v>401</v>
      </c>
      <c r="G1046" s="18" t="n">
        <v>0.8</v>
      </c>
      <c r="H1046" s="18" t="n">
        <v>2705</v>
      </c>
      <c r="I1046" s="18" t="n">
        <v>113</v>
      </c>
      <c r="J1046" s="18" t="n">
        <v>112</v>
      </c>
      <c r="K1046" s="18" t="n">
        <v>0.0389624523266317</v>
      </c>
      <c r="L1046" s="18" t="n">
        <v>0.0263497947144467</v>
      </c>
      <c r="M1046" s="18" t="n">
        <v>1.47866246203694</v>
      </c>
      <c r="N1046" s="18" t="n">
        <v>22.5628886254168</v>
      </c>
      <c r="O1046" s="18" t="n">
        <v>0.153056602642427</v>
      </c>
      <c r="P1046" s="18"/>
      <c r="Q1046" s="18"/>
      <c r="R1046" s="18"/>
      <c r="S1046" s="18"/>
      <c r="T1046" s="18"/>
      <c r="U1046" s="18"/>
      <c r="V1046" s="18"/>
      <c r="W1046" s="18"/>
      <c r="X1046" s="18"/>
      <c r="Y1046" s="18"/>
      <c r="Z1046" s="18"/>
      <c r="AA1046" s="18"/>
      <c r="AB1046" s="18"/>
      <c r="AC1046" s="18"/>
      <c r="AD1046" s="18"/>
      <c r="AE1046" s="18"/>
      <c r="AF1046" s="18"/>
      <c r="AG1046" s="18"/>
      <c r="AH1046" s="18" t="s">
        <v>402</v>
      </c>
      <c r="AI1046" s="18"/>
      <c r="AJ1046" s="18" t="s">
        <v>1592</v>
      </c>
    </row>
    <row r="1047" customFormat="false" ht="15" hidden="false" customHeight="false" outlineLevel="0" collapsed="false">
      <c r="A1047" s="18" t="s">
        <v>273</v>
      </c>
      <c r="B1047" s="18" t="s">
        <v>565</v>
      </c>
      <c r="C1047" s="18" t="s">
        <v>1524</v>
      </c>
      <c r="D1047" s="18" t="s">
        <v>324</v>
      </c>
      <c r="E1047" s="18" t="s">
        <v>404</v>
      </c>
      <c r="F1047" s="18" t="s">
        <v>401</v>
      </c>
      <c r="G1047" s="18" t="n">
        <v>0.8</v>
      </c>
      <c r="H1047" s="18" t="n">
        <v>2705</v>
      </c>
      <c r="I1047" s="18" t="n">
        <v>113</v>
      </c>
      <c r="J1047" s="18" t="n">
        <v>112</v>
      </c>
      <c r="K1047" s="18" t="n">
        <v>0.0204506577447791</v>
      </c>
      <c r="L1047" s="18" t="n">
        <v>0.0219374750271267</v>
      </c>
      <c r="M1047" s="18" t="n">
        <v>0.932224776073406</v>
      </c>
      <c r="N1047" s="18" t="n">
        <v>22.9548298152615</v>
      </c>
      <c r="O1047" s="18" t="n">
        <v>0.360922586945368</v>
      </c>
      <c r="P1047" s="18"/>
      <c r="Q1047" s="18"/>
      <c r="R1047" s="18"/>
      <c r="S1047" s="18"/>
      <c r="T1047" s="18"/>
      <c r="U1047" s="18"/>
      <c r="V1047" s="18"/>
      <c r="W1047" s="18"/>
      <c r="X1047" s="18"/>
      <c r="Y1047" s="18"/>
      <c r="Z1047" s="18"/>
      <c r="AA1047" s="18"/>
      <c r="AB1047" s="18"/>
      <c r="AC1047" s="18"/>
      <c r="AD1047" s="18"/>
      <c r="AE1047" s="18"/>
      <c r="AF1047" s="18"/>
      <c r="AG1047" s="18"/>
      <c r="AH1047" s="18" t="s">
        <v>402</v>
      </c>
      <c r="AI1047" s="18"/>
      <c r="AJ1047" s="18" t="s">
        <v>1593</v>
      </c>
    </row>
    <row r="1048" customFormat="false" ht="15" hidden="false" customHeight="false" outlineLevel="0" collapsed="false">
      <c r="A1048" s="18" t="s">
        <v>273</v>
      </c>
      <c r="B1048" s="18" t="s">
        <v>567</v>
      </c>
      <c r="C1048" s="18" t="s">
        <v>1524</v>
      </c>
      <c r="D1048" s="18" t="s">
        <v>324</v>
      </c>
      <c r="E1048" s="18" t="s">
        <v>404</v>
      </c>
      <c r="F1048" s="18" t="s">
        <v>401</v>
      </c>
      <c r="G1048" s="18" t="n">
        <v>0.8</v>
      </c>
      <c r="H1048" s="18" t="n">
        <v>929</v>
      </c>
      <c r="I1048" s="18" t="n">
        <v>40</v>
      </c>
      <c r="J1048" s="18" t="n">
        <v>40</v>
      </c>
      <c r="K1048" s="18" t="n">
        <v>-0.011741317120668</v>
      </c>
      <c r="L1048" s="18" t="n">
        <v>0.016597404230178</v>
      </c>
      <c r="M1048" s="18" t="n">
        <v>-0.707418880557208</v>
      </c>
      <c r="N1048" s="18" t="n">
        <v>22.2991971462373</v>
      </c>
      <c r="O1048" s="18" t="n">
        <v>0.48663440232479</v>
      </c>
      <c r="P1048" s="18"/>
      <c r="Q1048" s="18"/>
      <c r="R1048" s="18"/>
      <c r="S1048" s="18"/>
      <c r="T1048" s="18"/>
      <c r="U1048" s="18"/>
      <c r="V1048" s="18"/>
      <c r="W1048" s="18"/>
      <c r="X1048" s="18"/>
      <c r="Y1048" s="18"/>
      <c r="Z1048" s="18"/>
      <c r="AA1048" s="18"/>
      <c r="AB1048" s="18"/>
      <c r="AC1048" s="18"/>
      <c r="AD1048" s="18"/>
      <c r="AE1048" s="18"/>
      <c r="AF1048" s="18"/>
      <c r="AG1048" s="18"/>
      <c r="AH1048" s="18" t="s">
        <v>402</v>
      </c>
      <c r="AI1048" s="18"/>
      <c r="AJ1048" s="18" t="s">
        <v>1594</v>
      </c>
    </row>
    <row r="1049" customFormat="false" ht="15" hidden="false" customHeight="false" outlineLevel="0" collapsed="false">
      <c r="A1049" s="18" t="s">
        <v>273</v>
      </c>
      <c r="B1049" s="18" t="s">
        <v>569</v>
      </c>
      <c r="C1049" s="18" t="s">
        <v>1524</v>
      </c>
      <c r="D1049" s="18" t="s">
        <v>324</v>
      </c>
      <c r="E1049" s="18" t="s">
        <v>404</v>
      </c>
      <c r="F1049" s="18" t="s">
        <v>401</v>
      </c>
      <c r="G1049" s="18" t="n">
        <v>0.8</v>
      </c>
      <c r="H1049" s="18" t="n">
        <v>2692</v>
      </c>
      <c r="I1049" s="18" t="n">
        <v>113</v>
      </c>
      <c r="J1049" s="18" t="n">
        <v>112</v>
      </c>
      <c r="K1049" s="18" t="n">
        <v>-0.0139391042394087</v>
      </c>
      <c r="L1049" s="18" t="n">
        <v>0.0105161063782944</v>
      </c>
      <c r="M1049" s="18" t="n">
        <v>-1.32550049780587</v>
      </c>
      <c r="N1049" s="18" t="n">
        <v>40.9578179874076</v>
      </c>
      <c r="O1049" s="18" t="n">
        <v>0.192351512659516</v>
      </c>
      <c r="P1049" s="18"/>
      <c r="Q1049" s="18"/>
      <c r="R1049" s="18"/>
      <c r="S1049" s="18"/>
      <c r="T1049" s="18"/>
      <c r="U1049" s="18"/>
      <c r="V1049" s="18"/>
      <c r="W1049" s="18"/>
      <c r="X1049" s="18"/>
      <c r="Y1049" s="18"/>
      <c r="Z1049" s="18"/>
      <c r="AA1049" s="18"/>
      <c r="AB1049" s="18"/>
      <c r="AC1049" s="18"/>
      <c r="AD1049" s="18"/>
      <c r="AE1049" s="18"/>
      <c r="AF1049" s="18"/>
      <c r="AG1049" s="18"/>
      <c r="AH1049" s="18" t="s">
        <v>402</v>
      </c>
      <c r="AI1049" s="18"/>
      <c r="AJ1049" s="18" t="s">
        <v>1595</v>
      </c>
    </row>
    <row r="1050" customFormat="false" ht="15" hidden="false" customHeight="false" outlineLevel="0" collapsed="false">
      <c r="A1050" s="18" t="s">
        <v>273</v>
      </c>
      <c r="B1050" s="18" t="s">
        <v>571</v>
      </c>
      <c r="C1050" s="18" t="s">
        <v>1524</v>
      </c>
      <c r="D1050" s="18" t="s">
        <v>324</v>
      </c>
      <c r="E1050" s="18" t="s">
        <v>404</v>
      </c>
      <c r="F1050" s="18" t="s">
        <v>401</v>
      </c>
      <c r="G1050" s="18" t="n">
        <v>0.8</v>
      </c>
      <c r="H1050" s="18" t="n">
        <v>2692</v>
      </c>
      <c r="I1050" s="18" t="n">
        <v>113</v>
      </c>
      <c r="J1050" s="18" t="n">
        <v>112</v>
      </c>
      <c r="K1050" s="18" t="n">
        <v>-0.0127451452278685</v>
      </c>
      <c r="L1050" s="18" t="n">
        <v>0.0110896355146183</v>
      </c>
      <c r="M1050" s="18" t="n">
        <v>-1.14928441165338</v>
      </c>
      <c r="N1050" s="18" t="n">
        <v>30.9529468485002</v>
      </c>
      <c r="O1050" s="18" t="n">
        <v>0.259242145874006</v>
      </c>
      <c r="P1050" s="18"/>
      <c r="Q1050" s="18"/>
      <c r="R1050" s="18"/>
      <c r="S1050" s="18"/>
      <c r="T1050" s="18"/>
      <c r="U1050" s="18"/>
      <c r="V1050" s="18"/>
      <c r="W1050" s="18"/>
      <c r="X1050" s="18"/>
      <c r="Y1050" s="18"/>
      <c r="Z1050" s="18"/>
      <c r="AA1050" s="18"/>
      <c r="AB1050" s="18"/>
      <c r="AC1050" s="18"/>
      <c r="AD1050" s="18"/>
      <c r="AE1050" s="18"/>
      <c r="AF1050" s="18"/>
      <c r="AG1050" s="18"/>
      <c r="AH1050" s="18" t="s">
        <v>402</v>
      </c>
      <c r="AI1050" s="18"/>
      <c r="AJ1050" s="18" t="s">
        <v>1596</v>
      </c>
    </row>
    <row r="1051" customFormat="false" ht="15" hidden="false" customHeight="false" outlineLevel="0" collapsed="false">
      <c r="A1051" s="18" t="s">
        <v>273</v>
      </c>
      <c r="B1051" s="18" t="s">
        <v>573</v>
      </c>
      <c r="C1051" s="18" t="s">
        <v>1524</v>
      </c>
      <c r="D1051" s="18" t="s">
        <v>324</v>
      </c>
      <c r="E1051" s="18" t="s">
        <v>404</v>
      </c>
      <c r="F1051" s="18" t="s">
        <v>401</v>
      </c>
      <c r="G1051" s="18" t="n">
        <v>0.8</v>
      </c>
      <c r="H1051" s="18" t="n">
        <v>2692</v>
      </c>
      <c r="I1051" s="18" t="n">
        <v>113</v>
      </c>
      <c r="J1051" s="18" t="n">
        <v>112</v>
      </c>
      <c r="K1051" s="18" t="n">
        <v>0.000759474708116076</v>
      </c>
      <c r="L1051" s="18" t="n">
        <v>0.0107427409387358</v>
      </c>
      <c r="M1051" s="18" t="n">
        <v>0.0706965487157553</v>
      </c>
      <c r="N1051" s="18" t="n">
        <v>34.2964521510371</v>
      </c>
      <c r="O1051" s="18" t="n">
        <v>0.944049907162419</v>
      </c>
      <c r="P1051" s="18"/>
      <c r="Q1051" s="18"/>
      <c r="R1051" s="18"/>
      <c r="S1051" s="18"/>
      <c r="T1051" s="18"/>
      <c r="U1051" s="18"/>
      <c r="V1051" s="18"/>
      <c r="W1051" s="18"/>
      <c r="X1051" s="18"/>
      <c r="Y1051" s="18"/>
      <c r="Z1051" s="18"/>
      <c r="AA1051" s="18"/>
      <c r="AB1051" s="18"/>
      <c r="AC1051" s="18"/>
      <c r="AD1051" s="18"/>
      <c r="AE1051" s="18"/>
      <c r="AF1051" s="18"/>
      <c r="AG1051" s="18"/>
      <c r="AH1051" s="18" t="s">
        <v>402</v>
      </c>
      <c r="AI1051" s="18"/>
      <c r="AJ1051" s="18" t="s">
        <v>1597</v>
      </c>
    </row>
    <row r="1052" customFormat="false" ht="15" hidden="false" customHeight="false" outlineLevel="0" collapsed="false">
      <c r="A1052" s="18" t="s">
        <v>273</v>
      </c>
      <c r="B1052" s="18" t="s">
        <v>575</v>
      </c>
      <c r="C1052" s="18" t="s">
        <v>1524</v>
      </c>
      <c r="D1052" s="18" t="s">
        <v>324</v>
      </c>
      <c r="E1052" s="18" t="s">
        <v>404</v>
      </c>
      <c r="F1052" s="18" t="s">
        <v>401</v>
      </c>
      <c r="G1052" s="18" t="n">
        <v>0.8</v>
      </c>
      <c r="H1052" s="18" t="n">
        <v>2692</v>
      </c>
      <c r="I1052" s="18" t="n">
        <v>113</v>
      </c>
      <c r="J1052" s="18" t="n">
        <v>112</v>
      </c>
      <c r="K1052" s="18" t="n">
        <v>-0.0129685488589655</v>
      </c>
      <c r="L1052" s="18" t="n">
        <v>0.0115363038810711</v>
      </c>
      <c r="M1052" s="18" t="n">
        <v>-1.12415111396679</v>
      </c>
      <c r="N1052" s="18" t="n">
        <v>27.057351372064</v>
      </c>
      <c r="O1052" s="18" t="n">
        <v>0.270823651072771</v>
      </c>
      <c r="P1052" s="18"/>
      <c r="Q1052" s="18"/>
      <c r="R1052" s="18"/>
      <c r="S1052" s="18"/>
      <c r="T1052" s="18"/>
      <c r="U1052" s="18"/>
      <c r="V1052" s="18"/>
      <c r="W1052" s="18"/>
      <c r="X1052" s="18"/>
      <c r="Y1052" s="18"/>
      <c r="Z1052" s="18"/>
      <c r="AA1052" s="18"/>
      <c r="AB1052" s="18"/>
      <c r="AC1052" s="18"/>
      <c r="AD1052" s="18"/>
      <c r="AE1052" s="18"/>
      <c r="AF1052" s="18"/>
      <c r="AG1052" s="18"/>
      <c r="AH1052" s="18" t="s">
        <v>402</v>
      </c>
      <c r="AI1052" s="18"/>
      <c r="AJ1052" s="18" t="s">
        <v>1598</v>
      </c>
    </row>
    <row r="1053" customFormat="false" ht="15" hidden="false" customHeight="false" outlineLevel="0" collapsed="false">
      <c r="A1053" s="18" t="s">
        <v>273</v>
      </c>
      <c r="B1053" s="18" t="s">
        <v>577</v>
      </c>
      <c r="C1053" s="18" t="s">
        <v>1524</v>
      </c>
      <c r="D1053" s="18" t="s">
        <v>324</v>
      </c>
      <c r="E1053" s="18" t="s">
        <v>404</v>
      </c>
      <c r="F1053" s="18" t="s">
        <v>401</v>
      </c>
      <c r="G1053" s="18" t="n">
        <v>0.8</v>
      </c>
      <c r="H1053" s="18" t="n">
        <v>2692</v>
      </c>
      <c r="I1053" s="18" t="n">
        <v>113</v>
      </c>
      <c r="J1053" s="18" t="n">
        <v>112</v>
      </c>
      <c r="K1053" s="18" t="n">
        <v>-0.0132879155586414</v>
      </c>
      <c r="L1053" s="18" t="n">
        <v>0.0150325296028978</v>
      </c>
      <c r="M1053" s="18" t="n">
        <v>-0.883944080581081</v>
      </c>
      <c r="N1053" s="18" t="n">
        <v>17.5154939425463</v>
      </c>
      <c r="O1053" s="18" t="n">
        <v>0.388698883118978</v>
      </c>
      <c r="P1053" s="18"/>
      <c r="Q1053" s="18"/>
      <c r="R1053" s="18"/>
      <c r="S1053" s="18"/>
      <c r="T1053" s="18"/>
      <c r="U1053" s="18"/>
      <c r="V1053" s="18"/>
      <c r="W1053" s="18"/>
      <c r="X1053" s="18"/>
      <c r="Y1053" s="18"/>
      <c r="Z1053" s="18"/>
      <c r="AA1053" s="18"/>
      <c r="AB1053" s="18"/>
      <c r="AC1053" s="18"/>
      <c r="AD1053" s="18"/>
      <c r="AE1053" s="18"/>
      <c r="AF1053" s="18"/>
      <c r="AG1053" s="18"/>
      <c r="AH1053" s="18" t="s">
        <v>402</v>
      </c>
      <c r="AI1053" s="18"/>
      <c r="AJ1053" s="18" t="s">
        <v>1599</v>
      </c>
    </row>
    <row r="1054" customFormat="false" ht="15" hidden="false" customHeight="false" outlineLevel="0" collapsed="false">
      <c r="A1054" s="18" t="s">
        <v>273</v>
      </c>
      <c r="B1054" s="18" t="s">
        <v>579</v>
      </c>
      <c r="C1054" s="18" t="s">
        <v>1524</v>
      </c>
      <c r="D1054" s="18" t="s">
        <v>324</v>
      </c>
      <c r="E1054" s="18" t="s">
        <v>404</v>
      </c>
      <c r="F1054" s="18" t="s">
        <v>401</v>
      </c>
      <c r="G1054" s="18" t="n">
        <v>0.8</v>
      </c>
      <c r="H1054" s="18" t="n">
        <v>2692</v>
      </c>
      <c r="I1054" s="18" t="n">
        <v>113</v>
      </c>
      <c r="J1054" s="18" t="n">
        <v>112</v>
      </c>
      <c r="K1054" s="18" t="n">
        <v>-0.0139397485069984</v>
      </c>
      <c r="L1054" s="18" t="n">
        <v>0.0163381268301938</v>
      </c>
      <c r="M1054" s="18" t="n">
        <v>-0.853203592546295</v>
      </c>
      <c r="N1054" s="18" t="n">
        <v>14.3953670351315</v>
      </c>
      <c r="O1054" s="18" t="n">
        <v>0.407519346150953</v>
      </c>
      <c r="P1054" s="18"/>
      <c r="Q1054" s="18"/>
      <c r="R1054" s="18"/>
      <c r="S1054" s="18"/>
      <c r="T1054" s="18"/>
      <c r="U1054" s="18"/>
      <c r="V1054" s="18"/>
      <c r="W1054" s="18"/>
      <c r="X1054" s="18"/>
      <c r="Y1054" s="18"/>
      <c r="Z1054" s="18"/>
      <c r="AA1054" s="18"/>
      <c r="AB1054" s="18"/>
      <c r="AC1054" s="18"/>
      <c r="AD1054" s="18"/>
      <c r="AE1054" s="18"/>
      <c r="AF1054" s="18"/>
      <c r="AG1054" s="18"/>
      <c r="AH1054" s="18" t="s">
        <v>402</v>
      </c>
      <c r="AI1054" s="18"/>
      <c r="AJ1054" s="18" t="s">
        <v>1600</v>
      </c>
    </row>
    <row r="1055" customFormat="false" ht="15" hidden="false" customHeight="false" outlineLevel="0" collapsed="false">
      <c r="A1055" s="18" t="s">
        <v>273</v>
      </c>
      <c r="B1055" s="18" t="s">
        <v>581</v>
      </c>
      <c r="C1055" s="18" t="s">
        <v>1524</v>
      </c>
      <c r="D1055" s="18" t="s">
        <v>324</v>
      </c>
      <c r="E1055" s="18" t="s">
        <v>404</v>
      </c>
      <c r="F1055" s="18" t="s">
        <v>401</v>
      </c>
      <c r="G1055" s="18" t="n">
        <v>0.8</v>
      </c>
      <c r="H1055" s="18" t="n">
        <v>2692</v>
      </c>
      <c r="I1055" s="18" t="n">
        <v>113</v>
      </c>
      <c r="J1055" s="18" t="n">
        <v>112</v>
      </c>
      <c r="K1055" s="18" t="n">
        <v>0.0016715838681081</v>
      </c>
      <c r="L1055" s="18" t="n">
        <v>0.00915897099270902</v>
      </c>
      <c r="M1055" s="18" t="n">
        <v>0.182507824234706</v>
      </c>
      <c r="N1055" s="18" t="n">
        <v>46.6519313553175</v>
      </c>
      <c r="O1055" s="18" t="n">
        <v>0.855975013022794</v>
      </c>
      <c r="P1055" s="18"/>
      <c r="Q1055" s="18"/>
      <c r="R1055" s="18"/>
      <c r="S1055" s="18"/>
      <c r="T1055" s="18"/>
      <c r="U1055" s="18"/>
      <c r="V1055" s="18"/>
      <c r="W1055" s="18"/>
      <c r="X1055" s="18"/>
      <c r="Y1055" s="18"/>
      <c r="Z1055" s="18"/>
      <c r="AA1055" s="18"/>
      <c r="AB1055" s="18"/>
      <c r="AC1055" s="18"/>
      <c r="AD1055" s="18"/>
      <c r="AE1055" s="18"/>
      <c r="AF1055" s="18"/>
      <c r="AG1055" s="18"/>
      <c r="AH1055" s="18" t="s">
        <v>402</v>
      </c>
      <c r="AI1055" s="18"/>
      <c r="AJ1055" s="18" t="s">
        <v>1601</v>
      </c>
    </row>
    <row r="1056" customFormat="false" ht="15" hidden="false" customHeight="false" outlineLevel="0" collapsed="false">
      <c r="A1056" s="18" t="s">
        <v>273</v>
      </c>
      <c r="B1056" s="18" t="s">
        <v>583</v>
      </c>
      <c r="C1056" s="18" t="s">
        <v>1524</v>
      </c>
      <c r="D1056" s="18" t="s">
        <v>324</v>
      </c>
      <c r="E1056" s="18" t="s">
        <v>404</v>
      </c>
      <c r="F1056" s="18" t="s">
        <v>401</v>
      </c>
      <c r="G1056" s="18" t="n">
        <v>0.8</v>
      </c>
      <c r="H1056" s="18" t="n">
        <v>2692</v>
      </c>
      <c r="I1056" s="18" t="n">
        <v>113</v>
      </c>
      <c r="J1056" s="18" t="n">
        <v>112</v>
      </c>
      <c r="K1056" s="18" t="n">
        <v>0.00982111553535297</v>
      </c>
      <c r="L1056" s="18" t="n">
        <v>0.00885733307409286</v>
      </c>
      <c r="M1056" s="18" t="n">
        <v>1.1088118119978</v>
      </c>
      <c r="N1056" s="18" t="n">
        <v>62.5646090205676</v>
      </c>
      <c r="O1056" s="18" t="n">
        <v>0.271755534984389</v>
      </c>
      <c r="P1056" s="18"/>
      <c r="Q1056" s="18"/>
      <c r="R1056" s="18"/>
      <c r="S1056" s="18"/>
      <c r="T1056" s="18"/>
      <c r="U1056" s="18"/>
      <c r="V1056" s="18"/>
      <c r="W1056" s="18"/>
      <c r="X1056" s="18"/>
      <c r="Y1056" s="18"/>
      <c r="Z1056" s="18"/>
      <c r="AA1056" s="18"/>
      <c r="AB1056" s="18"/>
      <c r="AC1056" s="18"/>
      <c r="AD1056" s="18"/>
      <c r="AE1056" s="18"/>
      <c r="AF1056" s="18"/>
      <c r="AG1056" s="18"/>
      <c r="AH1056" s="18" t="s">
        <v>402</v>
      </c>
      <c r="AI1056" s="18"/>
      <c r="AJ1056" s="18" t="s">
        <v>1602</v>
      </c>
    </row>
    <row r="1057" customFormat="false" ht="15" hidden="false" customHeight="false" outlineLevel="0" collapsed="false">
      <c r="A1057" s="18" t="s">
        <v>273</v>
      </c>
      <c r="B1057" s="18" t="s">
        <v>585</v>
      </c>
      <c r="C1057" s="18" t="s">
        <v>1524</v>
      </c>
      <c r="D1057" s="18" t="s">
        <v>324</v>
      </c>
      <c r="E1057" s="18" t="s">
        <v>404</v>
      </c>
      <c r="F1057" s="18" t="s">
        <v>401</v>
      </c>
      <c r="G1057" s="18" t="n">
        <v>0.8</v>
      </c>
      <c r="H1057" s="18" t="n">
        <v>2692</v>
      </c>
      <c r="I1057" s="18" t="n">
        <v>113</v>
      </c>
      <c r="J1057" s="18" t="n">
        <v>112</v>
      </c>
      <c r="K1057" s="18" t="n">
        <v>-0.00149108361634433</v>
      </c>
      <c r="L1057" s="18" t="n">
        <v>0.00907528311054591</v>
      </c>
      <c r="M1057" s="18" t="n">
        <v>-0.164301608906462</v>
      </c>
      <c r="N1057" s="18" t="n">
        <v>71.9523391007781</v>
      </c>
      <c r="O1057" s="18" t="n">
        <v>0.8699543969161</v>
      </c>
      <c r="P1057" s="18"/>
      <c r="Q1057" s="18"/>
      <c r="R1057" s="18"/>
      <c r="S1057" s="18"/>
      <c r="T1057" s="18"/>
      <c r="U1057" s="18"/>
      <c r="V1057" s="18"/>
      <c r="W1057" s="18"/>
      <c r="X1057" s="18"/>
      <c r="Y1057" s="18"/>
      <c r="Z1057" s="18"/>
      <c r="AA1057" s="18"/>
      <c r="AB1057" s="18"/>
      <c r="AC1057" s="18"/>
      <c r="AD1057" s="18"/>
      <c r="AE1057" s="18"/>
      <c r="AF1057" s="18"/>
      <c r="AG1057" s="18"/>
      <c r="AH1057" s="18" t="s">
        <v>402</v>
      </c>
      <c r="AI1057" s="18"/>
      <c r="AJ1057" s="18" t="s">
        <v>1603</v>
      </c>
    </row>
    <row r="1058" customFormat="false" ht="15" hidden="false" customHeight="false" outlineLevel="0" collapsed="false">
      <c r="A1058" s="18" t="s">
        <v>273</v>
      </c>
      <c r="B1058" s="18" t="s">
        <v>587</v>
      </c>
      <c r="C1058" s="18" t="s">
        <v>1524</v>
      </c>
      <c r="D1058" s="18" t="s">
        <v>324</v>
      </c>
      <c r="E1058" s="18" t="s">
        <v>404</v>
      </c>
      <c r="F1058" s="18" t="s">
        <v>401</v>
      </c>
      <c r="G1058" s="18" t="n">
        <v>0.8</v>
      </c>
      <c r="H1058" s="18" t="n">
        <v>924</v>
      </c>
      <c r="I1058" s="18" t="n">
        <v>40</v>
      </c>
      <c r="J1058" s="18" t="n">
        <v>40</v>
      </c>
      <c r="K1058" s="18" t="n">
        <v>-0.0212812819029808</v>
      </c>
      <c r="L1058" s="18" t="n">
        <v>0.0197442856616662</v>
      </c>
      <c r="M1058" s="18" t="n">
        <v>-1.07784511770404</v>
      </c>
      <c r="N1058" s="18" t="n">
        <v>23.6947748131017</v>
      </c>
      <c r="O1058" s="18" t="n">
        <v>0.291954149359117</v>
      </c>
      <c r="P1058" s="18"/>
      <c r="Q1058" s="18"/>
      <c r="R1058" s="18"/>
      <c r="S1058" s="18"/>
      <c r="T1058" s="18"/>
      <c r="U1058" s="18"/>
      <c r="V1058" s="18"/>
      <c r="W1058" s="18"/>
      <c r="X1058" s="18"/>
      <c r="Y1058" s="18"/>
      <c r="Z1058" s="18"/>
      <c r="AA1058" s="18"/>
      <c r="AB1058" s="18"/>
      <c r="AC1058" s="18"/>
      <c r="AD1058" s="18"/>
      <c r="AE1058" s="18"/>
      <c r="AF1058" s="18"/>
      <c r="AG1058" s="18"/>
      <c r="AH1058" s="18" t="s">
        <v>402</v>
      </c>
      <c r="AI1058" s="18"/>
      <c r="AJ1058" s="18" t="s">
        <v>1604</v>
      </c>
    </row>
    <row r="1059" customFormat="false" ht="15" hidden="false" customHeight="false" outlineLevel="0" collapsed="false">
      <c r="A1059" s="18" t="s">
        <v>273</v>
      </c>
      <c r="B1059" s="18" t="s">
        <v>589</v>
      </c>
      <c r="C1059" s="18" t="s">
        <v>1524</v>
      </c>
      <c r="D1059" s="18" t="s">
        <v>324</v>
      </c>
      <c r="E1059" s="18" t="s">
        <v>404</v>
      </c>
      <c r="F1059" s="18" t="s">
        <v>401</v>
      </c>
      <c r="G1059" s="18" t="n">
        <v>0.8</v>
      </c>
      <c r="H1059" s="18" t="n">
        <v>2705</v>
      </c>
      <c r="I1059" s="18" t="n">
        <v>113</v>
      </c>
      <c r="J1059" s="18" t="n">
        <v>112</v>
      </c>
      <c r="K1059" s="18" t="n">
        <v>-0.0103926298873594</v>
      </c>
      <c r="L1059" s="18" t="n">
        <v>0.0109564582368696</v>
      </c>
      <c r="M1059" s="18" t="n">
        <v>-0.948539177778011</v>
      </c>
      <c r="N1059" s="18" t="n">
        <v>37.3740693304405</v>
      </c>
      <c r="O1059" s="18" t="n">
        <v>0.348948437193826</v>
      </c>
      <c r="P1059" s="18"/>
      <c r="Q1059" s="18"/>
      <c r="R1059" s="18"/>
      <c r="S1059" s="18"/>
      <c r="T1059" s="18"/>
      <c r="U1059" s="18"/>
      <c r="V1059" s="18"/>
      <c r="W1059" s="18"/>
      <c r="X1059" s="18"/>
      <c r="Y1059" s="18"/>
      <c r="Z1059" s="18"/>
      <c r="AA1059" s="18"/>
      <c r="AB1059" s="18"/>
      <c r="AC1059" s="18"/>
      <c r="AD1059" s="18"/>
      <c r="AE1059" s="18"/>
      <c r="AF1059" s="18"/>
      <c r="AG1059" s="18"/>
      <c r="AH1059" s="18" t="s">
        <v>402</v>
      </c>
      <c r="AI1059" s="18"/>
      <c r="AJ1059" s="18" t="s">
        <v>1605</v>
      </c>
    </row>
    <row r="1060" customFormat="false" ht="15" hidden="false" customHeight="false" outlineLevel="0" collapsed="false">
      <c r="A1060" s="18" t="s">
        <v>273</v>
      </c>
      <c r="B1060" s="18" t="s">
        <v>591</v>
      </c>
      <c r="C1060" s="18" t="s">
        <v>1524</v>
      </c>
      <c r="D1060" s="18" t="s">
        <v>324</v>
      </c>
      <c r="E1060" s="18" t="s">
        <v>404</v>
      </c>
      <c r="F1060" s="18" t="s">
        <v>401</v>
      </c>
      <c r="G1060" s="18" t="n">
        <v>0.8</v>
      </c>
      <c r="H1060" s="18" t="n">
        <v>2705</v>
      </c>
      <c r="I1060" s="18" t="n">
        <v>113</v>
      </c>
      <c r="J1060" s="18" t="n">
        <v>112</v>
      </c>
      <c r="K1060" s="18" t="n">
        <v>-0.00826946035401937</v>
      </c>
      <c r="L1060" s="18" t="n">
        <v>0.0113059500177734</v>
      </c>
      <c r="M1060" s="18" t="n">
        <v>-0.731425518511884</v>
      </c>
      <c r="N1060" s="18" t="n">
        <v>28.4623012887251</v>
      </c>
      <c r="O1060" s="18" t="n">
        <v>0.470498773459459</v>
      </c>
      <c r="P1060" s="18"/>
      <c r="Q1060" s="18"/>
      <c r="R1060" s="18"/>
      <c r="S1060" s="18"/>
      <c r="T1060" s="18"/>
      <c r="U1060" s="18"/>
      <c r="V1060" s="18"/>
      <c r="W1060" s="18"/>
      <c r="X1060" s="18"/>
      <c r="Y1060" s="18"/>
      <c r="Z1060" s="18"/>
      <c r="AA1060" s="18"/>
      <c r="AB1060" s="18"/>
      <c r="AC1060" s="18"/>
      <c r="AD1060" s="18"/>
      <c r="AE1060" s="18"/>
      <c r="AF1060" s="18"/>
      <c r="AG1060" s="18"/>
      <c r="AH1060" s="18" t="s">
        <v>402</v>
      </c>
      <c r="AI1060" s="18"/>
      <c r="AJ1060" s="18" t="s">
        <v>1606</v>
      </c>
    </row>
    <row r="1061" customFormat="false" ht="15" hidden="false" customHeight="false" outlineLevel="0" collapsed="false">
      <c r="A1061" s="18" t="s">
        <v>273</v>
      </c>
      <c r="B1061" s="18" t="s">
        <v>593</v>
      </c>
      <c r="C1061" s="18" t="s">
        <v>1524</v>
      </c>
      <c r="D1061" s="18" t="s">
        <v>324</v>
      </c>
      <c r="E1061" s="18" t="s">
        <v>404</v>
      </c>
      <c r="F1061" s="18" t="s">
        <v>401</v>
      </c>
      <c r="G1061" s="18" t="n">
        <v>0.8</v>
      </c>
      <c r="H1061" s="18" t="n">
        <v>2705</v>
      </c>
      <c r="I1061" s="18" t="n">
        <v>113</v>
      </c>
      <c r="J1061" s="18" t="n">
        <v>112</v>
      </c>
      <c r="K1061" s="18" t="n">
        <v>0.00184083590244058</v>
      </c>
      <c r="L1061" s="18" t="n">
        <v>0.0104979392490842</v>
      </c>
      <c r="M1061" s="18" t="n">
        <v>0.1753521199507</v>
      </c>
      <c r="N1061" s="18" t="n">
        <v>35.2051420376602</v>
      </c>
      <c r="O1061" s="18" t="n">
        <v>0.861807642658329</v>
      </c>
      <c r="P1061" s="18"/>
      <c r="Q1061" s="18"/>
      <c r="R1061" s="18"/>
      <c r="S1061" s="18"/>
      <c r="T1061" s="18"/>
      <c r="U1061" s="18"/>
      <c r="V1061" s="18"/>
      <c r="W1061" s="18"/>
      <c r="X1061" s="18"/>
      <c r="Y1061" s="18"/>
      <c r="Z1061" s="18"/>
      <c r="AA1061" s="18"/>
      <c r="AB1061" s="18"/>
      <c r="AC1061" s="18"/>
      <c r="AD1061" s="18"/>
      <c r="AE1061" s="18"/>
      <c r="AF1061" s="18"/>
      <c r="AG1061" s="18"/>
      <c r="AH1061" s="18" t="s">
        <v>402</v>
      </c>
      <c r="AI1061" s="18"/>
      <c r="AJ1061" s="18" t="s">
        <v>1607</v>
      </c>
    </row>
    <row r="1062" customFormat="false" ht="15" hidden="false" customHeight="false" outlineLevel="0" collapsed="false">
      <c r="A1062" s="18" t="s">
        <v>273</v>
      </c>
      <c r="B1062" s="18" t="s">
        <v>595</v>
      </c>
      <c r="C1062" s="18" t="s">
        <v>1524</v>
      </c>
      <c r="D1062" s="18" t="s">
        <v>324</v>
      </c>
      <c r="E1062" s="18" t="s">
        <v>404</v>
      </c>
      <c r="F1062" s="18" t="s">
        <v>401</v>
      </c>
      <c r="G1062" s="18" t="n">
        <v>0.8</v>
      </c>
      <c r="H1062" s="18" t="n">
        <v>2705</v>
      </c>
      <c r="I1062" s="18" t="n">
        <v>113</v>
      </c>
      <c r="J1062" s="18" t="n">
        <v>112</v>
      </c>
      <c r="K1062" s="18" t="n">
        <v>-0.0086986856771997</v>
      </c>
      <c r="L1062" s="18" t="n">
        <v>0.0117884838959531</v>
      </c>
      <c r="M1062" s="18" t="n">
        <v>-0.737896896155229</v>
      </c>
      <c r="N1062" s="18" t="n">
        <v>24.8341171551473</v>
      </c>
      <c r="O1062" s="18" t="n">
        <v>0.467493025919769</v>
      </c>
      <c r="P1062" s="18"/>
      <c r="Q1062" s="18"/>
      <c r="R1062" s="18"/>
      <c r="S1062" s="18"/>
      <c r="T1062" s="18"/>
      <c r="U1062" s="18"/>
      <c r="V1062" s="18"/>
      <c r="W1062" s="18"/>
      <c r="X1062" s="18"/>
      <c r="Y1062" s="18"/>
      <c r="Z1062" s="18"/>
      <c r="AA1062" s="18"/>
      <c r="AB1062" s="18"/>
      <c r="AC1062" s="18"/>
      <c r="AD1062" s="18"/>
      <c r="AE1062" s="18"/>
      <c r="AF1062" s="18"/>
      <c r="AG1062" s="18"/>
      <c r="AH1062" s="18" t="s">
        <v>402</v>
      </c>
      <c r="AI1062" s="18"/>
      <c r="AJ1062" s="18" t="s">
        <v>1608</v>
      </c>
    </row>
    <row r="1063" customFormat="false" ht="15" hidden="false" customHeight="false" outlineLevel="0" collapsed="false">
      <c r="A1063" s="18" t="s">
        <v>273</v>
      </c>
      <c r="B1063" s="18" t="s">
        <v>597</v>
      </c>
      <c r="C1063" s="18" t="s">
        <v>1524</v>
      </c>
      <c r="D1063" s="18" t="s">
        <v>324</v>
      </c>
      <c r="E1063" s="18" t="s">
        <v>404</v>
      </c>
      <c r="F1063" s="18" t="s">
        <v>401</v>
      </c>
      <c r="G1063" s="18" t="n">
        <v>0.8</v>
      </c>
      <c r="H1063" s="18" t="n">
        <v>2705</v>
      </c>
      <c r="I1063" s="18" t="n">
        <v>113</v>
      </c>
      <c r="J1063" s="18" t="n">
        <v>112</v>
      </c>
      <c r="K1063" s="18" t="n">
        <v>-0.00971188470887131</v>
      </c>
      <c r="L1063" s="18" t="n">
        <v>0.0152546996818157</v>
      </c>
      <c r="M1063" s="18" t="n">
        <v>-0.63664869918405</v>
      </c>
      <c r="N1063" s="18" t="n">
        <v>17.6858367726132</v>
      </c>
      <c r="O1063" s="18" t="n">
        <v>0.532508134032366</v>
      </c>
      <c r="P1063" s="18"/>
      <c r="Q1063" s="18"/>
      <c r="R1063" s="18"/>
      <c r="S1063" s="18"/>
      <c r="T1063" s="18"/>
      <c r="U1063" s="18"/>
      <c r="V1063" s="18"/>
      <c r="W1063" s="18"/>
      <c r="X1063" s="18"/>
      <c r="Y1063" s="18"/>
      <c r="Z1063" s="18"/>
      <c r="AA1063" s="18"/>
      <c r="AB1063" s="18"/>
      <c r="AC1063" s="18"/>
      <c r="AD1063" s="18"/>
      <c r="AE1063" s="18"/>
      <c r="AF1063" s="18"/>
      <c r="AG1063" s="18"/>
      <c r="AH1063" s="18" t="s">
        <v>402</v>
      </c>
      <c r="AI1063" s="18"/>
      <c r="AJ1063" s="18" t="s">
        <v>1609</v>
      </c>
    </row>
    <row r="1064" customFormat="false" ht="15" hidden="false" customHeight="false" outlineLevel="0" collapsed="false">
      <c r="A1064" s="18" t="s">
        <v>273</v>
      </c>
      <c r="B1064" s="18" t="s">
        <v>599</v>
      </c>
      <c r="C1064" s="18" t="s">
        <v>1524</v>
      </c>
      <c r="D1064" s="18" t="s">
        <v>324</v>
      </c>
      <c r="E1064" s="18" t="s">
        <v>404</v>
      </c>
      <c r="F1064" s="18" t="s">
        <v>401</v>
      </c>
      <c r="G1064" s="18" t="n">
        <v>0.8</v>
      </c>
      <c r="H1064" s="18" t="n">
        <v>2705</v>
      </c>
      <c r="I1064" s="18" t="n">
        <v>113</v>
      </c>
      <c r="J1064" s="18" t="n">
        <v>112</v>
      </c>
      <c r="K1064" s="18" t="n">
        <v>-0.0101488562412991</v>
      </c>
      <c r="L1064" s="18" t="n">
        <v>0.0166195739503561</v>
      </c>
      <c r="M1064" s="18" t="n">
        <v>-0.610656823791905</v>
      </c>
      <c r="N1064" s="18" t="n">
        <v>14.5346454169799</v>
      </c>
      <c r="O1064" s="18" t="n">
        <v>0.550857142866717</v>
      </c>
      <c r="P1064" s="18"/>
      <c r="Q1064" s="18"/>
      <c r="R1064" s="18"/>
      <c r="S1064" s="18"/>
      <c r="T1064" s="18"/>
      <c r="U1064" s="18"/>
      <c r="V1064" s="18"/>
      <c r="W1064" s="18"/>
      <c r="X1064" s="18"/>
      <c r="Y1064" s="18"/>
      <c r="Z1064" s="18"/>
      <c r="AA1064" s="18"/>
      <c r="AB1064" s="18"/>
      <c r="AC1064" s="18"/>
      <c r="AD1064" s="18"/>
      <c r="AE1064" s="18"/>
      <c r="AF1064" s="18"/>
      <c r="AG1064" s="18"/>
      <c r="AH1064" s="18" t="s">
        <v>402</v>
      </c>
      <c r="AI1064" s="18"/>
      <c r="AJ1064" s="18" t="s">
        <v>1610</v>
      </c>
    </row>
    <row r="1065" customFormat="false" ht="15" hidden="false" customHeight="false" outlineLevel="0" collapsed="false">
      <c r="A1065" s="18" t="s">
        <v>273</v>
      </c>
      <c r="B1065" s="18" t="s">
        <v>601</v>
      </c>
      <c r="C1065" s="18" t="s">
        <v>1524</v>
      </c>
      <c r="D1065" s="18" t="s">
        <v>324</v>
      </c>
      <c r="E1065" s="18" t="s">
        <v>404</v>
      </c>
      <c r="F1065" s="18" t="s">
        <v>401</v>
      </c>
      <c r="G1065" s="18" t="n">
        <v>0.8</v>
      </c>
      <c r="H1065" s="18" t="n">
        <v>2705</v>
      </c>
      <c r="I1065" s="18" t="n">
        <v>113</v>
      </c>
      <c r="J1065" s="18" t="n">
        <v>112</v>
      </c>
      <c r="K1065" s="18" t="n">
        <v>0.00449817870311329</v>
      </c>
      <c r="L1065" s="18" t="n">
        <v>0.00936672154821764</v>
      </c>
      <c r="M1065" s="18" t="n">
        <v>0.480229787974132</v>
      </c>
      <c r="N1065" s="18" t="n">
        <v>42.3835428788072</v>
      </c>
      <c r="O1065" s="18" t="n">
        <v>0.633533378995776</v>
      </c>
      <c r="P1065" s="18"/>
      <c r="Q1065" s="18"/>
      <c r="R1065" s="18"/>
      <c r="S1065" s="18"/>
      <c r="T1065" s="18"/>
      <c r="U1065" s="18"/>
      <c r="V1065" s="18"/>
      <c r="W1065" s="18"/>
      <c r="X1065" s="18"/>
      <c r="Y1065" s="18"/>
      <c r="Z1065" s="18"/>
      <c r="AA1065" s="18"/>
      <c r="AB1065" s="18"/>
      <c r="AC1065" s="18"/>
      <c r="AD1065" s="18"/>
      <c r="AE1065" s="18"/>
      <c r="AF1065" s="18"/>
      <c r="AG1065" s="18"/>
      <c r="AH1065" s="18" t="s">
        <v>402</v>
      </c>
      <c r="AI1065" s="18"/>
      <c r="AJ1065" s="18" t="s">
        <v>1611</v>
      </c>
    </row>
    <row r="1066" customFormat="false" ht="15" hidden="false" customHeight="false" outlineLevel="0" collapsed="false">
      <c r="A1066" s="18" t="s">
        <v>273</v>
      </c>
      <c r="B1066" s="18" t="s">
        <v>603</v>
      </c>
      <c r="C1066" s="18" t="s">
        <v>1524</v>
      </c>
      <c r="D1066" s="18" t="s">
        <v>324</v>
      </c>
      <c r="E1066" s="18" t="s">
        <v>404</v>
      </c>
      <c r="F1066" s="18" t="s">
        <v>401</v>
      </c>
      <c r="G1066" s="18" t="n">
        <v>0.8</v>
      </c>
      <c r="H1066" s="18" t="n">
        <v>2705</v>
      </c>
      <c r="I1066" s="18" t="n">
        <v>113</v>
      </c>
      <c r="J1066" s="18" t="n">
        <v>112</v>
      </c>
      <c r="K1066" s="18" t="n">
        <v>0.0160116942996489</v>
      </c>
      <c r="L1066" s="18" t="n">
        <v>0.00917780504009821</v>
      </c>
      <c r="M1066" s="18" t="n">
        <v>1.74461041934244</v>
      </c>
      <c r="N1066" s="18" t="n">
        <v>56.8446223477614</v>
      </c>
      <c r="O1066" s="18" t="n">
        <v>0.0864574431350843</v>
      </c>
      <c r="P1066" s="18"/>
      <c r="Q1066" s="18"/>
      <c r="R1066" s="18"/>
      <c r="S1066" s="18"/>
      <c r="T1066" s="18"/>
      <c r="U1066" s="18"/>
      <c r="V1066" s="18"/>
      <c r="W1066" s="18"/>
      <c r="X1066" s="18"/>
      <c r="Y1066" s="18"/>
      <c r="Z1066" s="18"/>
      <c r="AA1066" s="18"/>
      <c r="AB1066" s="18"/>
      <c r="AC1066" s="18"/>
      <c r="AD1066" s="18"/>
      <c r="AE1066" s="18"/>
      <c r="AF1066" s="18"/>
      <c r="AG1066" s="18"/>
      <c r="AH1066" s="18" t="s">
        <v>402</v>
      </c>
      <c r="AI1066" s="18"/>
      <c r="AJ1066" s="18" t="s">
        <v>1612</v>
      </c>
    </row>
    <row r="1067" customFormat="false" ht="15" hidden="false" customHeight="false" outlineLevel="0" collapsed="false">
      <c r="A1067" s="18" t="s">
        <v>273</v>
      </c>
      <c r="B1067" s="18" t="s">
        <v>605</v>
      </c>
      <c r="C1067" s="18" t="s">
        <v>1524</v>
      </c>
      <c r="D1067" s="18" t="s">
        <v>324</v>
      </c>
      <c r="E1067" s="18" t="s">
        <v>404</v>
      </c>
      <c r="F1067" s="18" t="s">
        <v>401</v>
      </c>
      <c r="G1067" s="18" t="n">
        <v>0.8</v>
      </c>
      <c r="H1067" s="18" t="n">
        <v>2705</v>
      </c>
      <c r="I1067" s="18" t="n">
        <v>113</v>
      </c>
      <c r="J1067" s="18" t="n">
        <v>112</v>
      </c>
      <c r="K1067" s="18" t="n">
        <v>0.00393346403371082</v>
      </c>
      <c r="L1067" s="18" t="n">
        <v>0.00914569559843854</v>
      </c>
      <c r="M1067" s="18" t="n">
        <v>0.430089104909898</v>
      </c>
      <c r="N1067" s="18" t="n">
        <v>63.9443589127788</v>
      </c>
      <c r="O1067" s="18" t="n">
        <v>0.668576842628986</v>
      </c>
      <c r="P1067" s="18"/>
      <c r="Q1067" s="18"/>
      <c r="R1067" s="18"/>
      <c r="S1067" s="18"/>
      <c r="T1067" s="18"/>
      <c r="U1067" s="18"/>
      <c r="V1067" s="18"/>
      <c r="W1067" s="18"/>
      <c r="X1067" s="18"/>
      <c r="Y1067" s="18"/>
      <c r="Z1067" s="18"/>
      <c r="AA1067" s="18"/>
      <c r="AB1067" s="18"/>
      <c r="AC1067" s="18"/>
      <c r="AD1067" s="18"/>
      <c r="AE1067" s="18"/>
      <c r="AF1067" s="18"/>
      <c r="AG1067" s="18"/>
      <c r="AH1067" s="18" t="s">
        <v>402</v>
      </c>
      <c r="AI1067" s="18"/>
      <c r="AJ1067" s="18" t="s">
        <v>1613</v>
      </c>
    </row>
    <row r="1068" customFormat="false" ht="15" hidden="false" customHeight="false" outlineLevel="0" collapsed="false">
      <c r="A1068" s="18" t="s">
        <v>273</v>
      </c>
      <c r="B1068" s="18" t="s">
        <v>607</v>
      </c>
      <c r="C1068" s="18" t="s">
        <v>1524</v>
      </c>
      <c r="D1068" s="18" t="s">
        <v>324</v>
      </c>
      <c r="E1068" s="18" t="s">
        <v>404</v>
      </c>
      <c r="F1068" s="18" t="s">
        <v>401</v>
      </c>
      <c r="G1068" s="18" t="n">
        <v>0.8</v>
      </c>
      <c r="H1068" s="18" t="n">
        <v>929</v>
      </c>
      <c r="I1068" s="18" t="n">
        <v>40</v>
      </c>
      <c r="J1068" s="18" t="n">
        <v>40</v>
      </c>
      <c r="K1068" s="18" t="n">
        <v>-0.0160312945761583</v>
      </c>
      <c r="L1068" s="18" t="n">
        <v>0.0188747917796776</v>
      </c>
      <c r="M1068" s="18" t="n">
        <v>-0.84934947962812</v>
      </c>
      <c r="N1068" s="18" t="n">
        <v>23.4573925111329</v>
      </c>
      <c r="O1068" s="18" t="n">
        <v>0.404272157911397</v>
      </c>
      <c r="P1068" s="18"/>
      <c r="Q1068" s="18"/>
      <c r="R1068" s="18"/>
      <c r="S1068" s="18"/>
      <c r="T1068" s="18"/>
      <c r="U1068" s="18"/>
      <c r="V1068" s="18"/>
      <c r="W1068" s="18"/>
      <c r="X1068" s="18"/>
      <c r="Y1068" s="18"/>
      <c r="Z1068" s="18"/>
      <c r="AA1068" s="18"/>
      <c r="AB1068" s="18"/>
      <c r="AC1068" s="18"/>
      <c r="AD1068" s="18"/>
      <c r="AE1068" s="18"/>
      <c r="AF1068" s="18"/>
      <c r="AG1068" s="18"/>
      <c r="AH1068" s="18" t="s">
        <v>402</v>
      </c>
      <c r="AI1068" s="18"/>
      <c r="AJ1068" s="18" t="s">
        <v>1614</v>
      </c>
    </row>
    <row r="1069" customFormat="false" ht="15" hidden="false" customHeight="false" outlineLevel="0" collapsed="false">
      <c r="A1069" s="18" t="s">
        <v>273</v>
      </c>
      <c r="B1069" s="18" t="s">
        <v>609</v>
      </c>
      <c r="C1069" s="18" t="s">
        <v>1524</v>
      </c>
      <c r="D1069" s="18" t="s">
        <v>324</v>
      </c>
      <c r="E1069" s="18" t="s">
        <v>404</v>
      </c>
      <c r="F1069" s="18" t="s">
        <v>401</v>
      </c>
      <c r="G1069" s="18" t="n">
        <v>0.8</v>
      </c>
      <c r="H1069" s="18" t="n">
        <v>2607</v>
      </c>
      <c r="I1069" s="18" t="n">
        <v>110</v>
      </c>
      <c r="J1069" s="18" t="n">
        <v>109</v>
      </c>
      <c r="K1069" s="18" t="n">
        <v>0.00596148996171969</v>
      </c>
      <c r="L1069" s="18" t="n">
        <v>0.0192154048536519</v>
      </c>
      <c r="M1069" s="18" t="n">
        <v>0.310245347788585</v>
      </c>
      <c r="N1069" s="18" t="n">
        <v>14.6570727081682</v>
      </c>
      <c r="O1069" s="18" t="n">
        <v>0.760742067632183</v>
      </c>
      <c r="P1069" s="18"/>
      <c r="Q1069" s="18"/>
      <c r="R1069" s="18"/>
      <c r="S1069" s="18"/>
      <c r="T1069" s="18"/>
      <c r="U1069" s="18"/>
      <c r="V1069" s="18"/>
      <c r="W1069" s="18"/>
      <c r="X1069" s="18"/>
      <c r="Y1069" s="18"/>
      <c r="Z1069" s="18"/>
      <c r="AA1069" s="18"/>
      <c r="AB1069" s="18"/>
      <c r="AC1069" s="18"/>
      <c r="AD1069" s="18"/>
      <c r="AE1069" s="18"/>
      <c r="AF1069" s="18"/>
      <c r="AG1069" s="18"/>
      <c r="AH1069" s="18" t="s">
        <v>402</v>
      </c>
      <c r="AI1069" s="18"/>
      <c r="AJ1069" s="18" t="s">
        <v>1615</v>
      </c>
    </row>
    <row r="1070" customFormat="false" ht="15" hidden="false" customHeight="false" outlineLevel="0" collapsed="false">
      <c r="A1070" s="18" t="s">
        <v>273</v>
      </c>
      <c r="B1070" s="18" t="s">
        <v>611</v>
      </c>
      <c r="C1070" s="18" t="s">
        <v>1524</v>
      </c>
      <c r="D1070" s="18" t="s">
        <v>324</v>
      </c>
      <c r="E1070" s="18" t="s">
        <v>404</v>
      </c>
      <c r="F1070" s="18" t="s">
        <v>401</v>
      </c>
      <c r="G1070" s="18" t="n">
        <v>0.8</v>
      </c>
      <c r="H1070" s="18" t="n">
        <v>2607</v>
      </c>
      <c r="I1070" s="18" t="n">
        <v>110</v>
      </c>
      <c r="J1070" s="18" t="n">
        <v>109</v>
      </c>
      <c r="K1070" s="18" t="n">
        <v>0.00563105310925649</v>
      </c>
      <c r="L1070" s="18" t="n">
        <v>0.0188927313142325</v>
      </c>
      <c r="M1070" s="18" t="n">
        <v>0.298053945488254</v>
      </c>
      <c r="N1070" s="18" t="n">
        <v>12.0124509048095</v>
      </c>
      <c r="O1070" s="18" t="n">
        <v>0.770754368494809</v>
      </c>
      <c r="P1070" s="18"/>
      <c r="Q1070" s="18"/>
      <c r="R1070" s="18"/>
      <c r="S1070" s="18"/>
      <c r="T1070" s="18"/>
      <c r="U1070" s="18"/>
      <c r="V1070" s="18"/>
      <c r="W1070" s="18"/>
      <c r="X1070" s="18"/>
      <c r="Y1070" s="18"/>
      <c r="Z1070" s="18"/>
      <c r="AA1070" s="18"/>
      <c r="AB1070" s="18"/>
      <c r="AC1070" s="18"/>
      <c r="AD1070" s="18"/>
      <c r="AE1070" s="18"/>
      <c r="AF1070" s="18"/>
      <c r="AG1070" s="18"/>
      <c r="AH1070" s="18" t="s">
        <v>402</v>
      </c>
      <c r="AI1070" s="18"/>
      <c r="AJ1070" s="18" t="s">
        <v>1616</v>
      </c>
    </row>
    <row r="1071" customFormat="false" ht="15" hidden="false" customHeight="false" outlineLevel="0" collapsed="false">
      <c r="A1071" s="18" t="s">
        <v>273</v>
      </c>
      <c r="B1071" s="18" t="s">
        <v>613</v>
      </c>
      <c r="C1071" s="18" t="s">
        <v>1524</v>
      </c>
      <c r="D1071" s="18" t="s">
        <v>324</v>
      </c>
      <c r="E1071" s="18" t="s">
        <v>404</v>
      </c>
      <c r="F1071" s="18" t="s">
        <v>401</v>
      </c>
      <c r="G1071" s="18" t="n">
        <v>0.8</v>
      </c>
      <c r="H1071" s="18" t="n">
        <v>2607</v>
      </c>
      <c r="I1071" s="18" t="n">
        <v>110</v>
      </c>
      <c r="J1071" s="18" t="n">
        <v>109</v>
      </c>
      <c r="K1071" s="18" t="n">
        <v>-0.0192162846081091</v>
      </c>
      <c r="L1071" s="18" t="n">
        <v>0.0220234216966266</v>
      </c>
      <c r="M1071" s="18" t="n">
        <v>-0.872538557941362</v>
      </c>
      <c r="N1071" s="18" t="n">
        <v>37.1732071876867</v>
      </c>
      <c r="O1071" s="18" t="n">
        <v>0.388515948991302</v>
      </c>
      <c r="P1071" s="18"/>
      <c r="Q1071" s="18"/>
      <c r="R1071" s="18"/>
      <c r="S1071" s="18"/>
      <c r="T1071" s="18"/>
      <c r="U1071" s="18"/>
      <c r="V1071" s="18"/>
      <c r="W1071" s="18"/>
      <c r="X1071" s="18"/>
      <c r="Y1071" s="18"/>
      <c r="Z1071" s="18"/>
      <c r="AA1071" s="18"/>
      <c r="AB1071" s="18"/>
      <c r="AC1071" s="18"/>
      <c r="AD1071" s="18"/>
      <c r="AE1071" s="18"/>
      <c r="AF1071" s="18"/>
      <c r="AG1071" s="18"/>
      <c r="AH1071" s="18" t="s">
        <v>402</v>
      </c>
      <c r="AI1071" s="18"/>
      <c r="AJ1071" s="18" t="s">
        <v>1617</v>
      </c>
    </row>
    <row r="1072" customFormat="false" ht="15" hidden="false" customHeight="false" outlineLevel="0" collapsed="false">
      <c r="A1072" s="18" t="s">
        <v>273</v>
      </c>
      <c r="B1072" s="18" t="s">
        <v>615</v>
      </c>
      <c r="C1072" s="18" t="s">
        <v>1524</v>
      </c>
      <c r="D1072" s="18" t="s">
        <v>324</v>
      </c>
      <c r="E1072" s="18" t="s">
        <v>404</v>
      </c>
      <c r="F1072" s="18" t="s">
        <v>401</v>
      </c>
      <c r="G1072" s="18" t="n">
        <v>0.8</v>
      </c>
      <c r="H1072" s="18" t="n">
        <v>2607</v>
      </c>
      <c r="I1072" s="18" t="n">
        <v>110</v>
      </c>
      <c r="J1072" s="18" t="n">
        <v>109</v>
      </c>
      <c r="K1072" s="18" t="n">
        <v>0.00384660660328146</v>
      </c>
      <c r="L1072" s="18" t="n">
        <v>0.0192217077021297</v>
      </c>
      <c r="M1072" s="18" t="n">
        <v>0.200117838794066</v>
      </c>
      <c r="N1072" s="18" t="n">
        <v>10.635168995893</v>
      </c>
      <c r="O1072" s="18" t="n">
        <v>0.845163495536496</v>
      </c>
      <c r="P1072" s="18"/>
      <c r="Q1072" s="18"/>
      <c r="R1072" s="18"/>
      <c r="S1072" s="18"/>
      <c r="T1072" s="18"/>
      <c r="U1072" s="18"/>
      <c r="V1072" s="18"/>
      <c r="W1072" s="18"/>
      <c r="X1072" s="18"/>
      <c r="Y1072" s="18"/>
      <c r="Z1072" s="18"/>
      <c r="AA1072" s="18"/>
      <c r="AB1072" s="18"/>
      <c r="AC1072" s="18"/>
      <c r="AD1072" s="18"/>
      <c r="AE1072" s="18"/>
      <c r="AF1072" s="18"/>
      <c r="AG1072" s="18"/>
      <c r="AH1072" s="18" t="s">
        <v>402</v>
      </c>
      <c r="AI1072" s="18"/>
      <c r="AJ1072" s="18" t="s">
        <v>1618</v>
      </c>
    </row>
    <row r="1073" customFormat="false" ht="15" hidden="false" customHeight="false" outlineLevel="0" collapsed="false">
      <c r="A1073" s="18" t="s">
        <v>273</v>
      </c>
      <c r="B1073" s="18" t="s">
        <v>617</v>
      </c>
      <c r="C1073" s="18" t="s">
        <v>1524</v>
      </c>
      <c r="D1073" s="18" t="s">
        <v>324</v>
      </c>
      <c r="E1073" s="18" t="s">
        <v>404</v>
      </c>
      <c r="F1073" s="18" t="s">
        <v>401</v>
      </c>
      <c r="G1073" s="18" t="n">
        <v>0.8</v>
      </c>
      <c r="H1073" s="18" t="n">
        <v>2607</v>
      </c>
      <c r="I1073" s="18" t="n">
        <v>110</v>
      </c>
      <c r="J1073" s="18" t="n">
        <v>109</v>
      </c>
      <c r="K1073" s="18" t="n">
        <v>-0.00270650992136571</v>
      </c>
      <c r="L1073" s="18" t="n">
        <v>0.0230174437204872</v>
      </c>
      <c r="M1073" s="18" t="n">
        <v>-0.117585165157012</v>
      </c>
      <c r="N1073" s="18" t="n">
        <v>18.928103907089</v>
      </c>
      <c r="O1073" s="18" t="n">
        <v>0.907635145869568</v>
      </c>
      <c r="P1073" s="18"/>
      <c r="Q1073" s="18"/>
      <c r="R1073" s="18"/>
      <c r="S1073" s="18"/>
      <c r="T1073" s="18"/>
      <c r="U1073" s="18"/>
      <c r="V1073" s="18"/>
      <c r="W1073" s="18"/>
      <c r="X1073" s="18"/>
      <c r="Y1073" s="18"/>
      <c r="Z1073" s="18"/>
      <c r="AA1073" s="18"/>
      <c r="AB1073" s="18"/>
      <c r="AC1073" s="18"/>
      <c r="AD1073" s="18"/>
      <c r="AE1073" s="18"/>
      <c r="AF1073" s="18"/>
      <c r="AG1073" s="18"/>
      <c r="AH1073" s="18" t="s">
        <v>402</v>
      </c>
      <c r="AI1073" s="18"/>
      <c r="AJ1073" s="18" t="s">
        <v>1619</v>
      </c>
    </row>
    <row r="1074" customFormat="false" ht="15" hidden="false" customHeight="false" outlineLevel="0" collapsed="false">
      <c r="A1074" s="18" t="s">
        <v>273</v>
      </c>
      <c r="B1074" s="18" t="s">
        <v>619</v>
      </c>
      <c r="C1074" s="18" t="s">
        <v>1524</v>
      </c>
      <c r="D1074" s="18" t="s">
        <v>324</v>
      </c>
      <c r="E1074" s="18" t="s">
        <v>404</v>
      </c>
      <c r="F1074" s="18" t="s">
        <v>401</v>
      </c>
      <c r="G1074" s="18" t="n">
        <v>0.8</v>
      </c>
      <c r="H1074" s="18" t="n">
        <v>2607</v>
      </c>
      <c r="I1074" s="18" t="n">
        <v>110</v>
      </c>
      <c r="J1074" s="18" t="n">
        <v>109</v>
      </c>
      <c r="K1074" s="18" t="n">
        <v>-0.00249408667333807</v>
      </c>
      <c r="L1074" s="18" t="n">
        <v>0.0236209434327332</v>
      </c>
      <c r="M1074" s="18" t="n">
        <v>-0.105587936419247</v>
      </c>
      <c r="N1074" s="18" t="n">
        <v>15.5486636544829</v>
      </c>
      <c r="O1074" s="18" t="n">
        <v>0.917259467263595</v>
      </c>
      <c r="P1074" s="18"/>
      <c r="Q1074" s="18"/>
      <c r="R1074" s="18"/>
      <c r="S1074" s="18"/>
      <c r="T1074" s="18"/>
      <c r="U1074" s="18"/>
      <c r="V1074" s="18"/>
      <c r="W1074" s="18"/>
      <c r="X1074" s="18"/>
      <c r="Y1074" s="18"/>
      <c r="Z1074" s="18"/>
      <c r="AA1074" s="18"/>
      <c r="AB1074" s="18"/>
      <c r="AC1074" s="18"/>
      <c r="AD1074" s="18"/>
      <c r="AE1074" s="18"/>
      <c r="AF1074" s="18"/>
      <c r="AG1074" s="18"/>
      <c r="AH1074" s="18" t="s">
        <v>402</v>
      </c>
      <c r="AI1074" s="18"/>
      <c r="AJ1074" s="18" t="s">
        <v>1620</v>
      </c>
    </row>
    <row r="1075" customFormat="false" ht="15" hidden="false" customHeight="false" outlineLevel="0" collapsed="false">
      <c r="A1075" s="18" t="s">
        <v>273</v>
      </c>
      <c r="B1075" s="18" t="s">
        <v>621</v>
      </c>
      <c r="C1075" s="18" t="s">
        <v>1524</v>
      </c>
      <c r="D1075" s="18" t="s">
        <v>324</v>
      </c>
      <c r="E1075" s="18" t="s">
        <v>404</v>
      </c>
      <c r="F1075" s="18" t="s">
        <v>401</v>
      </c>
      <c r="G1075" s="18" t="n">
        <v>0.8</v>
      </c>
      <c r="H1075" s="18" t="n">
        <v>2607</v>
      </c>
      <c r="I1075" s="18" t="n">
        <v>110</v>
      </c>
      <c r="J1075" s="18" t="n">
        <v>109</v>
      </c>
      <c r="K1075" s="18" t="n">
        <v>-0.013818570865317</v>
      </c>
      <c r="L1075" s="18" t="n">
        <v>0.0225234595308372</v>
      </c>
      <c r="M1075" s="18" t="n">
        <v>-0.613519022084408</v>
      </c>
      <c r="N1075" s="18" t="n">
        <v>16.4270268385309</v>
      </c>
      <c r="O1075" s="18" t="n">
        <v>0.547935273918468</v>
      </c>
      <c r="P1075" s="18"/>
      <c r="Q1075" s="18"/>
      <c r="R1075" s="18"/>
      <c r="S1075" s="18"/>
      <c r="T1075" s="18"/>
      <c r="U1075" s="18"/>
      <c r="V1075" s="18"/>
      <c r="W1075" s="18"/>
      <c r="X1075" s="18"/>
      <c r="Y1075" s="18"/>
      <c r="Z1075" s="18"/>
      <c r="AA1075" s="18"/>
      <c r="AB1075" s="18"/>
      <c r="AC1075" s="18"/>
      <c r="AD1075" s="18"/>
      <c r="AE1075" s="18"/>
      <c r="AF1075" s="18"/>
      <c r="AG1075" s="18"/>
      <c r="AH1075" s="18" t="s">
        <v>402</v>
      </c>
      <c r="AI1075" s="18"/>
      <c r="AJ1075" s="18" t="s">
        <v>1621</v>
      </c>
    </row>
    <row r="1076" customFormat="false" ht="15" hidden="false" customHeight="false" outlineLevel="0" collapsed="false">
      <c r="A1076" s="18" t="s">
        <v>273</v>
      </c>
      <c r="B1076" s="18" t="s">
        <v>623</v>
      </c>
      <c r="C1076" s="18" t="s">
        <v>1524</v>
      </c>
      <c r="D1076" s="18" t="s">
        <v>324</v>
      </c>
      <c r="E1076" s="18" t="s">
        <v>404</v>
      </c>
      <c r="F1076" s="18" t="s">
        <v>401</v>
      </c>
      <c r="G1076" s="18" t="n">
        <v>0.8</v>
      </c>
      <c r="H1076" s="18" t="n">
        <v>2607</v>
      </c>
      <c r="I1076" s="18" t="n">
        <v>110</v>
      </c>
      <c r="J1076" s="18" t="n">
        <v>109</v>
      </c>
      <c r="K1076" s="18" t="n">
        <v>0.0350943702963185</v>
      </c>
      <c r="L1076" s="18" t="n">
        <v>0.027579524186606</v>
      </c>
      <c r="M1076" s="18" t="n">
        <v>1.27247917907743</v>
      </c>
      <c r="N1076" s="18" t="n">
        <v>20.4996136737114</v>
      </c>
      <c r="O1076" s="18" t="n">
        <v>0.217447268901987</v>
      </c>
      <c r="P1076" s="18"/>
      <c r="Q1076" s="18"/>
      <c r="R1076" s="18"/>
      <c r="S1076" s="18"/>
      <c r="T1076" s="18"/>
      <c r="U1076" s="18"/>
      <c r="V1076" s="18"/>
      <c r="W1076" s="18"/>
      <c r="X1076" s="18"/>
      <c r="Y1076" s="18"/>
      <c r="Z1076" s="18"/>
      <c r="AA1076" s="18"/>
      <c r="AB1076" s="18"/>
      <c r="AC1076" s="18"/>
      <c r="AD1076" s="18"/>
      <c r="AE1076" s="18"/>
      <c r="AF1076" s="18"/>
      <c r="AG1076" s="18"/>
      <c r="AH1076" s="18" t="s">
        <v>402</v>
      </c>
      <c r="AI1076" s="18"/>
      <c r="AJ1076" s="18" t="s">
        <v>1622</v>
      </c>
    </row>
    <row r="1077" customFormat="false" ht="15" hidden="false" customHeight="false" outlineLevel="0" collapsed="false">
      <c r="A1077" s="18" t="s">
        <v>273</v>
      </c>
      <c r="B1077" s="18" t="s">
        <v>625</v>
      </c>
      <c r="C1077" s="18" t="s">
        <v>1524</v>
      </c>
      <c r="D1077" s="18" t="s">
        <v>324</v>
      </c>
      <c r="E1077" s="18" t="s">
        <v>404</v>
      </c>
      <c r="F1077" s="18" t="s">
        <v>401</v>
      </c>
      <c r="G1077" s="18" t="n">
        <v>0.8</v>
      </c>
      <c r="H1077" s="18" t="n">
        <v>2607</v>
      </c>
      <c r="I1077" s="18" t="n">
        <v>110</v>
      </c>
      <c r="J1077" s="18" t="n">
        <v>109</v>
      </c>
      <c r="K1077" s="18" t="n">
        <v>0.0168864926828621</v>
      </c>
      <c r="L1077" s="18" t="n">
        <v>0.0228593986240548</v>
      </c>
      <c r="M1077" s="18" t="n">
        <v>0.738711151617635</v>
      </c>
      <c r="N1077" s="18" t="n">
        <v>21.1806266087885</v>
      </c>
      <c r="O1077" s="18" t="n">
        <v>0.468189939749828</v>
      </c>
      <c r="P1077" s="18"/>
      <c r="Q1077" s="18"/>
      <c r="R1077" s="18"/>
      <c r="S1077" s="18"/>
      <c r="T1077" s="18"/>
      <c r="U1077" s="18"/>
      <c r="V1077" s="18"/>
      <c r="W1077" s="18"/>
      <c r="X1077" s="18"/>
      <c r="Y1077" s="18"/>
      <c r="Z1077" s="18"/>
      <c r="AA1077" s="18"/>
      <c r="AB1077" s="18"/>
      <c r="AC1077" s="18"/>
      <c r="AD1077" s="18"/>
      <c r="AE1077" s="18"/>
      <c r="AF1077" s="18"/>
      <c r="AG1077" s="18"/>
      <c r="AH1077" s="18" t="s">
        <v>402</v>
      </c>
      <c r="AI1077" s="18"/>
      <c r="AJ1077" s="18" t="s">
        <v>1623</v>
      </c>
    </row>
    <row r="1078" customFormat="false" ht="15" hidden="false" customHeight="false" outlineLevel="0" collapsed="false">
      <c r="A1078" s="18" t="s">
        <v>273</v>
      </c>
      <c r="B1078" s="18" t="s">
        <v>627</v>
      </c>
      <c r="C1078" s="18" t="s">
        <v>1524</v>
      </c>
      <c r="D1078" s="18" t="s">
        <v>324</v>
      </c>
      <c r="E1078" s="18" t="s">
        <v>404</v>
      </c>
      <c r="F1078" s="18" t="s">
        <v>401</v>
      </c>
      <c r="G1078" s="18" t="n">
        <v>0.8</v>
      </c>
      <c r="H1078" s="18" t="n">
        <v>905</v>
      </c>
      <c r="I1078" s="18" t="n">
        <v>38</v>
      </c>
      <c r="J1078" s="18" t="n">
        <v>38</v>
      </c>
      <c r="K1078" s="18" t="n">
        <v>-0.0179469088319831</v>
      </c>
      <c r="L1078" s="18" t="n">
        <v>0.0173858311215779</v>
      </c>
      <c r="M1078" s="18" t="n">
        <v>-1.03227212472511</v>
      </c>
      <c r="N1078" s="18" t="n">
        <v>22.9601147310244</v>
      </c>
      <c r="O1078" s="18" t="n">
        <v>0.312696232034313</v>
      </c>
      <c r="P1078" s="18"/>
      <c r="Q1078" s="18"/>
      <c r="R1078" s="18"/>
      <c r="S1078" s="18"/>
      <c r="T1078" s="18"/>
      <c r="U1078" s="18"/>
      <c r="V1078" s="18"/>
      <c r="W1078" s="18"/>
      <c r="X1078" s="18"/>
      <c r="Y1078" s="18"/>
      <c r="Z1078" s="18"/>
      <c r="AA1078" s="18"/>
      <c r="AB1078" s="18"/>
      <c r="AC1078" s="18"/>
      <c r="AD1078" s="18"/>
      <c r="AE1078" s="18"/>
      <c r="AF1078" s="18"/>
      <c r="AG1078" s="18"/>
      <c r="AH1078" s="18" t="s">
        <v>402</v>
      </c>
      <c r="AI1078" s="18"/>
      <c r="AJ1078" s="18" t="s">
        <v>1624</v>
      </c>
    </row>
    <row r="1079" customFormat="false" ht="15" hidden="false" customHeight="false" outlineLevel="0" collapsed="false">
      <c r="A1079" s="18" t="s">
        <v>273</v>
      </c>
      <c r="B1079" s="18" t="s">
        <v>629</v>
      </c>
      <c r="C1079" s="18" t="s">
        <v>1524</v>
      </c>
      <c r="D1079" s="18" t="s">
        <v>324</v>
      </c>
      <c r="E1079" s="18" t="s">
        <v>404</v>
      </c>
      <c r="F1079" s="18" t="s">
        <v>401</v>
      </c>
      <c r="G1079" s="18" t="n">
        <v>0.8</v>
      </c>
      <c r="H1079" s="18" t="n">
        <v>2594</v>
      </c>
      <c r="I1079" s="18" t="n">
        <v>110</v>
      </c>
      <c r="J1079" s="18" t="n">
        <v>109</v>
      </c>
      <c r="K1079" s="18" t="n">
        <v>-0.0180092082855097</v>
      </c>
      <c r="L1079" s="18" t="n">
        <v>0.0108991669791956</v>
      </c>
      <c r="M1079" s="18" t="n">
        <v>-1.65234722248826</v>
      </c>
      <c r="N1079" s="18" t="n">
        <v>40.0343555990523</v>
      </c>
      <c r="O1079" s="18" t="n">
        <v>0.106286649617937</v>
      </c>
      <c r="P1079" s="18"/>
      <c r="Q1079" s="18"/>
      <c r="R1079" s="18"/>
      <c r="S1079" s="18"/>
      <c r="T1079" s="18"/>
      <c r="U1079" s="18"/>
      <c r="V1079" s="18"/>
      <c r="W1079" s="18"/>
      <c r="X1079" s="18"/>
      <c r="Y1079" s="18"/>
      <c r="Z1079" s="18"/>
      <c r="AA1079" s="18"/>
      <c r="AB1079" s="18"/>
      <c r="AC1079" s="18"/>
      <c r="AD1079" s="18"/>
      <c r="AE1079" s="18"/>
      <c r="AF1079" s="18"/>
      <c r="AG1079" s="18"/>
      <c r="AH1079" s="18" t="s">
        <v>402</v>
      </c>
      <c r="AI1079" s="18"/>
      <c r="AJ1079" s="18" t="s">
        <v>1625</v>
      </c>
    </row>
    <row r="1080" customFormat="false" ht="15" hidden="false" customHeight="false" outlineLevel="0" collapsed="false">
      <c r="A1080" s="18" t="s">
        <v>273</v>
      </c>
      <c r="B1080" s="18" t="s">
        <v>631</v>
      </c>
      <c r="C1080" s="18" t="s">
        <v>1524</v>
      </c>
      <c r="D1080" s="18" t="s">
        <v>324</v>
      </c>
      <c r="E1080" s="18" t="s">
        <v>404</v>
      </c>
      <c r="F1080" s="18" t="s">
        <v>401</v>
      </c>
      <c r="G1080" s="18" t="n">
        <v>0.8</v>
      </c>
      <c r="H1080" s="18" t="n">
        <v>2594</v>
      </c>
      <c r="I1080" s="18" t="n">
        <v>110</v>
      </c>
      <c r="J1080" s="18" t="n">
        <v>109</v>
      </c>
      <c r="K1080" s="18" t="n">
        <v>-0.017009061970146</v>
      </c>
      <c r="L1080" s="18" t="n">
        <v>0.0115165136660801</v>
      </c>
      <c r="M1080" s="18" t="n">
        <v>-1.47692804118692</v>
      </c>
      <c r="N1080" s="18" t="n">
        <v>30.2412786057731</v>
      </c>
      <c r="O1080" s="18" t="n">
        <v>0.150033824844839</v>
      </c>
      <c r="P1080" s="18"/>
      <c r="Q1080" s="18"/>
      <c r="R1080" s="18"/>
      <c r="S1080" s="18"/>
      <c r="T1080" s="18"/>
      <c r="U1080" s="18"/>
      <c r="V1080" s="18"/>
      <c r="W1080" s="18"/>
      <c r="X1080" s="18"/>
      <c r="Y1080" s="18"/>
      <c r="Z1080" s="18"/>
      <c r="AA1080" s="18"/>
      <c r="AB1080" s="18"/>
      <c r="AC1080" s="18"/>
      <c r="AD1080" s="18"/>
      <c r="AE1080" s="18"/>
      <c r="AF1080" s="18"/>
      <c r="AG1080" s="18"/>
      <c r="AH1080" s="18" t="s">
        <v>402</v>
      </c>
      <c r="AI1080" s="18"/>
      <c r="AJ1080" s="18" t="s">
        <v>1626</v>
      </c>
    </row>
    <row r="1081" customFormat="false" ht="15" hidden="false" customHeight="false" outlineLevel="0" collapsed="false">
      <c r="A1081" s="18" t="s">
        <v>273</v>
      </c>
      <c r="B1081" s="18" t="s">
        <v>633</v>
      </c>
      <c r="C1081" s="18" t="s">
        <v>1524</v>
      </c>
      <c r="D1081" s="18" t="s">
        <v>324</v>
      </c>
      <c r="E1081" s="18" t="s">
        <v>404</v>
      </c>
      <c r="F1081" s="18" t="s">
        <v>401</v>
      </c>
      <c r="G1081" s="18" t="n">
        <v>0.8</v>
      </c>
      <c r="H1081" s="18" t="n">
        <v>2594</v>
      </c>
      <c r="I1081" s="18" t="n">
        <v>110</v>
      </c>
      <c r="J1081" s="18" t="n">
        <v>109</v>
      </c>
      <c r="K1081" s="18" t="n">
        <v>-0.000455846528864469</v>
      </c>
      <c r="L1081" s="18" t="n">
        <v>0.0116375044750279</v>
      </c>
      <c r="M1081" s="18" t="n">
        <v>-0.0391704707691101</v>
      </c>
      <c r="N1081" s="18" t="n">
        <v>30.8376202487346</v>
      </c>
      <c r="O1081" s="18" t="n">
        <v>0.969006972183824</v>
      </c>
      <c r="P1081" s="18"/>
      <c r="Q1081" s="18"/>
      <c r="R1081" s="18"/>
      <c r="S1081" s="18"/>
      <c r="T1081" s="18"/>
      <c r="U1081" s="18"/>
      <c r="V1081" s="18"/>
      <c r="W1081" s="18"/>
      <c r="X1081" s="18"/>
      <c r="Y1081" s="18"/>
      <c r="Z1081" s="18"/>
      <c r="AA1081" s="18"/>
      <c r="AB1081" s="18"/>
      <c r="AC1081" s="18"/>
      <c r="AD1081" s="18"/>
      <c r="AE1081" s="18"/>
      <c r="AF1081" s="18"/>
      <c r="AG1081" s="18"/>
      <c r="AH1081" s="18" t="s">
        <v>402</v>
      </c>
      <c r="AI1081" s="18"/>
      <c r="AJ1081" s="18" t="s">
        <v>1627</v>
      </c>
    </row>
    <row r="1082" customFormat="false" ht="15" hidden="false" customHeight="false" outlineLevel="0" collapsed="false">
      <c r="A1082" s="18" t="s">
        <v>273</v>
      </c>
      <c r="B1082" s="18" t="s">
        <v>635</v>
      </c>
      <c r="C1082" s="18" t="s">
        <v>1524</v>
      </c>
      <c r="D1082" s="18" t="s">
        <v>324</v>
      </c>
      <c r="E1082" s="18" t="s">
        <v>404</v>
      </c>
      <c r="F1082" s="18" t="s">
        <v>401</v>
      </c>
      <c r="G1082" s="18" t="n">
        <v>0.8</v>
      </c>
      <c r="H1082" s="18" t="n">
        <v>2594</v>
      </c>
      <c r="I1082" s="18" t="n">
        <v>110</v>
      </c>
      <c r="J1082" s="18" t="n">
        <v>109</v>
      </c>
      <c r="K1082" s="18" t="n">
        <v>-0.0174051897590766</v>
      </c>
      <c r="L1082" s="18" t="n">
        <v>0.0120091554218887</v>
      </c>
      <c r="M1082" s="18" t="n">
        <v>-1.44932671346335</v>
      </c>
      <c r="N1082" s="18" t="n">
        <v>26.364673245565</v>
      </c>
      <c r="O1082" s="18" t="n">
        <v>0.159037905009815</v>
      </c>
      <c r="P1082" s="18"/>
      <c r="Q1082" s="18"/>
      <c r="R1082" s="18"/>
      <c r="S1082" s="18"/>
      <c r="T1082" s="18"/>
      <c r="U1082" s="18"/>
      <c r="V1082" s="18"/>
      <c r="W1082" s="18"/>
      <c r="X1082" s="18"/>
      <c r="Y1082" s="18"/>
      <c r="Z1082" s="18"/>
      <c r="AA1082" s="18"/>
      <c r="AB1082" s="18"/>
      <c r="AC1082" s="18"/>
      <c r="AD1082" s="18"/>
      <c r="AE1082" s="18"/>
      <c r="AF1082" s="18"/>
      <c r="AG1082" s="18"/>
      <c r="AH1082" s="18" t="s">
        <v>402</v>
      </c>
      <c r="AI1082" s="18"/>
      <c r="AJ1082" s="18" t="s">
        <v>1628</v>
      </c>
    </row>
    <row r="1083" customFormat="false" ht="15" hidden="false" customHeight="false" outlineLevel="0" collapsed="false">
      <c r="A1083" s="18" t="s">
        <v>273</v>
      </c>
      <c r="B1083" s="18" t="s">
        <v>637</v>
      </c>
      <c r="C1083" s="18" t="s">
        <v>1524</v>
      </c>
      <c r="D1083" s="18" t="s">
        <v>324</v>
      </c>
      <c r="E1083" s="18" t="s">
        <v>404</v>
      </c>
      <c r="F1083" s="18" t="s">
        <v>401</v>
      </c>
      <c r="G1083" s="18" t="n">
        <v>0.8</v>
      </c>
      <c r="H1083" s="18" t="n">
        <v>2594</v>
      </c>
      <c r="I1083" s="18" t="n">
        <v>110</v>
      </c>
      <c r="J1083" s="18" t="n">
        <v>109</v>
      </c>
      <c r="K1083" s="18" t="n">
        <v>-0.0189952399216822</v>
      </c>
      <c r="L1083" s="18" t="n">
        <v>0.0148986901510942</v>
      </c>
      <c r="M1083" s="18" t="n">
        <v>-1.27496039779626</v>
      </c>
      <c r="N1083" s="18" t="n">
        <v>17.7608231843586</v>
      </c>
      <c r="O1083" s="18" t="n">
        <v>0.21875024761746</v>
      </c>
      <c r="P1083" s="18"/>
      <c r="Q1083" s="18"/>
      <c r="R1083" s="18"/>
      <c r="S1083" s="18"/>
      <c r="T1083" s="18"/>
      <c r="U1083" s="18"/>
      <c r="V1083" s="18"/>
      <c r="W1083" s="18"/>
      <c r="X1083" s="18"/>
      <c r="Y1083" s="18"/>
      <c r="Z1083" s="18"/>
      <c r="AA1083" s="18"/>
      <c r="AB1083" s="18"/>
      <c r="AC1083" s="18"/>
      <c r="AD1083" s="18"/>
      <c r="AE1083" s="18"/>
      <c r="AF1083" s="18"/>
      <c r="AG1083" s="18"/>
      <c r="AH1083" s="18" t="s">
        <v>402</v>
      </c>
      <c r="AI1083" s="18"/>
      <c r="AJ1083" s="18" t="s">
        <v>1629</v>
      </c>
    </row>
    <row r="1084" customFormat="false" ht="15" hidden="false" customHeight="false" outlineLevel="0" collapsed="false">
      <c r="A1084" s="18" t="s">
        <v>273</v>
      </c>
      <c r="B1084" s="18" t="s">
        <v>639</v>
      </c>
      <c r="C1084" s="18" t="s">
        <v>1524</v>
      </c>
      <c r="D1084" s="18" t="s">
        <v>324</v>
      </c>
      <c r="E1084" s="18" t="s">
        <v>404</v>
      </c>
      <c r="F1084" s="18" t="s">
        <v>401</v>
      </c>
      <c r="G1084" s="18" t="n">
        <v>0.8</v>
      </c>
      <c r="H1084" s="18" t="n">
        <v>2594</v>
      </c>
      <c r="I1084" s="18" t="n">
        <v>110</v>
      </c>
      <c r="J1084" s="18" t="n">
        <v>109</v>
      </c>
      <c r="K1084" s="18" t="n">
        <v>-0.0200871657585192</v>
      </c>
      <c r="L1084" s="18" t="n">
        <v>0.0160693234815113</v>
      </c>
      <c r="M1084" s="18" t="n">
        <v>-1.25003182502553</v>
      </c>
      <c r="N1084" s="18" t="n">
        <v>14.5714520270653</v>
      </c>
      <c r="O1084" s="18" t="n">
        <v>0.230991843635417</v>
      </c>
      <c r="P1084" s="18"/>
      <c r="Q1084" s="18"/>
      <c r="R1084" s="18"/>
      <c r="S1084" s="18"/>
      <c r="T1084" s="18"/>
      <c r="U1084" s="18"/>
      <c r="V1084" s="18"/>
      <c r="W1084" s="18"/>
      <c r="X1084" s="18"/>
      <c r="Y1084" s="18"/>
      <c r="Z1084" s="18"/>
      <c r="AA1084" s="18"/>
      <c r="AB1084" s="18"/>
      <c r="AC1084" s="18"/>
      <c r="AD1084" s="18"/>
      <c r="AE1084" s="18"/>
      <c r="AF1084" s="18"/>
      <c r="AG1084" s="18"/>
      <c r="AH1084" s="18" t="s">
        <v>402</v>
      </c>
      <c r="AI1084" s="18"/>
      <c r="AJ1084" s="18" t="s">
        <v>1630</v>
      </c>
    </row>
    <row r="1085" customFormat="false" ht="15" hidden="false" customHeight="false" outlineLevel="0" collapsed="false">
      <c r="A1085" s="18" t="s">
        <v>273</v>
      </c>
      <c r="B1085" s="18" t="s">
        <v>641</v>
      </c>
      <c r="C1085" s="18" t="s">
        <v>1524</v>
      </c>
      <c r="D1085" s="18" t="s">
        <v>324</v>
      </c>
      <c r="E1085" s="18" t="s">
        <v>404</v>
      </c>
      <c r="F1085" s="18" t="s">
        <v>401</v>
      </c>
      <c r="G1085" s="18" t="n">
        <v>0.8</v>
      </c>
      <c r="H1085" s="18" t="n">
        <v>2594</v>
      </c>
      <c r="I1085" s="18" t="n">
        <v>110</v>
      </c>
      <c r="J1085" s="18" t="n">
        <v>109</v>
      </c>
      <c r="K1085" s="18" t="n">
        <v>-0.00346115198673634</v>
      </c>
      <c r="L1085" s="18" t="n">
        <v>0.0101668781258706</v>
      </c>
      <c r="M1085" s="18" t="n">
        <v>-0.340434098243896</v>
      </c>
      <c r="N1085" s="18" t="n">
        <v>41.9208429958844</v>
      </c>
      <c r="O1085" s="18" t="n">
        <v>0.735229779855359</v>
      </c>
      <c r="P1085" s="18"/>
      <c r="Q1085" s="18"/>
      <c r="R1085" s="18"/>
      <c r="S1085" s="18"/>
      <c r="T1085" s="18"/>
      <c r="U1085" s="18"/>
      <c r="V1085" s="18"/>
      <c r="W1085" s="18"/>
      <c r="X1085" s="18"/>
      <c r="Y1085" s="18"/>
      <c r="Z1085" s="18"/>
      <c r="AA1085" s="18"/>
      <c r="AB1085" s="18"/>
      <c r="AC1085" s="18"/>
      <c r="AD1085" s="18"/>
      <c r="AE1085" s="18"/>
      <c r="AF1085" s="18"/>
      <c r="AG1085" s="18"/>
      <c r="AH1085" s="18" t="s">
        <v>402</v>
      </c>
      <c r="AI1085" s="18"/>
      <c r="AJ1085" s="18" t="s">
        <v>1631</v>
      </c>
    </row>
    <row r="1086" customFormat="false" ht="15" hidden="false" customHeight="false" outlineLevel="0" collapsed="false">
      <c r="A1086" s="18" t="s">
        <v>273</v>
      </c>
      <c r="B1086" s="18" t="s">
        <v>643</v>
      </c>
      <c r="C1086" s="18" t="s">
        <v>1524</v>
      </c>
      <c r="D1086" s="18" t="s">
        <v>324</v>
      </c>
      <c r="E1086" s="18" t="s">
        <v>404</v>
      </c>
      <c r="F1086" s="18" t="s">
        <v>401</v>
      </c>
      <c r="G1086" s="18" t="n">
        <v>0.8</v>
      </c>
      <c r="H1086" s="18" t="n">
        <v>2594</v>
      </c>
      <c r="I1086" s="18" t="n">
        <v>110</v>
      </c>
      <c r="J1086" s="18" t="n">
        <v>109</v>
      </c>
      <c r="K1086" s="18" t="n">
        <v>0.00595752387624957</v>
      </c>
      <c r="L1086" s="18" t="n">
        <v>0.00955323737700151</v>
      </c>
      <c r="M1086" s="18" t="n">
        <v>0.623613089589057</v>
      </c>
      <c r="N1086" s="18" t="n">
        <v>57.3032083176032</v>
      </c>
      <c r="O1086" s="18" t="n">
        <v>0.535356265398801</v>
      </c>
      <c r="P1086" s="18"/>
      <c r="Q1086" s="18"/>
      <c r="R1086" s="18"/>
      <c r="S1086" s="18"/>
      <c r="T1086" s="18"/>
      <c r="U1086" s="18"/>
      <c r="V1086" s="18"/>
      <c r="W1086" s="18"/>
      <c r="X1086" s="18"/>
      <c r="Y1086" s="18"/>
      <c r="Z1086" s="18"/>
      <c r="AA1086" s="18"/>
      <c r="AB1086" s="18"/>
      <c r="AC1086" s="18"/>
      <c r="AD1086" s="18"/>
      <c r="AE1086" s="18"/>
      <c r="AF1086" s="18"/>
      <c r="AG1086" s="18"/>
      <c r="AH1086" s="18" t="s">
        <v>402</v>
      </c>
      <c r="AI1086" s="18"/>
      <c r="AJ1086" s="18" t="s">
        <v>1632</v>
      </c>
    </row>
    <row r="1087" customFormat="false" ht="15" hidden="false" customHeight="false" outlineLevel="0" collapsed="false">
      <c r="A1087" s="18" t="s">
        <v>273</v>
      </c>
      <c r="B1087" s="18" t="s">
        <v>645</v>
      </c>
      <c r="C1087" s="18" t="s">
        <v>1524</v>
      </c>
      <c r="D1087" s="18" t="s">
        <v>324</v>
      </c>
      <c r="E1087" s="18" t="s">
        <v>404</v>
      </c>
      <c r="F1087" s="18" t="s">
        <v>401</v>
      </c>
      <c r="G1087" s="18" t="n">
        <v>0.8</v>
      </c>
      <c r="H1087" s="18" t="n">
        <v>2594</v>
      </c>
      <c r="I1087" s="18" t="n">
        <v>110</v>
      </c>
      <c r="J1087" s="18" t="n">
        <v>109</v>
      </c>
      <c r="K1087" s="18" t="n">
        <v>-0.00504992007056863</v>
      </c>
      <c r="L1087" s="18" t="n">
        <v>0.00956363393448183</v>
      </c>
      <c r="M1087" s="18" t="n">
        <v>-0.528033601574927</v>
      </c>
      <c r="N1087" s="18" t="n">
        <v>67.4023145015754</v>
      </c>
      <c r="O1087" s="18" t="n">
        <v>0.599210198223078</v>
      </c>
      <c r="P1087" s="18"/>
      <c r="Q1087" s="18"/>
      <c r="R1087" s="18"/>
      <c r="S1087" s="18"/>
      <c r="T1087" s="18"/>
      <c r="U1087" s="18"/>
      <c r="V1087" s="18"/>
      <c r="W1087" s="18"/>
      <c r="X1087" s="18"/>
      <c r="Y1087" s="18"/>
      <c r="Z1087" s="18"/>
      <c r="AA1087" s="18"/>
      <c r="AB1087" s="18"/>
      <c r="AC1087" s="18"/>
      <c r="AD1087" s="18"/>
      <c r="AE1087" s="18"/>
      <c r="AF1087" s="18"/>
      <c r="AG1087" s="18"/>
      <c r="AH1087" s="18" t="s">
        <v>402</v>
      </c>
      <c r="AI1087" s="18"/>
      <c r="AJ1087" s="18" t="s">
        <v>1633</v>
      </c>
    </row>
    <row r="1088" customFormat="false" ht="15" hidden="false" customHeight="false" outlineLevel="0" collapsed="false">
      <c r="A1088" s="18" t="s">
        <v>273</v>
      </c>
      <c r="B1088" s="18" t="s">
        <v>647</v>
      </c>
      <c r="C1088" s="18" t="s">
        <v>1524</v>
      </c>
      <c r="D1088" s="18" t="s">
        <v>324</v>
      </c>
      <c r="E1088" s="18" t="s">
        <v>404</v>
      </c>
      <c r="F1088" s="18" t="s">
        <v>401</v>
      </c>
      <c r="G1088" s="18" t="n">
        <v>0.8</v>
      </c>
      <c r="H1088" s="18" t="n">
        <v>900</v>
      </c>
      <c r="I1088" s="18" t="n">
        <v>38</v>
      </c>
      <c r="J1088" s="18" t="n">
        <v>38</v>
      </c>
      <c r="K1088" s="18" t="n">
        <v>-0.0275941011820318</v>
      </c>
      <c r="L1088" s="18" t="n">
        <v>0.019715567406018</v>
      </c>
      <c r="M1088" s="18" t="n">
        <v>-1.39960979127636</v>
      </c>
      <c r="N1088" s="18" t="n">
        <v>24.2589410673749</v>
      </c>
      <c r="O1088" s="18" t="n">
        <v>0.174288563748654</v>
      </c>
      <c r="P1088" s="18"/>
      <c r="Q1088" s="18"/>
      <c r="R1088" s="18"/>
      <c r="S1088" s="18"/>
      <c r="T1088" s="18"/>
      <c r="U1088" s="18"/>
      <c r="V1088" s="18"/>
      <c r="W1088" s="18"/>
      <c r="X1088" s="18"/>
      <c r="Y1088" s="18"/>
      <c r="Z1088" s="18"/>
      <c r="AA1088" s="18"/>
      <c r="AB1088" s="18"/>
      <c r="AC1088" s="18"/>
      <c r="AD1088" s="18"/>
      <c r="AE1088" s="18"/>
      <c r="AF1088" s="18"/>
      <c r="AG1088" s="18"/>
      <c r="AH1088" s="18" t="s">
        <v>402</v>
      </c>
      <c r="AI1088" s="18"/>
      <c r="AJ1088" s="18" t="s">
        <v>1634</v>
      </c>
    </row>
    <row r="1089" customFormat="false" ht="15" hidden="false" customHeight="false" outlineLevel="0" collapsed="false">
      <c r="A1089" s="18" t="s">
        <v>273</v>
      </c>
      <c r="B1089" s="18" t="s">
        <v>649</v>
      </c>
      <c r="C1089" s="18" t="s">
        <v>1524</v>
      </c>
      <c r="D1089" s="18" t="s">
        <v>324</v>
      </c>
      <c r="E1089" s="18" t="s">
        <v>404</v>
      </c>
      <c r="F1089" s="18" t="s">
        <v>401</v>
      </c>
      <c r="G1089" s="18" t="n">
        <v>0.8</v>
      </c>
      <c r="H1089" s="18" t="n">
        <v>2607</v>
      </c>
      <c r="I1089" s="18" t="n">
        <v>110</v>
      </c>
      <c r="J1089" s="18" t="n">
        <v>109</v>
      </c>
      <c r="K1089" s="18" t="n">
        <v>-0.0141673856121418</v>
      </c>
      <c r="L1089" s="18" t="n">
        <v>0.0113135863003894</v>
      </c>
      <c r="M1089" s="18" t="n">
        <v>-1.25224533017035</v>
      </c>
      <c r="N1089" s="18" t="n">
        <v>36.3758347426025</v>
      </c>
      <c r="O1089" s="18" t="n">
        <v>0.218472258865976</v>
      </c>
      <c r="P1089" s="18"/>
      <c r="Q1089" s="18"/>
      <c r="R1089" s="18"/>
      <c r="S1089" s="18"/>
      <c r="T1089" s="18"/>
      <c r="U1089" s="18"/>
      <c r="V1089" s="18"/>
      <c r="W1089" s="18"/>
      <c r="X1089" s="18"/>
      <c r="Y1089" s="18"/>
      <c r="Z1089" s="18"/>
      <c r="AA1089" s="18"/>
      <c r="AB1089" s="18"/>
      <c r="AC1089" s="18"/>
      <c r="AD1089" s="18"/>
      <c r="AE1089" s="18"/>
      <c r="AF1089" s="18"/>
      <c r="AG1089" s="18"/>
      <c r="AH1089" s="18" t="s">
        <v>402</v>
      </c>
      <c r="AI1089" s="18"/>
      <c r="AJ1089" s="18" t="s">
        <v>1635</v>
      </c>
    </row>
    <row r="1090" customFormat="false" ht="15" hidden="false" customHeight="false" outlineLevel="0" collapsed="false">
      <c r="A1090" s="18" t="s">
        <v>273</v>
      </c>
      <c r="B1090" s="18" t="s">
        <v>651</v>
      </c>
      <c r="C1090" s="18" t="s">
        <v>1524</v>
      </c>
      <c r="D1090" s="18" t="s">
        <v>324</v>
      </c>
      <c r="E1090" s="18" t="s">
        <v>404</v>
      </c>
      <c r="F1090" s="18" t="s">
        <v>401</v>
      </c>
      <c r="G1090" s="18" t="n">
        <v>0.8</v>
      </c>
      <c r="H1090" s="18" t="n">
        <v>2607</v>
      </c>
      <c r="I1090" s="18" t="n">
        <v>110</v>
      </c>
      <c r="J1090" s="18" t="n">
        <v>109</v>
      </c>
      <c r="K1090" s="18" t="n">
        <v>-0.0122181027375411</v>
      </c>
      <c r="L1090" s="18" t="n">
        <v>0.011699599777067</v>
      </c>
      <c r="M1090" s="18" t="n">
        <v>-1.04431800833824</v>
      </c>
      <c r="N1090" s="18" t="n">
        <v>27.6796100221307</v>
      </c>
      <c r="O1090" s="18" t="n">
        <v>0.305373415751368</v>
      </c>
      <c r="P1090" s="18"/>
      <c r="Q1090" s="18"/>
      <c r="R1090" s="18"/>
      <c r="S1090" s="18"/>
      <c r="T1090" s="18"/>
      <c r="U1090" s="18"/>
      <c r="V1090" s="18"/>
      <c r="W1090" s="18"/>
      <c r="X1090" s="18"/>
      <c r="Y1090" s="18"/>
      <c r="Z1090" s="18"/>
      <c r="AA1090" s="18"/>
      <c r="AB1090" s="18"/>
      <c r="AC1090" s="18"/>
      <c r="AD1090" s="18"/>
      <c r="AE1090" s="18"/>
      <c r="AF1090" s="18"/>
      <c r="AG1090" s="18"/>
      <c r="AH1090" s="18" t="s">
        <v>402</v>
      </c>
      <c r="AI1090" s="18"/>
      <c r="AJ1090" s="18" t="s">
        <v>1636</v>
      </c>
    </row>
    <row r="1091" customFormat="false" ht="15" hidden="false" customHeight="false" outlineLevel="0" collapsed="false">
      <c r="A1091" s="18" t="s">
        <v>273</v>
      </c>
      <c r="B1091" s="18" t="s">
        <v>653</v>
      </c>
      <c r="C1091" s="18" t="s">
        <v>1524</v>
      </c>
      <c r="D1091" s="18" t="s">
        <v>324</v>
      </c>
      <c r="E1091" s="18" t="s">
        <v>404</v>
      </c>
      <c r="F1091" s="18" t="s">
        <v>401</v>
      </c>
      <c r="G1091" s="18" t="n">
        <v>0.8</v>
      </c>
      <c r="H1091" s="18" t="n">
        <v>2607</v>
      </c>
      <c r="I1091" s="18" t="n">
        <v>110</v>
      </c>
      <c r="J1091" s="18" t="n">
        <v>109</v>
      </c>
      <c r="K1091" s="18" t="n">
        <v>0.00102100272125889</v>
      </c>
      <c r="L1091" s="18" t="n">
        <v>0.0113047117062265</v>
      </c>
      <c r="M1091" s="18" t="n">
        <v>0.0903165642602397</v>
      </c>
      <c r="N1091" s="18" t="n">
        <v>31.5855525834557</v>
      </c>
      <c r="O1091" s="18" t="n">
        <v>0.928605975479747</v>
      </c>
      <c r="P1091" s="18"/>
      <c r="Q1091" s="18"/>
      <c r="R1091" s="18"/>
      <c r="S1091" s="18"/>
      <c r="T1091" s="18"/>
      <c r="U1091" s="18"/>
      <c r="V1091" s="18"/>
      <c r="W1091" s="18"/>
      <c r="X1091" s="18"/>
      <c r="Y1091" s="18"/>
      <c r="Z1091" s="18"/>
      <c r="AA1091" s="18"/>
      <c r="AB1091" s="18"/>
      <c r="AC1091" s="18"/>
      <c r="AD1091" s="18"/>
      <c r="AE1091" s="18"/>
      <c r="AF1091" s="18"/>
      <c r="AG1091" s="18"/>
      <c r="AH1091" s="18" t="s">
        <v>402</v>
      </c>
      <c r="AI1091" s="18"/>
      <c r="AJ1091" s="18" t="s">
        <v>1637</v>
      </c>
    </row>
    <row r="1092" customFormat="false" ht="15" hidden="false" customHeight="false" outlineLevel="0" collapsed="false">
      <c r="A1092" s="18" t="s">
        <v>273</v>
      </c>
      <c r="B1092" s="18" t="s">
        <v>655</v>
      </c>
      <c r="C1092" s="18" t="s">
        <v>1524</v>
      </c>
      <c r="D1092" s="18" t="s">
        <v>324</v>
      </c>
      <c r="E1092" s="18" t="s">
        <v>404</v>
      </c>
      <c r="F1092" s="18" t="s">
        <v>401</v>
      </c>
      <c r="G1092" s="18" t="n">
        <v>0.8</v>
      </c>
      <c r="H1092" s="18" t="n">
        <v>2607</v>
      </c>
      <c r="I1092" s="18" t="n">
        <v>110</v>
      </c>
      <c r="J1092" s="18" t="n">
        <v>109</v>
      </c>
      <c r="K1092" s="18" t="n">
        <v>-0.0128189581647119</v>
      </c>
      <c r="L1092" s="18" t="n">
        <v>0.0122241002322718</v>
      </c>
      <c r="M1092" s="18" t="n">
        <v>-1.04866271718467</v>
      </c>
      <c r="N1092" s="18" t="n">
        <v>24.1075155184871</v>
      </c>
      <c r="O1092" s="18" t="n">
        <v>0.304733427793081</v>
      </c>
      <c r="P1092" s="18"/>
      <c r="Q1092" s="18"/>
      <c r="R1092" s="18"/>
      <c r="S1092" s="18"/>
      <c r="T1092" s="18"/>
      <c r="U1092" s="18"/>
      <c r="V1092" s="18"/>
      <c r="W1092" s="18"/>
      <c r="X1092" s="18"/>
      <c r="Y1092" s="18"/>
      <c r="Z1092" s="18"/>
      <c r="AA1092" s="18"/>
      <c r="AB1092" s="18"/>
      <c r="AC1092" s="18"/>
      <c r="AD1092" s="18"/>
      <c r="AE1092" s="18"/>
      <c r="AF1092" s="18"/>
      <c r="AG1092" s="18"/>
      <c r="AH1092" s="18" t="s">
        <v>402</v>
      </c>
      <c r="AI1092" s="18"/>
      <c r="AJ1092" s="18" t="s">
        <v>1638</v>
      </c>
    </row>
    <row r="1093" customFormat="false" ht="15" hidden="false" customHeight="false" outlineLevel="0" collapsed="false">
      <c r="A1093" s="18" t="s">
        <v>273</v>
      </c>
      <c r="B1093" s="18" t="s">
        <v>657</v>
      </c>
      <c r="C1093" s="18" t="s">
        <v>1524</v>
      </c>
      <c r="D1093" s="18" t="s">
        <v>324</v>
      </c>
      <c r="E1093" s="18" t="s">
        <v>404</v>
      </c>
      <c r="F1093" s="18" t="s">
        <v>401</v>
      </c>
      <c r="G1093" s="18" t="n">
        <v>0.8</v>
      </c>
      <c r="H1093" s="18" t="n">
        <v>2607</v>
      </c>
      <c r="I1093" s="18" t="n">
        <v>110</v>
      </c>
      <c r="J1093" s="18" t="n">
        <v>109</v>
      </c>
      <c r="K1093" s="18" t="n">
        <v>-0.0151145002347395</v>
      </c>
      <c r="L1093" s="18" t="n">
        <v>0.0149836793497</v>
      </c>
      <c r="M1093" s="18" t="n">
        <v>-1.00873089192489</v>
      </c>
      <c r="N1093" s="18" t="n">
        <v>17.9034555574841</v>
      </c>
      <c r="O1093" s="18" t="n">
        <v>0.326543369966436</v>
      </c>
      <c r="P1093" s="18"/>
      <c r="Q1093" s="18"/>
      <c r="R1093" s="18"/>
      <c r="S1093" s="18"/>
      <c r="T1093" s="18"/>
      <c r="U1093" s="18"/>
      <c r="V1093" s="18"/>
      <c r="W1093" s="18"/>
      <c r="X1093" s="18"/>
      <c r="Y1093" s="18"/>
      <c r="Z1093" s="18"/>
      <c r="AA1093" s="18"/>
      <c r="AB1093" s="18"/>
      <c r="AC1093" s="18"/>
      <c r="AD1093" s="18"/>
      <c r="AE1093" s="18"/>
      <c r="AF1093" s="18"/>
      <c r="AG1093" s="18"/>
      <c r="AH1093" s="18" t="s">
        <v>402</v>
      </c>
      <c r="AI1093" s="18"/>
      <c r="AJ1093" s="18" t="s">
        <v>1639</v>
      </c>
    </row>
    <row r="1094" customFormat="false" ht="15" hidden="false" customHeight="false" outlineLevel="0" collapsed="false">
      <c r="A1094" s="18" t="s">
        <v>273</v>
      </c>
      <c r="B1094" s="18" t="s">
        <v>659</v>
      </c>
      <c r="C1094" s="18" t="s">
        <v>1524</v>
      </c>
      <c r="D1094" s="18" t="s">
        <v>324</v>
      </c>
      <c r="E1094" s="18" t="s">
        <v>404</v>
      </c>
      <c r="F1094" s="18" t="s">
        <v>401</v>
      </c>
      <c r="G1094" s="18" t="n">
        <v>0.8</v>
      </c>
      <c r="H1094" s="18" t="n">
        <v>2607</v>
      </c>
      <c r="I1094" s="18" t="n">
        <v>110</v>
      </c>
      <c r="J1094" s="18" t="n">
        <v>109</v>
      </c>
      <c r="K1094" s="18" t="n">
        <v>-0.0160184944964135</v>
      </c>
      <c r="L1094" s="18" t="n">
        <v>0.0161971675638949</v>
      </c>
      <c r="M1094" s="18" t="n">
        <v>-0.988968869601639</v>
      </c>
      <c r="N1094" s="18" t="n">
        <v>14.6907509707184</v>
      </c>
      <c r="O1094" s="18" t="n">
        <v>0.338688351971309</v>
      </c>
      <c r="P1094" s="18"/>
      <c r="Q1094" s="18"/>
      <c r="R1094" s="18"/>
      <c r="S1094" s="18"/>
      <c r="T1094" s="18"/>
      <c r="U1094" s="18"/>
      <c r="V1094" s="18"/>
      <c r="W1094" s="18"/>
      <c r="X1094" s="18"/>
      <c r="Y1094" s="18"/>
      <c r="Z1094" s="18"/>
      <c r="AA1094" s="18"/>
      <c r="AB1094" s="18"/>
      <c r="AC1094" s="18"/>
      <c r="AD1094" s="18"/>
      <c r="AE1094" s="18"/>
      <c r="AF1094" s="18"/>
      <c r="AG1094" s="18"/>
      <c r="AH1094" s="18" t="s">
        <v>402</v>
      </c>
      <c r="AI1094" s="18"/>
      <c r="AJ1094" s="18" t="s">
        <v>1640</v>
      </c>
    </row>
    <row r="1095" customFormat="false" ht="15" hidden="false" customHeight="false" outlineLevel="0" collapsed="false">
      <c r="A1095" s="18" t="s">
        <v>273</v>
      </c>
      <c r="B1095" s="18" t="s">
        <v>661</v>
      </c>
      <c r="C1095" s="18" t="s">
        <v>1524</v>
      </c>
      <c r="D1095" s="18" t="s">
        <v>324</v>
      </c>
      <c r="E1095" s="18" t="s">
        <v>404</v>
      </c>
      <c r="F1095" s="18" t="s">
        <v>401</v>
      </c>
      <c r="G1095" s="18" t="n">
        <v>0.8</v>
      </c>
      <c r="H1095" s="18" t="n">
        <v>2607</v>
      </c>
      <c r="I1095" s="18" t="n">
        <v>110</v>
      </c>
      <c r="J1095" s="18" t="n">
        <v>109</v>
      </c>
      <c r="K1095" s="18" t="n">
        <v>7.448937773534E-005</v>
      </c>
      <c r="L1095" s="18" t="n">
        <v>0.0102925554505208</v>
      </c>
      <c r="M1095" s="18" t="n">
        <v>0.00723720927163633</v>
      </c>
      <c r="N1095" s="18" t="n">
        <v>37.9594315940758</v>
      </c>
      <c r="O1095" s="18" t="n">
        <v>0.994263494982525</v>
      </c>
      <c r="P1095" s="18"/>
      <c r="Q1095" s="18"/>
      <c r="R1095" s="18"/>
      <c r="S1095" s="18"/>
      <c r="T1095" s="18"/>
      <c r="U1095" s="18"/>
      <c r="V1095" s="18"/>
      <c r="W1095" s="18"/>
      <c r="X1095" s="18"/>
      <c r="Y1095" s="18"/>
      <c r="Z1095" s="18"/>
      <c r="AA1095" s="18"/>
      <c r="AB1095" s="18"/>
      <c r="AC1095" s="18"/>
      <c r="AD1095" s="18"/>
      <c r="AE1095" s="18"/>
      <c r="AF1095" s="18"/>
      <c r="AG1095" s="18"/>
      <c r="AH1095" s="18" t="s">
        <v>402</v>
      </c>
      <c r="AI1095" s="18"/>
      <c r="AJ1095" s="18" t="s">
        <v>1641</v>
      </c>
    </row>
    <row r="1096" customFormat="false" ht="15" hidden="false" customHeight="false" outlineLevel="0" collapsed="false">
      <c r="A1096" s="18" t="s">
        <v>273</v>
      </c>
      <c r="B1096" s="18" t="s">
        <v>663</v>
      </c>
      <c r="C1096" s="18" t="s">
        <v>1524</v>
      </c>
      <c r="D1096" s="18" t="s">
        <v>324</v>
      </c>
      <c r="E1096" s="18" t="s">
        <v>404</v>
      </c>
      <c r="F1096" s="18" t="s">
        <v>401</v>
      </c>
      <c r="G1096" s="18" t="n">
        <v>0.8</v>
      </c>
      <c r="H1096" s="18" t="n">
        <v>2607</v>
      </c>
      <c r="I1096" s="18" t="n">
        <v>110</v>
      </c>
      <c r="J1096" s="18" t="n">
        <v>109</v>
      </c>
      <c r="K1096" s="18" t="n">
        <v>0.0128682000313328</v>
      </c>
      <c r="L1096" s="18" t="n">
        <v>0.00980168007434615</v>
      </c>
      <c r="M1096" s="18" t="n">
        <v>1.31285656476512</v>
      </c>
      <c r="N1096" s="18" t="n">
        <v>51.7916236221386</v>
      </c>
      <c r="O1096" s="18" t="n">
        <v>0.195018984104008</v>
      </c>
      <c r="P1096" s="18"/>
      <c r="Q1096" s="18"/>
      <c r="R1096" s="18"/>
      <c r="S1096" s="18"/>
      <c r="T1096" s="18"/>
      <c r="U1096" s="18"/>
      <c r="V1096" s="18"/>
      <c r="W1096" s="18"/>
      <c r="X1096" s="18"/>
      <c r="Y1096" s="18"/>
      <c r="Z1096" s="18"/>
      <c r="AA1096" s="18"/>
      <c r="AB1096" s="18"/>
      <c r="AC1096" s="18"/>
      <c r="AD1096" s="18"/>
      <c r="AE1096" s="18"/>
      <c r="AF1096" s="18"/>
      <c r="AG1096" s="18"/>
      <c r="AH1096" s="18" t="s">
        <v>402</v>
      </c>
      <c r="AI1096" s="18"/>
      <c r="AJ1096" s="18" t="s">
        <v>1642</v>
      </c>
    </row>
    <row r="1097" customFormat="false" ht="15" hidden="false" customHeight="false" outlineLevel="0" collapsed="false">
      <c r="A1097" s="18" t="s">
        <v>273</v>
      </c>
      <c r="B1097" s="18" t="s">
        <v>665</v>
      </c>
      <c r="C1097" s="18" t="s">
        <v>1524</v>
      </c>
      <c r="D1097" s="18" t="s">
        <v>324</v>
      </c>
      <c r="E1097" s="18" t="s">
        <v>404</v>
      </c>
      <c r="F1097" s="18" t="s">
        <v>401</v>
      </c>
      <c r="G1097" s="18" t="n">
        <v>0.8</v>
      </c>
      <c r="H1097" s="18" t="n">
        <v>2607</v>
      </c>
      <c r="I1097" s="18" t="n">
        <v>110</v>
      </c>
      <c r="J1097" s="18" t="n">
        <v>109</v>
      </c>
      <c r="K1097" s="18" t="n">
        <v>0.000908806435504166</v>
      </c>
      <c r="L1097" s="18" t="n">
        <v>0.00959108475399722</v>
      </c>
      <c r="M1097" s="18" t="n">
        <v>0.0947553336055556</v>
      </c>
      <c r="N1097" s="18" t="n">
        <v>59.5480366500072</v>
      </c>
      <c r="O1097" s="18" t="n">
        <v>0.924827300764927</v>
      </c>
      <c r="P1097" s="18"/>
      <c r="Q1097" s="18"/>
      <c r="R1097" s="18"/>
      <c r="S1097" s="18"/>
      <c r="T1097" s="18"/>
      <c r="U1097" s="18"/>
      <c r="V1097" s="18"/>
      <c r="W1097" s="18"/>
      <c r="X1097" s="18"/>
      <c r="Y1097" s="18"/>
      <c r="Z1097" s="18"/>
      <c r="AA1097" s="18"/>
      <c r="AB1097" s="18"/>
      <c r="AC1097" s="18"/>
      <c r="AD1097" s="18"/>
      <c r="AE1097" s="18"/>
      <c r="AF1097" s="18"/>
      <c r="AG1097" s="18"/>
      <c r="AH1097" s="18" t="s">
        <v>402</v>
      </c>
      <c r="AI1097" s="18"/>
      <c r="AJ1097" s="18" t="s">
        <v>1643</v>
      </c>
    </row>
    <row r="1098" customFormat="false" ht="15" hidden="false" customHeight="false" outlineLevel="0" collapsed="false">
      <c r="A1098" s="18" t="s">
        <v>273</v>
      </c>
      <c r="B1098" s="18" t="s">
        <v>667</v>
      </c>
      <c r="C1098" s="18" t="s">
        <v>1524</v>
      </c>
      <c r="D1098" s="18" t="s">
        <v>324</v>
      </c>
      <c r="E1098" s="18" t="s">
        <v>404</v>
      </c>
      <c r="F1098" s="18" t="s">
        <v>401</v>
      </c>
      <c r="G1098" s="18" t="n">
        <v>0.8</v>
      </c>
      <c r="H1098" s="18" t="n">
        <v>905</v>
      </c>
      <c r="I1098" s="18" t="n">
        <v>38</v>
      </c>
      <c r="J1098" s="18" t="n">
        <v>38</v>
      </c>
      <c r="K1098" s="18" t="n">
        <v>-0.021859113971997</v>
      </c>
      <c r="L1098" s="18" t="n">
        <v>0.0187032264265073</v>
      </c>
      <c r="M1098" s="18" t="n">
        <v>-1.16873492698655</v>
      </c>
      <c r="N1098" s="18" t="n">
        <v>23.9967914374525</v>
      </c>
      <c r="O1098" s="18" t="n">
        <v>0.253990164308449</v>
      </c>
      <c r="P1098" s="18"/>
      <c r="Q1098" s="18"/>
      <c r="R1098" s="18"/>
      <c r="S1098" s="18"/>
      <c r="T1098" s="18"/>
      <c r="U1098" s="18"/>
      <c r="V1098" s="18"/>
      <c r="W1098" s="18"/>
      <c r="X1098" s="18"/>
      <c r="Y1098" s="18"/>
      <c r="Z1098" s="18"/>
      <c r="AA1098" s="18"/>
      <c r="AB1098" s="18"/>
      <c r="AC1098" s="18"/>
      <c r="AD1098" s="18"/>
      <c r="AE1098" s="18"/>
      <c r="AF1098" s="18"/>
      <c r="AG1098" s="18"/>
      <c r="AH1098" s="18" t="s">
        <v>402</v>
      </c>
      <c r="AI1098" s="18"/>
      <c r="AJ1098" s="18" t="s">
        <v>1644</v>
      </c>
    </row>
    <row r="1099" customFormat="false" ht="15" hidden="false" customHeight="false" outlineLevel="0" collapsed="false">
      <c r="A1099" s="18" t="s">
        <v>273</v>
      </c>
      <c r="B1099" s="18" t="s">
        <v>669</v>
      </c>
      <c r="C1099" s="18" t="s">
        <v>1524</v>
      </c>
      <c r="D1099" s="18" t="s">
        <v>324</v>
      </c>
      <c r="E1099" s="18" t="s">
        <v>404</v>
      </c>
      <c r="F1099" s="18" t="s">
        <v>401</v>
      </c>
      <c r="G1099" s="18" t="n">
        <v>0.8</v>
      </c>
      <c r="H1099" s="18" t="n">
        <v>2704</v>
      </c>
      <c r="I1099" s="18" t="n">
        <v>113</v>
      </c>
      <c r="J1099" s="18" t="n">
        <v>112</v>
      </c>
      <c r="K1099" s="18" t="n">
        <v>0.00916245041761015</v>
      </c>
      <c r="L1099" s="18" t="n">
        <v>0.0183276892105549</v>
      </c>
      <c r="M1099" s="18" t="n">
        <v>0.499923929980954</v>
      </c>
      <c r="N1099" s="18" t="n">
        <v>15.1424778739084</v>
      </c>
      <c r="O1099" s="18" t="n">
        <v>0.62431493974688</v>
      </c>
      <c r="P1099" s="18"/>
      <c r="Q1099" s="18"/>
      <c r="R1099" s="18"/>
      <c r="S1099" s="18"/>
      <c r="T1099" s="18"/>
      <c r="U1099" s="18"/>
      <c r="V1099" s="18"/>
      <c r="W1099" s="18"/>
      <c r="X1099" s="18"/>
      <c r="Y1099" s="18"/>
      <c r="Z1099" s="18"/>
      <c r="AA1099" s="18"/>
      <c r="AB1099" s="18"/>
      <c r="AC1099" s="18"/>
      <c r="AD1099" s="18"/>
      <c r="AE1099" s="18"/>
      <c r="AF1099" s="18"/>
      <c r="AG1099" s="18"/>
      <c r="AH1099" s="18" t="s">
        <v>402</v>
      </c>
      <c r="AI1099" s="18"/>
      <c r="AJ1099" s="18" t="s">
        <v>1645</v>
      </c>
    </row>
    <row r="1100" customFormat="false" ht="15" hidden="false" customHeight="false" outlineLevel="0" collapsed="false">
      <c r="A1100" s="18" t="s">
        <v>273</v>
      </c>
      <c r="B1100" s="18" t="s">
        <v>671</v>
      </c>
      <c r="C1100" s="18" t="s">
        <v>1524</v>
      </c>
      <c r="D1100" s="18" t="s">
        <v>324</v>
      </c>
      <c r="E1100" s="18" t="s">
        <v>404</v>
      </c>
      <c r="F1100" s="18" t="s">
        <v>401</v>
      </c>
      <c r="G1100" s="18" t="n">
        <v>0.8</v>
      </c>
      <c r="H1100" s="18" t="n">
        <v>2704</v>
      </c>
      <c r="I1100" s="18" t="n">
        <v>113</v>
      </c>
      <c r="J1100" s="18" t="n">
        <v>112</v>
      </c>
      <c r="K1100" s="18" t="n">
        <v>0.00897260550431359</v>
      </c>
      <c r="L1100" s="18" t="n">
        <v>0.0179761091729271</v>
      </c>
      <c r="M1100" s="18" t="n">
        <v>0.499140576973507</v>
      </c>
      <c r="N1100" s="18" t="n">
        <v>12.3734578349535</v>
      </c>
      <c r="O1100" s="18" t="n">
        <v>0.626436474649615</v>
      </c>
      <c r="P1100" s="18"/>
      <c r="Q1100" s="18"/>
      <c r="R1100" s="18"/>
      <c r="S1100" s="18"/>
      <c r="T1100" s="18"/>
      <c r="U1100" s="18"/>
      <c r="V1100" s="18"/>
      <c r="W1100" s="18"/>
      <c r="X1100" s="18"/>
      <c r="Y1100" s="18"/>
      <c r="Z1100" s="18"/>
      <c r="AA1100" s="18"/>
      <c r="AB1100" s="18"/>
      <c r="AC1100" s="18"/>
      <c r="AD1100" s="18"/>
      <c r="AE1100" s="18"/>
      <c r="AF1100" s="18"/>
      <c r="AG1100" s="18"/>
      <c r="AH1100" s="18" t="s">
        <v>402</v>
      </c>
      <c r="AI1100" s="18"/>
      <c r="AJ1100" s="18" t="s">
        <v>1646</v>
      </c>
    </row>
    <row r="1101" customFormat="false" ht="15" hidden="false" customHeight="false" outlineLevel="0" collapsed="false">
      <c r="A1101" s="18" t="s">
        <v>273</v>
      </c>
      <c r="B1101" s="18" t="s">
        <v>673</v>
      </c>
      <c r="C1101" s="18" t="s">
        <v>1524</v>
      </c>
      <c r="D1101" s="18" t="s">
        <v>324</v>
      </c>
      <c r="E1101" s="18" t="s">
        <v>404</v>
      </c>
      <c r="F1101" s="18" t="s">
        <v>401</v>
      </c>
      <c r="G1101" s="18" t="n">
        <v>0.8</v>
      </c>
      <c r="H1101" s="18" t="n">
        <v>2704</v>
      </c>
      <c r="I1101" s="18" t="n">
        <v>113</v>
      </c>
      <c r="J1101" s="18" t="n">
        <v>112</v>
      </c>
      <c r="K1101" s="18" t="n">
        <v>-0.0202765828652805</v>
      </c>
      <c r="L1101" s="18" t="n">
        <v>0.0212846936859466</v>
      </c>
      <c r="M1101" s="18" t="n">
        <v>-0.952636818009192</v>
      </c>
      <c r="N1101" s="18" t="n">
        <v>41.1831600168165</v>
      </c>
      <c r="O1101" s="18" t="n">
        <v>0.346332177208474</v>
      </c>
      <c r="P1101" s="18"/>
      <c r="Q1101" s="18"/>
      <c r="R1101" s="18"/>
      <c r="S1101" s="18"/>
      <c r="T1101" s="18"/>
      <c r="U1101" s="18"/>
      <c r="V1101" s="18"/>
      <c r="W1101" s="18"/>
      <c r="X1101" s="18"/>
      <c r="Y1101" s="18"/>
      <c r="Z1101" s="18"/>
      <c r="AA1101" s="18"/>
      <c r="AB1101" s="18"/>
      <c r="AC1101" s="18"/>
      <c r="AD1101" s="18"/>
      <c r="AE1101" s="18"/>
      <c r="AF1101" s="18"/>
      <c r="AG1101" s="18"/>
      <c r="AH1101" s="18" t="s">
        <v>402</v>
      </c>
      <c r="AI1101" s="18"/>
      <c r="AJ1101" s="18" t="s">
        <v>1647</v>
      </c>
    </row>
    <row r="1102" customFormat="false" ht="15" hidden="false" customHeight="false" outlineLevel="0" collapsed="false">
      <c r="A1102" s="18" t="s">
        <v>273</v>
      </c>
      <c r="B1102" s="18" t="s">
        <v>675</v>
      </c>
      <c r="C1102" s="18" t="s">
        <v>1524</v>
      </c>
      <c r="D1102" s="18" t="s">
        <v>324</v>
      </c>
      <c r="E1102" s="18" t="s">
        <v>404</v>
      </c>
      <c r="F1102" s="18" t="s">
        <v>401</v>
      </c>
      <c r="G1102" s="18" t="n">
        <v>0.8</v>
      </c>
      <c r="H1102" s="18" t="n">
        <v>2704</v>
      </c>
      <c r="I1102" s="18" t="n">
        <v>113</v>
      </c>
      <c r="J1102" s="18" t="n">
        <v>112</v>
      </c>
      <c r="K1102" s="18" t="n">
        <v>0.00731376611835675</v>
      </c>
      <c r="L1102" s="18" t="n">
        <v>0.0182344091079002</v>
      </c>
      <c r="M1102" s="18" t="n">
        <v>0.401096963168825</v>
      </c>
      <c r="N1102" s="18" t="n">
        <v>10.9432015259885</v>
      </c>
      <c r="O1102" s="18" t="n">
        <v>0.6960694194534</v>
      </c>
      <c r="P1102" s="18"/>
      <c r="Q1102" s="18"/>
      <c r="R1102" s="18"/>
      <c r="S1102" s="18"/>
      <c r="T1102" s="18"/>
      <c r="U1102" s="18"/>
      <c r="V1102" s="18"/>
      <c r="W1102" s="18"/>
      <c r="X1102" s="18"/>
      <c r="Y1102" s="18"/>
      <c r="Z1102" s="18"/>
      <c r="AA1102" s="18"/>
      <c r="AB1102" s="18"/>
      <c r="AC1102" s="18"/>
      <c r="AD1102" s="18"/>
      <c r="AE1102" s="18"/>
      <c r="AF1102" s="18"/>
      <c r="AG1102" s="18"/>
      <c r="AH1102" s="18" t="s">
        <v>402</v>
      </c>
      <c r="AI1102" s="18"/>
      <c r="AJ1102" s="18" t="s">
        <v>1648</v>
      </c>
    </row>
    <row r="1103" customFormat="false" ht="15" hidden="false" customHeight="false" outlineLevel="0" collapsed="false">
      <c r="A1103" s="18" t="s">
        <v>273</v>
      </c>
      <c r="B1103" s="18" t="s">
        <v>677</v>
      </c>
      <c r="C1103" s="18" t="s">
        <v>1524</v>
      </c>
      <c r="D1103" s="18" t="s">
        <v>324</v>
      </c>
      <c r="E1103" s="18" t="s">
        <v>404</v>
      </c>
      <c r="F1103" s="18" t="s">
        <v>401</v>
      </c>
      <c r="G1103" s="18" t="n">
        <v>0.8</v>
      </c>
      <c r="H1103" s="18" t="n">
        <v>2704</v>
      </c>
      <c r="I1103" s="18" t="n">
        <v>113</v>
      </c>
      <c r="J1103" s="18" t="n">
        <v>112</v>
      </c>
      <c r="K1103" s="18" t="n">
        <v>0.00256171634338378</v>
      </c>
      <c r="L1103" s="18" t="n">
        <v>0.0226125083957236</v>
      </c>
      <c r="M1103" s="18" t="n">
        <v>0.113287579535769</v>
      </c>
      <c r="N1103" s="18" t="n">
        <v>18.7651279914402</v>
      </c>
      <c r="O1103" s="18" t="n">
        <v>0.911005784428835</v>
      </c>
      <c r="P1103" s="18"/>
      <c r="Q1103" s="18"/>
      <c r="R1103" s="18"/>
      <c r="S1103" s="18"/>
      <c r="T1103" s="18"/>
      <c r="U1103" s="18"/>
      <c r="V1103" s="18"/>
      <c r="W1103" s="18"/>
      <c r="X1103" s="18"/>
      <c r="Y1103" s="18"/>
      <c r="Z1103" s="18"/>
      <c r="AA1103" s="18"/>
      <c r="AB1103" s="18"/>
      <c r="AC1103" s="18"/>
      <c r="AD1103" s="18"/>
      <c r="AE1103" s="18"/>
      <c r="AF1103" s="18"/>
      <c r="AG1103" s="18"/>
      <c r="AH1103" s="18" t="s">
        <v>402</v>
      </c>
      <c r="AI1103" s="18"/>
      <c r="AJ1103" s="18" t="s">
        <v>1649</v>
      </c>
    </row>
    <row r="1104" customFormat="false" ht="15" hidden="false" customHeight="false" outlineLevel="0" collapsed="false">
      <c r="A1104" s="18" t="s">
        <v>273</v>
      </c>
      <c r="B1104" s="18" t="s">
        <v>679</v>
      </c>
      <c r="C1104" s="18" t="s">
        <v>1524</v>
      </c>
      <c r="D1104" s="18" t="s">
        <v>324</v>
      </c>
      <c r="E1104" s="18" t="s">
        <v>404</v>
      </c>
      <c r="F1104" s="18" t="s">
        <v>401</v>
      </c>
      <c r="G1104" s="18" t="n">
        <v>0.8</v>
      </c>
      <c r="H1104" s="18" t="n">
        <v>2704</v>
      </c>
      <c r="I1104" s="18" t="n">
        <v>113</v>
      </c>
      <c r="J1104" s="18" t="n">
        <v>112</v>
      </c>
      <c r="K1104" s="18" t="n">
        <v>0.00320973648657458</v>
      </c>
      <c r="L1104" s="18" t="n">
        <v>0.0233060324517486</v>
      </c>
      <c r="M1104" s="18" t="n">
        <v>0.137721274233177</v>
      </c>
      <c r="N1104" s="18" t="n">
        <v>15.4331326197662</v>
      </c>
      <c r="O1104" s="18" t="n">
        <v>0.89224149660133</v>
      </c>
      <c r="P1104" s="18"/>
      <c r="Q1104" s="18"/>
      <c r="R1104" s="18"/>
      <c r="S1104" s="18"/>
      <c r="T1104" s="18"/>
      <c r="U1104" s="18"/>
      <c r="V1104" s="18"/>
      <c r="W1104" s="18"/>
      <c r="X1104" s="18"/>
      <c r="Y1104" s="18"/>
      <c r="Z1104" s="18"/>
      <c r="AA1104" s="18"/>
      <c r="AB1104" s="18"/>
      <c r="AC1104" s="18"/>
      <c r="AD1104" s="18"/>
      <c r="AE1104" s="18"/>
      <c r="AF1104" s="18"/>
      <c r="AG1104" s="18"/>
      <c r="AH1104" s="18" t="s">
        <v>402</v>
      </c>
      <c r="AI1104" s="18"/>
      <c r="AJ1104" s="18" t="s">
        <v>1650</v>
      </c>
    </row>
    <row r="1105" customFormat="false" ht="15" hidden="false" customHeight="false" outlineLevel="0" collapsed="false">
      <c r="A1105" s="18" t="s">
        <v>273</v>
      </c>
      <c r="B1105" s="18" t="s">
        <v>681</v>
      </c>
      <c r="C1105" s="18" t="s">
        <v>1524</v>
      </c>
      <c r="D1105" s="18" t="s">
        <v>324</v>
      </c>
      <c r="E1105" s="18" t="s">
        <v>404</v>
      </c>
      <c r="F1105" s="18" t="s">
        <v>401</v>
      </c>
      <c r="G1105" s="18" t="n">
        <v>0.8</v>
      </c>
      <c r="H1105" s="18" t="n">
        <v>2704</v>
      </c>
      <c r="I1105" s="18" t="n">
        <v>113</v>
      </c>
      <c r="J1105" s="18" t="n">
        <v>112</v>
      </c>
      <c r="K1105" s="18" t="n">
        <v>-0.00720736823417432</v>
      </c>
      <c r="L1105" s="18" t="n">
        <v>0.0208294555232645</v>
      </c>
      <c r="M1105" s="18" t="n">
        <v>-0.346018081275547</v>
      </c>
      <c r="N1105" s="18" t="n">
        <v>17.8381813064141</v>
      </c>
      <c r="O1105" s="18" t="n">
        <v>0.733376670242208</v>
      </c>
      <c r="P1105" s="18"/>
      <c r="Q1105" s="18"/>
      <c r="R1105" s="18"/>
      <c r="S1105" s="18"/>
      <c r="T1105" s="18"/>
      <c r="U1105" s="18"/>
      <c r="V1105" s="18"/>
      <c r="W1105" s="18"/>
      <c r="X1105" s="18"/>
      <c r="Y1105" s="18"/>
      <c r="Z1105" s="18"/>
      <c r="AA1105" s="18"/>
      <c r="AB1105" s="18"/>
      <c r="AC1105" s="18"/>
      <c r="AD1105" s="18"/>
      <c r="AE1105" s="18"/>
      <c r="AF1105" s="18"/>
      <c r="AG1105" s="18"/>
      <c r="AH1105" s="18" t="s">
        <v>402</v>
      </c>
      <c r="AI1105" s="18"/>
      <c r="AJ1105" s="18" t="s">
        <v>1651</v>
      </c>
    </row>
    <row r="1106" customFormat="false" ht="15" hidden="false" customHeight="false" outlineLevel="0" collapsed="false">
      <c r="A1106" s="18" t="s">
        <v>273</v>
      </c>
      <c r="B1106" s="18" t="s">
        <v>683</v>
      </c>
      <c r="C1106" s="18" t="s">
        <v>1524</v>
      </c>
      <c r="D1106" s="18" t="s">
        <v>324</v>
      </c>
      <c r="E1106" s="18" t="s">
        <v>404</v>
      </c>
      <c r="F1106" s="18" t="s">
        <v>401</v>
      </c>
      <c r="G1106" s="18" t="n">
        <v>0.8</v>
      </c>
      <c r="H1106" s="18" t="n">
        <v>2704</v>
      </c>
      <c r="I1106" s="18" t="n">
        <v>113</v>
      </c>
      <c r="J1106" s="18" t="n">
        <v>112</v>
      </c>
      <c r="K1106" s="18" t="n">
        <v>0.0396104431874396</v>
      </c>
      <c r="L1106" s="18" t="n">
        <v>0.0263914327811397</v>
      </c>
      <c r="M1106" s="18" t="n">
        <v>1.50088263550991</v>
      </c>
      <c r="N1106" s="18" t="n">
        <v>22.1614531797429</v>
      </c>
      <c r="O1106" s="18" t="n">
        <v>0.147499975516107</v>
      </c>
      <c r="P1106" s="18"/>
      <c r="Q1106" s="18"/>
      <c r="R1106" s="18"/>
      <c r="S1106" s="18"/>
      <c r="T1106" s="18"/>
      <c r="U1106" s="18"/>
      <c r="V1106" s="18"/>
      <c r="W1106" s="18"/>
      <c r="X1106" s="18"/>
      <c r="Y1106" s="18"/>
      <c r="Z1106" s="18"/>
      <c r="AA1106" s="18"/>
      <c r="AB1106" s="18"/>
      <c r="AC1106" s="18"/>
      <c r="AD1106" s="18"/>
      <c r="AE1106" s="18"/>
      <c r="AF1106" s="18"/>
      <c r="AG1106" s="18"/>
      <c r="AH1106" s="18" t="s">
        <v>402</v>
      </c>
      <c r="AI1106" s="18"/>
      <c r="AJ1106" s="18" t="s">
        <v>1652</v>
      </c>
    </row>
    <row r="1107" customFormat="false" ht="15" hidden="false" customHeight="false" outlineLevel="0" collapsed="false">
      <c r="A1107" s="18" t="s">
        <v>273</v>
      </c>
      <c r="B1107" s="18" t="s">
        <v>685</v>
      </c>
      <c r="C1107" s="18" t="s">
        <v>1524</v>
      </c>
      <c r="D1107" s="18" t="s">
        <v>324</v>
      </c>
      <c r="E1107" s="18" t="s">
        <v>404</v>
      </c>
      <c r="F1107" s="18" t="s">
        <v>401</v>
      </c>
      <c r="G1107" s="18" t="n">
        <v>0.8</v>
      </c>
      <c r="H1107" s="18" t="n">
        <v>2704</v>
      </c>
      <c r="I1107" s="18" t="n">
        <v>113</v>
      </c>
      <c r="J1107" s="18" t="n">
        <v>112</v>
      </c>
      <c r="K1107" s="18" t="n">
        <v>0.0214130153159056</v>
      </c>
      <c r="L1107" s="18" t="n">
        <v>0.0219241725903827</v>
      </c>
      <c r="M1107" s="18" t="n">
        <v>0.976685219368262</v>
      </c>
      <c r="N1107" s="18" t="n">
        <v>22.5379323015437</v>
      </c>
      <c r="O1107" s="18" t="n">
        <v>0.339092690794324</v>
      </c>
      <c r="P1107" s="18"/>
      <c r="Q1107" s="18"/>
      <c r="R1107" s="18"/>
      <c r="S1107" s="18"/>
      <c r="T1107" s="18"/>
      <c r="U1107" s="18"/>
      <c r="V1107" s="18"/>
      <c r="W1107" s="18"/>
      <c r="X1107" s="18"/>
      <c r="Y1107" s="18"/>
      <c r="Z1107" s="18"/>
      <c r="AA1107" s="18"/>
      <c r="AB1107" s="18"/>
      <c r="AC1107" s="18"/>
      <c r="AD1107" s="18"/>
      <c r="AE1107" s="18"/>
      <c r="AF1107" s="18"/>
      <c r="AG1107" s="18"/>
      <c r="AH1107" s="18" t="s">
        <v>402</v>
      </c>
      <c r="AI1107" s="18"/>
      <c r="AJ1107" s="18" t="s">
        <v>1653</v>
      </c>
    </row>
    <row r="1108" customFormat="false" ht="15" hidden="false" customHeight="false" outlineLevel="0" collapsed="false">
      <c r="A1108" s="18" t="s">
        <v>273</v>
      </c>
      <c r="B1108" s="18" t="s">
        <v>687</v>
      </c>
      <c r="C1108" s="18" t="s">
        <v>1524</v>
      </c>
      <c r="D1108" s="18" t="s">
        <v>324</v>
      </c>
      <c r="E1108" s="18" t="s">
        <v>404</v>
      </c>
      <c r="F1108" s="18" t="s">
        <v>401</v>
      </c>
      <c r="G1108" s="18" t="n">
        <v>0.8</v>
      </c>
      <c r="H1108" s="18" t="n">
        <v>929</v>
      </c>
      <c r="I1108" s="18" t="n">
        <v>40</v>
      </c>
      <c r="J1108" s="18" t="n">
        <v>40</v>
      </c>
      <c r="K1108" s="18" t="n">
        <v>-0.0128091553178079</v>
      </c>
      <c r="L1108" s="18" t="n">
        <v>0.016987135050624</v>
      </c>
      <c r="M1108" s="18" t="n">
        <v>-0.754050361031147</v>
      </c>
      <c r="N1108" s="18" t="n">
        <v>22.5208111649265</v>
      </c>
      <c r="O1108" s="18" t="n">
        <v>0.45863123488115</v>
      </c>
      <c r="P1108" s="18"/>
      <c r="Q1108" s="18"/>
      <c r="R1108" s="18"/>
      <c r="S1108" s="18"/>
      <c r="T1108" s="18"/>
      <c r="U1108" s="18"/>
      <c r="V1108" s="18"/>
      <c r="W1108" s="18"/>
      <c r="X1108" s="18"/>
      <c r="Y1108" s="18"/>
      <c r="Z1108" s="18"/>
      <c r="AA1108" s="18"/>
      <c r="AB1108" s="18"/>
      <c r="AC1108" s="18"/>
      <c r="AD1108" s="18"/>
      <c r="AE1108" s="18"/>
      <c r="AF1108" s="18"/>
      <c r="AG1108" s="18"/>
      <c r="AH1108" s="18" t="s">
        <v>402</v>
      </c>
      <c r="AI1108" s="18"/>
      <c r="AJ1108" s="18" t="s">
        <v>1654</v>
      </c>
    </row>
    <row r="1109" customFormat="false" ht="15" hidden="false" customHeight="false" outlineLevel="0" collapsed="false">
      <c r="A1109" s="18" t="s">
        <v>273</v>
      </c>
      <c r="B1109" s="18" t="s">
        <v>689</v>
      </c>
      <c r="C1109" s="18" t="s">
        <v>1524</v>
      </c>
      <c r="D1109" s="18" t="s">
        <v>324</v>
      </c>
      <c r="E1109" s="18" t="s">
        <v>404</v>
      </c>
      <c r="F1109" s="18" t="s">
        <v>401</v>
      </c>
      <c r="G1109" s="18" t="n">
        <v>0.8</v>
      </c>
      <c r="H1109" s="18" t="n">
        <v>2691</v>
      </c>
      <c r="I1109" s="18" t="n">
        <v>113</v>
      </c>
      <c r="J1109" s="18" t="n">
        <v>112</v>
      </c>
      <c r="K1109" s="18" t="n">
        <v>-0.0143742811222949</v>
      </c>
      <c r="L1109" s="18" t="n">
        <v>0.0106516930947527</v>
      </c>
      <c r="M1109" s="18" t="n">
        <v>-1.34948322247249</v>
      </c>
      <c r="N1109" s="18" t="n">
        <v>40.5352669634287</v>
      </c>
      <c r="O1109" s="18" t="n">
        <v>0.184671068016234</v>
      </c>
      <c r="P1109" s="18"/>
      <c r="Q1109" s="18"/>
      <c r="R1109" s="18"/>
      <c r="S1109" s="18"/>
      <c r="T1109" s="18"/>
      <c r="U1109" s="18"/>
      <c r="V1109" s="18"/>
      <c r="W1109" s="18"/>
      <c r="X1109" s="18"/>
      <c r="Y1109" s="18"/>
      <c r="Z1109" s="18"/>
      <c r="AA1109" s="18"/>
      <c r="AB1109" s="18"/>
      <c r="AC1109" s="18"/>
      <c r="AD1109" s="18"/>
      <c r="AE1109" s="18"/>
      <c r="AF1109" s="18"/>
      <c r="AG1109" s="18"/>
      <c r="AH1109" s="18" t="s">
        <v>402</v>
      </c>
      <c r="AI1109" s="18"/>
      <c r="AJ1109" s="18" t="s">
        <v>1655</v>
      </c>
    </row>
    <row r="1110" customFormat="false" ht="15" hidden="false" customHeight="false" outlineLevel="0" collapsed="false">
      <c r="A1110" s="18" t="s">
        <v>273</v>
      </c>
      <c r="B1110" s="18" t="s">
        <v>691</v>
      </c>
      <c r="C1110" s="18" t="s">
        <v>1524</v>
      </c>
      <c r="D1110" s="18" t="s">
        <v>324</v>
      </c>
      <c r="E1110" s="18" t="s">
        <v>404</v>
      </c>
      <c r="F1110" s="18" t="s">
        <v>401</v>
      </c>
      <c r="G1110" s="18" t="n">
        <v>0.8</v>
      </c>
      <c r="H1110" s="18" t="n">
        <v>2691</v>
      </c>
      <c r="I1110" s="18" t="n">
        <v>113</v>
      </c>
      <c r="J1110" s="18" t="n">
        <v>112</v>
      </c>
      <c r="K1110" s="18" t="n">
        <v>-0.0131452591978541</v>
      </c>
      <c r="L1110" s="18" t="n">
        <v>0.0112534556387336</v>
      </c>
      <c r="M1110" s="18" t="n">
        <v>-1.16810867877854</v>
      </c>
      <c r="N1110" s="18" t="n">
        <v>30.6655047105916</v>
      </c>
      <c r="O1110" s="18" t="n">
        <v>0.251764651303543</v>
      </c>
      <c r="P1110" s="18"/>
      <c r="Q1110" s="18"/>
      <c r="R1110" s="18"/>
      <c r="S1110" s="18"/>
      <c r="T1110" s="18"/>
      <c r="U1110" s="18"/>
      <c r="V1110" s="18"/>
      <c r="W1110" s="18"/>
      <c r="X1110" s="18"/>
      <c r="Y1110" s="18"/>
      <c r="Z1110" s="18"/>
      <c r="AA1110" s="18"/>
      <c r="AB1110" s="18"/>
      <c r="AC1110" s="18"/>
      <c r="AD1110" s="18"/>
      <c r="AE1110" s="18"/>
      <c r="AF1110" s="18"/>
      <c r="AG1110" s="18"/>
      <c r="AH1110" s="18" t="s">
        <v>402</v>
      </c>
      <c r="AI1110" s="18"/>
      <c r="AJ1110" s="18" t="s">
        <v>1656</v>
      </c>
    </row>
    <row r="1111" customFormat="false" ht="15" hidden="false" customHeight="false" outlineLevel="0" collapsed="false">
      <c r="A1111" s="18" t="s">
        <v>273</v>
      </c>
      <c r="B1111" s="18" t="s">
        <v>693</v>
      </c>
      <c r="C1111" s="18" t="s">
        <v>1524</v>
      </c>
      <c r="D1111" s="18" t="s">
        <v>324</v>
      </c>
      <c r="E1111" s="18" t="s">
        <v>404</v>
      </c>
      <c r="F1111" s="18" t="s">
        <v>401</v>
      </c>
      <c r="G1111" s="18" t="n">
        <v>0.8</v>
      </c>
      <c r="H1111" s="18" t="n">
        <v>2691</v>
      </c>
      <c r="I1111" s="18" t="n">
        <v>113</v>
      </c>
      <c r="J1111" s="18" t="n">
        <v>112</v>
      </c>
      <c r="K1111" s="18" t="n">
        <v>0.000206531652784128</v>
      </c>
      <c r="L1111" s="18" t="n">
        <v>0.0110272936846898</v>
      </c>
      <c r="M1111" s="18" t="n">
        <v>0.0187291332478861</v>
      </c>
      <c r="N1111" s="18" t="n">
        <v>34.4912968887598</v>
      </c>
      <c r="O1111" s="18" t="n">
        <v>0.985165114448284</v>
      </c>
      <c r="P1111" s="18"/>
      <c r="Q1111" s="18"/>
      <c r="R1111" s="18"/>
      <c r="S1111" s="18"/>
      <c r="T1111" s="18"/>
      <c r="U1111" s="18"/>
      <c r="V1111" s="18"/>
      <c r="W1111" s="18"/>
      <c r="X1111" s="18"/>
      <c r="Y1111" s="18"/>
      <c r="Z1111" s="18"/>
      <c r="AA1111" s="18"/>
      <c r="AB1111" s="18"/>
      <c r="AC1111" s="18"/>
      <c r="AD1111" s="18"/>
      <c r="AE1111" s="18"/>
      <c r="AF1111" s="18"/>
      <c r="AG1111" s="18"/>
      <c r="AH1111" s="18" t="s">
        <v>402</v>
      </c>
      <c r="AI1111" s="18"/>
      <c r="AJ1111" s="18" t="s">
        <v>1657</v>
      </c>
    </row>
    <row r="1112" customFormat="false" ht="15" hidden="false" customHeight="false" outlineLevel="0" collapsed="false">
      <c r="A1112" s="18" t="s">
        <v>273</v>
      </c>
      <c r="B1112" s="18" t="s">
        <v>695</v>
      </c>
      <c r="C1112" s="18" t="s">
        <v>1524</v>
      </c>
      <c r="D1112" s="18" t="s">
        <v>324</v>
      </c>
      <c r="E1112" s="18" t="s">
        <v>404</v>
      </c>
      <c r="F1112" s="18" t="s">
        <v>401</v>
      </c>
      <c r="G1112" s="18" t="n">
        <v>0.8</v>
      </c>
      <c r="H1112" s="18" t="n">
        <v>2691</v>
      </c>
      <c r="I1112" s="18" t="n">
        <v>113</v>
      </c>
      <c r="J1112" s="18" t="n">
        <v>112</v>
      </c>
      <c r="K1112" s="18" t="n">
        <v>-0.0133810955998111</v>
      </c>
      <c r="L1112" s="18" t="n">
        <v>0.0117177081150675</v>
      </c>
      <c r="M1112" s="18" t="n">
        <v>-1.14195501956605</v>
      </c>
      <c r="N1112" s="18" t="n">
        <v>26.7939320714196</v>
      </c>
      <c r="O1112" s="18" t="n">
        <v>0.263575622286529</v>
      </c>
      <c r="P1112" s="18"/>
      <c r="Q1112" s="18"/>
      <c r="R1112" s="18"/>
      <c r="S1112" s="18"/>
      <c r="T1112" s="18"/>
      <c r="U1112" s="18"/>
      <c r="V1112" s="18"/>
      <c r="W1112" s="18"/>
      <c r="X1112" s="18"/>
      <c r="Y1112" s="18"/>
      <c r="Z1112" s="18"/>
      <c r="AA1112" s="18"/>
      <c r="AB1112" s="18"/>
      <c r="AC1112" s="18"/>
      <c r="AD1112" s="18"/>
      <c r="AE1112" s="18"/>
      <c r="AF1112" s="18"/>
      <c r="AG1112" s="18"/>
      <c r="AH1112" s="18" t="s">
        <v>402</v>
      </c>
      <c r="AI1112" s="18"/>
      <c r="AJ1112" s="18" t="s">
        <v>1658</v>
      </c>
    </row>
    <row r="1113" customFormat="false" ht="15" hidden="false" customHeight="false" outlineLevel="0" collapsed="false">
      <c r="A1113" s="18" t="s">
        <v>273</v>
      </c>
      <c r="B1113" s="18" t="s">
        <v>697</v>
      </c>
      <c r="C1113" s="18" t="s">
        <v>1524</v>
      </c>
      <c r="D1113" s="18" t="s">
        <v>324</v>
      </c>
      <c r="E1113" s="18" t="s">
        <v>404</v>
      </c>
      <c r="F1113" s="18" t="s">
        <v>401</v>
      </c>
      <c r="G1113" s="18" t="n">
        <v>0.8</v>
      </c>
      <c r="H1113" s="18" t="n">
        <v>2691</v>
      </c>
      <c r="I1113" s="18" t="n">
        <v>113</v>
      </c>
      <c r="J1113" s="18" t="n">
        <v>112</v>
      </c>
      <c r="K1113" s="18" t="n">
        <v>-0.0138727254684637</v>
      </c>
      <c r="L1113" s="18" t="n">
        <v>0.0152521746619913</v>
      </c>
      <c r="M1113" s="18" t="n">
        <v>-0.909557212391152</v>
      </c>
      <c r="N1113" s="18" t="n">
        <v>17.5744812737323</v>
      </c>
      <c r="O1113" s="18" t="n">
        <v>0.375361826484512</v>
      </c>
      <c r="P1113" s="18"/>
      <c r="Q1113" s="18"/>
      <c r="R1113" s="18"/>
      <c r="S1113" s="18"/>
      <c r="T1113" s="18"/>
      <c r="U1113" s="18"/>
      <c r="V1113" s="18"/>
      <c r="W1113" s="18"/>
      <c r="X1113" s="18"/>
      <c r="Y1113" s="18"/>
      <c r="Z1113" s="18"/>
      <c r="AA1113" s="18"/>
      <c r="AB1113" s="18"/>
      <c r="AC1113" s="18"/>
      <c r="AD1113" s="18"/>
      <c r="AE1113" s="18"/>
      <c r="AF1113" s="18"/>
      <c r="AG1113" s="18"/>
      <c r="AH1113" s="18" t="s">
        <v>402</v>
      </c>
      <c r="AI1113" s="18"/>
      <c r="AJ1113" s="18" t="s">
        <v>1659</v>
      </c>
    </row>
    <row r="1114" customFormat="false" ht="15" hidden="false" customHeight="false" outlineLevel="0" collapsed="false">
      <c r="A1114" s="18" t="s">
        <v>273</v>
      </c>
      <c r="B1114" s="18" t="s">
        <v>699</v>
      </c>
      <c r="C1114" s="18" t="s">
        <v>1524</v>
      </c>
      <c r="D1114" s="18" t="s">
        <v>324</v>
      </c>
      <c r="E1114" s="18" t="s">
        <v>404</v>
      </c>
      <c r="F1114" s="18" t="s">
        <v>401</v>
      </c>
      <c r="G1114" s="18" t="n">
        <v>0.8</v>
      </c>
      <c r="H1114" s="18" t="n">
        <v>2691</v>
      </c>
      <c r="I1114" s="18" t="n">
        <v>113</v>
      </c>
      <c r="J1114" s="18" t="n">
        <v>112</v>
      </c>
      <c r="K1114" s="18" t="n">
        <v>-0.0143910964870542</v>
      </c>
      <c r="L1114" s="18" t="n">
        <v>0.0166213133453282</v>
      </c>
      <c r="M1114" s="18" t="n">
        <v>-0.865821863053869</v>
      </c>
      <c r="N1114" s="18" t="n">
        <v>14.436122019712</v>
      </c>
      <c r="O1114" s="18" t="n">
        <v>0.400748653758761</v>
      </c>
      <c r="P1114" s="18"/>
      <c r="Q1114" s="18"/>
      <c r="R1114" s="18"/>
      <c r="S1114" s="18"/>
      <c r="T1114" s="18"/>
      <c r="U1114" s="18"/>
      <c r="V1114" s="18"/>
      <c r="W1114" s="18"/>
      <c r="X1114" s="18"/>
      <c r="Y1114" s="18"/>
      <c r="Z1114" s="18"/>
      <c r="AA1114" s="18"/>
      <c r="AB1114" s="18"/>
      <c r="AC1114" s="18"/>
      <c r="AD1114" s="18"/>
      <c r="AE1114" s="18"/>
      <c r="AF1114" s="18"/>
      <c r="AG1114" s="18"/>
      <c r="AH1114" s="18" t="s">
        <v>402</v>
      </c>
      <c r="AI1114" s="18"/>
      <c r="AJ1114" s="18" t="s">
        <v>1660</v>
      </c>
    </row>
    <row r="1115" customFormat="false" ht="15" hidden="false" customHeight="false" outlineLevel="0" collapsed="false">
      <c r="A1115" s="18" t="s">
        <v>273</v>
      </c>
      <c r="B1115" s="18" t="s">
        <v>701</v>
      </c>
      <c r="C1115" s="18" t="s">
        <v>1524</v>
      </c>
      <c r="D1115" s="18" t="s">
        <v>324</v>
      </c>
      <c r="E1115" s="18" t="s">
        <v>404</v>
      </c>
      <c r="F1115" s="18" t="s">
        <v>401</v>
      </c>
      <c r="G1115" s="18" t="n">
        <v>0.8</v>
      </c>
      <c r="H1115" s="18" t="n">
        <v>2691</v>
      </c>
      <c r="I1115" s="18" t="n">
        <v>113</v>
      </c>
      <c r="J1115" s="18" t="n">
        <v>112</v>
      </c>
      <c r="K1115" s="18" t="n">
        <v>0.00128431066517983</v>
      </c>
      <c r="L1115" s="18" t="n">
        <v>0.00931991303425364</v>
      </c>
      <c r="M1115" s="18" t="n">
        <v>0.137802859367848</v>
      </c>
      <c r="N1115" s="18" t="n">
        <v>46.0760684661889</v>
      </c>
      <c r="O1115" s="18" t="n">
        <v>0.890996681991901</v>
      </c>
      <c r="P1115" s="18"/>
      <c r="Q1115" s="18"/>
      <c r="R1115" s="18"/>
      <c r="S1115" s="18"/>
      <c r="T1115" s="18"/>
      <c r="U1115" s="18"/>
      <c r="V1115" s="18"/>
      <c r="W1115" s="18"/>
      <c r="X1115" s="18"/>
      <c r="Y1115" s="18"/>
      <c r="Z1115" s="18"/>
      <c r="AA1115" s="18"/>
      <c r="AB1115" s="18"/>
      <c r="AC1115" s="18"/>
      <c r="AD1115" s="18"/>
      <c r="AE1115" s="18"/>
      <c r="AF1115" s="18"/>
      <c r="AG1115" s="18"/>
      <c r="AH1115" s="18" t="s">
        <v>402</v>
      </c>
      <c r="AI1115" s="18"/>
      <c r="AJ1115" s="18" t="s">
        <v>1661</v>
      </c>
    </row>
    <row r="1116" customFormat="false" ht="15" hidden="false" customHeight="false" outlineLevel="0" collapsed="false">
      <c r="A1116" s="18" t="s">
        <v>273</v>
      </c>
      <c r="B1116" s="18" t="s">
        <v>703</v>
      </c>
      <c r="C1116" s="18" t="s">
        <v>1524</v>
      </c>
      <c r="D1116" s="18" t="s">
        <v>324</v>
      </c>
      <c r="E1116" s="18" t="s">
        <v>404</v>
      </c>
      <c r="F1116" s="18" t="s">
        <v>401</v>
      </c>
      <c r="G1116" s="18" t="n">
        <v>0.8</v>
      </c>
      <c r="H1116" s="18" t="n">
        <v>2691</v>
      </c>
      <c r="I1116" s="18" t="n">
        <v>113</v>
      </c>
      <c r="J1116" s="18" t="n">
        <v>112</v>
      </c>
      <c r="K1116" s="18" t="n">
        <v>0.00962774856025285</v>
      </c>
      <c r="L1116" s="18" t="n">
        <v>0.00896887838954934</v>
      </c>
      <c r="M1116" s="18" t="n">
        <v>1.07346182455448</v>
      </c>
      <c r="N1116" s="18" t="n">
        <v>61.6309802274763</v>
      </c>
      <c r="O1116" s="18" t="n">
        <v>0.287249068004191</v>
      </c>
      <c r="P1116" s="18"/>
      <c r="Q1116" s="18"/>
      <c r="R1116" s="18"/>
      <c r="S1116" s="18"/>
      <c r="T1116" s="18"/>
      <c r="U1116" s="18"/>
      <c r="V1116" s="18"/>
      <c r="W1116" s="18"/>
      <c r="X1116" s="18"/>
      <c r="Y1116" s="18"/>
      <c r="Z1116" s="18"/>
      <c r="AA1116" s="18"/>
      <c r="AB1116" s="18"/>
      <c r="AC1116" s="18"/>
      <c r="AD1116" s="18"/>
      <c r="AE1116" s="18"/>
      <c r="AF1116" s="18"/>
      <c r="AG1116" s="18"/>
      <c r="AH1116" s="18" t="s">
        <v>402</v>
      </c>
      <c r="AI1116" s="18"/>
      <c r="AJ1116" s="18" t="s">
        <v>1662</v>
      </c>
    </row>
    <row r="1117" customFormat="false" ht="15" hidden="false" customHeight="false" outlineLevel="0" collapsed="false">
      <c r="A1117" s="18" t="s">
        <v>273</v>
      </c>
      <c r="B1117" s="18" t="s">
        <v>705</v>
      </c>
      <c r="C1117" s="18" t="s">
        <v>1524</v>
      </c>
      <c r="D1117" s="18" t="s">
        <v>324</v>
      </c>
      <c r="E1117" s="18" t="s">
        <v>404</v>
      </c>
      <c r="F1117" s="18" t="s">
        <v>401</v>
      </c>
      <c r="G1117" s="18" t="n">
        <v>0.8</v>
      </c>
      <c r="H1117" s="18" t="n">
        <v>2691</v>
      </c>
      <c r="I1117" s="18" t="n">
        <v>113</v>
      </c>
      <c r="J1117" s="18" t="n">
        <v>112</v>
      </c>
      <c r="K1117" s="18" t="n">
        <v>-0.00154927877027455</v>
      </c>
      <c r="L1117" s="18" t="n">
        <v>0.00917085331369468</v>
      </c>
      <c r="M1117" s="18" t="n">
        <v>-0.16893507259145</v>
      </c>
      <c r="N1117" s="18" t="n">
        <v>70.6137551658972</v>
      </c>
      <c r="O1117" s="18" t="n">
        <v>0.866330699122387</v>
      </c>
      <c r="P1117" s="18"/>
      <c r="Q1117" s="18"/>
      <c r="R1117" s="18"/>
      <c r="S1117" s="18"/>
      <c r="T1117" s="18"/>
      <c r="U1117" s="18"/>
      <c r="V1117" s="18"/>
      <c r="W1117" s="18"/>
      <c r="X1117" s="18"/>
      <c r="Y1117" s="18"/>
      <c r="Z1117" s="18"/>
      <c r="AA1117" s="18"/>
      <c r="AB1117" s="18"/>
      <c r="AC1117" s="18"/>
      <c r="AD1117" s="18"/>
      <c r="AE1117" s="18"/>
      <c r="AF1117" s="18"/>
      <c r="AG1117" s="18"/>
      <c r="AH1117" s="18" t="s">
        <v>402</v>
      </c>
      <c r="AI1117" s="18"/>
      <c r="AJ1117" s="18" t="s">
        <v>1663</v>
      </c>
    </row>
    <row r="1118" customFormat="false" ht="15" hidden="false" customHeight="false" outlineLevel="0" collapsed="false">
      <c r="A1118" s="18" t="s">
        <v>273</v>
      </c>
      <c r="B1118" s="18" t="s">
        <v>707</v>
      </c>
      <c r="C1118" s="18" t="s">
        <v>1524</v>
      </c>
      <c r="D1118" s="18" t="s">
        <v>324</v>
      </c>
      <c r="E1118" s="18" t="s">
        <v>404</v>
      </c>
      <c r="F1118" s="18" t="s">
        <v>401</v>
      </c>
      <c r="G1118" s="18" t="n">
        <v>0.8</v>
      </c>
      <c r="H1118" s="18" t="n">
        <v>924</v>
      </c>
      <c r="I1118" s="18" t="n">
        <v>40</v>
      </c>
      <c r="J1118" s="18" t="n">
        <v>40</v>
      </c>
      <c r="K1118" s="18" t="n">
        <v>-0.0229221866212346</v>
      </c>
      <c r="L1118" s="18" t="n">
        <v>0.0203760455069155</v>
      </c>
      <c r="M1118" s="18" t="n">
        <v>-1.12495756909528</v>
      </c>
      <c r="N1118" s="18" t="n">
        <v>23.8133177954178</v>
      </c>
      <c r="O1118" s="18" t="n">
        <v>0.271818488984586</v>
      </c>
      <c r="P1118" s="18"/>
      <c r="Q1118" s="18"/>
      <c r="R1118" s="18"/>
      <c r="S1118" s="18"/>
      <c r="T1118" s="18"/>
      <c r="U1118" s="18"/>
      <c r="V1118" s="18"/>
      <c r="W1118" s="18"/>
      <c r="X1118" s="18"/>
      <c r="Y1118" s="18"/>
      <c r="Z1118" s="18"/>
      <c r="AA1118" s="18"/>
      <c r="AB1118" s="18"/>
      <c r="AC1118" s="18"/>
      <c r="AD1118" s="18"/>
      <c r="AE1118" s="18"/>
      <c r="AF1118" s="18"/>
      <c r="AG1118" s="18"/>
      <c r="AH1118" s="18" t="s">
        <v>402</v>
      </c>
      <c r="AI1118" s="18"/>
      <c r="AJ1118" s="18" t="s">
        <v>1664</v>
      </c>
    </row>
    <row r="1119" customFormat="false" ht="15" hidden="false" customHeight="false" outlineLevel="0" collapsed="false">
      <c r="A1119" s="18" t="s">
        <v>273</v>
      </c>
      <c r="B1119" s="18" t="s">
        <v>709</v>
      </c>
      <c r="C1119" s="18" t="s">
        <v>1524</v>
      </c>
      <c r="D1119" s="18" t="s">
        <v>324</v>
      </c>
      <c r="E1119" s="18" t="s">
        <v>404</v>
      </c>
      <c r="F1119" s="18" t="s">
        <v>401</v>
      </c>
      <c r="G1119" s="18" t="n">
        <v>0.8</v>
      </c>
      <c r="H1119" s="18" t="n">
        <v>2704</v>
      </c>
      <c r="I1119" s="18" t="n">
        <v>113</v>
      </c>
      <c r="J1119" s="18" t="n">
        <v>112</v>
      </c>
      <c r="K1119" s="18" t="n">
        <v>-0.0109635009678484</v>
      </c>
      <c r="L1119" s="18" t="n">
        <v>0.0110826100571021</v>
      </c>
      <c r="M1119" s="18" t="n">
        <v>-0.989252613902324</v>
      </c>
      <c r="N1119" s="18" t="n">
        <v>36.9353810795385</v>
      </c>
      <c r="O1119" s="18" t="n">
        <v>0.328976223009136</v>
      </c>
      <c r="P1119" s="18"/>
      <c r="Q1119" s="18"/>
      <c r="R1119" s="18"/>
      <c r="S1119" s="18"/>
      <c r="T1119" s="18"/>
      <c r="U1119" s="18"/>
      <c r="V1119" s="18"/>
      <c r="W1119" s="18"/>
      <c r="X1119" s="18"/>
      <c r="Y1119" s="18"/>
      <c r="Z1119" s="18"/>
      <c r="AA1119" s="18"/>
      <c r="AB1119" s="18"/>
      <c r="AC1119" s="18"/>
      <c r="AD1119" s="18"/>
      <c r="AE1119" s="18"/>
      <c r="AF1119" s="18"/>
      <c r="AG1119" s="18"/>
      <c r="AH1119" s="18" t="s">
        <v>402</v>
      </c>
      <c r="AI1119" s="18"/>
      <c r="AJ1119" s="18" t="s">
        <v>1665</v>
      </c>
    </row>
    <row r="1120" customFormat="false" ht="15" hidden="false" customHeight="false" outlineLevel="0" collapsed="false">
      <c r="A1120" s="18" t="s">
        <v>273</v>
      </c>
      <c r="B1120" s="18" t="s">
        <v>711</v>
      </c>
      <c r="C1120" s="18" t="s">
        <v>1524</v>
      </c>
      <c r="D1120" s="18" t="s">
        <v>324</v>
      </c>
      <c r="E1120" s="18" t="s">
        <v>404</v>
      </c>
      <c r="F1120" s="18" t="s">
        <v>401</v>
      </c>
      <c r="G1120" s="18" t="n">
        <v>0.8</v>
      </c>
      <c r="H1120" s="18" t="n">
        <v>2704</v>
      </c>
      <c r="I1120" s="18" t="n">
        <v>113</v>
      </c>
      <c r="J1120" s="18" t="n">
        <v>112</v>
      </c>
      <c r="K1120" s="18" t="n">
        <v>-0.0088012928793547</v>
      </c>
      <c r="L1120" s="18" t="n">
        <v>0.0114613166839166</v>
      </c>
      <c r="M1120" s="18" t="n">
        <v>-0.767912895357417</v>
      </c>
      <c r="N1120" s="18" t="n">
        <v>28.1481265434351</v>
      </c>
      <c r="O1120" s="18" t="n">
        <v>0.448933431045726</v>
      </c>
      <c r="P1120" s="18"/>
      <c r="Q1120" s="18"/>
      <c r="R1120" s="18"/>
      <c r="S1120" s="18"/>
      <c r="T1120" s="18"/>
      <c r="U1120" s="18"/>
      <c r="V1120" s="18"/>
      <c r="W1120" s="18"/>
      <c r="X1120" s="18"/>
      <c r="Y1120" s="18"/>
      <c r="Z1120" s="18"/>
      <c r="AA1120" s="18"/>
      <c r="AB1120" s="18"/>
      <c r="AC1120" s="18"/>
      <c r="AD1120" s="18"/>
      <c r="AE1120" s="18"/>
      <c r="AF1120" s="18"/>
      <c r="AG1120" s="18"/>
      <c r="AH1120" s="18" t="s">
        <v>402</v>
      </c>
      <c r="AI1120" s="18"/>
      <c r="AJ1120" s="18" t="s">
        <v>1666</v>
      </c>
    </row>
    <row r="1121" customFormat="false" ht="15" hidden="false" customHeight="false" outlineLevel="0" collapsed="false">
      <c r="A1121" s="18" t="s">
        <v>273</v>
      </c>
      <c r="B1121" s="18" t="s">
        <v>713</v>
      </c>
      <c r="C1121" s="18" t="s">
        <v>1524</v>
      </c>
      <c r="D1121" s="18" t="s">
        <v>324</v>
      </c>
      <c r="E1121" s="18" t="s">
        <v>404</v>
      </c>
      <c r="F1121" s="18" t="s">
        <v>401</v>
      </c>
      <c r="G1121" s="18" t="n">
        <v>0.8</v>
      </c>
      <c r="H1121" s="18" t="n">
        <v>2704</v>
      </c>
      <c r="I1121" s="18" t="n">
        <v>113</v>
      </c>
      <c r="J1121" s="18" t="n">
        <v>112</v>
      </c>
      <c r="K1121" s="18" t="n">
        <v>0.0017441220155927</v>
      </c>
      <c r="L1121" s="18" t="n">
        <v>0.0105777131249325</v>
      </c>
      <c r="M1121" s="18" t="n">
        <v>0.164886492476495</v>
      </c>
      <c r="N1121" s="18" t="n">
        <v>35.3212460796021</v>
      </c>
      <c r="O1121" s="18" t="n">
        <v>0.86997337825169</v>
      </c>
      <c r="P1121" s="18"/>
      <c r="Q1121" s="18"/>
      <c r="R1121" s="18"/>
      <c r="S1121" s="18"/>
      <c r="T1121" s="18"/>
      <c r="U1121" s="18"/>
      <c r="V1121" s="18"/>
      <c r="W1121" s="18"/>
      <c r="X1121" s="18"/>
      <c r="Y1121" s="18"/>
      <c r="Z1121" s="18"/>
      <c r="AA1121" s="18"/>
      <c r="AB1121" s="18"/>
      <c r="AC1121" s="18"/>
      <c r="AD1121" s="18"/>
      <c r="AE1121" s="18"/>
      <c r="AF1121" s="18"/>
      <c r="AG1121" s="18"/>
      <c r="AH1121" s="18" t="s">
        <v>402</v>
      </c>
      <c r="AI1121" s="18"/>
      <c r="AJ1121" s="18" t="s">
        <v>1667</v>
      </c>
    </row>
    <row r="1122" customFormat="false" ht="15" hidden="false" customHeight="false" outlineLevel="0" collapsed="false">
      <c r="A1122" s="18" t="s">
        <v>273</v>
      </c>
      <c r="B1122" s="18" t="s">
        <v>715</v>
      </c>
      <c r="C1122" s="18" t="s">
        <v>1524</v>
      </c>
      <c r="D1122" s="18" t="s">
        <v>324</v>
      </c>
      <c r="E1122" s="18" t="s">
        <v>404</v>
      </c>
      <c r="F1122" s="18" t="s">
        <v>401</v>
      </c>
      <c r="G1122" s="18" t="n">
        <v>0.8</v>
      </c>
      <c r="H1122" s="18" t="n">
        <v>2704</v>
      </c>
      <c r="I1122" s="18" t="n">
        <v>113</v>
      </c>
      <c r="J1122" s="18" t="n">
        <v>112</v>
      </c>
      <c r="K1122" s="18" t="n">
        <v>-0.00923383861748762</v>
      </c>
      <c r="L1122" s="18" t="n">
        <v>0.0119619244689368</v>
      </c>
      <c r="M1122" s="18" t="n">
        <v>-0.77193587381917</v>
      </c>
      <c r="N1122" s="18" t="n">
        <v>24.5563380408472</v>
      </c>
      <c r="O1122" s="18" t="n">
        <v>0.447518093951371</v>
      </c>
      <c r="P1122" s="18"/>
      <c r="Q1122" s="18"/>
      <c r="R1122" s="18"/>
      <c r="S1122" s="18"/>
      <c r="T1122" s="18"/>
      <c r="U1122" s="18"/>
      <c r="V1122" s="18"/>
      <c r="W1122" s="18"/>
      <c r="X1122" s="18"/>
      <c r="Y1122" s="18"/>
      <c r="Z1122" s="18"/>
      <c r="AA1122" s="18"/>
      <c r="AB1122" s="18"/>
      <c r="AC1122" s="18"/>
      <c r="AD1122" s="18"/>
      <c r="AE1122" s="18"/>
      <c r="AF1122" s="18"/>
      <c r="AG1122" s="18"/>
      <c r="AH1122" s="18" t="s">
        <v>402</v>
      </c>
      <c r="AI1122" s="18"/>
      <c r="AJ1122" s="18" t="s">
        <v>1668</v>
      </c>
    </row>
    <row r="1123" customFormat="false" ht="15" hidden="false" customHeight="false" outlineLevel="0" collapsed="false">
      <c r="A1123" s="18" t="s">
        <v>273</v>
      </c>
      <c r="B1123" s="18" t="s">
        <v>717</v>
      </c>
      <c r="C1123" s="18" t="s">
        <v>1524</v>
      </c>
      <c r="D1123" s="18" t="s">
        <v>324</v>
      </c>
      <c r="E1123" s="18" t="s">
        <v>404</v>
      </c>
      <c r="F1123" s="18" t="s">
        <v>401</v>
      </c>
      <c r="G1123" s="18" t="n">
        <v>0.8</v>
      </c>
      <c r="H1123" s="18" t="n">
        <v>2704</v>
      </c>
      <c r="I1123" s="18" t="n">
        <v>113</v>
      </c>
      <c r="J1123" s="18" t="n">
        <v>112</v>
      </c>
      <c r="K1123" s="18" t="n">
        <v>-0.0104206710867901</v>
      </c>
      <c r="L1123" s="18" t="n">
        <v>0.0154551148341985</v>
      </c>
      <c r="M1123" s="18" t="n">
        <v>-0.674253876375708</v>
      </c>
      <c r="N1123" s="18" t="n">
        <v>17.727545737626</v>
      </c>
      <c r="O1123" s="18" t="n">
        <v>0.508847618558848</v>
      </c>
      <c r="P1123" s="18"/>
      <c r="Q1123" s="18"/>
      <c r="R1123" s="18"/>
      <c r="S1123" s="18"/>
      <c r="T1123" s="18"/>
      <c r="U1123" s="18"/>
      <c r="V1123" s="18"/>
      <c r="W1123" s="18"/>
      <c r="X1123" s="18"/>
      <c r="Y1123" s="18"/>
      <c r="Z1123" s="18"/>
      <c r="AA1123" s="18"/>
      <c r="AB1123" s="18"/>
      <c r="AC1123" s="18"/>
      <c r="AD1123" s="18"/>
      <c r="AE1123" s="18"/>
      <c r="AF1123" s="18"/>
      <c r="AG1123" s="18"/>
      <c r="AH1123" s="18" t="s">
        <v>402</v>
      </c>
      <c r="AI1123" s="18"/>
      <c r="AJ1123" s="18" t="s">
        <v>1669</v>
      </c>
    </row>
    <row r="1124" customFormat="false" ht="15" hidden="false" customHeight="false" outlineLevel="0" collapsed="false">
      <c r="A1124" s="18" t="s">
        <v>273</v>
      </c>
      <c r="B1124" s="18" t="s">
        <v>719</v>
      </c>
      <c r="C1124" s="18" t="s">
        <v>1524</v>
      </c>
      <c r="D1124" s="18" t="s">
        <v>324</v>
      </c>
      <c r="E1124" s="18" t="s">
        <v>404</v>
      </c>
      <c r="F1124" s="18" t="s">
        <v>401</v>
      </c>
      <c r="G1124" s="18" t="n">
        <v>0.8</v>
      </c>
      <c r="H1124" s="18" t="n">
        <v>2704</v>
      </c>
      <c r="I1124" s="18" t="n">
        <v>113</v>
      </c>
      <c r="J1124" s="18" t="n">
        <v>112</v>
      </c>
      <c r="K1124" s="18" t="n">
        <v>-0.0107238669434393</v>
      </c>
      <c r="L1124" s="18" t="n">
        <v>0.0168775127876439</v>
      </c>
      <c r="M1124" s="18" t="n">
        <v>-0.635393797555899</v>
      </c>
      <c r="N1124" s="18" t="n">
        <v>14.5614894722851</v>
      </c>
      <c r="O1124" s="18" t="n">
        <v>0.535029935382109</v>
      </c>
      <c r="P1124" s="18"/>
      <c r="Q1124" s="18"/>
      <c r="R1124" s="18"/>
      <c r="S1124" s="18"/>
      <c r="T1124" s="18"/>
      <c r="U1124" s="18"/>
      <c r="V1124" s="18"/>
      <c r="W1124" s="18"/>
      <c r="X1124" s="18"/>
      <c r="Y1124" s="18"/>
      <c r="Z1124" s="18"/>
      <c r="AA1124" s="18"/>
      <c r="AB1124" s="18"/>
      <c r="AC1124" s="18"/>
      <c r="AD1124" s="18"/>
      <c r="AE1124" s="18"/>
      <c r="AF1124" s="18"/>
      <c r="AG1124" s="18"/>
      <c r="AH1124" s="18" t="s">
        <v>402</v>
      </c>
      <c r="AI1124" s="18"/>
      <c r="AJ1124" s="18" t="s">
        <v>1670</v>
      </c>
    </row>
    <row r="1125" customFormat="false" ht="15" hidden="false" customHeight="false" outlineLevel="0" collapsed="false">
      <c r="A1125" s="18" t="s">
        <v>273</v>
      </c>
      <c r="B1125" s="18" t="s">
        <v>721</v>
      </c>
      <c r="C1125" s="18" t="s">
        <v>1524</v>
      </c>
      <c r="D1125" s="18" t="s">
        <v>324</v>
      </c>
      <c r="E1125" s="18" t="s">
        <v>404</v>
      </c>
      <c r="F1125" s="18" t="s">
        <v>401</v>
      </c>
      <c r="G1125" s="18" t="n">
        <v>0.8</v>
      </c>
      <c r="H1125" s="18" t="n">
        <v>2704</v>
      </c>
      <c r="I1125" s="18" t="n">
        <v>113</v>
      </c>
      <c r="J1125" s="18" t="n">
        <v>112</v>
      </c>
      <c r="K1125" s="18" t="n">
        <v>0.00447034279152982</v>
      </c>
      <c r="L1125" s="18" t="n">
        <v>0.00942170973927016</v>
      </c>
      <c r="M1125" s="18" t="n">
        <v>0.474472565515069</v>
      </c>
      <c r="N1125" s="18" t="n">
        <v>41.803755685855</v>
      </c>
      <c r="O1125" s="18" t="n">
        <v>0.637632206950598</v>
      </c>
      <c r="P1125" s="18"/>
      <c r="Q1125" s="18"/>
      <c r="R1125" s="18"/>
      <c r="S1125" s="18"/>
      <c r="T1125" s="18"/>
      <c r="U1125" s="18"/>
      <c r="V1125" s="18"/>
      <c r="W1125" s="18"/>
      <c r="X1125" s="18"/>
      <c r="Y1125" s="18"/>
      <c r="Z1125" s="18"/>
      <c r="AA1125" s="18"/>
      <c r="AB1125" s="18"/>
      <c r="AC1125" s="18"/>
      <c r="AD1125" s="18"/>
      <c r="AE1125" s="18"/>
      <c r="AF1125" s="18"/>
      <c r="AG1125" s="18"/>
      <c r="AH1125" s="18" t="s">
        <v>402</v>
      </c>
      <c r="AI1125" s="18"/>
      <c r="AJ1125" s="18" t="s">
        <v>1671</v>
      </c>
    </row>
    <row r="1126" customFormat="false" ht="15" hidden="false" customHeight="false" outlineLevel="0" collapsed="false">
      <c r="A1126" s="18" t="s">
        <v>273</v>
      </c>
      <c r="B1126" s="18" t="s">
        <v>723</v>
      </c>
      <c r="C1126" s="18" t="s">
        <v>1524</v>
      </c>
      <c r="D1126" s="18" t="s">
        <v>324</v>
      </c>
      <c r="E1126" s="18" t="s">
        <v>404</v>
      </c>
      <c r="F1126" s="18" t="s">
        <v>401</v>
      </c>
      <c r="G1126" s="18" t="n">
        <v>0.8</v>
      </c>
      <c r="H1126" s="18" t="n">
        <v>2704</v>
      </c>
      <c r="I1126" s="18" t="n">
        <v>113</v>
      </c>
      <c r="J1126" s="18" t="n">
        <v>112</v>
      </c>
      <c r="K1126" s="18" t="n">
        <v>0.0161915566951529</v>
      </c>
      <c r="L1126" s="18" t="n">
        <v>0.00921610788175439</v>
      </c>
      <c r="M1126" s="18" t="n">
        <v>1.75687577694355</v>
      </c>
      <c r="N1126" s="18" t="n">
        <v>55.9546594004578</v>
      </c>
      <c r="O1126" s="18" t="n">
        <v>0.0844097779103585</v>
      </c>
      <c r="P1126" s="18"/>
      <c r="Q1126" s="18"/>
      <c r="R1126" s="18"/>
      <c r="S1126" s="18"/>
      <c r="T1126" s="18"/>
      <c r="U1126" s="18"/>
      <c r="V1126" s="18"/>
      <c r="W1126" s="18"/>
      <c r="X1126" s="18"/>
      <c r="Y1126" s="18"/>
      <c r="Z1126" s="18"/>
      <c r="AA1126" s="18"/>
      <c r="AB1126" s="18"/>
      <c r="AC1126" s="18"/>
      <c r="AD1126" s="18"/>
      <c r="AE1126" s="18"/>
      <c r="AF1126" s="18"/>
      <c r="AG1126" s="18"/>
      <c r="AH1126" s="18" t="s">
        <v>402</v>
      </c>
      <c r="AI1126" s="18"/>
      <c r="AJ1126" s="18" t="s">
        <v>1672</v>
      </c>
    </row>
    <row r="1127" customFormat="false" ht="15" hidden="false" customHeight="false" outlineLevel="0" collapsed="false">
      <c r="A1127" s="18" t="s">
        <v>273</v>
      </c>
      <c r="B1127" s="18" t="s">
        <v>725</v>
      </c>
      <c r="C1127" s="18" t="s">
        <v>1524</v>
      </c>
      <c r="D1127" s="18" t="s">
        <v>324</v>
      </c>
      <c r="E1127" s="18" t="s">
        <v>404</v>
      </c>
      <c r="F1127" s="18" t="s">
        <v>401</v>
      </c>
      <c r="G1127" s="18" t="n">
        <v>0.8</v>
      </c>
      <c r="H1127" s="18" t="n">
        <v>2704</v>
      </c>
      <c r="I1127" s="18" t="n">
        <v>113</v>
      </c>
      <c r="J1127" s="18" t="n">
        <v>112</v>
      </c>
      <c r="K1127" s="18" t="n">
        <v>0.00431387836637672</v>
      </c>
      <c r="L1127" s="18" t="n">
        <v>0.00919785974437402</v>
      </c>
      <c r="M1127" s="18" t="n">
        <v>0.469008931019562</v>
      </c>
      <c r="N1127" s="18" t="n">
        <v>62.7403739127145</v>
      </c>
      <c r="O1127" s="18" t="n">
        <v>0.640688950357406</v>
      </c>
      <c r="P1127" s="18"/>
      <c r="Q1127" s="18"/>
      <c r="R1127" s="18"/>
      <c r="S1127" s="18"/>
      <c r="T1127" s="18"/>
      <c r="U1127" s="18"/>
      <c r="V1127" s="18"/>
      <c r="W1127" s="18"/>
      <c r="X1127" s="18"/>
      <c r="Y1127" s="18"/>
      <c r="Z1127" s="18"/>
      <c r="AA1127" s="18"/>
      <c r="AB1127" s="18"/>
      <c r="AC1127" s="18"/>
      <c r="AD1127" s="18"/>
      <c r="AE1127" s="18"/>
      <c r="AF1127" s="18"/>
      <c r="AG1127" s="18"/>
      <c r="AH1127" s="18" t="s">
        <v>402</v>
      </c>
      <c r="AI1127" s="18"/>
      <c r="AJ1127" s="18" t="s">
        <v>1673</v>
      </c>
    </row>
    <row r="1128" customFormat="false" ht="15" hidden="false" customHeight="false" outlineLevel="0" collapsed="false">
      <c r="A1128" s="18" t="s">
        <v>273</v>
      </c>
      <c r="B1128" s="18" t="s">
        <v>727</v>
      </c>
      <c r="C1128" s="18" t="s">
        <v>1524</v>
      </c>
      <c r="D1128" s="18" t="s">
        <v>324</v>
      </c>
      <c r="E1128" s="18" t="s">
        <v>404</v>
      </c>
      <c r="F1128" s="18" t="s">
        <v>401</v>
      </c>
      <c r="G1128" s="18" t="n">
        <v>0.8</v>
      </c>
      <c r="H1128" s="18" t="n">
        <v>929</v>
      </c>
      <c r="I1128" s="18" t="n">
        <v>40</v>
      </c>
      <c r="J1128" s="18" t="n">
        <v>40</v>
      </c>
      <c r="K1128" s="18" t="n">
        <v>-0.0169293811307216</v>
      </c>
      <c r="L1128" s="18" t="n">
        <v>0.0191753125983559</v>
      </c>
      <c r="M1128" s="18" t="n">
        <v>-0.882873801607448</v>
      </c>
      <c r="N1128" s="18" t="n">
        <v>23.5018080490931</v>
      </c>
      <c r="O1128" s="18" t="n">
        <v>0.386246328895514</v>
      </c>
      <c r="P1128" s="18"/>
      <c r="Q1128" s="18"/>
      <c r="R1128" s="18"/>
      <c r="S1128" s="18"/>
      <c r="T1128" s="18"/>
      <c r="U1128" s="18"/>
      <c r="V1128" s="18"/>
      <c r="W1128" s="18"/>
      <c r="X1128" s="18"/>
      <c r="Y1128" s="18"/>
      <c r="Z1128" s="18"/>
      <c r="AA1128" s="18"/>
      <c r="AB1128" s="18"/>
      <c r="AC1128" s="18"/>
      <c r="AD1128" s="18"/>
      <c r="AE1128" s="18"/>
      <c r="AF1128" s="18"/>
      <c r="AG1128" s="18"/>
      <c r="AH1128" s="18" t="s">
        <v>402</v>
      </c>
      <c r="AI1128" s="18"/>
      <c r="AJ1128" s="18" t="s">
        <v>1674</v>
      </c>
    </row>
    <row r="1129" customFormat="false" ht="15" hidden="false" customHeight="false" outlineLevel="0" collapsed="false">
      <c r="A1129" s="18" t="s">
        <v>273</v>
      </c>
      <c r="B1129" s="18" t="s">
        <v>729</v>
      </c>
      <c r="C1129" s="18" t="s">
        <v>1524</v>
      </c>
      <c r="D1129" s="18" t="s">
        <v>324</v>
      </c>
      <c r="E1129" s="18" t="s">
        <v>404</v>
      </c>
      <c r="F1129" s="18" t="s">
        <v>401</v>
      </c>
      <c r="G1129" s="18" t="n">
        <v>0.8</v>
      </c>
      <c r="H1129" s="18" t="n">
        <v>2606</v>
      </c>
      <c r="I1129" s="18" t="n">
        <v>110</v>
      </c>
      <c r="J1129" s="18" t="n">
        <v>109</v>
      </c>
      <c r="K1129" s="18" t="n">
        <v>0.0051503675209907</v>
      </c>
      <c r="L1129" s="18" t="n">
        <v>0.019363618794257</v>
      </c>
      <c r="M1129" s="18" t="n">
        <v>0.265981662607314</v>
      </c>
      <c r="N1129" s="18" t="n">
        <v>14.4256251331838</v>
      </c>
      <c r="O1129" s="18" t="n">
        <v>0.794017170219248</v>
      </c>
      <c r="P1129" s="18"/>
      <c r="Q1129" s="18"/>
      <c r="R1129" s="18"/>
      <c r="S1129" s="18"/>
      <c r="T1129" s="18"/>
      <c r="U1129" s="18"/>
      <c r="V1129" s="18"/>
      <c r="W1129" s="18"/>
      <c r="X1129" s="18"/>
      <c r="Y1129" s="18"/>
      <c r="Z1129" s="18"/>
      <c r="AA1129" s="18"/>
      <c r="AB1129" s="18"/>
      <c r="AC1129" s="18"/>
      <c r="AD1129" s="18"/>
      <c r="AE1129" s="18"/>
      <c r="AF1129" s="18"/>
      <c r="AG1129" s="18"/>
      <c r="AH1129" s="18" t="s">
        <v>402</v>
      </c>
      <c r="AI1129" s="18"/>
      <c r="AJ1129" s="18" t="s">
        <v>1675</v>
      </c>
    </row>
    <row r="1130" customFormat="false" ht="15" hidden="false" customHeight="false" outlineLevel="0" collapsed="false">
      <c r="A1130" s="18" t="s">
        <v>273</v>
      </c>
      <c r="B1130" s="18" t="s">
        <v>731</v>
      </c>
      <c r="C1130" s="18" t="s">
        <v>1524</v>
      </c>
      <c r="D1130" s="18" t="s">
        <v>324</v>
      </c>
      <c r="E1130" s="18" t="s">
        <v>404</v>
      </c>
      <c r="F1130" s="18" t="s">
        <v>401</v>
      </c>
      <c r="G1130" s="18" t="n">
        <v>0.8</v>
      </c>
      <c r="H1130" s="18" t="n">
        <v>2606</v>
      </c>
      <c r="I1130" s="18" t="n">
        <v>110</v>
      </c>
      <c r="J1130" s="18" t="n">
        <v>109</v>
      </c>
      <c r="K1130" s="18" t="n">
        <v>0.00492127208811705</v>
      </c>
      <c r="L1130" s="18" t="n">
        <v>0.0190598866679584</v>
      </c>
      <c r="M1130" s="18" t="n">
        <v>0.258200490582676</v>
      </c>
      <c r="N1130" s="18" t="n">
        <v>11.8324810746298</v>
      </c>
      <c r="O1130" s="18" t="n">
        <v>0.800688410897428</v>
      </c>
      <c r="P1130" s="18"/>
      <c r="Q1130" s="18"/>
      <c r="R1130" s="18"/>
      <c r="S1130" s="18"/>
      <c r="T1130" s="18"/>
      <c r="U1130" s="18"/>
      <c r="V1130" s="18"/>
      <c r="W1130" s="18"/>
      <c r="X1130" s="18"/>
      <c r="Y1130" s="18"/>
      <c r="Z1130" s="18"/>
      <c r="AA1130" s="18"/>
      <c r="AB1130" s="18"/>
      <c r="AC1130" s="18"/>
      <c r="AD1130" s="18"/>
      <c r="AE1130" s="18"/>
      <c r="AF1130" s="18"/>
      <c r="AG1130" s="18"/>
      <c r="AH1130" s="18" t="s">
        <v>402</v>
      </c>
      <c r="AI1130" s="18"/>
      <c r="AJ1130" s="18" t="s">
        <v>1676</v>
      </c>
    </row>
    <row r="1131" customFormat="false" ht="15" hidden="false" customHeight="false" outlineLevel="0" collapsed="false">
      <c r="A1131" s="18" t="s">
        <v>273</v>
      </c>
      <c r="B1131" s="18" t="s">
        <v>733</v>
      </c>
      <c r="C1131" s="18" t="s">
        <v>1524</v>
      </c>
      <c r="D1131" s="18" t="s">
        <v>324</v>
      </c>
      <c r="E1131" s="18" t="s">
        <v>404</v>
      </c>
      <c r="F1131" s="18" t="s">
        <v>401</v>
      </c>
      <c r="G1131" s="18" t="n">
        <v>0.8</v>
      </c>
      <c r="H1131" s="18" t="n">
        <v>2606</v>
      </c>
      <c r="I1131" s="18" t="n">
        <v>110</v>
      </c>
      <c r="J1131" s="18" t="n">
        <v>109</v>
      </c>
      <c r="K1131" s="18" t="n">
        <v>-0.019253691058594</v>
      </c>
      <c r="L1131" s="18" t="n">
        <v>0.0222222149276863</v>
      </c>
      <c r="M1131" s="18" t="n">
        <v>-0.866416382041473</v>
      </c>
      <c r="N1131" s="18" t="n">
        <v>37.0532545516272</v>
      </c>
      <c r="O1131" s="18" t="n">
        <v>0.391837823842969</v>
      </c>
      <c r="P1131" s="18"/>
      <c r="Q1131" s="18"/>
      <c r="R1131" s="18"/>
      <c r="S1131" s="18"/>
      <c r="T1131" s="18"/>
      <c r="U1131" s="18"/>
      <c r="V1131" s="18"/>
      <c r="W1131" s="18"/>
      <c r="X1131" s="18"/>
      <c r="Y1131" s="18"/>
      <c r="Z1131" s="18"/>
      <c r="AA1131" s="18"/>
      <c r="AB1131" s="18"/>
      <c r="AC1131" s="18"/>
      <c r="AD1131" s="18"/>
      <c r="AE1131" s="18"/>
      <c r="AF1131" s="18"/>
      <c r="AG1131" s="18"/>
      <c r="AH1131" s="18" t="s">
        <v>402</v>
      </c>
      <c r="AI1131" s="18"/>
      <c r="AJ1131" s="18" t="s">
        <v>1677</v>
      </c>
    </row>
    <row r="1132" customFormat="false" ht="15" hidden="false" customHeight="false" outlineLevel="0" collapsed="false">
      <c r="A1132" s="18" t="s">
        <v>273</v>
      </c>
      <c r="B1132" s="18" t="s">
        <v>735</v>
      </c>
      <c r="C1132" s="18" t="s">
        <v>1524</v>
      </c>
      <c r="D1132" s="18" t="s">
        <v>324</v>
      </c>
      <c r="E1132" s="18" t="s">
        <v>404</v>
      </c>
      <c r="F1132" s="18" t="s">
        <v>401</v>
      </c>
      <c r="G1132" s="18" t="n">
        <v>0.8</v>
      </c>
      <c r="H1132" s="18" t="n">
        <v>2606</v>
      </c>
      <c r="I1132" s="18" t="n">
        <v>110</v>
      </c>
      <c r="J1132" s="18" t="n">
        <v>109</v>
      </c>
      <c r="K1132" s="18" t="n">
        <v>0.00318766865679802</v>
      </c>
      <c r="L1132" s="18" t="n">
        <v>0.0194111363849406</v>
      </c>
      <c r="M1132" s="18" t="n">
        <v>0.16421854926902</v>
      </c>
      <c r="N1132" s="18" t="n">
        <v>10.4789376124529</v>
      </c>
      <c r="O1132" s="18" t="n">
        <v>0.872683619748592</v>
      </c>
      <c r="P1132" s="18"/>
      <c r="Q1132" s="18"/>
      <c r="R1132" s="18"/>
      <c r="S1132" s="18"/>
      <c r="T1132" s="18"/>
      <c r="U1132" s="18"/>
      <c r="V1132" s="18"/>
      <c r="W1132" s="18"/>
      <c r="X1132" s="18"/>
      <c r="Y1132" s="18"/>
      <c r="Z1132" s="18"/>
      <c r="AA1132" s="18"/>
      <c r="AB1132" s="18"/>
      <c r="AC1132" s="18"/>
      <c r="AD1132" s="18"/>
      <c r="AE1132" s="18"/>
      <c r="AF1132" s="18"/>
      <c r="AG1132" s="18"/>
      <c r="AH1132" s="18" t="s">
        <v>402</v>
      </c>
      <c r="AI1132" s="18"/>
      <c r="AJ1132" s="18" t="s">
        <v>1678</v>
      </c>
    </row>
    <row r="1133" customFormat="false" ht="15" hidden="false" customHeight="false" outlineLevel="0" collapsed="false">
      <c r="A1133" s="18" t="s">
        <v>273</v>
      </c>
      <c r="B1133" s="18" t="s">
        <v>737</v>
      </c>
      <c r="C1133" s="18" t="s">
        <v>1524</v>
      </c>
      <c r="D1133" s="18" t="s">
        <v>324</v>
      </c>
      <c r="E1133" s="18" t="s">
        <v>404</v>
      </c>
      <c r="F1133" s="18" t="s">
        <v>401</v>
      </c>
      <c r="G1133" s="18" t="n">
        <v>0.8</v>
      </c>
      <c r="H1133" s="18" t="n">
        <v>2606</v>
      </c>
      <c r="I1133" s="18" t="n">
        <v>110</v>
      </c>
      <c r="J1133" s="18" t="n">
        <v>109</v>
      </c>
      <c r="K1133" s="18" t="n">
        <v>-0.00362195963924834</v>
      </c>
      <c r="L1133" s="18" t="n">
        <v>0.0231275396917662</v>
      </c>
      <c r="M1133" s="18" t="n">
        <v>-0.156608082291512</v>
      </c>
      <c r="N1133" s="18" t="n">
        <v>18.931117038436</v>
      </c>
      <c r="O1133" s="18" t="n">
        <v>0.877211808554444</v>
      </c>
      <c r="P1133" s="18"/>
      <c r="Q1133" s="18"/>
      <c r="R1133" s="18"/>
      <c r="S1133" s="18"/>
      <c r="T1133" s="18"/>
      <c r="U1133" s="18"/>
      <c r="V1133" s="18"/>
      <c r="W1133" s="18"/>
      <c r="X1133" s="18"/>
      <c r="Y1133" s="18"/>
      <c r="Z1133" s="18"/>
      <c r="AA1133" s="18"/>
      <c r="AB1133" s="18"/>
      <c r="AC1133" s="18"/>
      <c r="AD1133" s="18"/>
      <c r="AE1133" s="18"/>
      <c r="AF1133" s="18"/>
      <c r="AG1133" s="18"/>
      <c r="AH1133" s="18" t="s">
        <v>402</v>
      </c>
      <c r="AI1133" s="18"/>
      <c r="AJ1133" s="18" t="s">
        <v>1679</v>
      </c>
    </row>
    <row r="1134" customFormat="false" ht="15" hidden="false" customHeight="false" outlineLevel="0" collapsed="false">
      <c r="A1134" s="18" t="s">
        <v>273</v>
      </c>
      <c r="B1134" s="18" t="s">
        <v>739</v>
      </c>
      <c r="C1134" s="18" t="s">
        <v>1524</v>
      </c>
      <c r="D1134" s="18" t="s">
        <v>324</v>
      </c>
      <c r="E1134" s="18" t="s">
        <v>404</v>
      </c>
      <c r="F1134" s="18" t="s">
        <v>401</v>
      </c>
      <c r="G1134" s="18" t="n">
        <v>0.8</v>
      </c>
      <c r="H1134" s="18" t="n">
        <v>2606</v>
      </c>
      <c r="I1134" s="18" t="n">
        <v>110</v>
      </c>
      <c r="J1134" s="18" t="n">
        <v>109</v>
      </c>
      <c r="K1134" s="18" t="n">
        <v>-0.00341919371138361</v>
      </c>
      <c r="L1134" s="18" t="n">
        <v>0.0237639137632298</v>
      </c>
      <c r="M1134" s="18" t="n">
        <v>-0.143881758932915</v>
      </c>
      <c r="N1134" s="18" t="n">
        <v>15.5501921904557</v>
      </c>
      <c r="O1134" s="18" t="n">
        <v>0.887441939031804</v>
      </c>
      <c r="P1134" s="18"/>
      <c r="Q1134" s="18"/>
      <c r="R1134" s="18"/>
      <c r="S1134" s="18"/>
      <c r="T1134" s="18"/>
      <c r="U1134" s="18"/>
      <c r="V1134" s="18"/>
      <c r="W1134" s="18"/>
      <c r="X1134" s="18"/>
      <c r="Y1134" s="18"/>
      <c r="Z1134" s="18"/>
      <c r="AA1134" s="18"/>
      <c r="AB1134" s="18"/>
      <c r="AC1134" s="18"/>
      <c r="AD1134" s="18"/>
      <c r="AE1134" s="18"/>
      <c r="AF1134" s="18"/>
      <c r="AG1134" s="18"/>
      <c r="AH1134" s="18" t="s">
        <v>402</v>
      </c>
      <c r="AI1134" s="18"/>
      <c r="AJ1134" s="18" t="s">
        <v>1680</v>
      </c>
    </row>
    <row r="1135" customFormat="false" ht="15" hidden="false" customHeight="false" outlineLevel="0" collapsed="false">
      <c r="A1135" s="18" t="s">
        <v>273</v>
      </c>
      <c r="B1135" s="18" t="s">
        <v>741</v>
      </c>
      <c r="C1135" s="18" t="s">
        <v>1524</v>
      </c>
      <c r="D1135" s="18" t="s">
        <v>324</v>
      </c>
      <c r="E1135" s="18" t="s">
        <v>404</v>
      </c>
      <c r="F1135" s="18" t="s">
        <v>401</v>
      </c>
      <c r="G1135" s="18" t="n">
        <v>0.8</v>
      </c>
      <c r="H1135" s="18" t="n">
        <v>2606</v>
      </c>
      <c r="I1135" s="18" t="n">
        <v>110</v>
      </c>
      <c r="J1135" s="18" t="n">
        <v>109</v>
      </c>
      <c r="K1135" s="18" t="n">
        <v>-0.0134343956861695</v>
      </c>
      <c r="L1135" s="18" t="n">
        <v>0.0225954785463934</v>
      </c>
      <c r="M1135" s="18" t="n">
        <v>-0.594561237487656</v>
      </c>
      <c r="N1135" s="18" t="n">
        <v>16.129885966954</v>
      </c>
      <c r="O1135" s="18" t="n">
        <v>0.560385077188993</v>
      </c>
      <c r="P1135" s="18"/>
      <c r="Q1135" s="18"/>
      <c r="R1135" s="18"/>
      <c r="S1135" s="18"/>
      <c r="T1135" s="18"/>
      <c r="U1135" s="18"/>
      <c r="V1135" s="18"/>
      <c r="W1135" s="18"/>
      <c r="X1135" s="18"/>
      <c r="Y1135" s="18"/>
      <c r="Z1135" s="18"/>
      <c r="AA1135" s="18"/>
      <c r="AB1135" s="18"/>
      <c r="AC1135" s="18"/>
      <c r="AD1135" s="18"/>
      <c r="AE1135" s="18"/>
      <c r="AF1135" s="18"/>
      <c r="AG1135" s="18"/>
      <c r="AH1135" s="18" t="s">
        <v>402</v>
      </c>
      <c r="AI1135" s="18"/>
      <c r="AJ1135" s="18" t="s">
        <v>1681</v>
      </c>
    </row>
    <row r="1136" customFormat="false" ht="15" hidden="false" customHeight="false" outlineLevel="0" collapsed="false">
      <c r="A1136" s="18" t="s">
        <v>273</v>
      </c>
      <c r="B1136" s="18" t="s">
        <v>743</v>
      </c>
      <c r="C1136" s="18" t="s">
        <v>1524</v>
      </c>
      <c r="D1136" s="18" t="s">
        <v>324</v>
      </c>
      <c r="E1136" s="18" t="s">
        <v>404</v>
      </c>
      <c r="F1136" s="18" t="s">
        <v>401</v>
      </c>
      <c r="G1136" s="18" t="n">
        <v>0.8</v>
      </c>
      <c r="H1136" s="18" t="n">
        <v>2606</v>
      </c>
      <c r="I1136" s="18" t="n">
        <v>110</v>
      </c>
      <c r="J1136" s="18" t="n">
        <v>109</v>
      </c>
      <c r="K1136" s="18" t="n">
        <v>0.0357737033605805</v>
      </c>
      <c r="L1136" s="18" t="n">
        <v>0.0276136294017534</v>
      </c>
      <c r="M1136" s="18" t="n">
        <v>1.29550892568685</v>
      </c>
      <c r="N1136" s="18" t="n">
        <v>20.1416145592767</v>
      </c>
      <c r="O1136" s="18" t="n">
        <v>0.209796346103159</v>
      </c>
      <c r="P1136" s="18"/>
      <c r="Q1136" s="18"/>
      <c r="R1136" s="18"/>
      <c r="S1136" s="18"/>
      <c r="T1136" s="18"/>
      <c r="U1136" s="18"/>
      <c r="V1136" s="18"/>
      <c r="W1136" s="18"/>
      <c r="X1136" s="18"/>
      <c r="Y1136" s="18"/>
      <c r="Z1136" s="18"/>
      <c r="AA1136" s="18"/>
      <c r="AB1136" s="18"/>
      <c r="AC1136" s="18"/>
      <c r="AD1136" s="18"/>
      <c r="AE1136" s="18"/>
      <c r="AF1136" s="18"/>
      <c r="AG1136" s="18"/>
      <c r="AH1136" s="18" t="s">
        <v>402</v>
      </c>
      <c r="AI1136" s="18"/>
      <c r="AJ1136" s="18" t="s">
        <v>1682</v>
      </c>
    </row>
    <row r="1137" customFormat="false" ht="15" hidden="false" customHeight="false" outlineLevel="0" collapsed="false">
      <c r="A1137" s="18" t="s">
        <v>273</v>
      </c>
      <c r="B1137" s="18" t="s">
        <v>745</v>
      </c>
      <c r="C1137" s="18" t="s">
        <v>1524</v>
      </c>
      <c r="D1137" s="18" t="s">
        <v>324</v>
      </c>
      <c r="E1137" s="18" t="s">
        <v>404</v>
      </c>
      <c r="F1137" s="18" t="s">
        <v>401</v>
      </c>
      <c r="G1137" s="18" t="n">
        <v>0.8</v>
      </c>
      <c r="H1137" s="18" t="n">
        <v>2606</v>
      </c>
      <c r="I1137" s="18" t="n">
        <v>110</v>
      </c>
      <c r="J1137" s="18" t="n">
        <v>109</v>
      </c>
      <c r="K1137" s="18" t="n">
        <v>0.0178848133816871</v>
      </c>
      <c r="L1137" s="18" t="n">
        <v>0.022835580962868</v>
      </c>
      <c r="M1137" s="18" t="n">
        <v>0.783199403193153</v>
      </c>
      <c r="N1137" s="18" t="n">
        <v>20.8005823895346</v>
      </c>
      <c r="O1137" s="18" t="n">
        <v>0.442336736818599</v>
      </c>
      <c r="P1137" s="18"/>
      <c r="Q1137" s="18"/>
      <c r="R1137" s="18"/>
      <c r="S1137" s="18"/>
      <c r="T1137" s="18"/>
      <c r="U1137" s="18"/>
      <c r="V1137" s="18"/>
      <c r="W1137" s="18"/>
      <c r="X1137" s="18"/>
      <c r="Y1137" s="18"/>
      <c r="Z1137" s="18"/>
      <c r="AA1137" s="18"/>
      <c r="AB1137" s="18"/>
      <c r="AC1137" s="18"/>
      <c r="AD1137" s="18"/>
      <c r="AE1137" s="18"/>
      <c r="AF1137" s="18"/>
      <c r="AG1137" s="18"/>
      <c r="AH1137" s="18" t="s">
        <v>402</v>
      </c>
      <c r="AI1137" s="18"/>
      <c r="AJ1137" s="18" t="s">
        <v>1683</v>
      </c>
    </row>
    <row r="1138" customFormat="false" ht="15" hidden="false" customHeight="false" outlineLevel="0" collapsed="false">
      <c r="A1138" s="18" t="s">
        <v>273</v>
      </c>
      <c r="B1138" s="18" t="s">
        <v>747</v>
      </c>
      <c r="C1138" s="18" t="s">
        <v>1524</v>
      </c>
      <c r="D1138" s="18" t="s">
        <v>324</v>
      </c>
      <c r="E1138" s="18" t="s">
        <v>404</v>
      </c>
      <c r="F1138" s="18" t="s">
        <v>401</v>
      </c>
      <c r="G1138" s="18" t="n">
        <v>0.8</v>
      </c>
      <c r="H1138" s="18" t="n">
        <v>905</v>
      </c>
      <c r="I1138" s="18" t="n">
        <v>38</v>
      </c>
      <c r="J1138" s="18" t="n">
        <v>38</v>
      </c>
      <c r="K1138" s="18" t="n">
        <v>-0.0190681879779146</v>
      </c>
      <c r="L1138" s="18" t="n">
        <v>0.0177326087819878</v>
      </c>
      <c r="M1138" s="18" t="n">
        <v>-1.07531769365393</v>
      </c>
      <c r="N1138" s="18" t="n">
        <v>23.1547676291639</v>
      </c>
      <c r="O1138" s="18" t="n">
        <v>0.293310268159647</v>
      </c>
      <c r="P1138" s="18"/>
      <c r="Q1138" s="18"/>
      <c r="R1138" s="18"/>
      <c r="S1138" s="18"/>
      <c r="T1138" s="18"/>
      <c r="U1138" s="18"/>
      <c r="V1138" s="18"/>
      <c r="W1138" s="18"/>
      <c r="X1138" s="18"/>
      <c r="Y1138" s="18"/>
      <c r="Z1138" s="18"/>
      <c r="AA1138" s="18"/>
      <c r="AB1138" s="18"/>
      <c r="AC1138" s="18"/>
      <c r="AD1138" s="18"/>
      <c r="AE1138" s="18"/>
      <c r="AF1138" s="18"/>
      <c r="AG1138" s="18"/>
      <c r="AH1138" s="18" t="s">
        <v>402</v>
      </c>
      <c r="AI1138" s="18"/>
      <c r="AJ1138" s="18" t="s">
        <v>1684</v>
      </c>
    </row>
    <row r="1139" customFormat="false" ht="15" hidden="false" customHeight="false" outlineLevel="0" collapsed="false">
      <c r="A1139" s="18" t="s">
        <v>273</v>
      </c>
      <c r="B1139" s="18" t="s">
        <v>749</v>
      </c>
      <c r="C1139" s="18" t="s">
        <v>1524</v>
      </c>
      <c r="D1139" s="18" t="s">
        <v>324</v>
      </c>
      <c r="E1139" s="18" t="s">
        <v>404</v>
      </c>
      <c r="F1139" s="18" t="s">
        <v>401</v>
      </c>
      <c r="G1139" s="18" t="n">
        <v>0.8</v>
      </c>
      <c r="H1139" s="18" t="n">
        <v>2593</v>
      </c>
      <c r="I1139" s="18" t="n">
        <v>110</v>
      </c>
      <c r="J1139" s="18" t="n">
        <v>109</v>
      </c>
      <c r="K1139" s="18" t="n">
        <v>-0.0184196615697415</v>
      </c>
      <c r="L1139" s="18" t="n">
        <v>0.0110508601113028</v>
      </c>
      <c r="M1139" s="18" t="n">
        <v>-1.66680795740974</v>
      </c>
      <c r="N1139" s="18" t="n">
        <v>39.5410234778022</v>
      </c>
      <c r="O1139" s="18" t="n">
        <v>0.103455705712051</v>
      </c>
      <c r="P1139" s="18"/>
      <c r="Q1139" s="18"/>
      <c r="R1139" s="18"/>
      <c r="S1139" s="18"/>
      <c r="T1139" s="18"/>
      <c r="U1139" s="18"/>
      <c r="V1139" s="18"/>
      <c r="W1139" s="18"/>
      <c r="X1139" s="18"/>
      <c r="Y1139" s="18"/>
      <c r="Z1139" s="18"/>
      <c r="AA1139" s="18"/>
      <c r="AB1139" s="18"/>
      <c r="AC1139" s="18"/>
      <c r="AD1139" s="18"/>
      <c r="AE1139" s="18"/>
      <c r="AF1139" s="18"/>
      <c r="AG1139" s="18"/>
      <c r="AH1139" s="18" t="s">
        <v>402</v>
      </c>
      <c r="AI1139" s="18"/>
      <c r="AJ1139" s="18" t="s">
        <v>1685</v>
      </c>
    </row>
    <row r="1140" customFormat="false" ht="15" hidden="false" customHeight="false" outlineLevel="0" collapsed="false">
      <c r="A1140" s="18" t="s">
        <v>273</v>
      </c>
      <c r="B1140" s="18" t="s">
        <v>751</v>
      </c>
      <c r="C1140" s="18" t="s">
        <v>1524</v>
      </c>
      <c r="D1140" s="18" t="s">
        <v>324</v>
      </c>
      <c r="E1140" s="18" t="s">
        <v>404</v>
      </c>
      <c r="F1140" s="18" t="s">
        <v>401</v>
      </c>
      <c r="G1140" s="18" t="n">
        <v>0.8</v>
      </c>
      <c r="H1140" s="18" t="n">
        <v>2593</v>
      </c>
      <c r="I1140" s="18" t="n">
        <v>110</v>
      </c>
      <c r="J1140" s="18" t="n">
        <v>109</v>
      </c>
      <c r="K1140" s="18" t="n">
        <v>-0.0173797934857969</v>
      </c>
      <c r="L1140" s="18" t="n">
        <v>0.01169741324489</v>
      </c>
      <c r="M1140" s="18" t="n">
        <v>-1.48578092625643</v>
      </c>
      <c r="N1140" s="18" t="n">
        <v>29.9039661836657</v>
      </c>
      <c r="O1140" s="18" t="n">
        <v>0.147804370874452</v>
      </c>
      <c r="P1140" s="18"/>
      <c r="Q1140" s="18"/>
      <c r="R1140" s="18"/>
      <c r="S1140" s="18"/>
      <c r="T1140" s="18"/>
      <c r="U1140" s="18"/>
      <c r="V1140" s="18"/>
      <c r="W1140" s="18"/>
      <c r="X1140" s="18"/>
      <c r="Y1140" s="18"/>
      <c r="Z1140" s="18"/>
      <c r="AA1140" s="18"/>
      <c r="AB1140" s="18"/>
      <c r="AC1140" s="18"/>
      <c r="AD1140" s="18"/>
      <c r="AE1140" s="18"/>
      <c r="AF1140" s="18"/>
      <c r="AG1140" s="18"/>
      <c r="AH1140" s="18" t="s">
        <v>402</v>
      </c>
      <c r="AI1140" s="18"/>
      <c r="AJ1140" s="18" t="s">
        <v>1686</v>
      </c>
    </row>
    <row r="1141" customFormat="false" ht="15" hidden="false" customHeight="false" outlineLevel="0" collapsed="false">
      <c r="A1141" s="18" t="s">
        <v>273</v>
      </c>
      <c r="B1141" s="18" t="s">
        <v>753</v>
      </c>
      <c r="C1141" s="18" t="s">
        <v>1524</v>
      </c>
      <c r="D1141" s="18" t="s">
        <v>324</v>
      </c>
      <c r="E1141" s="18" t="s">
        <v>404</v>
      </c>
      <c r="F1141" s="18" t="s">
        <v>401</v>
      </c>
      <c r="G1141" s="18" t="n">
        <v>0.8</v>
      </c>
      <c r="H1141" s="18" t="n">
        <v>2593</v>
      </c>
      <c r="I1141" s="18" t="n">
        <v>110</v>
      </c>
      <c r="J1141" s="18" t="n">
        <v>109</v>
      </c>
      <c r="K1141" s="18" t="n">
        <v>-0.00112632210213123</v>
      </c>
      <c r="L1141" s="18" t="n">
        <v>0.0119671755579138</v>
      </c>
      <c r="M1141" s="18" t="n">
        <v>-0.0941176217128702</v>
      </c>
      <c r="N1141" s="18" t="n">
        <v>31.0143648426657</v>
      </c>
      <c r="O1141" s="18" t="n">
        <v>0.925621147668287</v>
      </c>
      <c r="P1141" s="18"/>
      <c r="Q1141" s="18"/>
      <c r="R1141" s="18"/>
      <c r="S1141" s="18"/>
      <c r="T1141" s="18"/>
      <c r="U1141" s="18"/>
      <c r="V1141" s="18"/>
      <c r="W1141" s="18"/>
      <c r="X1141" s="18"/>
      <c r="Y1141" s="18"/>
      <c r="Z1141" s="18"/>
      <c r="AA1141" s="18"/>
      <c r="AB1141" s="18"/>
      <c r="AC1141" s="18"/>
      <c r="AD1141" s="18"/>
      <c r="AE1141" s="18"/>
      <c r="AF1141" s="18"/>
      <c r="AG1141" s="18"/>
      <c r="AH1141" s="18" t="s">
        <v>402</v>
      </c>
      <c r="AI1141" s="18"/>
      <c r="AJ1141" s="18" t="s">
        <v>1687</v>
      </c>
    </row>
    <row r="1142" customFormat="false" ht="15" hidden="false" customHeight="false" outlineLevel="0" collapsed="false">
      <c r="A1142" s="18" t="s">
        <v>273</v>
      </c>
      <c r="B1142" s="18" t="s">
        <v>755</v>
      </c>
      <c r="C1142" s="18" t="s">
        <v>1524</v>
      </c>
      <c r="D1142" s="18" t="s">
        <v>324</v>
      </c>
      <c r="E1142" s="18" t="s">
        <v>404</v>
      </c>
      <c r="F1142" s="18" t="s">
        <v>401</v>
      </c>
      <c r="G1142" s="18" t="n">
        <v>0.8</v>
      </c>
      <c r="H1142" s="18" t="n">
        <v>2593</v>
      </c>
      <c r="I1142" s="18" t="n">
        <v>110</v>
      </c>
      <c r="J1142" s="18" t="n">
        <v>109</v>
      </c>
      <c r="K1142" s="18" t="n">
        <v>-0.0177890834739875</v>
      </c>
      <c r="L1142" s="18" t="n">
        <v>0.0122087708958516</v>
      </c>
      <c r="M1142" s="18" t="n">
        <v>-1.45707406795815</v>
      </c>
      <c r="N1142" s="18" t="n">
        <v>26.06133217019</v>
      </c>
      <c r="O1142" s="18" t="n">
        <v>0.157040513660072</v>
      </c>
      <c r="P1142" s="18"/>
      <c r="Q1142" s="18"/>
      <c r="R1142" s="18"/>
      <c r="S1142" s="18"/>
      <c r="T1142" s="18"/>
      <c r="U1142" s="18"/>
      <c r="V1142" s="18"/>
      <c r="W1142" s="18"/>
      <c r="X1142" s="18"/>
      <c r="Y1142" s="18"/>
      <c r="Z1142" s="18"/>
      <c r="AA1142" s="18"/>
      <c r="AB1142" s="18"/>
      <c r="AC1142" s="18"/>
      <c r="AD1142" s="18"/>
      <c r="AE1142" s="18"/>
      <c r="AF1142" s="18"/>
      <c r="AG1142" s="18"/>
      <c r="AH1142" s="18" t="s">
        <v>402</v>
      </c>
      <c r="AI1142" s="18"/>
      <c r="AJ1142" s="18" t="s">
        <v>1688</v>
      </c>
    </row>
    <row r="1143" customFormat="false" ht="15" hidden="false" customHeight="false" outlineLevel="0" collapsed="false">
      <c r="A1143" s="18" t="s">
        <v>273</v>
      </c>
      <c r="B1143" s="18" t="s">
        <v>757</v>
      </c>
      <c r="C1143" s="18" t="s">
        <v>1524</v>
      </c>
      <c r="D1143" s="18" t="s">
        <v>324</v>
      </c>
      <c r="E1143" s="18" t="s">
        <v>404</v>
      </c>
      <c r="F1143" s="18" t="s">
        <v>401</v>
      </c>
      <c r="G1143" s="18" t="n">
        <v>0.8</v>
      </c>
      <c r="H1143" s="18" t="n">
        <v>2593</v>
      </c>
      <c r="I1143" s="18" t="n">
        <v>110</v>
      </c>
      <c r="J1143" s="18" t="n">
        <v>109</v>
      </c>
      <c r="K1143" s="18" t="n">
        <v>-0.0195743748655791</v>
      </c>
      <c r="L1143" s="18" t="n">
        <v>0.015110558851652</v>
      </c>
      <c r="M1143" s="18" t="n">
        <v>-1.29541038539677</v>
      </c>
      <c r="N1143" s="18" t="n">
        <v>17.8211199413392</v>
      </c>
      <c r="O1143" s="18" t="n">
        <v>0.211708365044746</v>
      </c>
      <c r="P1143" s="18"/>
      <c r="Q1143" s="18"/>
      <c r="R1143" s="18"/>
      <c r="S1143" s="18"/>
      <c r="T1143" s="18"/>
      <c r="U1143" s="18"/>
      <c r="V1143" s="18"/>
      <c r="W1143" s="18"/>
      <c r="X1143" s="18"/>
      <c r="Y1143" s="18"/>
      <c r="Z1143" s="18"/>
      <c r="AA1143" s="18"/>
      <c r="AB1143" s="18"/>
      <c r="AC1143" s="18"/>
      <c r="AD1143" s="18"/>
      <c r="AE1143" s="18"/>
      <c r="AF1143" s="18"/>
      <c r="AG1143" s="18"/>
      <c r="AH1143" s="18" t="s">
        <v>402</v>
      </c>
      <c r="AI1143" s="18"/>
      <c r="AJ1143" s="18" t="s">
        <v>1689</v>
      </c>
    </row>
    <row r="1144" customFormat="false" ht="15" hidden="false" customHeight="false" outlineLevel="0" collapsed="false">
      <c r="A1144" s="18" t="s">
        <v>273</v>
      </c>
      <c r="B1144" s="18" t="s">
        <v>759</v>
      </c>
      <c r="C1144" s="18" t="s">
        <v>1524</v>
      </c>
      <c r="D1144" s="18" t="s">
        <v>324</v>
      </c>
      <c r="E1144" s="18" t="s">
        <v>404</v>
      </c>
      <c r="F1144" s="18" t="s">
        <v>401</v>
      </c>
      <c r="G1144" s="18" t="n">
        <v>0.8</v>
      </c>
      <c r="H1144" s="18" t="n">
        <v>2593</v>
      </c>
      <c r="I1144" s="18" t="n">
        <v>110</v>
      </c>
      <c r="J1144" s="18" t="n">
        <v>109</v>
      </c>
      <c r="K1144" s="18" t="n">
        <v>-0.0205344991180127</v>
      </c>
      <c r="L1144" s="18" t="n">
        <v>0.0163465068209981</v>
      </c>
      <c r="M1144" s="18" t="n">
        <v>-1.2562010552392</v>
      </c>
      <c r="N1144" s="18" t="n">
        <v>14.6140069337365</v>
      </c>
      <c r="O1144" s="18" t="n">
        <v>0.228754311753331</v>
      </c>
      <c r="P1144" s="18"/>
      <c r="Q1144" s="18"/>
      <c r="R1144" s="18"/>
      <c r="S1144" s="18"/>
      <c r="T1144" s="18"/>
      <c r="U1144" s="18"/>
      <c r="V1144" s="18"/>
      <c r="W1144" s="18"/>
      <c r="X1144" s="18"/>
      <c r="Y1144" s="18"/>
      <c r="Z1144" s="18"/>
      <c r="AA1144" s="18"/>
      <c r="AB1144" s="18"/>
      <c r="AC1144" s="18"/>
      <c r="AD1144" s="18"/>
      <c r="AE1144" s="18"/>
      <c r="AF1144" s="18"/>
      <c r="AG1144" s="18"/>
      <c r="AH1144" s="18" t="s">
        <v>402</v>
      </c>
      <c r="AI1144" s="18"/>
      <c r="AJ1144" s="18" t="s">
        <v>1690</v>
      </c>
    </row>
    <row r="1145" customFormat="false" ht="15" hidden="false" customHeight="false" outlineLevel="0" collapsed="false">
      <c r="A1145" s="18" t="s">
        <v>273</v>
      </c>
      <c r="B1145" s="18" t="s">
        <v>761</v>
      </c>
      <c r="C1145" s="18" t="s">
        <v>1524</v>
      </c>
      <c r="D1145" s="18" t="s">
        <v>324</v>
      </c>
      <c r="E1145" s="18" t="s">
        <v>404</v>
      </c>
      <c r="F1145" s="18" t="s">
        <v>401</v>
      </c>
      <c r="G1145" s="18" t="n">
        <v>0.8</v>
      </c>
      <c r="H1145" s="18" t="n">
        <v>2593</v>
      </c>
      <c r="I1145" s="18" t="n">
        <v>110</v>
      </c>
      <c r="J1145" s="18" t="n">
        <v>109</v>
      </c>
      <c r="K1145" s="18" t="n">
        <v>-0.00378132805580175</v>
      </c>
      <c r="L1145" s="18" t="n">
        <v>0.0103627303195077</v>
      </c>
      <c r="M1145" s="18" t="n">
        <v>-0.364896889064404</v>
      </c>
      <c r="N1145" s="18" t="n">
        <v>41.3065532425867</v>
      </c>
      <c r="O1145" s="18" t="n">
        <v>0.717050056535173</v>
      </c>
      <c r="P1145" s="18"/>
      <c r="Q1145" s="18"/>
      <c r="R1145" s="18"/>
      <c r="S1145" s="18"/>
      <c r="T1145" s="18"/>
      <c r="U1145" s="18"/>
      <c r="V1145" s="18"/>
      <c r="W1145" s="18"/>
      <c r="X1145" s="18"/>
      <c r="Y1145" s="18"/>
      <c r="Z1145" s="18"/>
      <c r="AA1145" s="18"/>
      <c r="AB1145" s="18"/>
      <c r="AC1145" s="18"/>
      <c r="AD1145" s="18"/>
      <c r="AE1145" s="18"/>
      <c r="AF1145" s="18"/>
      <c r="AG1145" s="18"/>
      <c r="AH1145" s="18" t="s">
        <v>402</v>
      </c>
      <c r="AI1145" s="18"/>
      <c r="AJ1145" s="18" t="s">
        <v>1691</v>
      </c>
    </row>
    <row r="1146" customFormat="false" ht="15" hidden="false" customHeight="false" outlineLevel="0" collapsed="false">
      <c r="A1146" s="18" t="s">
        <v>273</v>
      </c>
      <c r="B1146" s="18" t="s">
        <v>763</v>
      </c>
      <c r="C1146" s="18" t="s">
        <v>1524</v>
      </c>
      <c r="D1146" s="18" t="s">
        <v>324</v>
      </c>
      <c r="E1146" s="18" t="s">
        <v>404</v>
      </c>
      <c r="F1146" s="18" t="s">
        <v>401</v>
      </c>
      <c r="G1146" s="18" t="n">
        <v>0.8</v>
      </c>
      <c r="H1146" s="18" t="n">
        <v>2593</v>
      </c>
      <c r="I1146" s="18" t="n">
        <v>110</v>
      </c>
      <c r="J1146" s="18" t="n">
        <v>109</v>
      </c>
      <c r="K1146" s="18" t="n">
        <v>0.00582759573144231</v>
      </c>
      <c r="L1146" s="18" t="n">
        <v>0.00968527412694607</v>
      </c>
      <c r="M1146" s="18" t="n">
        <v>0.601696519381826</v>
      </c>
      <c r="N1146" s="18" t="n">
        <v>56.2750548934185</v>
      </c>
      <c r="O1146" s="18" t="n">
        <v>0.549792625441748</v>
      </c>
      <c r="P1146" s="18"/>
      <c r="Q1146" s="18"/>
      <c r="R1146" s="18"/>
      <c r="S1146" s="18"/>
      <c r="T1146" s="18"/>
      <c r="U1146" s="18"/>
      <c r="V1146" s="18"/>
      <c r="W1146" s="18"/>
      <c r="X1146" s="18"/>
      <c r="Y1146" s="18"/>
      <c r="Z1146" s="18"/>
      <c r="AA1146" s="18"/>
      <c r="AB1146" s="18"/>
      <c r="AC1146" s="18"/>
      <c r="AD1146" s="18"/>
      <c r="AE1146" s="18"/>
      <c r="AF1146" s="18"/>
      <c r="AG1146" s="18"/>
      <c r="AH1146" s="18" t="s">
        <v>402</v>
      </c>
      <c r="AI1146" s="18"/>
      <c r="AJ1146" s="18" t="s">
        <v>1692</v>
      </c>
    </row>
    <row r="1147" customFormat="false" ht="15" hidden="false" customHeight="false" outlineLevel="0" collapsed="false">
      <c r="A1147" s="18" t="s">
        <v>273</v>
      </c>
      <c r="B1147" s="18" t="s">
        <v>765</v>
      </c>
      <c r="C1147" s="18" t="s">
        <v>1524</v>
      </c>
      <c r="D1147" s="18" t="s">
        <v>324</v>
      </c>
      <c r="E1147" s="18" t="s">
        <v>404</v>
      </c>
      <c r="F1147" s="18" t="s">
        <v>401</v>
      </c>
      <c r="G1147" s="18" t="n">
        <v>0.8</v>
      </c>
      <c r="H1147" s="18" t="n">
        <v>2593</v>
      </c>
      <c r="I1147" s="18" t="n">
        <v>110</v>
      </c>
      <c r="J1147" s="18" t="n">
        <v>109</v>
      </c>
      <c r="K1147" s="18" t="n">
        <v>-0.00504968169014977</v>
      </c>
      <c r="L1147" s="18" t="n">
        <v>0.00967565989419832</v>
      </c>
      <c r="M1147" s="18" t="n">
        <v>-0.521895327591831</v>
      </c>
      <c r="N1147" s="18" t="n">
        <v>65.9317302898519</v>
      </c>
      <c r="O1147" s="18" t="n">
        <v>0.60349219308525</v>
      </c>
      <c r="P1147" s="18"/>
      <c r="Q1147" s="18"/>
      <c r="R1147" s="18"/>
      <c r="S1147" s="18"/>
      <c r="T1147" s="18"/>
      <c r="U1147" s="18"/>
      <c r="V1147" s="18"/>
      <c r="W1147" s="18"/>
      <c r="X1147" s="18"/>
      <c r="Y1147" s="18"/>
      <c r="Z1147" s="18"/>
      <c r="AA1147" s="18"/>
      <c r="AB1147" s="18"/>
      <c r="AC1147" s="18"/>
      <c r="AD1147" s="18"/>
      <c r="AE1147" s="18"/>
      <c r="AF1147" s="18"/>
      <c r="AG1147" s="18"/>
      <c r="AH1147" s="18" t="s">
        <v>402</v>
      </c>
      <c r="AI1147" s="18"/>
      <c r="AJ1147" s="18" t="s">
        <v>1693</v>
      </c>
    </row>
    <row r="1148" customFormat="false" ht="15" hidden="false" customHeight="false" outlineLevel="0" collapsed="false">
      <c r="A1148" s="18" t="s">
        <v>273</v>
      </c>
      <c r="B1148" s="18" t="s">
        <v>767</v>
      </c>
      <c r="C1148" s="18" t="s">
        <v>1524</v>
      </c>
      <c r="D1148" s="18" t="s">
        <v>324</v>
      </c>
      <c r="E1148" s="18" t="s">
        <v>404</v>
      </c>
      <c r="F1148" s="18" t="s">
        <v>401</v>
      </c>
      <c r="G1148" s="18" t="n">
        <v>0.8</v>
      </c>
      <c r="H1148" s="18" t="n">
        <v>900</v>
      </c>
      <c r="I1148" s="18" t="n">
        <v>38</v>
      </c>
      <c r="J1148" s="18" t="n">
        <v>38</v>
      </c>
      <c r="K1148" s="18" t="n">
        <v>-0.0293160281207132</v>
      </c>
      <c r="L1148" s="18" t="n">
        <v>0.0203548074793868</v>
      </c>
      <c r="M1148" s="18" t="n">
        <v>-1.44025081791618</v>
      </c>
      <c r="N1148" s="18" t="n">
        <v>24.3932574254899</v>
      </c>
      <c r="O1148" s="18" t="n">
        <v>0.162508866919314</v>
      </c>
      <c r="P1148" s="18"/>
      <c r="Q1148" s="18"/>
      <c r="R1148" s="18"/>
      <c r="S1148" s="18"/>
      <c r="T1148" s="18"/>
      <c r="U1148" s="18"/>
      <c r="V1148" s="18"/>
      <c r="W1148" s="18"/>
      <c r="X1148" s="18"/>
      <c r="Y1148" s="18"/>
      <c r="Z1148" s="18"/>
      <c r="AA1148" s="18"/>
      <c r="AB1148" s="18"/>
      <c r="AC1148" s="18"/>
      <c r="AD1148" s="18"/>
      <c r="AE1148" s="18"/>
      <c r="AF1148" s="18"/>
      <c r="AG1148" s="18"/>
      <c r="AH1148" s="18" t="s">
        <v>402</v>
      </c>
      <c r="AI1148" s="18"/>
      <c r="AJ1148" s="18" t="s">
        <v>1694</v>
      </c>
    </row>
    <row r="1149" customFormat="false" ht="15" hidden="false" customHeight="false" outlineLevel="0" collapsed="false">
      <c r="A1149" s="18" t="s">
        <v>273</v>
      </c>
      <c r="B1149" s="18" t="s">
        <v>769</v>
      </c>
      <c r="C1149" s="18" t="s">
        <v>1524</v>
      </c>
      <c r="D1149" s="18" t="s">
        <v>324</v>
      </c>
      <c r="E1149" s="18" t="s">
        <v>404</v>
      </c>
      <c r="F1149" s="18" t="s">
        <v>401</v>
      </c>
      <c r="G1149" s="18" t="n">
        <v>0.8</v>
      </c>
      <c r="H1149" s="18" t="n">
        <v>2606</v>
      </c>
      <c r="I1149" s="18" t="n">
        <v>110</v>
      </c>
      <c r="J1149" s="18" t="n">
        <v>109</v>
      </c>
      <c r="K1149" s="18" t="n">
        <v>-0.0147087381555955</v>
      </c>
      <c r="L1149" s="18" t="n">
        <v>0.0114527469072449</v>
      </c>
      <c r="M1149" s="18" t="n">
        <v>-1.284297843541</v>
      </c>
      <c r="N1149" s="18" t="n">
        <v>35.8960063490545</v>
      </c>
      <c r="O1149" s="18" t="n">
        <v>0.207265044191479</v>
      </c>
      <c r="P1149" s="18"/>
      <c r="Q1149" s="18"/>
      <c r="R1149" s="18"/>
      <c r="S1149" s="18"/>
      <c r="T1149" s="18"/>
      <c r="U1149" s="18"/>
      <c r="V1149" s="18"/>
      <c r="W1149" s="18"/>
      <c r="X1149" s="18"/>
      <c r="Y1149" s="18"/>
      <c r="Z1149" s="18"/>
      <c r="AA1149" s="18"/>
      <c r="AB1149" s="18"/>
      <c r="AC1149" s="18"/>
      <c r="AD1149" s="18"/>
      <c r="AE1149" s="18"/>
      <c r="AF1149" s="18"/>
      <c r="AG1149" s="18"/>
      <c r="AH1149" s="18" t="s">
        <v>402</v>
      </c>
      <c r="AI1149" s="18"/>
      <c r="AJ1149" s="18" t="s">
        <v>1695</v>
      </c>
    </row>
    <row r="1150" customFormat="false" ht="15" hidden="false" customHeight="false" outlineLevel="0" collapsed="false">
      <c r="A1150" s="18" t="s">
        <v>273</v>
      </c>
      <c r="B1150" s="18" t="s">
        <v>771</v>
      </c>
      <c r="C1150" s="18" t="s">
        <v>1524</v>
      </c>
      <c r="D1150" s="18" t="s">
        <v>324</v>
      </c>
      <c r="E1150" s="18" t="s">
        <v>404</v>
      </c>
      <c r="F1150" s="18" t="s">
        <v>401</v>
      </c>
      <c r="G1150" s="18" t="n">
        <v>0.8</v>
      </c>
      <c r="H1150" s="18" t="n">
        <v>2606</v>
      </c>
      <c r="I1150" s="18" t="n">
        <v>110</v>
      </c>
      <c r="J1150" s="18" t="n">
        <v>109</v>
      </c>
      <c r="K1150" s="18" t="n">
        <v>-0.0127170756647222</v>
      </c>
      <c r="L1150" s="18" t="n">
        <v>0.0118695387465961</v>
      </c>
      <c r="M1150" s="18" t="n">
        <v>-1.07140436846117</v>
      </c>
      <c r="N1150" s="18" t="n">
        <v>27.3352734964432</v>
      </c>
      <c r="O1150" s="18" t="n">
        <v>0.293356468643563</v>
      </c>
      <c r="P1150" s="18"/>
      <c r="Q1150" s="18"/>
      <c r="R1150" s="18"/>
      <c r="S1150" s="18"/>
      <c r="T1150" s="18"/>
      <c r="U1150" s="18"/>
      <c r="V1150" s="18"/>
      <c r="W1150" s="18"/>
      <c r="X1150" s="18"/>
      <c r="Y1150" s="18"/>
      <c r="Z1150" s="18"/>
      <c r="AA1150" s="18"/>
      <c r="AB1150" s="18"/>
      <c r="AC1150" s="18"/>
      <c r="AD1150" s="18"/>
      <c r="AE1150" s="18"/>
      <c r="AF1150" s="18"/>
      <c r="AG1150" s="18"/>
      <c r="AH1150" s="18" t="s">
        <v>402</v>
      </c>
      <c r="AI1150" s="18"/>
      <c r="AJ1150" s="18" t="s">
        <v>1696</v>
      </c>
    </row>
    <row r="1151" customFormat="false" ht="15" hidden="false" customHeight="false" outlineLevel="0" collapsed="false">
      <c r="A1151" s="18" t="s">
        <v>273</v>
      </c>
      <c r="B1151" s="18" t="s">
        <v>773</v>
      </c>
      <c r="C1151" s="18" t="s">
        <v>1524</v>
      </c>
      <c r="D1151" s="18" t="s">
        <v>324</v>
      </c>
      <c r="E1151" s="18" t="s">
        <v>404</v>
      </c>
      <c r="F1151" s="18" t="s">
        <v>401</v>
      </c>
      <c r="G1151" s="18" t="n">
        <v>0.8</v>
      </c>
      <c r="H1151" s="18" t="n">
        <v>2606</v>
      </c>
      <c r="I1151" s="18" t="n">
        <v>110</v>
      </c>
      <c r="J1151" s="18" t="n">
        <v>109</v>
      </c>
      <c r="K1151" s="18" t="n">
        <v>0.000840989419926226</v>
      </c>
      <c r="L1151" s="18" t="n">
        <v>0.0113925658930483</v>
      </c>
      <c r="M1151" s="18" t="n">
        <v>0.0738191402903711</v>
      </c>
      <c r="N1151" s="18" t="n">
        <v>31.6869928304435</v>
      </c>
      <c r="O1151" s="18" t="n">
        <v>0.94161833641955</v>
      </c>
      <c r="P1151" s="18"/>
      <c r="Q1151" s="18"/>
      <c r="R1151" s="18"/>
      <c r="S1151" s="18"/>
      <c r="T1151" s="18"/>
      <c r="U1151" s="18"/>
      <c r="V1151" s="18"/>
      <c r="W1151" s="18"/>
      <c r="X1151" s="18"/>
      <c r="Y1151" s="18"/>
      <c r="Z1151" s="18"/>
      <c r="AA1151" s="18"/>
      <c r="AB1151" s="18"/>
      <c r="AC1151" s="18"/>
      <c r="AD1151" s="18"/>
      <c r="AE1151" s="18"/>
      <c r="AF1151" s="18"/>
      <c r="AG1151" s="18"/>
      <c r="AH1151" s="18" t="s">
        <v>402</v>
      </c>
      <c r="AI1151" s="18"/>
      <c r="AJ1151" s="18" t="s">
        <v>1697</v>
      </c>
    </row>
    <row r="1152" customFormat="false" ht="15" hidden="false" customHeight="false" outlineLevel="0" collapsed="false">
      <c r="A1152" s="18" t="s">
        <v>273</v>
      </c>
      <c r="B1152" s="18" t="s">
        <v>775</v>
      </c>
      <c r="C1152" s="18" t="s">
        <v>1524</v>
      </c>
      <c r="D1152" s="18" t="s">
        <v>324</v>
      </c>
      <c r="E1152" s="18" t="s">
        <v>404</v>
      </c>
      <c r="F1152" s="18" t="s">
        <v>401</v>
      </c>
      <c r="G1152" s="18" t="n">
        <v>0.8</v>
      </c>
      <c r="H1152" s="18" t="n">
        <v>2606</v>
      </c>
      <c r="I1152" s="18" t="n">
        <v>110</v>
      </c>
      <c r="J1152" s="18" t="n">
        <v>109</v>
      </c>
      <c r="K1152" s="18" t="n">
        <v>-0.0133208279510524</v>
      </c>
      <c r="L1152" s="18" t="n">
        <v>0.0124133356928861</v>
      </c>
      <c r="M1152" s="18" t="n">
        <v>-1.07310623676168</v>
      </c>
      <c r="N1152" s="18" t="n">
        <v>23.8061720294101</v>
      </c>
      <c r="O1152" s="18" t="n">
        <v>0.293981256710475</v>
      </c>
      <c r="P1152" s="18"/>
      <c r="Q1152" s="18"/>
      <c r="R1152" s="18"/>
      <c r="S1152" s="18"/>
      <c r="T1152" s="18"/>
      <c r="U1152" s="18"/>
      <c r="V1152" s="18"/>
      <c r="W1152" s="18"/>
      <c r="X1152" s="18"/>
      <c r="Y1152" s="18"/>
      <c r="Z1152" s="18"/>
      <c r="AA1152" s="18"/>
      <c r="AB1152" s="18"/>
      <c r="AC1152" s="18"/>
      <c r="AD1152" s="18"/>
      <c r="AE1152" s="18"/>
      <c r="AF1152" s="18"/>
      <c r="AG1152" s="18"/>
      <c r="AH1152" s="18" t="s">
        <v>402</v>
      </c>
      <c r="AI1152" s="18"/>
      <c r="AJ1152" s="18" t="s">
        <v>1698</v>
      </c>
    </row>
    <row r="1153" customFormat="false" ht="15" hidden="false" customHeight="false" outlineLevel="0" collapsed="false">
      <c r="A1153" s="18" t="s">
        <v>273</v>
      </c>
      <c r="B1153" s="18" t="s">
        <v>777</v>
      </c>
      <c r="C1153" s="18" t="s">
        <v>1524</v>
      </c>
      <c r="D1153" s="18" t="s">
        <v>324</v>
      </c>
      <c r="E1153" s="18" t="s">
        <v>404</v>
      </c>
      <c r="F1153" s="18" t="s">
        <v>401</v>
      </c>
      <c r="G1153" s="18" t="n">
        <v>0.8</v>
      </c>
      <c r="H1153" s="18" t="n">
        <v>2606</v>
      </c>
      <c r="I1153" s="18" t="n">
        <v>110</v>
      </c>
      <c r="J1153" s="18" t="n">
        <v>109</v>
      </c>
      <c r="K1153" s="18" t="n">
        <v>-0.0158059688720031</v>
      </c>
      <c r="L1153" s="18" t="n">
        <v>0.0151765434932154</v>
      </c>
      <c r="M1153" s="18" t="n">
        <v>-1.04147356603755</v>
      </c>
      <c r="N1153" s="18" t="n">
        <v>17.9453439177848</v>
      </c>
      <c r="O1153" s="18" t="n">
        <v>0.311484554900629</v>
      </c>
      <c r="P1153" s="18"/>
      <c r="Q1153" s="18"/>
      <c r="R1153" s="18"/>
      <c r="S1153" s="18"/>
      <c r="T1153" s="18"/>
      <c r="U1153" s="18"/>
      <c r="V1153" s="18"/>
      <c r="W1153" s="18"/>
      <c r="X1153" s="18"/>
      <c r="Y1153" s="18"/>
      <c r="Z1153" s="18"/>
      <c r="AA1153" s="18"/>
      <c r="AB1153" s="18"/>
      <c r="AC1153" s="18"/>
      <c r="AD1153" s="18"/>
      <c r="AE1153" s="18"/>
      <c r="AF1153" s="18"/>
      <c r="AG1153" s="18"/>
      <c r="AH1153" s="18" t="s">
        <v>402</v>
      </c>
      <c r="AI1153" s="18"/>
      <c r="AJ1153" s="18" t="s">
        <v>1699</v>
      </c>
    </row>
    <row r="1154" customFormat="false" ht="15" hidden="false" customHeight="false" outlineLevel="0" collapsed="false">
      <c r="A1154" s="18" t="s">
        <v>273</v>
      </c>
      <c r="B1154" s="18" t="s">
        <v>779</v>
      </c>
      <c r="C1154" s="18" t="s">
        <v>1524</v>
      </c>
      <c r="D1154" s="18" t="s">
        <v>324</v>
      </c>
      <c r="E1154" s="18" t="s">
        <v>404</v>
      </c>
      <c r="F1154" s="18" t="s">
        <v>401</v>
      </c>
      <c r="G1154" s="18" t="n">
        <v>0.8</v>
      </c>
      <c r="H1154" s="18" t="n">
        <v>2606</v>
      </c>
      <c r="I1154" s="18" t="n">
        <v>110</v>
      </c>
      <c r="J1154" s="18" t="n">
        <v>109</v>
      </c>
      <c r="K1154" s="18" t="n">
        <v>-0.0165776751814698</v>
      </c>
      <c r="L1154" s="18" t="n">
        <v>0.0164496278800742</v>
      </c>
      <c r="M1154" s="18" t="n">
        <v>-1.00778420656863</v>
      </c>
      <c r="N1154" s="18" t="n">
        <v>14.718281246904</v>
      </c>
      <c r="O1154" s="18" t="n">
        <v>0.329839839119385</v>
      </c>
      <c r="P1154" s="18"/>
      <c r="Q1154" s="18"/>
      <c r="R1154" s="18"/>
      <c r="S1154" s="18"/>
      <c r="T1154" s="18"/>
      <c r="U1154" s="18"/>
      <c r="V1154" s="18"/>
      <c r="W1154" s="18"/>
      <c r="X1154" s="18"/>
      <c r="Y1154" s="18"/>
      <c r="Z1154" s="18"/>
      <c r="AA1154" s="18"/>
      <c r="AB1154" s="18"/>
      <c r="AC1154" s="18"/>
      <c r="AD1154" s="18"/>
      <c r="AE1154" s="18"/>
      <c r="AF1154" s="18"/>
      <c r="AG1154" s="18"/>
      <c r="AH1154" s="18" t="s">
        <v>402</v>
      </c>
      <c r="AI1154" s="18"/>
      <c r="AJ1154" s="18" t="s">
        <v>1700</v>
      </c>
    </row>
    <row r="1155" customFormat="false" ht="15" hidden="false" customHeight="false" outlineLevel="0" collapsed="false">
      <c r="A1155" s="18" t="s">
        <v>273</v>
      </c>
      <c r="B1155" s="18" t="s">
        <v>781</v>
      </c>
      <c r="C1155" s="18" t="s">
        <v>1524</v>
      </c>
      <c r="D1155" s="18" t="s">
        <v>324</v>
      </c>
      <c r="E1155" s="18" t="s">
        <v>404</v>
      </c>
      <c r="F1155" s="18" t="s">
        <v>401</v>
      </c>
      <c r="G1155" s="18" t="n">
        <v>0.8</v>
      </c>
      <c r="H1155" s="18" t="n">
        <v>2606</v>
      </c>
      <c r="I1155" s="18" t="n">
        <v>110</v>
      </c>
      <c r="J1155" s="18" t="n">
        <v>109</v>
      </c>
      <c r="K1155" s="18" t="n">
        <v>0.000147768860415162</v>
      </c>
      <c r="L1155" s="18" t="n">
        <v>0.010362953565375</v>
      </c>
      <c r="M1155" s="18" t="n">
        <v>0.014259338274842</v>
      </c>
      <c r="N1155" s="18" t="n">
        <v>37.3801828577961</v>
      </c>
      <c r="O1155" s="18" t="n">
        <v>0.988698916296223</v>
      </c>
      <c r="P1155" s="18"/>
      <c r="Q1155" s="18"/>
      <c r="R1155" s="18"/>
      <c r="S1155" s="18"/>
      <c r="T1155" s="18"/>
      <c r="U1155" s="18"/>
      <c r="V1155" s="18"/>
      <c r="W1155" s="18"/>
      <c r="X1155" s="18"/>
      <c r="Y1155" s="18"/>
      <c r="Z1155" s="18"/>
      <c r="AA1155" s="18"/>
      <c r="AB1155" s="18"/>
      <c r="AC1155" s="18"/>
      <c r="AD1155" s="18"/>
      <c r="AE1155" s="18"/>
      <c r="AF1155" s="18"/>
      <c r="AG1155" s="18"/>
      <c r="AH1155" s="18" t="s">
        <v>402</v>
      </c>
      <c r="AI1155" s="18"/>
      <c r="AJ1155" s="18" t="s">
        <v>1701</v>
      </c>
    </row>
    <row r="1156" customFormat="false" ht="15" hidden="false" customHeight="false" outlineLevel="0" collapsed="false">
      <c r="A1156" s="18" t="s">
        <v>273</v>
      </c>
      <c r="B1156" s="18" t="s">
        <v>783</v>
      </c>
      <c r="C1156" s="18" t="s">
        <v>1524</v>
      </c>
      <c r="D1156" s="18" t="s">
        <v>324</v>
      </c>
      <c r="E1156" s="18" t="s">
        <v>404</v>
      </c>
      <c r="F1156" s="18" t="s">
        <v>401</v>
      </c>
      <c r="G1156" s="18" t="n">
        <v>0.8</v>
      </c>
      <c r="H1156" s="18" t="n">
        <v>2606</v>
      </c>
      <c r="I1156" s="18" t="n">
        <v>110</v>
      </c>
      <c r="J1156" s="18" t="n">
        <v>109</v>
      </c>
      <c r="K1156" s="18" t="n">
        <v>0.0131388946050865</v>
      </c>
      <c r="L1156" s="18" t="n">
        <v>0.00984592989257251</v>
      </c>
      <c r="M1156" s="18" t="n">
        <v>1.33444933576036</v>
      </c>
      <c r="N1156" s="18" t="n">
        <v>50.8759578156661</v>
      </c>
      <c r="O1156" s="18" t="n">
        <v>0.187998692548874</v>
      </c>
      <c r="P1156" s="18"/>
      <c r="Q1156" s="18"/>
      <c r="R1156" s="18"/>
      <c r="S1156" s="18"/>
      <c r="T1156" s="18"/>
      <c r="U1156" s="18"/>
      <c r="V1156" s="18"/>
      <c r="W1156" s="18"/>
      <c r="X1156" s="18"/>
      <c r="Y1156" s="18"/>
      <c r="Z1156" s="18"/>
      <c r="AA1156" s="18"/>
      <c r="AB1156" s="18"/>
      <c r="AC1156" s="18"/>
      <c r="AD1156" s="18"/>
      <c r="AE1156" s="18"/>
      <c r="AF1156" s="18"/>
      <c r="AG1156" s="18"/>
      <c r="AH1156" s="18" t="s">
        <v>402</v>
      </c>
      <c r="AI1156" s="18"/>
      <c r="AJ1156" s="18" t="s">
        <v>1702</v>
      </c>
    </row>
    <row r="1157" customFormat="false" ht="15" hidden="false" customHeight="false" outlineLevel="0" collapsed="false">
      <c r="A1157" s="18" t="s">
        <v>273</v>
      </c>
      <c r="B1157" s="18" t="s">
        <v>785</v>
      </c>
      <c r="C1157" s="18" t="s">
        <v>1524</v>
      </c>
      <c r="D1157" s="18" t="s">
        <v>324</v>
      </c>
      <c r="E1157" s="18" t="s">
        <v>404</v>
      </c>
      <c r="F1157" s="18" t="s">
        <v>401</v>
      </c>
      <c r="G1157" s="18" t="n">
        <v>0.8</v>
      </c>
      <c r="H1157" s="18" t="n">
        <v>2606</v>
      </c>
      <c r="I1157" s="18" t="n">
        <v>110</v>
      </c>
      <c r="J1157" s="18" t="n">
        <v>109</v>
      </c>
      <c r="K1157" s="18" t="n">
        <v>0.00137499682613405</v>
      </c>
      <c r="L1157" s="18" t="n">
        <v>0.00964965415048503</v>
      </c>
      <c r="M1157" s="18" t="n">
        <v>0.142491824545332</v>
      </c>
      <c r="N1157" s="18" t="n">
        <v>58.2832448522133</v>
      </c>
      <c r="O1157" s="18" t="n">
        <v>0.887182989132311</v>
      </c>
      <c r="P1157" s="18"/>
      <c r="Q1157" s="18"/>
      <c r="R1157" s="18"/>
      <c r="S1157" s="18"/>
      <c r="T1157" s="18"/>
      <c r="U1157" s="18"/>
      <c r="V1157" s="18"/>
      <c r="W1157" s="18"/>
      <c r="X1157" s="18"/>
      <c r="Y1157" s="18"/>
      <c r="Z1157" s="18"/>
      <c r="AA1157" s="18"/>
      <c r="AB1157" s="18"/>
      <c r="AC1157" s="18"/>
      <c r="AD1157" s="18"/>
      <c r="AE1157" s="18"/>
      <c r="AF1157" s="18"/>
      <c r="AG1157" s="18"/>
      <c r="AH1157" s="18" t="s">
        <v>402</v>
      </c>
      <c r="AI1157" s="18"/>
      <c r="AJ1157" s="18" t="s">
        <v>1703</v>
      </c>
    </row>
    <row r="1158" customFormat="false" ht="15" hidden="false" customHeight="false" outlineLevel="0" collapsed="false">
      <c r="A1158" s="18" t="s">
        <v>273</v>
      </c>
      <c r="B1158" s="18" t="s">
        <v>787</v>
      </c>
      <c r="C1158" s="18" t="s">
        <v>1524</v>
      </c>
      <c r="D1158" s="18" t="s">
        <v>324</v>
      </c>
      <c r="E1158" s="18" t="s">
        <v>404</v>
      </c>
      <c r="F1158" s="18" t="s">
        <v>401</v>
      </c>
      <c r="G1158" s="18" t="n">
        <v>0.8</v>
      </c>
      <c r="H1158" s="18" t="n">
        <v>905</v>
      </c>
      <c r="I1158" s="18" t="n">
        <v>38</v>
      </c>
      <c r="J1158" s="18" t="n">
        <v>38</v>
      </c>
      <c r="K1158" s="18" t="n">
        <v>-0.0227876055508847</v>
      </c>
      <c r="L1158" s="18" t="n">
        <v>0.018981672481379</v>
      </c>
      <c r="M1158" s="18" t="n">
        <v>-1.20050567584281</v>
      </c>
      <c r="N1158" s="18" t="n">
        <v>24.0442495947143</v>
      </c>
      <c r="O1158" s="18" t="n">
        <v>0.241637358156809</v>
      </c>
      <c r="P1158" s="18"/>
      <c r="Q1158" s="18"/>
      <c r="R1158" s="18"/>
      <c r="S1158" s="18"/>
      <c r="T1158" s="18"/>
      <c r="U1158" s="18"/>
      <c r="V1158" s="18"/>
      <c r="W1158" s="18"/>
      <c r="X1158" s="18"/>
      <c r="Y1158" s="18"/>
      <c r="Z1158" s="18"/>
      <c r="AA1158" s="18"/>
      <c r="AB1158" s="18"/>
      <c r="AC1158" s="18"/>
      <c r="AD1158" s="18"/>
      <c r="AE1158" s="18"/>
      <c r="AF1158" s="18"/>
      <c r="AG1158" s="18"/>
      <c r="AH1158" s="18" t="s">
        <v>402</v>
      </c>
      <c r="AI1158" s="18"/>
      <c r="AJ1158" s="18" t="s">
        <v>1704</v>
      </c>
    </row>
    <row r="1159" customFormat="false" ht="15" hidden="false" customHeight="false" outlineLevel="0" collapsed="false">
      <c r="A1159" s="18" t="s">
        <v>273</v>
      </c>
      <c r="B1159" s="18" t="s">
        <v>322</v>
      </c>
      <c r="C1159" s="18" t="s">
        <v>1705</v>
      </c>
      <c r="D1159" s="18" t="s">
        <v>324</v>
      </c>
      <c r="E1159" s="18" t="s">
        <v>404</v>
      </c>
      <c r="F1159" s="18" t="s">
        <v>790</v>
      </c>
      <c r="G1159" s="18" t="n">
        <v>0.8</v>
      </c>
      <c r="H1159" s="18" t="n">
        <v>2705</v>
      </c>
      <c r="I1159" s="18" t="n">
        <v>113</v>
      </c>
      <c r="J1159" s="18" t="n">
        <v>112</v>
      </c>
      <c r="K1159" s="18" t="n">
        <v>0.029603330853537</v>
      </c>
      <c r="L1159" s="18" t="n">
        <v>0.0705247032306191</v>
      </c>
      <c r="M1159" s="18" t="n">
        <v>0.419758318680658</v>
      </c>
      <c r="N1159" s="18" t="n">
        <v>111</v>
      </c>
      <c r="O1159" s="18" t="n">
        <v>0.675473360735619</v>
      </c>
      <c r="P1159" s="18"/>
      <c r="Q1159" s="18"/>
      <c r="R1159" s="18"/>
      <c r="S1159" s="18"/>
      <c r="T1159" s="18"/>
      <c r="U1159" s="18"/>
      <c r="V1159" s="18"/>
      <c r="W1159" s="18"/>
      <c r="X1159" s="18"/>
      <c r="Y1159" s="18"/>
      <c r="Z1159" s="18"/>
      <c r="AA1159" s="18"/>
      <c r="AB1159" s="18"/>
      <c r="AC1159" s="18"/>
      <c r="AD1159" s="18"/>
      <c r="AE1159" s="18"/>
      <c r="AF1159" s="18"/>
      <c r="AG1159" s="18"/>
      <c r="AH1159" s="18" t="s">
        <v>402</v>
      </c>
      <c r="AI1159" s="18"/>
      <c r="AJ1159" s="18" t="s">
        <v>1706</v>
      </c>
    </row>
    <row r="1160" customFormat="false" ht="15" hidden="false" customHeight="false" outlineLevel="0" collapsed="false">
      <c r="A1160" s="18" t="s">
        <v>273</v>
      </c>
      <c r="B1160" s="18" t="s">
        <v>326</v>
      </c>
      <c r="C1160" s="18" t="s">
        <v>1705</v>
      </c>
      <c r="D1160" s="18" t="s">
        <v>324</v>
      </c>
      <c r="E1160" s="18" t="s">
        <v>404</v>
      </c>
      <c r="F1160" s="18" t="s">
        <v>790</v>
      </c>
      <c r="G1160" s="18" t="n">
        <v>0.8</v>
      </c>
      <c r="H1160" s="18" t="n">
        <v>2705</v>
      </c>
      <c r="I1160" s="18" t="n">
        <v>113</v>
      </c>
      <c r="J1160" s="18" t="n">
        <v>112</v>
      </c>
      <c r="K1160" s="18" t="n">
        <v>0.0120103112657024</v>
      </c>
      <c r="L1160" s="18" t="n">
        <v>0.0748191478287897</v>
      </c>
      <c r="M1160" s="18" t="n">
        <v>0.160524566427646</v>
      </c>
      <c r="N1160" s="18" t="n">
        <v>111</v>
      </c>
      <c r="O1160" s="18" t="n">
        <v>0.872759646726504</v>
      </c>
      <c r="P1160" s="18"/>
      <c r="Q1160" s="18"/>
      <c r="R1160" s="18"/>
      <c r="S1160" s="18"/>
      <c r="T1160" s="18"/>
      <c r="U1160" s="18"/>
      <c r="V1160" s="18"/>
      <c r="W1160" s="18"/>
      <c r="X1160" s="18"/>
      <c r="Y1160" s="18"/>
      <c r="Z1160" s="18"/>
      <c r="AA1160" s="18"/>
      <c r="AB1160" s="18"/>
      <c r="AC1160" s="18"/>
      <c r="AD1160" s="18"/>
      <c r="AE1160" s="18"/>
      <c r="AF1160" s="18"/>
      <c r="AG1160" s="18"/>
      <c r="AH1160" s="18" t="s">
        <v>402</v>
      </c>
      <c r="AI1160" s="18"/>
      <c r="AJ1160" s="18" t="s">
        <v>1707</v>
      </c>
    </row>
    <row r="1161" customFormat="false" ht="15" hidden="false" customHeight="false" outlineLevel="0" collapsed="false">
      <c r="A1161" s="18" t="s">
        <v>273</v>
      </c>
      <c r="B1161" s="18" t="s">
        <v>328</v>
      </c>
      <c r="C1161" s="18" t="s">
        <v>1705</v>
      </c>
      <c r="D1161" s="18" t="s">
        <v>324</v>
      </c>
      <c r="E1161" s="18" t="s">
        <v>404</v>
      </c>
      <c r="F1161" s="18" t="s">
        <v>790</v>
      </c>
      <c r="G1161" s="18" t="n">
        <v>0.8</v>
      </c>
      <c r="H1161" s="18" t="n">
        <v>2705</v>
      </c>
      <c r="I1161" s="18" t="n">
        <v>113</v>
      </c>
      <c r="J1161" s="18" t="n">
        <v>112</v>
      </c>
      <c r="K1161" s="18" t="n">
        <v>-0.0534955506091286</v>
      </c>
      <c r="L1161" s="18" t="n">
        <v>0.0742746719337829</v>
      </c>
      <c r="M1161" s="18" t="n">
        <v>-0.720239473515559</v>
      </c>
      <c r="N1161" s="18" t="n">
        <v>110</v>
      </c>
      <c r="O1161" s="18" t="n">
        <v>0.47290525824913</v>
      </c>
      <c r="P1161" s="18"/>
      <c r="Q1161" s="18"/>
      <c r="R1161" s="18"/>
      <c r="S1161" s="18"/>
      <c r="T1161" s="18"/>
      <c r="U1161" s="18"/>
      <c r="V1161" s="18"/>
      <c r="W1161" s="18"/>
      <c r="X1161" s="18"/>
      <c r="Y1161" s="18"/>
      <c r="Z1161" s="18"/>
      <c r="AA1161" s="18"/>
      <c r="AB1161" s="18"/>
      <c r="AC1161" s="18"/>
      <c r="AD1161" s="18"/>
      <c r="AE1161" s="18"/>
      <c r="AF1161" s="18"/>
      <c r="AG1161" s="18"/>
      <c r="AH1161" s="18" t="s">
        <v>402</v>
      </c>
      <c r="AI1161" s="18"/>
      <c r="AJ1161" s="18" t="s">
        <v>1708</v>
      </c>
    </row>
    <row r="1162" customFormat="false" ht="15" hidden="false" customHeight="false" outlineLevel="0" collapsed="false">
      <c r="A1162" s="18" t="s">
        <v>273</v>
      </c>
      <c r="B1162" s="18" t="s">
        <v>330</v>
      </c>
      <c r="C1162" s="18" t="s">
        <v>1705</v>
      </c>
      <c r="D1162" s="18" t="s">
        <v>324</v>
      </c>
      <c r="E1162" s="18" t="s">
        <v>404</v>
      </c>
      <c r="F1162" s="18" t="s">
        <v>790</v>
      </c>
      <c r="G1162" s="18" t="n">
        <v>0.8</v>
      </c>
      <c r="H1162" s="18" t="n">
        <v>2705</v>
      </c>
      <c r="I1162" s="18" t="n">
        <v>113</v>
      </c>
      <c r="J1162" s="18" t="n">
        <v>112</v>
      </c>
      <c r="K1162" s="18" t="n">
        <v>0.00799544644214511</v>
      </c>
      <c r="L1162" s="18" t="n">
        <v>0.0782210315945866</v>
      </c>
      <c r="M1162" s="18" t="n">
        <v>0.102216070015349</v>
      </c>
      <c r="N1162" s="18" t="n">
        <v>111</v>
      </c>
      <c r="O1162" s="18" t="n">
        <v>0.918769598990144</v>
      </c>
      <c r="P1162" s="18"/>
      <c r="Q1162" s="18"/>
      <c r="R1162" s="18"/>
      <c r="S1162" s="18"/>
      <c r="T1162" s="18"/>
      <c r="U1162" s="18"/>
      <c r="V1162" s="18"/>
      <c r="W1162" s="18"/>
      <c r="X1162" s="18"/>
      <c r="Y1162" s="18"/>
      <c r="Z1162" s="18"/>
      <c r="AA1162" s="18"/>
      <c r="AB1162" s="18"/>
      <c r="AC1162" s="18"/>
      <c r="AD1162" s="18"/>
      <c r="AE1162" s="18"/>
      <c r="AF1162" s="18"/>
      <c r="AG1162" s="18"/>
      <c r="AH1162" s="18" t="s">
        <v>402</v>
      </c>
      <c r="AI1162" s="18"/>
      <c r="AJ1162" s="18" t="s">
        <v>1709</v>
      </c>
    </row>
    <row r="1163" customFormat="false" ht="15" hidden="false" customHeight="false" outlineLevel="0" collapsed="false">
      <c r="A1163" s="18" t="s">
        <v>273</v>
      </c>
      <c r="B1163" s="18" t="s">
        <v>332</v>
      </c>
      <c r="C1163" s="18" t="s">
        <v>1705</v>
      </c>
      <c r="D1163" s="18" t="s">
        <v>324</v>
      </c>
      <c r="E1163" s="18" t="s">
        <v>404</v>
      </c>
      <c r="F1163" s="18" t="s">
        <v>790</v>
      </c>
      <c r="G1163" s="18" t="n">
        <v>0.8</v>
      </c>
      <c r="H1163" s="18" t="n">
        <v>2705</v>
      </c>
      <c r="I1163" s="18" t="n">
        <v>113</v>
      </c>
      <c r="J1163" s="18" t="n">
        <v>112</v>
      </c>
      <c r="K1163" s="18" t="n">
        <v>0.0294073061902494</v>
      </c>
      <c r="L1163" s="18" t="n">
        <v>0.0932393560163907</v>
      </c>
      <c r="M1163" s="18" t="n">
        <v>0.315395852638449</v>
      </c>
      <c r="N1163" s="18" t="n">
        <v>110</v>
      </c>
      <c r="O1163" s="18" t="n">
        <v>0.753058685977967</v>
      </c>
      <c r="P1163" s="18"/>
      <c r="Q1163" s="18"/>
      <c r="R1163" s="18"/>
      <c r="S1163" s="18"/>
      <c r="T1163" s="18"/>
      <c r="U1163" s="18"/>
      <c r="V1163" s="18"/>
      <c r="W1163" s="18"/>
      <c r="X1163" s="18"/>
      <c r="Y1163" s="18"/>
      <c r="Z1163" s="18"/>
      <c r="AA1163" s="18"/>
      <c r="AB1163" s="18"/>
      <c r="AC1163" s="18"/>
      <c r="AD1163" s="18"/>
      <c r="AE1163" s="18"/>
      <c r="AF1163" s="18"/>
      <c r="AG1163" s="18"/>
      <c r="AH1163" s="18" t="s">
        <v>402</v>
      </c>
      <c r="AI1163" s="18"/>
      <c r="AJ1163" s="18" t="s">
        <v>1710</v>
      </c>
    </row>
    <row r="1164" customFormat="false" ht="15" hidden="false" customHeight="false" outlineLevel="0" collapsed="false">
      <c r="A1164" s="18" t="s">
        <v>273</v>
      </c>
      <c r="B1164" s="18" t="s">
        <v>334</v>
      </c>
      <c r="C1164" s="18" t="s">
        <v>1705</v>
      </c>
      <c r="D1164" s="18" t="s">
        <v>324</v>
      </c>
      <c r="E1164" s="18" t="s">
        <v>404</v>
      </c>
      <c r="F1164" s="18" t="s">
        <v>790</v>
      </c>
      <c r="G1164" s="18" t="n">
        <v>0.8</v>
      </c>
      <c r="H1164" s="18" t="n">
        <v>2705</v>
      </c>
      <c r="I1164" s="18" t="n">
        <v>113</v>
      </c>
      <c r="J1164" s="18" t="n">
        <v>112</v>
      </c>
      <c r="K1164" s="18" t="n">
        <v>0.0324163620377323</v>
      </c>
      <c r="L1164" s="18" t="n">
        <v>0.0991358784001664</v>
      </c>
      <c r="M1164" s="18" t="n">
        <v>0.326989204724471</v>
      </c>
      <c r="N1164" s="18" t="n">
        <v>110</v>
      </c>
      <c r="O1164" s="18" t="n">
        <v>0.744297459677062</v>
      </c>
      <c r="P1164" s="18"/>
      <c r="Q1164" s="18"/>
      <c r="R1164" s="18"/>
      <c r="S1164" s="18"/>
      <c r="T1164" s="18"/>
      <c r="U1164" s="18"/>
      <c r="V1164" s="18"/>
      <c r="W1164" s="18"/>
      <c r="X1164" s="18"/>
      <c r="Y1164" s="18"/>
      <c r="Z1164" s="18"/>
      <c r="AA1164" s="18"/>
      <c r="AB1164" s="18"/>
      <c r="AC1164" s="18"/>
      <c r="AD1164" s="18"/>
      <c r="AE1164" s="18"/>
      <c r="AF1164" s="18"/>
      <c r="AG1164" s="18"/>
      <c r="AH1164" s="18" t="s">
        <v>402</v>
      </c>
      <c r="AI1164" s="18"/>
      <c r="AJ1164" s="18" t="s">
        <v>1711</v>
      </c>
    </row>
    <row r="1165" customFormat="false" ht="15" hidden="false" customHeight="false" outlineLevel="0" collapsed="false">
      <c r="A1165" s="18" t="s">
        <v>273</v>
      </c>
      <c r="B1165" s="18" t="s">
        <v>336</v>
      </c>
      <c r="C1165" s="18" t="s">
        <v>1705</v>
      </c>
      <c r="D1165" s="18" t="s">
        <v>324</v>
      </c>
      <c r="E1165" s="18" t="s">
        <v>404</v>
      </c>
      <c r="F1165" s="18" t="s">
        <v>790</v>
      </c>
      <c r="G1165" s="18" t="n">
        <v>0.8</v>
      </c>
      <c r="H1165" s="18" t="n">
        <v>2705</v>
      </c>
      <c r="I1165" s="18" t="n">
        <v>113</v>
      </c>
      <c r="J1165" s="18" t="n">
        <v>112</v>
      </c>
      <c r="K1165" s="18" t="n">
        <v>-0.0662015261206113</v>
      </c>
      <c r="L1165" s="18" t="n">
        <v>0.0660303844937913</v>
      </c>
      <c r="M1165" s="18" t="n">
        <v>-1.00259186173353</v>
      </c>
      <c r="N1165" s="18" t="n">
        <v>111</v>
      </c>
      <c r="O1165" s="18" t="n">
        <v>0.318238444967241</v>
      </c>
      <c r="P1165" s="18"/>
      <c r="Q1165" s="18"/>
      <c r="R1165" s="18"/>
      <c r="S1165" s="18"/>
      <c r="T1165" s="18"/>
      <c r="U1165" s="18"/>
      <c r="V1165" s="18"/>
      <c r="W1165" s="18"/>
      <c r="X1165" s="18"/>
      <c r="Y1165" s="18"/>
      <c r="Z1165" s="18"/>
      <c r="AA1165" s="18"/>
      <c r="AB1165" s="18"/>
      <c r="AC1165" s="18"/>
      <c r="AD1165" s="18"/>
      <c r="AE1165" s="18"/>
      <c r="AF1165" s="18"/>
      <c r="AG1165" s="18"/>
      <c r="AH1165" s="18" t="s">
        <v>402</v>
      </c>
      <c r="AI1165" s="18"/>
      <c r="AJ1165" s="18" t="s">
        <v>1712</v>
      </c>
    </row>
    <row r="1166" customFormat="false" ht="15" hidden="false" customHeight="false" outlineLevel="0" collapsed="false">
      <c r="A1166" s="18" t="s">
        <v>273</v>
      </c>
      <c r="B1166" s="18" t="s">
        <v>338</v>
      </c>
      <c r="C1166" s="18" t="s">
        <v>1705</v>
      </c>
      <c r="D1166" s="18" t="s">
        <v>324</v>
      </c>
      <c r="E1166" s="18" t="s">
        <v>404</v>
      </c>
      <c r="F1166" s="18" t="s">
        <v>790</v>
      </c>
      <c r="G1166" s="18" t="n">
        <v>0.8</v>
      </c>
      <c r="H1166" s="18" t="n">
        <v>2705</v>
      </c>
      <c r="I1166" s="18" t="n">
        <v>113</v>
      </c>
      <c r="J1166" s="18" t="n">
        <v>112</v>
      </c>
      <c r="K1166" s="18" t="n">
        <v>0.0405016200298794</v>
      </c>
      <c r="L1166" s="18" t="n">
        <v>0.0633405595582628</v>
      </c>
      <c r="M1166" s="18" t="n">
        <v>0.639426306182608</v>
      </c>
      <c r="N1166" s="18" t="n">
        <v>111</v>
      </c>
      <c r="O1166" s="18" t="n">
        <v>0.523863088128807</v>
      </c>
      <c r="P1166" s="18"/>
      <c r="Q1166" s="18"/>
      <c r="R1166" s="18"/>
      <c r="S1166" s="18"/>
      <c r="T1166" s="18"/>
      <c r="U1166" s="18"/>
      <c r="V1166" s="18"/>
      <c r="W1166" s="18"/>
      <c r="X1166" s="18"/>
      <c r="Y1166" s="18"/>
      <c r="Z1166" s="18"/>
      <c r="AA1166" s="18"/>
      <c r="AB1166" s="18"/>
      <c r="AC1166" s="18"/>
      <c r="AD1166" s="18"/>
      <c r="AE1166" s="18"/>
      <c r="AF1166" s="18"/>
      <c r="AG1166" s="18"/>
      <c r="AH1166" s="18" t="s">
        <v>402</v>
      </c>
      <c r="AI1166" s="18"/>
      <c r="AJ1166" s="18" t="s">
        <v>1713</v>
      </c>
    </row>
    <row r="1167" customFormat="false" ht="15" hidden="false" customHeight="false" outlineLevel="0" collapsed="false">
      <c r="A1167" s="18" t="s">
        <v>273</v>
      </c>
      <c r="B1167" s="18" t="s">
        <v>340</v>
      </c>
      <c r="C1167" s="18" t="s">
        <v>1705</v>
      </c>
      <c r="D1167" s="18" t="s">
        <v>324</v>
      </c>
      <c r="E1167" s="18" t="s">
        <v>404</v>
      </c>
      <c r="F1167" s="18" t="s">
        <v>790</v>
      </c>
      <c r="G1167" s="18" t="n">
        <v>0.8</v>
      </c>
      <c r="H1167" s="18" t="n">
        <v>2705</v>
      </c>
      <c r="I1167" s="18" t="n">
        <v>113</v>
      </c>
      <c r="J1167" s="18" t="n">
        <v>112</v>
      </c>
      <c r="K1167" s="18" t="n">
        <v>0.0318037107014136</v>
      </c>
      <c r="L1167" s="18" t="n">
        <v>0.0633446672186416</v>
      </c>
      <c r="M1167" s="18" t="n">
        <v>0.502074003982678</v>
      </c>
      <c r="N1167" s="18" t="n">
        <v>111</v>
      </c>
      <c r="O1167" s="18" t="n">
        <v>0.616609970648119</v>
      </c>
      <c r="P1167" s="18"/>
      <c r="Q1167" s="18"/>
      <c r="R1167" s="18"/>
      <c r="S1167" s="18"/>
      <c r="T1167" s="18"/>
      <c r="U1167" s="18"/>
      <c r="V1167" s="18"/>
      <c r="W1167" s="18"/>
      <c r="X1167" s="18"/>
      <c r="Y1167" s="18"/>
      <c r="Z1167" s="18"/>
      <c r="AA1167" s="18"/>
      <c r="AB1167" s="18"/>
      <c r="AC1167" s="18"/>
      <c r="AD1167" s="18"/>
      <c r="AE1167" s="18"/>
      <c r="AF1167" s="18"/>
      <c r="AG1167" s="18"/>
      <c r="AH1167" s="18" t="s">
        <v>402</v>
      </c>
      <c r="AI1167" s="18"/>
      <c r="AJ1167" s="18" t="s">
        <v>1714</v>
      </c>
    </row>
    <row r="1168" customFormat="false" ht="15" hidden="false" customHeight="false" outlineLevel="0" collapsed="false">
      <c r="A1168" s="18" t="s">
        <v>273</v>
      </c>
      <c r="B1168" s="18" t="s">
        <v>342</v>
      </c>
      <c r="C1168" s="18" t="s">
        <v>1705</v>
      </c>
      <c r="D1168" s="18" t="s">
        <v>324</v>
      </c>
      <c r="E1168" s="18" t="s">
        <v>404</v>
      </c>
      <c r="F1168" s="18" t="s">
        <v>790</v>
      </c>
      <c r="G1168" s="18" t="n">
        <v>0.8</v>
      </c>
      <c r="H1168" s="18" t="n">
        <v>929</v>
      </c>
      <c r="I1168" s="18" t="n">
        <v>40</v>
      </c>
      <c r="J1168" s="18" t="n">
        <v>40</v>
      </c>
      <c r="K1168" s="18" t="n">
        <v>-0.0289869724327797</v>
      </c>
      <c r="L1168" s="18" t="n">
        <v>0.0373691056486731</v>
      </c>
      <c r="M1168" s="18" t="n">
        <v>-0.775693502148586</v>
      </c>
      <c r="N1168" s="18" t="n">
        <v>38</v>
      </c>
      <c r="O1168" s="18" t="n">
        <v>0.44273099418723</v>
      </c>
      <c r="P1168" s="18"/>
      <c r="Q1168" s="18"/>
      <c r="R1168" s="18"/>
      <c r="S1168" s="18"/>
      <c r="T1168" s="18"/>
      <c r="U1168" s="18"/>
      <c r="V1168" s="18"/>
      <c r="W1168" s="18"/>
      <c r="X1168" s="18"/>
      <c r="Y1168" s="18"/>
      <c r="Z1168" s="18"/>
      <c r="AA1168" s="18"/>
      <c r="AB1168" s="18"/>
      <c r="AC1168" s="18"/>
      <c r="AD1168" s="18"/>
      <c r="AE1168" s="18"/>
      <c r="AF1168" s="18"/>
      <c r="AG1168" s="18"/>
      <c r="AH1168" s="18" t="s">
        <v>402</v>
      </c>
      <c r="AI1168" s="18"/>
      <c r="AJ1168" s="18" t="s">
        <v>1715</v>
      </c>
    </row>
    <row r="1169" customFormat="false" ht="15" hidden="false" customHeight="false" outlineLevel="0" collapsed="false">
      <c r="A1169" s="18" t="s">
        <v>273</v>
      </c>
      <c r="B1169" s="18" t="s">
        <v>449</v>
      </c>
      <c r="C1169" s="18" t="s">
        <v>1705</v>
      </c>
      <c r="D1169" s="18" t="s">
        <v>324</v>
      </c>
      <c r="E1169" s="18" t="s">
        <v>404</v>
      </c>
      <c r="F1169" s="18" t="s">
        <v>790</v>
      </c>
      <c r="G1169" s="18" t="n">
        <v>0.8</v>
      </c>
      <c r="H1169" s="18" t="n">
        <v>2692</v>
      </c>
      <c r="I1169" s="18" t="n">
        <v>113</v>
      </c>
      <c r="J1169" s="18" t="n">
        <v>112</v>
      </c>
      <c r="K1169" s="18" t="n">
        <v>-0.0136133343854943</v>
      </c>
      <c r="L1169" s="18" t="n">
        <v>0.0224550952293492</v>
      </c>
      <c r="M1169" s="18" t="n">
        <v>-0.606247011934353</v>
      </c>
      <c r="N1169" s="18" t="n">
        <v>111</v>
      </c>
      <c r="O1169" s="18" t="n">
        <v>0.545588565778977</v>
      </c>
      <c r="P1169" s="18"/>
      <c r="Q1169" s="18"/>
      <c r="R1169" s="18"/>
      <c r="S1169" s="18"/>
      <c r="T1169" s="18"/>
      <c r="U1169" s="18"/>
      <c r="V1169" s="18"/>
      <c r="W1169" s="18"/>
      <c r="X1169" s="18"/>
      <c r="Y1169" s="18"/>
      <c r="Z1169" s="18"/>
      <c r="AA1169" s="18"/>
      <c r="AB1169" s="18"/>
      <c r="AC1169" s="18"/>
      <c r="AD1169" s="18"/>
      <c r="AE1169" s="18"/>
      <c r="AF1169" s="18"/>
      <c r="AG1169" s="18"/>
      <c r="AH1169" s="18" t="s">
        <v>402</v>
      </c>
      <c r="AI1169" s="18"/>
      <c r="AJ1169" s="18" t="s">
        <v>1716</v>
      </c>
    </row>
    <row r="1170" customFormat="false" ht="15" hidden="false" customHeight="false" outlineLevel="0" collapsed="false">
      <c r="A1170" s="18" t="s">
        <v>273</v>
      </c>
      <c r="B1170" s="18" t="s">
        <v>451</v>
      </c>
      <c r="C1170" s="18" t="s">
        <v>1705</v>
      </c>
      <c r="D1170" s="18" t="s">
        <v>324</v>
      </c>
      <c r="E1170" s="18" t="s">
        <v>404</v>
      </c>
      <c r="F1170" s="18" t="s">
        <v>790</v>
      </c>
      <c r="G1170" s="18" t="n">
        <v>0.8</v>
      </c>
      <c r="H1170" s="18" t="n">
        <v>2692</v>
      </c>
      <c r="I1170" s="18" t="n">
        <v>113</v>
      </c>
      <c r="J1170" s="18" t="n">
        <v>112</v>
      </c>
      <c r="K1170" s="18" t="n">
        <v>-0.0291539654318316</v>
      </c>
      <c r="L1170" s="18" t="n">
        <v>0.0237033837425744</v>
      </c>
      <c r="M1170" s="18" t="n">
        <v>-1.22994951895696</v>
      </c>
      <c r="N1170" s="18" t="n">
        <v>111</v>
      </c>
      <c r="O1170" s="18" t="n">
        <v>0.221316467317546</v>
      </c>
      <c r="P1170" s="18"/>
      <c r="Q1170" s="18"/>
      <c r="R1170" s="18"/>
      <c r="S1170" s="18"/>
      <c r="T1170" s="18"/>
      <c r="U1170" s="18"/>
      <c r="V1170" s="18"/>
      <c r="W1170" s="18"/>
      <c r="X1170" s="18"/>
      <c r="Y1170" s="18"/>
      <c r="Z1170" s="18"/>
      <c r="AA1170" s="18"/>
      <c r="AB1170" s="18"/>
      <c r="AC1170" s="18"/>
      <c r="AD1170" s="18"/>
      <c r="AE1170" s="18"/>
      <c r="AF1170" s="18"/>
      <c r="AG1170" s="18"/>
      <c r="AH1170" s="18" t="s">
        <v>402</v>
      </c>
      <c r="AI1170" s="18"/>
      <c r="AJ1170" s="18" t="s">
        <v>1717</v>
      </c>
    </row>
    <row r="1171" customFormat="false" ht="15" hidden="false" customHeight="false" outlineLevel="0" collapsed="false">
      <c r="A1171" s="18" t="s">
        <v>273</v>
      </c>
      <c r="B1171" s="18" t="s">
        <v>453</v>
      </c>
      <c r="C1171" s="18" t="s">
        <v>1705</v>
      </c>
      <c r="D1171" s="18" t="s">
        <v>324</v>
      </c>
      <c r="E1171" s="18" t="s">
        <v>404</v>
      </c>
      <c r="F1171" s="18" t="s">
        <v>790</v>
      </c>
      <c r="G1171" s="18" t="n">
        <v>0.8</v>
      </c>
      <c r="H1171" s="18" t="n">
        <v>2692</v>
      </c>
      <c r="I1171" s="18" t="n">
        <v>113</v>
      </c>
      <c r="J1171" s="18" t="n">
        <v>112</v>
      </c>
      <c r="K1171" s="18" t="n">
        <v>-0.013343953041011</v>
      </c>
      <c r="L1171" s="18" t="n">
        <v>0.0239328673439382</v>
      </c>
      <c r="M1171" s="18" t="n">
        <v>-0.557557640262892</v>
      </c>
      <c r="N1171" s="18" t="n">
        <v>110</v>
      </c>
      <c r="O1171" s="18" t="n">
        <v>0.578279364860881</v>
      </c>
      <c r="P1171" s="18"/>
      <c r="Q1171" s="18"/>
      <c r="R1171" s="18"/>
      <c r="S1171" s="18"/>
      <c r="T1171" s="18"/>
      <c r="U1171" s="18"/>
      <c r="V1171" s="18"/>
      <c r="W1171" s="18"/>
      <c r="X1171" s="18"/>
      <c r="Y1171" s="18"/>
      <c r="Z1171" s="18"/>
      <c r="AA1171" s="18"/>
      <c r="AB1171" s="18"/>
      <c r="AC1171" s="18"/>
      <c r="AD1171" s="18"/>
      <c r="AE1171" s="18"/>
      <c r="AF1171" s="18"/>
      <c r="AG1171" s="18"/>
      <c r="AH1171" s="18" t="s">
        <v>402</v>
      </c>
      <c r="AI1171" s="18"/>
      <c r="AJ1171" s="18" t="s">
        <v>1718</v>
      </c>
    </row>
    <row r="1172" customFormat="false" ht="15" hidden="false" customHeight="false" outlineLevel="0" collapsed="false">
      <c r="A1172" s="18" t="s">
        <v>273</v>
      </c>
      <c r="B1172" s="18" t="s">
        <v>455</v>
      </c>
      <c r="C1172" s="18" t="s">
        <v>1705</v>
      </c>
      <c r="D1172" s="18" t="s">
        <v>324</v>
      </c>
      <c r="E1172" s="18" t="s">
        <v>404</v>
      </c>
      <c r="F1172" s="18" t="s">
        <v>790</v>
      </c>
      <c r="G1172" s="18" t="n">
        <v>0.8</v>
      </c>
      <c r="H1172" s="18" t="n">
        <v>2692</v>
      </c>
      <c r="I1172" s="18" t="n">
        <v>113</v>
      </c>
      <c r="J1172" s="18" t="n">
        <v>112</v>
      </c>
      <c r="K1172" s="18" t="n">
        <v>-0.031863657012621</v>
      </c>
      <c r="L1172" s="18" t="n">
        <v>0.0247764750502459</v>
      </c>
      <c r="M1172" s="18" t="n">
        <v>-1.28604480451729</v>
      </c>
      <c r="N1172" s="18" t="n">
        <v>111</v>
      </c>
      <c r="O1172" s="18" t="n">
        <v>0.201103633900111</v>
      </c>
      <c r="P1172" s="18"/>
      <c r="Q1172" s="18"/>
      <c r="R1172" s="18"/>
      <c r="S1172" s="18"/>
      <c r="T1172" s="18"/>
      <c r="U1172" s="18"/>
      <c r="V1172" s="18"/>
      <c r="W1172" s="18"/>
      <c r="X1172" s="18"/>
      <c r="Y1172" s="18"/>
      <c r="Z1172" s="18"/>
      <c r="AA1172" s="18"/>
      <c r="AB1172" s="18"/>
      <c r="AC1172" s="18"/>
      <c r="AD1172" s="18"/>
      <c r="AE1172" s="18"/>
      <c r="AF1172" s="18"/>
      <c r="AG1172" s="18"/>
      <c r="AH1172" s="18" t="s">
        <v>402</v>
      </c>
      <c r="AI1172" s="18"/>
      <c r="AJ1172" s="18" t="s">
        <v>1719</v>
      </c>
    </row>
    <row r="1173" customFormat="false" ht="15" hidden="false" customHeight="false" outlineLevel="0" collapsed="false">
      <c r="A1173" s="18" t="s">
        <v>273</v>
      </c>
      <c r="B1173" s="18" t="s">
        <v>457</v>
      </c>
      <c r="C1173" s="18" t="s">
        <v>1705</v>
      </c>
      <c r="D1173" s="18" t="s">
        <v>324</v>
      </c>
      <c r="E1173" s="18" t="s">
        <v>404</v>
      </c>
      <c r="F1173" s="18" t="s">
        <v>790</v>
      </c>
      <c r="G1173" s="18" t="n">
        <v>0.8</v>
      </c>
      <c r="H1173" s="18" t="n">
        <v>2692</v>
      </c>
      <c r="I1173" s="18" t="n">
        <v>113</v>
      </c>
      <c r="J1173" s="18" t="n">
        <v>112</v>
      </c>
      <c r="K1173" s="18" t="n">
        <v>-0.00863792677092721</v>
      </c>
      <c r="L1173" s="18" t="n">
        <v>0.0297284186536466</v>
      </c>
      <c r="M1173" s="18" t="n">
        <v>-0.290561259633891</v>
      </c>
      <c r="N1173" s="18" t="n">
        <v>110</v>
      </c>
      <c r="O1173" s="18" t="n">
        <v>0.771933984303373</v>
      </c>
      <c r="P1173" s="18"/>
      <c r="Q1173" s="18"/>
      <c r="R1173" s="18"/>
      <c r="S1173" s="18"/>
      <c r="T1173" s="18"/>
      <c r="U1173" s="18"/>
      <c r="V1173" s="18"/>
      <c r="W1173" s="18"/>
      <c r="X1173" s="18"/>
      <c r="Y1173" s="18"/>
      <c r="Z1173" s="18"/>
      <c r="AA1173" s="18"/>
      <c r="AB1173" s="18"/>
      <c r="AC1173" s="18"/>
      <c r="AD1173" s="18"/>
      <c r="AE1173" s="18"/>
      <c r="AF1173" s="18"/>
      <c r="AG1173" s="18"/>
      <c r="AH1173" s="18" t="s">
        <v>402</v>
      </c>
      <c r="AI1173" s="18"/>
      <c r="AJ1173" s="18" t="s">
        <v>1720</v>
      </c>
    </row>
    <row r="1174" customFormat="false" ht="15" hidden="false" customHeight="false" outlineLevel="0" collapsed="false">
      <c r="A1174" s="18" t="s">
        <v>273</v>
      </c>
      <c r="B1174" s="18" t="s">
        <v>459</v>
      </c>
      <c r="C1174" s="18" t="s">
        <v>1705</v>
      </c>
      <c r="D1174" s="18" t="s">
        <v>324</v>
      </c>
      <c r="E1174" s="18" t="s">
        <v>404</v>
      </c>
      <c r="F1174" s="18" t="s">
        <v>790</v>
      </c>
      <c r="G1174" s="18" t="n">
        <v>0.8</v>
      </c>
      <c r="H1174" s="18" t="n">
        <v>2692</v>
      </c>
      <c r="I1174" s="18" t="n">
        <v>113</v>
      </c>
      <c r="J1174" s="18" t="n">
        <v>112</v>
      </c>
      <c r="K1174" s="18" t="n">
        <v>-0.00522540033075313</v>
      </c>
      <c r="L1174" s="18" t="n">
        <v>0.0316224753885283</v>
      </c>
      <c r="M1174" s="18" t="n">
        <v>-0.165243241288086</v>
      </c>
      <c r="N1174" s="18" t="n">
        <v>110</v>
      </c>
      <c r="O1174" s="18" t="n">
        <v>0.869055831484312</v>
      </c>
      <c r="P1174" s="18"/>
      <c r="Q1174" s="18"/>
      <c r="R1174" s="18"/>
      <c r="S1174" s="18"/>
      <c r="T1174" s="18"/>
      <c r="U1174" s="18"/>
      <c r="V1174" s="18"/>
      <c r="W1174" s="18"/>
      <c r="X1174" s="18"/>
      <c r="Y1174" s="18"/>
      <c r="Z1174" s="18"/>
      <c r="AA1174" s="18"/>
      <c r="AB1174" s="18"/>
      <c r="AC1174" s="18"/>
      <c r="AD1174" s="18"/>
      <c r="AE1174" s="18"/>
      <c r="AF1174" s="18"/>
      <c r="AG1174" s="18"/>
      <c r="AH1174" s="18" t="s">
        <v>402</v>
      </c>
      <c r="AI1174" s="18"/>
      <c r="AJ1174" s="18" t="s">
        <v>1721</v>
      </c>
    </row>
    <row r="1175" customFormat="false" ht="15" hidden="false" customHeight="false" outlineLevel="0" collapsed="false">
      <c r="A1175" s="18" t="s">
        <v>273</v>
      </c>
      <c r="B1175" s="18" t="s">
        <v>461</v>
      </c>
      <c r="C1175" s="18" t="s">
        <v>1705</v>
      </c>
      <c r="D1175" s="18" t="s">
        <v>324</v>
      </c>
      <c r="E1175" s="18" t="s">
        <v>404</v>
      </c>
      <c r="F1175" s="18" t="s">
        <v>790</v>
      </c>
      <c r="G1175" s="18" t="n">
        <v>0.8</v>
      </c>
      <c r="H1175" s="18" t="n">
        <v>2692</v>
      </c>
      <c r="I1175" s="18" t="n">
        <v>113</v>
      </c>
      <c r="J1175" s="18" t="n">
        <v>112</v>
      </c>
      <c r="K1175" s="18" t="n">
        <v>-0.0230964043956706</v>
      </c>
      <c r="L1175" s="18" t="n">
        <v>0.021152895147877</v>
      </c>
      <c r="M1175" s="18" t="n">
        <v>-1.09187911319972</v>
      </c>
      <c r="N1175" s="18" t="n">
        <v>111</v>
      </c>
      <c r="O1175" s="18" t="n">
        <v>0.277250516670778</v>
      </c>
      <c r="P1175" s="18"/>
      <c r="Q1175" s="18"/>
      <c r="R1175" s="18"/>
      <c r="S1175" s="18"/>
      <c r="T1175" s="18"/>
      <c r="U1175" s="18"/>
      <c r="V1175" s="18"/>
      <c r="W1175" s="18"/>
      <c r="X1175" s="18"/>
      <c r="Y1175" s="18"/>
      <c r="Z1175" s="18"/>
      <c r="AA1175" s="18"/>
      <c r="AB1175" s="18"/>
      <c r="AC1175" s="18"/>
      <c r="AD1175" s="18"/>
      <c r="AE1175" s="18"/>
      <c r="AF1175" s="18"/>
      <c r="AG1175" s="18"/>
      <c r="AH1175" s="18" t="s">
        <v>402</v>
      </c>
      <c r="AI1175" s="18"/>
      <c r="AJ1175" s="18" t="s">
        <v>1722</v>
      </c>
    </row>
    <row r="1176" customFormat="false" ht="15" hidden="false" customHeight="false" outlineLevel="0" collapsed="false">
      <c r="A1176" s="18" t="s">
        <v>273</v>
      </c>
      <c r="B1176" s="18" t="s">
        <v>463</v>
      </c>
      <c r="C1176" s="18" t="s">
        <v>1705</v>
      </c>
      <c r="D1176" s="18" t="s">
        <v>324</v>
      </c>
      <c r="E1176" s="18" t="s">
        <v>404</v>
      </c>
      <c r="F1176" s="18" t="s">
        <v>790</v>
      </c>
      <c r="G1176" s="18" t="n">
        <v>0.8</v>
      </c>
      <c r="H1176" s="18" t="n">
        <v>2692</v>
      </c>
      <c r="I1176" s="18" t="n">
        <v>113</v>
      </c>
      <c r="J1176" s="18" t="n">
        <v>112</v>
      </c>
      <c r="K1176" s="18" t="n">
        <v>-0.0270041140721942</v>
      </c>
      <c r="L1176" s="18" t="n">
        <v>0.0201287437931867</v>
      </c>
      <c r="M1176" s="18" t="n">
        <v>-1.34156976459379</v>
      </c>
      <c r="N1176" s="18" t="n">
        <v>111</v>
      </c>
      <c r="O1176" s="18" t="n">
        <v>0.182473774460842</v>
      </c>
      <c r="P1176" s="18"/>
      <c r="Q1176" s="18"/>
      <c r="R1176" s="18"/>
      <c r="S1176" s="18"/>
      <c r="T1176" s="18"/>
      <c r="U1176" s="18"/>
      <c r="V1176" s="18"/>
      <c r="W1176" s="18"/>
      <c r="X1176" s="18"/>
      <c r="Y1176" s="18"/>
      <c r="Z1176" s="18"/>
      <c r="AA1176" s="18"/>
      <c r="AB1176" s="18"/>
      <c r="AC1176" s="18"/>
      <c r="AD1176" s="18"/>
      <c r="AE1176" s="18"/>
      <c r="AF1176" s="18"/>
      <c r="AG1176" s="18"/>
      <c r="AH1176" s="18" t="s">
        <v>402</v>
      </c>
      <c r="AI1176" s="18"/>
      <c r="AJ1176" s="18" t="s">
        <v>1723</v>
      </c>
    </row>
    <row r="1177" customFormat="false" ht="15" hidden="false" customHeight="false" outlineLevel="0" collapsed="false">
      <c r="A1177" s="18" t="s">
        <v>273</v>
      </c>
      <c r="B1177" s="18" t="s">
        <v>465</v>
      </c>
      <c r="C1177" s="18" t="s">
        <v>1705</v>
      </c>
      <c r="D1177" s="18" t="s">
        <v>324</v>
      </c>
      <c r="E1177" s="18" t="s">
        <v>404</v>
      </c>
      <c r="F1177" s="18" t="s">
        <v>790</v>
      </c>
      <c r="G1177" s="18" t="n">
        <v>0.8</v>
      </c>
      <c r="H1177" s="18" t="n">
        <v>2692</v>
      </c>
      <c r="I1177" s="18" t="n">
        <v>113</v>
      </c>
      <c r="J1177" s="18" t="n">
        <v>112</v>
      </c>
      <c r="K1177" s="18" t="n">
        <v>-0.0205468818103348</v>
      </c>
      <c r="L1177" s="18" t="n">
        <v>0.0201148786663563</v>
      </c>
      <c r="M1177" s="18" t="n">
        <v>-1.02147679591531</v>
      </c>
      <c r="N1177" s="18" t="n">
        <v>111</v>
      </c>
      <c r="O1177" s="18" t="n">
        <v>0.309249723936618</v>
      </c>
      <c r="P1177" s="18"/>
      <c r="Q1177" s="18"/>
      <c r="R1177" s="18"/>
      <c r="S1177" s="18"/>
      <c r="T1177" s="18"/>
      <c r="U1177" s="18"/>
      <c r="V1177" s="18"/>
      <c r="W1177" s="18"/>
      <c r="X1177" s="18"/>
      <c r="Y1177" s="18"/>
      <c r="Z1177" s="18"/>
      <c r="AA1177" s="18"/>
      <c r="AB1177" s="18"/>
      <c r="AC1177" s="18"/>
      <c r="AD1177" s="18"/>
      <c r="AE1177" s="18"/>
      <c r="AF1177" s="18"/>
      <c r="AG1177" s="18"/>
      <c r="AH1177" s="18" t="s">
        <v>402</v>
      </c>
      <c r="AI1177" s="18"/>
      <c r="AJ1177" s="18" t="s">
        <v>1724</v>
      </c>
    </row>
    <row r="1178" customFormat="false" ht="15" hidden="false" customHeight="false" outlineLevel="0" collapsed="false">
      <c r="A1178" s="18" t="s">
        <v>273</v>
      </c>
      <c r="B1178" s="18" t="s">
        <v>467</v>
      </c>
      <c r="C1178" s="18" t="s">
        <v>1705</v>
      </c>
      <c r="D1178" s="18" t="s">
        <v>324</v>
      </c>
      <c r="E1178" s="18" t="s">
        <v>404</v>
      </c>
      <c r="F1178" s="18" t="s">
        <v>790</v>
      </c>
      <c r="G1178" s="18" t="n">
        <v>0.8</v>
      </c>
      <c r="H1178" s="18" t="n">
        <v>924</v>
      </c>
      <c r="I1178" s="18" t="n">
        <v>40</v>
      </c>
      <c r="J1178" s="18" t="n">
        <v>40</v>
      </c>
      <c r="K1178" s="18" t="n">
        <v>-0.0316921218024031</v>
      </c>
      <c r="L1178" s="18" t="n">
        <v>0.037274494353884</v>
      </c>
      <c r="M1178" s="18" t="n">
        <v>-0.850236129336005</v>
      </c>
      <c r="N1178" s="18" t="n">
        <v>38</v>
      </c>
      <c r="O1178" s="18" t="n">
        <v>0.400519388488862</v>
      </c>
      <c r="P1178" s="18"/>
      <c r="Q1178" s="18"/>
      <c r="R1178" s="18"/>
      <c r="S1178" s="18"/>
      <c r="T1178" s="18"/>
      <c r="U1178" s="18"/>
      <c r="V1178" s="18"/>
      <c r="W1178" s="18"/>
      <c r="X1178" s="18"/>
      <c r="Y1178" s="18"/>
      <c r="Z1178" s="18"/>
      <c r="AA1178" s="18"/>
      <c r="AB1178" s="18"/>
      <c r="AC1178" s="18"/>
      <c r="AD1178" s="18"/>
      <c r="AE1178" s="18"/>
      <c r="AF1178" s="18"/>
      <c r="AG1178" s="18"/>
      <c r="AH1178" s="18" t="s">
        <v>402</v>
      </c>
      <c r="AI1178" s="18"/>
      <c r="AJ1178" s="18" t="s">
        <v>1725</v>
      </c>
    </row>
    <row r="1179" customFormat="false" ht="15" hidden="false" customHeight="false" outlineLevel="0" collapsed="false">
      <c r="A1179" s="18" t="s">
        <v>273</v>
      </c>
      <c r="B1179" s="18" t="s">
        <v>469</v>
      </c>
      <c r="C1179" s="18" t="s">
        <v>1705</v>
      </c>
      <c r="D1179" s="18" t="s">
        <v>324</v>
      </c>
      <c r="E1179" s="18" t="s">
        <v>404</v>
      </c>
      <c r="F1179" s="18" t="s">
        <v>790</v>
      </c>
      <c r="G1179" s="18" t="n">
        <v>0.8</v>
      </c>
      <c r="H1179" s="18" t="n">
        <v>2705</v>
      </c>
      <c r="I1179" s="18" t="n">
        <v>113</v>
      </c>
      <c r="J1179" s="18" t="n">
        <v>112</v>
      </c>
      <c r="K1179" s="18" t="n">
        <v>-0.00991855759647525</v>
      </c>
      <c r="L1179" s="18" t="n">
        <v>0.0215354518800449</v>
      </c>
      <c r="M1179" s="18" t="n">
        <v>-0.460568817024264</v>
      </c>
      <c r="N1179" s="18" t="n">
        <v>111</v>
      </c>
      <c r="O1179" s="18" t="n">
        <v>0.646009033845415</v>
      </c>
      <c r="P1179" s="18"/>
      <c r="Q1179" s="18"/>
      <c r="R1179" s="18"/>
      <c r="S1179" s="18"/>
      <c r="T1179" s="18"/>
      <c r="U1179" s="18"/>
      <c r="V1179" s="18"/>
      <c r="W1179" s="18"/>
      <c r="X1179" s="18"/>
      <c r="Y1179" s="18"/>
      <c r="Z1179" s="18"/>
      <c r="AA1179" s="18"/>
      <c r="AB1179" s="18"/>
      <c r="AC1179" s="18"/>
      <c r="AD1179" s="18"/>
      <c r="AE1179" s="18"/>
      <c r="AF1179" s="18"/>
      <c r="AG1179" s="18"/>
      <c r="AH1179" s="18" t="s">
        <v>402</v>
      </c>
      <c r="AI1179" s="18"/>
      <c r="AJ1179" s="18" t="s">
        <v>1726</v>
      </c>
    </row>
    <row r="1180" customFormat="false" ht="15" hidden="false" customHeight="false" outlineLevel="0" collapsed="false">
      <c r="A1180" s="18" t="s">
        <v>273</v>
      </c>
      <c r="B1180" s="18" t="s">
        <v>471</v>
      </c>
      <c r="C1180" s="18" t="s">
        <v>1705</v>
      </c>
      <c r="D1180" s="18" t="s">
        <v>324</v>
      </c>
      <c r="E1180" s="18" t="s">
        <v>404</v>
      </c>
      <c r="F1180" s="18" t="s">
        <v>790</v>
      </c>
      <c r="G1180" s="18" t="n">
        <v>0.8</v>
      </c>
      <c r="H1180" s="18" t="n">
        <v>2705</v>
      </c>
      <c r="I1180" s="18" t="n">
        <v>113</v>
      </c>
      <c r="J1180" s="18" t="n">
        <v>112</v>
      </c>
      <c r="K1180" s="18" t="n">
        <v>-0.0213790989707445</v>
      </c>
      <c r="L1180" s="18" t="n">
        <v>0.0227848045066491</v>
      </c>
      <c r="M1180" s="18" t="n">
        <v>-0.938305130706987</v>
      </c>
      <c r="N1180" s="18" t="n">
        <v>111</v>
      </c>
      <c r="O1180" s="18" t="n">
        <v>0.350124842818816</v>
      </c>
      <c r="P1180" s="18"/>
      <c r="Q1180" s="18"/>
      <c r="R1180" s="18"/>
      <c r="S1180" s="18"/>
      <c r="T1180" s="18"/>
      <c r="U1180" s="18"/>
      <c r="V1180" s="18"/>
      <c r="W1180" s="18"/>
      <c r="X1180" s="18"/>
      <c r="Y1180" s="18"/>
      <c r="Z1180" s="18"/>
      <c r="AA1180" s="18"/>
      <c r="AB1180" s="18"/>
      <c r="AC1180" s="18"/>
      <c r="AD1180" s="18"/>
      <c r="AE1180" s="18"/>
      <c r="AF1180" s="18"/>
      <c r="AG1180" s="18"/>
      <c r="AH1180" s="18" t="s">
        <v>402</v>
      </c>
      <c r="AI1180" s="18"/>
      <c r="AJ1180" s="18" t="s">
        <v>1727</v>
      </c>
    </row>
    <row r="1181" customFormat="false" ht="15" hidden="false" customHeight="false" outlineLevel="0" collapsed="false">
      <c r="A1181" s="18" t="s">
        <v>273</v>
      </c>
      <c r="B1181" s="18" t="s">
        <v>473</v>
      </c>
      <c r="C1181" s="18" t="s">
        <v>1705</v>
      </c>
      <c r="D1181" s="18" t="s">
        <v>324</v>
      </c>
      <c r="E1181" s="18" t="s">
        <v>404</v>
      </c>
      <c r="F1181" s="18" t="s">
        <v>790</v>
      </c>
      <c r="G1181" s="18" t="n">
        <v>0.8</v>
      </c>
      <c r="H1181" s="18" t="n">
        <v>2705</v>
      </c>
      <c r="I1181" s="18" t="n">
        <v>113</v>
      </c>
      <c r="J1181" s="18" t="n">
        <v>112</v>
      </c>
      <c r="K1181" s="18" t="n">
        <v>-0.0110375813029995</v>
      </c>
      <c r="L1181" s="18" t="n">
        <v>0.0229496523576403</v>
      </c>
      <c r="M1181" s="18" t="n">
        <v>-0.480947647092568</v>
      </c>
      <c r="N1181" s="18" t="n">
        <v>110</v>
      </c>
      <c r="O1181" s="18" t="n">
        <v>0.63150896175217</v>
      </c>
      <c r="P1181" s="18"/>
      <c r="Q1181" s="18"/>
      <c r="R1181" s="18"/>
      <c r="S1181" s="18"/>
      <c r="T1181" s="18"/>
      <c r="U1181" s="18"/>
      <c r="V1181" s="18"/>
      <c r="W1181" s="18"/>
      <c r="X1181" s="18"/>
      <c r="Y1181" s="18"/>
      <c r="Z1181" s="18"/>
      <c r="AA1181" s="18"/>
      <c r="AB1181" s="18"/>
      <c r="AC1181" s="18"/>
      <c r="AD1181" s="18"/>
      <c r="AE1181" s="18"/>
      <c r="AF1181" s="18"/>
      <c r="AG1181" s="18"/>
      <c r="AH1181" s="18" t="s">
        <v>402</v>
      </c>
      <c r="AI1181" s="18"/>
      <c r="AJ1181" s="18" t="s">
        <v>1728</v>
      </c>
    </row>
    <row r="1182" customFormat="false" ht="15" hidden="false" customHeight="false" outlineLevel="0" collapsed="false">
      <c r="A1182" s="18" t="s">
        <v>273</v>
      </c>
      <c r="B1182" s="18" t="s">
        <v>475</v>
      </c>
      <c r="C1182" s="18" t="s">
        <v>1705</v>
      </c>
      <c r="D1182" s="18" t="s">
        <v>324</v>
      </c>
      <c r="E1182" s="18" t="s">
        <v>404</v>
      </c>
      <c r="F1182" s="18" t="s">
        <v>790</v>
      </c>
      <c r="G1182" s="18" t="n">
        <v>0.8</v>
      </c>
      <c r="H1182" s="18" t="n">
        <v>2705</v>
      </c>
      <c r="I1182" s="18" t="n">
        <v>113</v>
      </c>
      <c r="J1182" s="18" t="n">
        <v>112</v>
      </c>
      <c r="K1182" s="18" t="n">
        <v>-0.0246594014876369</v>
      </c>
      <c r="L1182" s="18" t="n">
        <v>0.0238122265529631</v>
      </c>
      <c r="M1182" s="18" t="n">
        <v>-1.03557730869012</v>
      </c>
      <c r="N1182" s="18" t="n">
        <v>111</v>
      </c>
      <c r="O1182" s="18" t="n">
        <v>0.302650208519396</v>
      </c>
      <c r="P1182" s="18"/>
      <c r="Q1182" s="18"/>
      <c r="R1182" s="18"/>
      <c r="S1182" s="18"/>
      <c r="T1182" s="18"/>
      <c r="U1182" s="18"/>
      <c r="V1182" s="18"/>
      <c r="W1182" s="18"/>
      <c r="X1182" s="18"/>
      <c r="Y1182" s="18"/>
      <c r="Z1182" s="18"/>
      <c r="AA1182" s="18"/>
      <c r="AB1182" s="18"/>
      <c r="AC1182" s="18"/>
      <c r="AD1182" s="18"/>
      <c r="AE1182" s="18"/>
      <c r="AF1182" s="18"/>
      <c r="AG1182" s="18"/>
      <c r="AH1182" s="18" t="s">
        <v>402</v>
      </c>
      <c r="AI1182" s="18"/>
      <c r="AJ1182" s="18" t="s">
        <v>1729</v>
      </c>
    </row>
    <row r="1183" customFormat="false" ht="15" hidden="false" customHeight="false" outlineLevel="0" collapsed="false">
      <c r="A1183" s="18" t="s">
        <v>273</v>
      </c>
      <c r="B1183" s="18" t="s">
        <v>477</v>
      </c>
      <c r="C1183" s="18" t="s">
        <v>1705</v>
      </c>
      <c r="D1183" s="18" t="s">
        <v>324</v>
      </c>
      <c r="E1183" s="18" t="s">
        <v>404</v>
      </c>
      <c r="F1183" s="18" t="s">
        <v>790</v>
      </c>
      <c r="G1183" s="18" t="n">
        <v>0.8</v>
      </c>
      <c r="H1183" s="18" t="n">
        <v>2705</v>
      </c>
      <c r="I1183" s="18" t="n">
        <v>113</v>
      </c>
      <c r="J1183" s="18" t="n">
        <v>112</v>
      </c>
      <c r="K1183" s="18" t="n">
        <v>-0.00326061303703466</v>
      </c>
      <c r="L1183" s="18" t="n">
        <v>0.0284973222393362</v>
      </c>
      <c r="M1183" s="18" t="n">
        <v>-0.114418225321321</v>
      </c>
      <c r="N1183" s="18" t="n">
        <v>110</v>
      </c>
      <c r="O1183" s="18" t="n">
        <v>0.909114852934374</v>
      </c>
      <c r="P1183" s="18"/>
      <c r="Q1183" s="18"/>
      <c r="R1183" s="18"/>
      <c r="S1183" s="18"/>
      <c r="T1183" s="18"/>
      <c r="U1183" s="18"/>
      <c r="V1183" s="18"/>
      <c r="W1183" s="18"/>
      <c r="X1183" s="18"/>
      <c r="Y1183" s="18"/>
      <c r="Z1183" s="18"/>
      <c r="AA1183" s="18"/>
      <c r="AB1183" s="18"/>
      <c r="AC1183" s="18"/>
      <c r="AD1183" s="18"/>
      <c r="AE1183" s="18"/>
      <c r="AF1183" s="18"/>
      <c r="AG1183" s="18"/>
      <c r="AH1183" s="18" t="s">
        <v>402</v>
      </c>
      <c r="AI1183" s="18"/>
      <c r="AJ1183" s="18" t="s">
        <v>1730</v>
      </c>
    </row>
    <row r="1184" customFormat="false" ht="15" hidden="false" customHeight="false" outlineLevel="0" collapsed="false">
      <c r="A1184" s="18" t="s">
        <v>273</v>
      </c>
      <c r="B1184" s="18" t="s">
        <v>479</v>
      </c>
      <c r="C1184" s="18" t="s">
        <v>1705</v>
      </c>
      <c r="D1184" s="18" t="s">
        <v>324</v>
      </c>
      <c r="E1184" s="18" t="s">
        <v>404</v>
      </c>
      <c r="F1184" s="18" t="s">
        <v>790</v>
      </c>
      <c r="G1184" s="18" t="n">
        <v>0.8</v>
      </c>
      <c r="H1184" s="18" t="n">
        <v>2705</v>
      </c>
      <c r="I1184" s="18" t="n">
        <v>113</v>
      </c>
      <c r="J1184" s="18" t="n">
        <v>112</v>
      </c>
      <c r="K1184" s="18" t="n">
        <v>-0.00057684594620553</v>
      </c>
      <c r="L1184" s="18" t="n">
        <v>0.0303074652018311</v>
      </c>
      <c r="M1184" s="18" t="n">
        <v>-0.0190331306945022</v>
      </c>
      <c r="N1184" s="18" t="n">
        <v>110</v>
      </c>
      <c r="O1184" s="18" t="n">
        <v>0.984849156472525</v>
      </c>
      <c r="P1184" s="18"/>
      <c r="Q1184" s="18"/>
      <c r="R1184" s="18"/>
      <c r="S1184" s="18"/>
      <c r="T1184" s="18"/>
      <c r="U1184" s="18"/>
      <c r="V1184" s="18"/>
      <c r="W1184" s="18"/>
      <c r="X1184" s="18"/>
      <c r="Y1184" s="18"/>
      <c r="Z1184" s="18"/>
      <c r="AA1184" s="18"/>
      <c r="AB1184" s="18"/>
      <c r="AC1184" s="18"/>
      <c r="AD1184" s="18"/>
      <c r="AE1184" s="18"/>
      <c r="AF1184" s="18"/>
      <c r="AG1184" s="18"/>
      <c r="AH1184" s="18" t="s">
        <v>402</v>
      </c>
      <c r="AI1184" s="18"/>
      <c r="AJ1184" s="18" t="s">
        <v>1731</v>
      </c>
    </row>
    <row r="1185" customFormat="false" ht="15" hidden="false" customHeight="false" outlineLevel="0" collapsed="false">
      <c r="A1185" s="18" t="s">
        <v>273</v>
      </c>
      <c r="B1185" s="18" t="s">
        <v>481</v>
      </c>
      <c r="C1185" s="18" t="s">
        <v>1705</v>
      </c>
      <c r="D1185" s="18" t="s">
        <v>324</v>
      </c>
      <c r="E1185" s="18" t="s">
        <v>404</v>
      </c>
      <c r="F1185" s="18" t="s">
        <v>790</v>
      </c>
      <c r="G1185" s="18" t="n">
        <v>0.8</v>
      </c>
      <c r="H1185" s="18" t="n">
        <v>2705</v>
      </c>
      <c r="I1185" s="18" t="n">
        <v>113</v>
      </c>
      <c r="J1185" s="18" t="n">
        <v>112</v>
      </c>
      <c r="K1185" s="18" t="n">
        <v>-0.0179599849584517</v>
      </c>
      <c r="L1185" s="18" t="n">
        <v>0.0203141912245125</v>
      </c>
      <c r="M1185" s="18" t="n">
        <v>-0.884110263606258</v>
      </c>
      <c r="N1185" s="18" t="n">
        <v>111</v>
      </c>
      <c r="O1185" s="18" t="n">
        <v>0.378547678327517</v>
      </c>
      <c r="P1185" s="18"/>
      <c r="Q1185" s="18"/>
      <c r="R1185" s="18"/>
      <c r="S1185" s="18"/>
      <c r="T1185" s="18"/>
      <c r="U1185" s="18"/>
      <c r="V1185" s="18"/>
      <c r="W1185" s="18"/>
      <c r="X1185" s="18"/>
      <c r="Y1185" s="18"/>
      <c r="Z1185" s="18"/>
      <c r="AA1185" s="18"/>
      <c r="AB1185" s="18"/>
      <c r="AC1185" s="18"/>
      <c r="AD1185" s="18"/>
      <c r="AE1185" s="18"/>
      <c r="AF1185" s="18"/>
      <c r="AG1185" s="18"/>
      <c r="AH1185" s="18" t="s">
        <v>402</v>
      </c>
      <c r="AI1185" s="18"/>
      <c r="AJ1185" s="18" t="s">
        <v>1732</v>
      </c>
    </row>
    <row r="1186" customFormat="false" ht="15" hidden="false" customHeight="false" outlineLevel="0" collapsed="false">
      <c r="A1186" s="18" t="s">
        <v>273</v>
      </c>
      <c r="B1186" s="18" t="s">
        <v>483</v>
      </c>
      <c r="C1186" s="18" t="s">
        <v>1705</v>
      </c>
      <c r="D1186" s="18" t="s">
        <v>324</v>
      </c>
      <c r="E1186" s="18" t="s">
        <v>404</v>
      </c>
      <c r="F1186" s="18" t="s">
        <v>790</v>
      </c>
      <c r="G1186" s="18" t="n">
        <v>0.8</v>
      </c>
      <c r="H1186" s="18" t="n">
        <v>2705</v>
      </c>
      <c r="I1186" s="18" t="n">
        <v>113</v>
      </c>
      <c r="J1186" s="18" t="n">
        <v>112</v>
      </c>
      <c r="K1186" s="18" t="n">
        <v>-0.0110125456573658</v>
      </c>
      <c r="L1186" s="18" t="n">
        <v>0.0194291011928639</v>
      </c>
      <c r="M1186" s="18" t="n">
        <v>-0.566806747674495</v>
      </c>
      <c r="N1186" s="18" t="n">
        <v>111</v>
      </c>
      <c r="O1186" s="18" t="n">
        <v>0.57198986738541</v>
      </c>
      <c r="P1186" s="18"/>
      <c r="Q1186" s="18"/>
      <c r="R1186" s="18"/>
      <c r="S1186" s="18"/>
      <c r="T1186" s="18"/>
      <c r="U1186" s="18"/>
      <c r="V1186" s="18"/>
      <c r="W1186" s="18"/>
      <c r="X1186" s="18"/>
      <c r="Y1186" s="18"/>
      <c r="Z1186" s="18"/>
      <c r="AA1186" s="18"/>
      <c r="AB1186" s="18"/>
      <c r="AC1186" s="18"/>
      <c r="AD1186" s="18"/>
      <c r="AE1186" s="18"/>
      <c r="AF1186" s="18"/>
      <c r="AG1186" s="18"/>
      <c r="AH1186" s="18" t="s">
        <v>402</v>
      </c>
      <c r="AI1186" s="18"/>
      <c r="AJ1186" s="18" t="s">
        <v>1733</v>
      </c>
    </row>
    <row r="1187" customFormat="false" ht="15" hidden="false" customHeight="false" outlineLevel="0" collapsed="false">
      <c r="A1187" s="18" t="s">
        <v>273</v>
      </c>
      <c r="B1187" s="18" t="s">
        <v>485</v>
      </c>
      <c r="C1187" s="18" t="s">
        <v>1705</v>
      </c>
      <c r="D1187" s="18" t="s">
        <v>324</v>
      </c>
      <c r="E1187" s="18" t="s">
        <v>404</v>
      </c>
      <c r="F1187" s="18" t="s">
        <v>790</v>
      </c>
      <c r="G1187" s="18" t="n">
        <v>0.8</v>
      </c>
      <c r="H1187" s="18" t="n">
        <v>2705</v>
      </c>
      <c r="I1187" s="18" t="n">
        <v>113</v>
      </c>
      <c r="J1187" s="18" t="n">
        <v>112</v>
      </c>
      <c r="K1187" s="18" t="n">
        <v>-0.00833187406897858</v>
      </c>
      <c r="L1187" s="18" t="n">
        <v>0.0193539893115261</v>
      </c>
      <c r="M1187" s="18" t="n">
        <v>-0.430499052927379</v>
      </c>
      <c r="N1187" s="18" t="n">
        <v>111</v>
      </c>
      <c r="O1187" s="18" t="n">
        <v>0.667667391197787</v>
      </c>
      <c r="P1187" s="18"/>
      <c r="Q1187" s="18"/>
      <c r="R1187" s="18"/>
      <c r="S1187" s="18"/>
      <c r="T1187" s="18"/>
      <c r="U1187" s="18"/>
      <c r="V1187" s="18"/>
      <c r="W1187" s="18"/>
      <c r="X1187" s="18"/>
      <c r="Y1187" s="18"/>
      <c r="Z1187" s="18"/>
      <c r="AA1187" s="18"/>
      <c r="AB1187" s="18"/>
      <c r="AC1187" s="18"/>
      <c r="AD1187" s="18"/>
      <c r="AE1187" s="18"/>
      <c r="AF1187" s="18"/>
      <c r="AG1187" s="18"/>
      <c r="AH1187" s="18" t="s">
        <v>402</v>
      </c>
      <c r="AI1187" s="18"/>
      <c r="AJ1187" s="18" t="s">
        <v>1734</v>
      </c>
    </row>
    <row r="1188" customFormat="false" ht="15" hidden="false" customHeight="false" outlineLevel="0" collapsed="false">
      <c r="A1188" s="18" t="s">
        <v>273</v>
      </c>
      <c r="B1188" s="18" t="s">
        <v>487</v>
      </c>
      <c r="C1188" s="18" t="s">
        <v>1705</v>
      </c>
      <c r="D1188" s="18" t="s">
        <v>324</v>
      </c>
      <c r="E1188" s="18" t="s">
        <v>404</v>
      </c>
      <c r="F1188" s="18" t="s">
        <v>790</v>
      </c>
      <c r="G1188" s="18" t="n">
        <v>0.8</v>
      </c>
      <c r="H1188" s="18" t="n">
        <v>929</v>
      </c>
      <c r="I1188" s="18" t="n">
        <v>40</v>
      </c>
      <c r="J1188" s="18" t="n">
        <v>40</v>
      </c>
      <c r="K1188" s="18" t="n">
        <v>-0.0254271278450421</v>
      </c>
      <c r="L1188" s="18" t="n">
        <v>0.0318416290371679</v>
      </c>
      <c r="M1188" s="18" t="n">
        <v>-0.798549842263462</v>
      </c>
      <c r="N1188" s="18" t="n">
        <v>38</v>
      </c>
      <c r="O1188" s="18" t="n">
        <v>0.429514268909724</v>
      </c>
      <c r="P1188" s="18"/>
      <c r="Q1188" s="18"/>
      <c r="R1188" s="18"/>
      <c r="S1188" s="18"/>
      <c r="T1188" s="18"/>
      <c r="U1188" s="18"/>
      <c r="V1188" s="18"/>
      <c r="W1188" s="18"/>
      <c r="X1188" s="18"/>
      <c r="Y1188" s="18"/>
      <c r="Z1188" s="18"/>
      <c r="AA1188" s="18"/>
      <c r="AB1188" s="18"/>
      <c r="AC1188" s="18"/>
      <c r="AD1188" s="18"/>
      <c r="AE1188" s="18"/>
      <c r="AF1188" s="18"/>
      <c r="AG1188" s="18"/>
      <c r="AH1188" s="18" t="s">
        <v>402</v>
      </c>
      <c r="AI1188" s="18"/>
      <c r="AJ1188" s="18" t="s">
        <v>1735</v>
      </c>
    </row>
    <row r="1189" customFormat="false" ht="15" hidden="false" customHeight="false" outlineLevel="0" collapsed="false">
      <c r="A1189" s="18" t="s">
        <v>273</v>
      </c>
      <c r="B1189" s="18" t="s">
        <v>489</v>
      </c>
      <c r="C1189" s="18" t="s">
        <v>1705</v>
      </c>
      <c r="D1189" s="18" t="s">
        <v>324</v>
      </c>
      <c r="E1189" s="18" t="s">
        <v>404</v>
      </c>
      <c r="F1189" s="18" t="s">
        <v>790</v>
      </c>
      <c r="G1189" s="18" t="n">
        <v>0.8</v>
      </c>
      <c r="H1189" s="18" t="n">
        <v>2607</v>
      </c>
      <c r="I1189" s="18" t="n">
        <v>110</v>
      </c>
      <c r="J1189" s="18" t="n">
        <v>109</v>
      </c>
      <c r="K1189" s="18" t="n">
        <v>0.0228408477163092</v>
      </c>
      <c r="L1189" s="18" t="n">
        <v>0.0721133808166418</v>
      </c>
      <c r="M1189" s="18" t="n">
        <v>0.31673522247397</v>
      </c>
      <c r="N1189" s="18" t="n">
        <v>108</v>
      </c>
      <c r="O1189" s="18" t="n">
        <v>0.752055938499087</v>
      </c>
      <c r="P1189" s="18"/>
      <c r="Q1189" s="18"/>
      <c r="R1189" s="18"/>
      <c r="S1189" s="18"/>
      <c r="T1189" s="18"/>
      <c r="U1189" s="18"/>
      <c r="V1189" s="18"/>
      <c r="W1189" s="18"/>
      <c r="X1189" s="18"/>
      <c r="Y1189" s="18"/>
      <c r="Z1189" s="18"/>
      <c r="AA1189" s="18"/>
      <c r="AB1189" s="18"/>
      <c r="AC1189" s="18"/>
      <c r="AD1189" s="18"/>
      <c r="AE1189" s="18"/>
      <c r="AF1189" s="18"/>
      <c r="AG1189" s="18"/>
      <c r="AH1189" s="18" t="s">
        <v>402</v>
      </c>
      <c r="AI1189" s="18"/>
      <c r="AJ1189" s="18" t="s">
        <v>1736</v>
      </c>
    </row>
    <row r="1190" customFormat="false" ht="15" hidden="false" customHeight="false" outlineLevel="0" collapsed="false">
      <c r="A1190" s="18" t="s">
        <v>273</v>
      </c>
      <c r="B1190" s="18" t="s">
        <v>491</v>
      </c>
      <c r="C1190" s="18" t="s">
        <v>1705</v>
      </c>
      <c r="D1190" s="18" t="s">
        <v>324</v>
      </c>
      <c r="E1190" s="18" t="s">
        <v>404</v>
      </c>
      <c r="F1190" s="18" t="s">
        <v>790</v>
      </c>
      <c r="G1190" s="18" t="n">
        <v>0.8</v>
      </c>
      <c r="H1190" s="18" t="n">
        <v>2607</v>
      </c>
      <c r="I1190" s="18" t="n">
        <v>110</v>
      </c>
      <c r="J1190" s="18" t="n">
        <v>109</v>
      </c>
      <c r="K1190" s="18" t="n">
        <v>0.00385935990482466</v>
      </c>
      <c r="L1190" s="18" t="n">
        <v>0.0764033628466959</v>
      </c>
      <c r="M1190" s="18" t="n">
        <v>0.0505129586058732</v>
      </c>
      <c r="N1190" s="18" t="n">
        <v>108</v>
      </c>
      <c r="O1190" s="18" t="n">
        <v>0.959806927523079</v>
      </c>
      <c r="P1190" s="18"/>
      <c r="Q1190" s="18"/>
      <c r="R1190" s="18"/>
      <c r="S1190" s="18"/>
      <c r="T1190" s="18"/>
      <c r="U1190" s="18"/>
      <c r="V1190" s="18"/>
      <c r="W1190" s="18"/>
      <c r="X1190" s="18"/>
      <c r="Y1190" s="18"/>
      <c r="Z1190" s="18"/>
      <c r="AA1190" s="18"/>
      <c r="AB1190" s="18"/>
      <c r="AC1190" s="18"/>
      <c r="AD1190" s="18"/>
      <c r="AE1190" s="18"/>
      <c r="AF1190" s="18"/>
      <c r="AG1190" s="18"/>
      <c r="AH1190" s="18" t="s">
        <v>402</v>
      </c>
      <c r="AI1190" s="18"/>
      <c r="AJ1190" s="18" t="s">
        <v>1737</v>
      </c>
    </row>
    <row r="1191" customFormat="false" ht="15" hidden="false" customHeight="false" outlineLevel="0" collapsed="false">
      <c r="A1191" s="18" t="s">
        <v>273</v>
      </c>
      <c r="B1191" s="18" t="s">
        <v>493</v>
      </c>
      <c r="C1191" s="18" t="s">
        <v>1705</v>
      </c>
      <c r="D1191" s="18" t="s">
        <v>324</v>
      </c>
      <c r="E1191" s="18" t="s">
        <v>404</v>
      </c>
      <c r="F1191" s="18" t="s">
        <v>790</v>
      </c>
      <c r="G1191" s="18" t="n">
        <v>0.8</v>
      </c>
      <c r="H1191" s="18" t="n">
        <v>2607</v>
      </c>
      <c r="I1191" s="18" t="n">
        <v>110</v>
      </c>
      <c r="J1191" s="18" t="n">
        <v>109</v>
      </c>
      <c r="K1191" s="18" t="n">
        <v>-0.0580351132755823</v>
      </c>
      <c r="L1191" s="18" t="n">
        <v>0.0778972497479977</v>
      </c>
      <c r="M1191" s="18" t="n">
        <v>-0.745021338536719</v>
      </c>
      <c r="N1191" s="18" t="n">
        <v>107</v>
      </c>
      <c r="O1191" s="18" t="n">
        <v>0.457892139994222</v>
      </c>
      <c r="P1191" s="18"/>
      <c r="Q1191" s="18"/>
      <c r="R1191" s="18"/>
      <c r="S1191" s="18"/>
      <c r="T1191" s="18"/>
      <c r="U1191" s="18"/>
      <c r="V1191" s="18"/>
      <c r="W1191" s="18"/>
      <c r="X1191" s="18"/>
      <c r="Y1191" s="18"/>
      <c r="Z1191" s="18"/>
      <c r="AA1191" s="18"/>
      <c r="AB1191" s="18"/>
      <c r="AC1191" s="18"/>
      <c r="AD1191" s="18"/>
      <c r="AE1191" s="18"/>
      <c r="AF1191" s="18"/>
      <c r="AG1191" s="18"/>
      <c r="AH1191" s="18" t="s">
        <v>402</v>
      </c>
      <c r="AI1191" s="18"/>
      <c r="AJ1191" s="18" t="s">
        <v>1738</v>
      </c>
    </row>
    <row r="1192" customFormat="false" ht="15" hidden="false" customHeight="false" outlineLevel="0" collapsed="false">
      <c r="A1192" s="18" t="s">
        <v>273</v>
      </c>
      <c r="B1192" s="18" t="s">
        <v>495</v>
      </c>
      <c r="C1192" s="18" t="s">
        <v>1705</v>
      </c>
      <c r="D1192" s="18" t="s">
        <v>324</v>
      </c>
      <c r="E1192" s="18" t="s">
        <v>404</v>
      </c>
      <c r="F1192" s="18" t="s">
        <v>790</v>
      </c>
      <c r="G1192" s="18" t="n">
        <v>0.8</v>
      </c>
      <c r="H1192" s="18" t="n">
        <v>2607</v>
      </c>
      <c r="I1192" s="18" t="n">
        <v>110</v>
      </c>
      <c r="J1192" s="18" t="n">
        <v>109</v>
      </c>
      <c r="K1192" s="18" t="n">
        <v>-0.00116302762689929</v>
      </c>
      <c r="L1192" s="18" t="n">
        <v>0.0798248716686837</v>
      </c>
      <c r="M1192" s="18" t="n">
        <v>-0.0145697400144467</v>
      </c>
      <c r="N1192" s="18" t="n">
        <v>108</v>
      </c>
      <c r="O1192" s="18" t="n">
        <v>0.988402321657946</v>
      </c>
      <c r="P1192" s="18"/>
      <c r="Q1192" s="18"/>
      <c r="R1192" s="18"/>
      <c r="S1192" s="18"/>
      <c r="T1192" s="18"/>
      <c r="U1192" s="18"/>
      <c r="V1192" s="18"/>
      <c r="W1192" s="18"/>
      <c r="X1192" s="18"/>
      <c r="Y1192" s="18"/>
      <c r="Z1192" s="18"/>
      <c r="AA1192" s="18"/>
      <c r="AB1192" s="18"/>
      <c r="AC1192" s="18"/>
      <c r="AD1192" s="18"/>
      <c r="AE1192" s="18"/>
      <c r="AF1192" s="18"/>
      <c r="AG1192" s="18"/>
      <c r="AH1192" s="18" t="s">
        <v>402</v>
      </c>
      <c r="AI1192" s="18"/>
      <c r="AJ1192" s="18" t="s">
        <v>1739</v>
      </c>
    </row>
    <row r="1193" customFormat="false" ht="15" hidden="false" customHeight="false" outlineLevel="0" collapsed="false">
      <c r="A1193" s="18" t="s">
        <v>273</v>
      </c>
      <c r="B1193" s="18" t="s">
        <v>497</v>
      </c>
      <c r="C1193" s="18" t="s">
        <v>1705</v>
      </c>
      <c r="D1193" s="18" t="s">
        <v>324</v>
      </c>
      <c r="E1193" s="18" t="s">
        <v>404</v>
      </c>
      <c r="F1193" s="18" t="s">
        <v>790</v>
      </c>
      <c r="G1193" s="18" t="n">
        <v>0.8</v>
      </c>
      <c r="H1193" s="18" t="n">
        <v>2607</v>
      </c>
      <c r="I1193" s="18" t="n">
        <v>110</v>
      </c>
      <c r="J1193" s="18" t="n">
        <v>109</v>
      </c>
      <c r="K1193" s="18" t="n">
        <v>0.0312115046070179</v>
      </c>
      <c r="L1193" s="18" t="n">
        <v>0.0950225753809691</v>
      </c>
      <c r="M1193" s="18" t="n">
        <v>0.328464098998404</v>
      </c>
      <c r="N1193" s="18" t="n">
        <v>107</v>
      </c>
      <c r="O1193" s="18" t="n">
        <v>0.743202725023258</v>
      </c>
      <c r="P1193" s="18"/>
      <c r="Q1193" s="18"/>
      <c r="R1193" s="18"/>
      <c r="S1193" s="18"/>
      <c r="T1193" s="18"/>
      <c r="U1193" s="18"/>
      <c r="V1193" s="18"/>
      <c r="W1193" s="18"/>
      <c r="X1193" s="18"/>
      <c r="Y1193" s="18"/>
      <c r="Z1193" s="18"/>
      <c r="AA1193" s="18"/>
      <c r="AB1193" s="18"/>
      <c r="AC1193" s="18"/>
      <c r="AD1193" s="18"/>
      <c r="AE1193" s="18"/>
      <c r="AF1193" s="18"/>
      <c r="AG1193" s="18"/>
      <c r="AH1193" s="18" t="s">
        <v>402</v>
      </c>
      <c r="AI1193" s="18"/>
      <c r="AJ1193" s="18" t="s">
        <v>1740</v>
      </c>
    </row>
    <row r="1194" customFormat="false" ht="15" hidden="false" customHeight="false" outlineLevel="0" collapsed="false">
      <c r="A1194" s="18" t="s">
        <v>273</v>
      </c>
      <c r="B1194" s="18" t="s">
        <v>499</v>
      </c>
      <c r="C1194" s="18" t="s">
        <v>1705</v>
      </c>
      <c r="D1194" s="18" t="s">
        <v>324</v>
      </c>
      <c r="E1194" s="18" t="s">
        <v>404</v>
      </c>
      <c r="F1194" s="18" t="s">
        <v>790</v>
      </c>
      <c r="G1194" s="18" t="n">
        <v>0.8</v>
      </c>
      <c r="H1194" s="18" t="n">
        <v>2607</v>
      </c>
      <c r="I1194" s="18" t="n">
        <v>110</v>
      </c>
      <c r="J1194" s="18" t="n">
        <v>109</v>
      </c>
      <c r="K1194" s="18" t="n">
        <v>0.0342044135312653</v>
      </c>
      <c r="L1194" s="18" t="n">
        <v>0.100999330702767</v>
      </c>
      <c r="M1194" s="18" t="n">
        <v>0.338659803914208</v>
      </c>
      <c r="N1194" s="18" t="n">
        <v>107</v>
      </c>
      <c r="O1194" s="18" t="n">
        <v>0.73552968896304</v>
      </c>
      <c r="P1194" s="18"/>
      <c r="Q1194" s="18"/>
      <c r="R1194" s="18"/>
      <c r="S1194" s="18"/>
      <c r="T1194" s="18"/>
      <c r="U1194" s="18"/>
      <c r="V1194" s="18"/>
      <c r="W1194" s="18"/>
      <c r="X1194" s="18"/>
      <c r="Y1194" s="18"/>
      <c r="Z1194" s="18"/>
      <c r="AA1194" s="18"/>
      <c r="AB1194" s="18"/>
      <c r="AC1194" s="18"/>
      <c r="AD1194" s="18"/>
      <c r="AE1194" s="18"/>
      <c r="AF1194" s="18"/>
      <c r="AG1194" s="18"/>
      <c r="AH1194" s="18" t="s">
        <v>402</v>
      </c>
      <c r="AI1194" s="18"/>
      <c r="AJ1194" s="18" t="s">
        <v>1741</v>
      </c>
    </row>
    <row r="1195" customFormat="false" ht="15" hidden="false" customHeight="false" outlineLevel="0" collapsed="false">
      <c r="A1195" s="18" t="s">
        <v>273</v>
      </c>
      <c r="B1195" s="18" t="s">
        <v>501</v>
      </c>
      <c r="C1195" s="18" t="s">
        <v>1705</v>
      </c>
      <c r="D1195" s="18" t="s">
        <v>324</v>
      </c>
      <c r="E1195" s="18" t="s">
        <v>404</v>
      </c>
      <c r="F1195" s="18" t="s">
        <v>790</v>
      </c>
      <c r="G1195" s="18" t="n">
        <v>0.8</v>
      </c>
      <c r="H1195" s="18" t="n">
        <v>2607</v>
      </c>
      <c r="I1195" s="18" t="n">
        <v>110</v>
      </c>
      <c r="J1195" s="18" t="n">
        <v>109</v>
      </c>
      <c r="K1195" s="18" t="n">
        <v>-0.0719084501376788</v>
      </c>
      <c r="L1195" s="18" t="n">
        <v>0.0684478926055435</v>
      </c>
      <c r="M1195" s="18" t="n">
        <v>-1.05055754677617</v>
      </c>
      <c r="N1195" s="18" t="n">
        <v>108</v>
      </c>
      <c r="O1195" s="18" t="n">
        <v>0.295806918717269</v>
      </c>
      <c r="P1195" s="18"/>
      <c r="Q1195" s="18"/>
      <c r="R1195" s="18"/>
      <c r="S1195" s="18"/>
      <c r="T1195" s="18"/>
      <c r="U1195" s="18"/>
      <c r="V1195" s="18"/>
      <c r="W1195" s="18"/>
      <c r="X1195" s="18"/>
      <c r="Y1195" s="18"/>
      <c r="Z1195" s="18"/>
      <c r="AA1195" s="18"/>
      <c r="AB1195" s="18"/>
      <c r="AC1195" s="18"/>
      <c r="AD1195" s="18"/>
      <c r="AE1195" s="18"/>
      <c r="AF1195" s="18"/>
      <c r="AG1195" s="18"/>
      <c r="AH1195" s="18" t="s">
        <v>402</v>
      </c>
      <c r="AI1195" s="18"/>
      <c r="AJ1195" s="18" t="s">
        <v>1742</v>
      </c>
    </row>
    <row r="1196" customFormat="false" ht="15" hidden="false" customHeight="false" outlineLevel="0" collapsed="false">
      <c r="A1196" s="18" t="s">
        <v>273</v>
      </c>
      <c r="B1196" s="18" t="s">
        <v>503</v>
      </c>
      <c r="C1196" s="18" t="s">
        <v>1705</v>
      </c>
      <c r="D1196" s="18" t="s">
        <v>324</v>
      </c>
      <c r="E1196" s="18" t="s">
        <v>404</v>
      </c>
      <c r="F1196" s="18" t="s">
        <v>790</v>
      </c>
      <c r="G1196" s="18" t="n">
        <v>0.8</v>
      </c>
      <c r="H1196" s="18" t="n">
        <v>2607</v>
      </c>
      <c r="I1196" s="18" t="n">
        <v>110</v>
      </c>
      <c r="J1196" s="18" t="n">
        <v>109</v>
      </c>
      <c r="K1196" s="18" t="n">
        <v>0.0384826023158877</v>
      </c>
      <c r="L1196" s="18" t="n">
        <v>0.0654003513794729</v>
      </c>
      <c r="M1196" s="18" t="n">
        <v>0.588415834230001</v>
      </c>
      <c r="N1196" s="18" t="n">
        <v>108</v>
      </c>
      <c r="O1196" s="18" t="n">
        <v>0.557481767610666</v>
      </c>
      <c r="P1196" s="18"/>
      <c r="Q1196" s="18"/>
      <c r="R1196" s="18"/>
      <c r="S1196" s="18"/>
      <c r="T1196" s="18"/>
      <c r="U1196" s="18"/>
      <c r="V1196" s="18"/>
      <c r="W1196" s="18"/>
      <c r="X1196" s="18"/>
      <c r="Y1196" s="18"/>
      <c r="Z1196" s="18"/>
      <c r="AA1196" s="18"/>
      <c r="AB1196" s="18"/>
      <c r="AC1196" s="18"/>
      <c r="AD1196" s="18"/>
      <c r="AE1196" s="18"/>
      <c r="AF1196" s="18"/>
      <c r="AG1196" s="18"/>
      <c r="AH1196" s="18" t="s">
        <v>402</v>
      </c>
      <c r="AI1196" s="18"/>
      <c r="AJ1196" s="18" t="s">
        <v>1743</v>
      </c>
    </row>
    <row r="1197" customFormat="false" ht="15" hidden="false" customHeight="false" outlineLevel="0" collapsed="false">
      <c r="A1197" s="18" t="s">
        <v>273</v>
      </c>
      <c r="B1197" s="18" t="s">
        <v>505</v>
      </c>
      <c r="C1197" s="18" t="s">
        <v>1705</v>
      </c>
      <c r="D1197" s="18" t="s">
        <v>324</v>
      </c>
      <c r="E1197" s="18" t="s">
        <v>404</v>
      </c>
      <c r="F1197" s="18" t="s">
        <v>790</v>
      </c>
      <c r="G1197" s="18" t="n">
        <v>0.8</v>
      </c>
      <c r="H1197" s="18" t="n">
        <v>2607</v>
      </c>
      <c r="I1197" s="18" t="n">
        <v>110</v>
      </c>
      <c r="J1197" s="18" t="n">
        <v>109</v>
      </c>
      <c r="K1197" s="18" t="n">
        <v>0.0287838862812334</v>
      </c>
      <c r="L1197" s="18" t="n">
        <v>0.065259154421318</v>
      </c>
      <c r="M1197" s="18" t="n">
        <v>0.441070475651623</v>
      </c>
      <c r="N1197" s="18" t="n">
        <v>108</v>
      </c>
      <c r="O1197" s="18" t="n">
        <v>0.660043685312414</v>
      </c>
      <c r="P1197" s="18"/>
      <c r="Q1197" s="18"/>
      <c r="R1197" s="18"/>
      <c r="S1197" s="18"/>
      <c r="T1197" s="18"/>
      <c r="U1197" s="18"/>
      <c r="V1197" s="18"/>
      <c r="W1197" s="18"/>
      <c r="X1197" s="18"/>
      <c r="Y1197" s="18"/>
      <c r="Z1197" s="18"/>
      <c r="AA1197" s="18"/>
      <c r="AB1197" s="18"/>
      <c r="AC1197" s="18"/>
      <c r="AD1197" s="18"/>
      <c r="AE1197" s="18"/>
      <c r="AF1197" s="18"/>
      <c r="AG1197" s="18"/>
      <c r="AH1197" s="18" t="s">
        <v>402</v>
      </c>
      <c r="AI1197" s="18"/>
      <c r="AJ1197" s="18" t="s">
        <v>1744</v>
      </c>
    </row>
    <row r="1198" customFormat="false" ht="15" hidden="false" customHeight="false" outlineLevel="0" collapsed="false">
      <c r="A1198" s="18" t="s">
        <v>273</v>
      </c>
      <c r="B1198" s="18" t="s">
        <v>507</v>
      </c>
      <c r="C1198" s="18" t="s">
        <v>1705</v>
      </c>
      <c r="D1198" s="18" t="s">
        <v>324</v>
      </c>
      <c r="E1198" s="18" t="s">
        <v>404</v>
      </c>
      <c r="F1198" s="18" t="s">
        <v>790</v>
      </c>
      <c r="G1198" s="18" t="n">
        <v>0.8</v>
      </c>
      <c r="H1198" s="18" t="n">
        <v>905</v>
      </c>
      <c r="I1198" s="18" t="n">
        <v>38</v>
      </c>
      <c r="J1198" s="18" t="n">
        <v>38</v>
      </c>
      <c r="K1198" s="18" t="n">
        <v>-0.0318666290327306</v>
      </c>
      <c r="L1198" s="18" t="n">
        <v>0.0389146060234568</v>
      </c>
      <c r="M1198" s="18" t="n">
        <v>-0.81888607618235</v>
      </c>
      <c r="N1198" s="18" t="n">
        <v>36</v>
      </c>
      <c r="O1198" s="18" t="n">
        <v>0.418239494624557</v>
      </c>
      <c r="P1198" s="18"/>
      <c r="Q1198" s="18"/>
      <c r="R1198" s="18"/>
      <c r="S1198" s="18"/>
      <c r="T1198" s="18"/>
      <c r="U1198" s="18"/>
      <c r="V1198" s="18"/>
      <c r="W1198" s="18"/>
      <c r="X1198" s="18"/>
      <c r="Y1198" s="18"/>
      <c r="Z1198" s="18"/>
      <c r="AA1198" s="18"/>
      <c r="AB1198" s="18"/>
      <c r="AC1198" s="18"/>
      <c r="AD1198" s="18"/>
      <c r="AE1198" s="18"/>
      <c r="AF1198" s="18"/>
      <c r="AG1198" s="18"/>
      <c r="AH1198" s="18" t="s">
        <v>402</v>
      </c>
      <c r="AI1198" s="18"/>
      <c r="AJ1198" s="18" t="s">
        <v>1745</v>
      </c>
    </row>
    <row r="1199" customFormat="false" ht="15" hidden="false" customHeight="false" outlineLevel="0" collapsed="false">
      <c r="A1199" s="18" t="s">
        <v>273</v>
      </c>
      <c r="B1199" s="18" t="s">
        <v>509</v>
      </c>
      <c r="C1199" s="18" t="s">
        <v>1705</v>
      </c>
      <c r="D1199" s="18" t="s">
        <v>324</v>
      </c>
      <c r="E1199" s="18" t="s">
        <v>404</v>
      </c>
      <c r="F1199" s="18" t="s">
        <v>790</v>
      </c>
      <c r="G1199" s="18" t="n">
        <v>0.8</v>
      </c>
      <c r="H1199" s="18" t="n">
        <v>2594</v>
      </c>
      <c r="I1199" s="18" t="n">
        <v>110</v>
      </c>
      <c r="J1199" s="18" t="n">
        <v>109</v>
      </c>
      <c r="K1199" s="18" t="n">
        <v>-0.0220402001466056</v>
      </c>
      <c r="L1199" s="18" t="n">
        <v>0.0235295240603636</v>
      </c>
      <c r="M1199" s="18" t="n">
        <v>-0.936704035749413</v>
      </c>
      <c r="N1199" s="18" t="n">
        <v>108</v>
      </c>
      <c r="O1199" s="18" t="n">
        <v>0.351000733367148</v>
      </c>
      <c r="P1199" s="18"/>
      <c r="Q1199" s="18"/>
      <c r="R1199" s="18"/>
      <c r="S1199" s="18"/>
      <c r="T1199" s="18"/>
      <c r="U1199" s="18"/>
      <c r="V1199" s="18"/>
      <c r="W1199" s="18"/>
      <c r="X1199" s="18"/>
      <c r="Y1199" s="18"/>
      <c r="Z1199" s="18"/>
      <c r="AA1199" s="18"/>
      <c r="AB1199" s="18"/>
      <c r="AC1199" s="18"/>
      <c r="AD1199" s="18"/>
      <c r="AE1199" s="18"/>
      <c r="AF1199" s="18"/>
      <c r="AG1199" s="18"/>
      <c r="AH1199" s="18" t="s">
        <v>402</v>
      </c>
      <c r="AI1199" s="18"/>
      <c r="AJ1199" s="18" t="s">
        <v>1746</v>
      </c>
    </row>
    <row r="1200" customFormat="false" ht="15" hidden="false" customHeight="false" outlineLevel="0" collapsed="false">
      <c r="A1200" s="18" t="s">
        <v>273</v>
      </c>
      <c r="B1200" s="18" t="s">
        <v>511</v>
      </c>
      <c r="C1200" s="18" t="s">
        <v>1705</v>
      </c>
      <c r="D1200" s="18" t="s">
        <v>324</v>
      </c>
      <c r="E1200" s="18" t="s">
        <v>404</v>
      </c>
      <c r="F1200" s="18" t="s">
        <v>790</v>
      </c>
      <c r="G1200" s="18" t="n">
        <v>0.8</v>
      </c>
      <c r="H1200" s="18" t="n">
        <v>2594</v>
      </c>
      <c r="I1200" s="18" t="n">
        <v>110</v>
      </c>
      <c r="J1200" s="18" t="n">
        <v>109</v>
      </c>
      <c r="K1200" s="18" t="n">
        <v>-0.0388085711429955</v>
      </c>
      <c r="L1200" s="18" t="n">
        <v>0.0247535773562273</v>
      </c>
      <c r="M1200" s="18" t="n">
        <v>-1.56779646773893</v>
      </c>
      <c r="N1200" s="18" t="n">
        <v>108</v>
      </c>
      <c r="O1200" s="18" t="n">
        <v>0.119854021419201</v>
      </c>
      <c r="P1200" s="18"/>
      <c r="Q1200" s="18"/>
      <c r="R1200" s="18"/>
      <c r="S1200" s="18"/>
      <c r="T1200" s="18"/>
      <c r="U1200" s="18"/>
      <c r="V1200" s="18"/>
      <c r="W1200" s="18"/>
      <c r="X1200" s="18"/>
      <c r="Y1200" s="18"/>
      <c r="Z1200" s="18"/>
      <c r="AA1200" s="18"/>
      <c r="AB1200" s="18"/>
      <c r="AC1200" s="18"/>
      <c r="AD1200" s="18"/>
      <c r="AE1200" s="18"/>
      <c r="AF1200" s="18"/>
      <c r="AG1200" s="18"/>
      <c r="AH1200" s="18" t="s">
        <v>402</v>
      </c>
      <c r="AI1200" s="18"/>
      <c r="AJ1200" s="18" t="s">
        <v>1747</v>
      </c>
    </row>
    <row r="1201" customFormat="false" ht="15" hidden="false" customHeight="false" outlineLevel="0" collapsed="false">
      <c r="A1201" s="18" t="s">
        <v>273</v>
      </c>
      <c r="B1201" s="18" t="s">
        <v>513</v>
      </c>
      <c r="C1201" s="18" t="s">
        <v>1705</v>
      </c>
      <c r="D1201" s="18" t="s">
        <v>324</v>
      </c>
      <c r="E1201" s="18" t="s">
        <v>404</v>
      </c>
      <c r="F1201" s="18" t="s">
        <v>790</v>
      </c>
      <c r="G1201" s="18" t="n">
        <v>0.8</v>
      </c>
      <c r="H1201" s="18" t="n">
        <v>2594</v>
      </c>
      <c r="I1201" s="18" t="n">
        <v>110</v>
      </c>
      <c r="J1201" s="18" t="n">
        <v>109</v>
      </c>
      <c r="K1201" s="18" t="n">
        <v>-0.0179295411104558</v>
      </c>
      <c r="L1201" s="18" t="n">
        <v>0.025784615413725</v>
      </c>
      <c r="M1201" s="18" t="n">
        <v>-0.69535809717418</v>
      </c>
      <c r="N1201" s="18" t="n">
        <v>107</v>
      </c>
      <c r="O1201" s="18" t="n">
        <v>0.488338330988154</v>
      </c>
      <c r="P1201" s="18"/>
      <c r="Q1201" s="18"/>
      <c r="R1201" s="18"/>
      <c r="S1201" s="18"/>
      <c r="T1201" s="18"/>
      <c r="U1201" s="18"/>
      <c r="V1201" s="18"/>
      <c r="W1201" s="18"/>
      <c r="X1201" s="18"/>
      <c r="Y1201" s="18"/>
      <c r="Z1201" s="18"/>
      <c r="AA1201" s="18"/>
      <c r="AB1201" s="18"/>
      <c r="AC1201" s="18"/>
      <c r="AD1201" s="18"/>
      <c r="AE1201" s="18"/>
      <c r="AF1201" s="18"/>
      <c r="AG1201" s="18"/>
      <c r="AH1201" s="18" t="s">
        <v>402</v>
      </c>
      <c r="AI1201" s="18"/>
      <c r="AJ1201" s="18" t="s">
        <v>1748</v>
      </c>
    </row>
    <row r="1202" customFormat="false" ht="15" hidden="false" customHeight="false" outlineLevel="0" collapsed="false">
      <c r="A1202" s="18" t="s">
        <v>273</v>
      </c>
      <c r="B1202" s="18" t="s">
        <v>515</v>
      </c>
      <c r="C1202" s="18" t="s">
        <v>1705</v>
      </c>
      <c r="D1202" s="18" t="s">
        <v>324</v>
      </c>
      <c r="E1202" s="18" t="s">
        <v>404</v>
      </c>
      <c r="F1202" s="18" t="s">
        <v>790</v>
      </c>
      <c r="G1202" s="18" t="n">
        <v>0.8</v>
      </c>
      <c r="H1202" s="18" t="n">
        <v>2594</v>
      </c>
      <c r="I1202" s="18" t="n">
        <v>110</v>
      </c>
      <c r="J1202" s="18" t="n">
        <v>109</v>
      </c>
      <c r="K1202" s="18" t="n">
        <v>-0.042464901051582</v>
      </c>
      <c r="L1202" s="18" t="n">
        <v>0.0258452675527281</v>
      </c>
      <c r="M1202" s="18" t="n">
        <v>-1.64304358486317</v>
      </c>
      <c r="N1202" s="18" t="n">
        <v>108</v>
      </c>
      <c r="O1202" s="18" t="n">
        <v>0.103282292212646</v>
      </c>
      <c r="P1202" s="18"/>
      <c r="Q1202" s="18"/>
      <c r="R1202" s="18"/>
      <c r="S1202" s="18"/>
      <c r="T1202" s="18"/>
      <c r="U1202" s="18"/>
      <c r="V1202" s="18"/>
      <c r="W1202" s="18"/>
      <c r="X1202" s="18"/>
      <c r="Y1202" s="18"/>
      <c r="Z1202" s="18"/>
      <c r="AA1202" s="18"/>
      <c r="AB1202" s="18"/>
      <c r="AC1202" s="18"/>
      <c r="AD1202" s="18"/>
      <c r="AE1202" s="18"/>
      <c r="AF1202" s="18"/>
      <c r="AG1202" s="18"/>
      <c r="AH1202" s="18" t="s">
        <v>402</v>
      </c>
      <c r="AI1202" s="18"/>
      <c r="AJ1202" s="18" t="s">
        <v>1749</v>
      </c>
    </row>
    <row r="1203" customFormat="false" ht="15" hidden="false" customHeight="false" outlineLevel="0" collapsed="false">
      <c r="A1203" s="18" t="s">
        <v>273</v>
      </c>
      <c r="B1203" s="18" t="s">
        <v>517</v>
      </c>
      <c r="C1203" s="18" t="s">
        <v>1705</v>
      </c>
      <c r="D1203" s="18" t="s">
        <v>324</v>
      </c>
      <c r="E1203" s="18" t="s">
        <v>404</v>
      </c>
      <c r="F1203" s="18" t="s">
        <v>790</v>
      </c>
      <c r="G1203" s="18" t="n">
        <v>0.8</v>
      </c>
      <c r="H1203" s="18" t="n">
        <v>2594</v>
      </c>
      <c r="I1203" s="18" t="n">
        <v>110</v>
      </c>
      <c r="J1203" s="18" t="n">
        <v>109</v>
      </c>
      <c r="K1203" s="18" t="n">
        <v>-0.00788798229540074</v>
      </c>
      <c r="L1203" s="18" t="n">
        <v>0.0311285424085689</v>
      </c>
      <c r="M1203" s="18" t="n">
        <v>-0.253400309974983</v>
      </c>
      <c r="N1203" s="18" t="n">
        <v>107</v>
      </c>
      <c r="O1203" s="18" t="n">
        <v>0.800445127273713</v>
      </c>
      <c r="P1203" s="18"/>
      <c r="Q1203" s="18"/>
      <c r="R1203" s="18"/>
      <c r="S1203" s="18"/>
      <c r="T1203" s="18"/>
      <c r="U1203" s="18"/>
      <c r="V1203" s="18"/>
      <c r="W1203" s="18"/>
      <c r="X1203" s="18"/>
      <c r="Y1203" s="18"/>
      <c r="Z1203" s="18"/>
      <c r="AA1203" s="18"/>
      <c r="AB1203" s="18"/>
      <c r="AC1203" s="18"/>
      <c r="AD1203" s="18"/>
      <c r="AE1203" s="18"/>
      <c r="AF1203" s="18"/>
      <c r="AG1203" s="18"/>
      <c r="AH1203" s="18" t="s">
        <v>402</v>
      </c>
      <c r="AI1203" s="18"/>
      <c r="AJ1203" s="18" t="s">
        <v>1750</v>
      </c>
    </row>
    <row r="1204" customFormat="false" ht="15" hidden="false" customHeight="false" outlineLevel="0" collapsed="false">
      <c r="A1204" s="18" t="s">
        <v>273</v>
      </c>
      <c r="B1204" s="18" t="s">
        <v>519</v>
      </c>
      <c r="C1204" s="18" t="s">
        <v>1705</v>
      </c>
      <c r="D1204" s="18" t="s">
        <v>324</v>
      </c>
      <c r="E1204" s="18" t="s">
        <v>404</v>
      </c>
      <c r="F1204" s="18" t="s">
        <v>790</v>
      </c>
      <c r="G1204" s="18" t="n">
        <v>0.8</v>
      </c>
      <c r="H1204" s="18" t="n">
        <v>2594</v>
      </c>
      <c r="I1204" s="18" t="n">
        <v>110</v>
      </c>
      <c r="J1204" s="18" t="n">
        <v>109</v>
      </c>
      <c r="K1204" s="18" t="n">
        <v>-0.00444145176514087</v>
      </c>
      <c r="L1204" s="18" t="n">
        <v>0.0330986840654978</v>
      </c>
      <c r="M1204" s="18" t="n">
        <v>-0.134188167612702</v>
      </c>
      <c r="N1204" s="18" t="n">
        <v>107</v>
      </c>
      <c r="O1204" s="18" t="n">
        <v>0.893505857963957</v>
      </c>
      <c r="P1204" s="18"/>
      <c r="Q1204" s="18"/>
      <c r="R1204" s="18"/>
      <c r="S1204" s="18"/>
      <c r="T1204" s="18"/>
      <c r="U1204" s="18"/>
      <c r="V1204" s="18"/>
      <c r="W1204" s="18"/>
      <c r="X1204" s="18"/>
      <c r="Y1204" s="18"/>
      <c r="Z1204" s="18"/>
      <c r="AA1204" s="18"/>
      <c r="AB1204" s="18"/>
      <c r="AC1204" s="18"/>
      <c r="AD1204" s="18"/>
      <c r="AE1204" s="18"/>
      <c r="AF1204" s="18"/>
      <c r="AG1204" s="18"/>
      <c r="AH1204" s="18" t="s">
        <v>402</v>
      </c>
      <c r="AI1204" s="18"/>
      <c r="AJ1204" s="18" t="s">
        <v>1751</v>
      </c>
    </row>
    <row r="1205" customFormat="false" ht="15" hidden="false" customHeight="false" outlineLevel="0" collapsed="false">
      <c r="A1205" s="18" t="s">
        <v>273</v>
      </c>
      <c r="B1205" s="18" t="s">
        <v>521</v>
      </c>
      <c r="C1205" s="18" t="s">
        <v>1705</v>
      </c>
      <c r="D1205" s="18" t="s">
        <v>324</v>
      </c>
      <c r="E1205" s="18" t="s">
        <v>404</v>
      </c>
      <c r="F1205" s="18" t="s">
        <v>790</v>
      </c>
      <c r="G1205" s="18" t="n">
        <v>0.8</v>
      </c>
      <c r="H1205" s="18" t="n">
        <v>2594</v>
      </c>
      <c r="I1205" s="18" t="n">
        <v>110</v>
      </c>
      <c r="J1205" s="18" t="n">
        <v>109</v>
      </c>
      <c r="K1205" s="18" t="n">
        <v>-0.0282791253997618</v>
      </c>
      <c r="L1205" s="18" t="n">
        <v>0.0225113777021939</v>
      </c>
      <c r="M1205" s="18" t="n">
        <v>-1.25621478053766</v>
      </c>
      <c r="N1205" s="18" t="n">
        <v>108</v>
      </c>
      <c r="O1205" s="18" t="n">
        <v>0.211748700653843</v>
      </c>
      <c r="P1205" s="18"/>
      <c r="Q1205" s="18"/>
      <c r="R1205" s="18"/>
      <c r="S1205" s="18"/>
      <c r="T1205" s="18"/>
      <c r="U1205" s="18"/>
      <c r="V1205" s="18"/>
      <c r="W1205" s="18"/>
      <c r="X1205" s="18"/>
      <c r="Y1205" s="18"/>
      <c r="Z1205" s="18"/>
      <c r="AA1205" s="18"/>
      <c r="AB1205" s="18"/>
      <c r="AC1205" s="18"/>
      <c r="AD1205" s="18"/>
      <c r="AE1205" s="18"/>
      <c r="AF1205" s="18"/>
      <c r="AG1205" s="18"/>
      <c r="AH1205" s="18" t="s">
        <v>402</v>
      </c>
      <c r="AI1205" s="18"/>
      <c r="AJ1205" s="18" t="s">
        <v>1752</v>
      </c>
    </row>
    <row r="1206" customFormat="false" ht="15" hidden="false" customHeight="false" outlineLevel="0" collapsed="false">
      <c r="A1206" s="18" t="s">
        <v>273</v>
      </c>
      <c r="B1206" s="18" t="s">
        <v>523</v>
      </c>
      <c r="C1206" s="18" t="s">
        <v>1705</v>
      </c>
      <c r="D1206" s="18" t="s">
        <v>324</v>
      </c>
      <c r="E1206" s="18" t="s">
        <v>404</v>
      </c>
      <c r="F1206" s="18" t="s">
        <v>790</v>
      </c>
      <c r="G1206" s="18" t="n">
        <v>0.8</v>
      </c>
      <c r="H1206" s="18" t="n">
        <v>2594</v>
      </c>
      <c r="I1206" s="18" t="n">
        <v>110</v>
      </c>
      <c r="J1206" s="18" t="n">
        <v>109</v>
      </c>
      <c r="K1206" s="18" t="n">
        <v>-0.0317552739132557</v>
      </c>
      <c r="L1206" s="18" t="n">
        <v>0.0213095083775072</v>
      </c>
      <c r="M1206" s="18" t="n">
        <v>-1.49019270415334</v>
      </c>
      <c r="N1206" s="18" t="n">
        <v>108</v>
      </c>
      <c r="O1206" s="18" t="n">
        <v>0.139088347891708</v>
      </c>
      <c r="P1206" s="18"/>
      <c r="Q1206" s="18"/>
      <c r="R1206" s="18"/>
      <c r="S1206" s="18"/>
      <c r="T1206" s="18"/>
      <c r="U1206" s="18"/>
      <c r="V1206" s="18"/>
      <c r="W1206" s="18"/>
      <c r="X1206" s="18"/>
      <c r="Y1206" s="18"/>
      <c r="Z1206" s="18"/>
      <c r="AA1206" s="18"/>
      <c r="AB1206" s="18"/>
      <c r="AC1206" s="18"/>
      <c r="AD1206" s="18"/>
      <c r="AE1206" s="18"/>
      <c r="AF1206" s="18"/>
      <c r="AG1206" s="18"/>
      <c r="AH1206" s="18" t="s">
        <v>402</v>
      </c>
      <c r="AI1206" s="18"/>
      <c r="AJ1206" s="18" t="s">
        <v>1753</v>
      </c>
    </row>
    <row r="1207" customFormat="false" ht="15" hidden="false" customHeight="false" outlineLevel="0" collapsed="false">
      <c r="A1207" s="18" t="s">
        <v>273</v>
      </c>
      <c r="B1207" s="18" t="s">
        <v>525</v>
      </c>
      <c r="C1207" s="18" t="s">
        <v>1705</v>
      </c>
      <c r="D1207" s="18" t="s">
        <v>324</v>
      </c>
      <c r="E1207" s="18" t="s">
        <v>404</v>
      </c>
      <c r="F1207" s="18" t="s">
        <v>790</v>
      </c>
      <c r="G1207" s="18" t="n">
        <v>0.8</v>
      </c>
      <c r="H1207" s="18" t="n">
        <v>2594</v>
      </c>
      <c r="I1207" s="18" t="n">
        <v>110</v>
      </c>
      <c r="J1207" s="18" t="n">
        <v>109</v>
      </c>
      <c r="K1207" s="18" t="n">
        <v>-0.0252324489499244</v>
      </c>
      <c r="L1207" s="18" t="n">
        <v>0.0212502580406069</v>
      </c>
      <c r="M1207" s="18" t="n">
        <v>-1.18739494370882</v>
      </c>
      <c r="N1207" s="18" t="n">
        <v>108</v>
      </c>
      <c r="O1207" s="18" t="n">
        <v>0.237676890125618</v>
      </c>
      <c r="P1207" s="18"/>
      <c r="Q1207" s="18"/>
      <c r="R1207" s="18"/>
      <c r="S1207" s="18"/>
      <c r="T1207" s="18"/>
      <c r="U1207" s="18"/>
      <c r="V1207" s="18"/>
      <c r="W1207" s="18"/>
      <c r="X1207" s="18"/>
      <c r="Y1207" s="18"/>
      <c r="Z1207" s="18"/>
      <c r="AA1207" s="18"/>
      <c r="AB1207" s="18"/>
      <c r="AC1207" s="18"/>
      <c r="AD1207" s="18"/>
      <c r="AE1207" s="18"/>
      <c r="AF1207" s="18"/>
      <c r="AG1207" s="18"/>
      <c r="AH1207" s="18" t="s">
        <v>402</v>
      </c>
      <c r="AI1207" s="18"/>
      <c r="AJ1207" s="18" t="s">
        <v>1754</v>
      </c>
    </row>
    <row r="1208" customFormat="false" ht="15" hidden="false" customHeight="false" outlineLevel="0" collapsed="false">
      <c r="A1208" s="18" t="s">
        <v>273</v>
      </c>
      <c r="B1208" s="18" t="s">
        <v>527</v>
      </c>
      <c r="C1208" s="18" t="s">
        <v>1705</v>
      </c>
      <c r="D1208" s="18" t="s">
        <v>324</v>
      </c>
      <c r="E1208" s="18" t="s">
        <v>404</v>
      </c>
      <c r="F1208" s="18" t="s">
        <v>790</v>
      </c>
      <c r="G1208" s="18" t="n">
        <v>0.8</v>
      </c>
      <c r="H1208" s="18" t="n">
        <v>900</v>
      </c>
      <c r="I1208" s="18" t="n">
        <v>38</v>
      </c>
      <c r="J1208" s="18" t="n">
        <v>38</v>
      </c>
      <c r="K1208" s="18" t="n">
        <v>-0.0347713703864801</v>
      </c>
      <c r="L1208" s="18" t="n">
        <v>0.0387769728790508</v>
      </c>
      <c r="M1208" s="18" t="n">
        <v>-0.896701516514336</v>
      </c>
      <c r="N1208" s="18" t="n">
        <v>36</v>
      </c>
      <c r="O1208" s="18" t="n">
        <v>0.375835733508649</v>
      </c>
      <c r="P1208" s="18"/>
      <c r="Q1208" s="18"/>
      <c r="R1208" s="18"/>
      <c r="S1208" s="18"/>
      <c r="T1208" s="18"/>
      <c r="U1208" s="18"/>
      <c r="V1208" s="18"/>
      <c r="W1208" s="18"/>
      <c r="X1208" s="18"/>
      <c r="Y1208" s="18"/>
      <c r="Z1208" s="18"/>
      <c r="AA1208" s="18"/>
      <c r="AB1208" s="18"/>
      <c r="AC1208" s="18"/>
      <c r="AD1208" s="18"/>
      <c r="AE1208" s="18"/>
      <c r="AF1208" s="18"/>
      <c r="AG1208" s="18"/>
      <c r="AH1208" s="18" t="s">
        <v>402</v>
      </c>
      <c r="AI1208" s="18"/>
      <c r="AJ1208" s="18" t="s">
        <v>1755</v>
      </c>
    </row>
    <row r="1209" customFormat="false" ht="15" hidden="false" customHeight="false" outlineLevel="0" collapsed="false">
      <c r="A1209" s="18" t="s">
        <v>273</v>
      </c>
      <c r="B1209" s="18" t="s">
        <v>529</v>
      </c>
      <c r="C1209" s="18" t="s">
        <v>1705</v>
      </c>
      <c r="D1209" s="18" t="s">
        <v>324</v>
      </c>
      <c r="E1209" s="18" t="s">
        <v>404</v>
      </c>
      <c r="F1209" s="18" t="s">
        <v>790</v>
      </c>
      <c r="G1209" s="18" t="n">
        <v>0.8</v>
      </c>
      <c r="H1209" s="18" t="n">
        <v>2607</v>
      </c>
      <c r="I1209" s="18" t="n">
        <v>110</v>
      </c>
      <c r="J1209" s="18" t="n">
        <v>109</v>
      </c>
      <c r="K1209" s="18" t="n">
        <v>-0.0178715746394676</v>
      </c>
      <c r="L1209" s="18" t="n">
        <v>0.0225746846993526</v>
      </c>
      <c r="M1209" s="18" t="n">
        <v>-0.791664418683117</v>
      </c>
      <c r="N1209" s="18" t="n">
        <v>108</v>
      </c>
      <c r="O1209" s="18" t="n">
        <v>0.430291686697513</v>
      </c>
      <c r="P1209" s="18"/>
      <c r="Q1209" s="18"/>
      <c r="R1209" s="18"/>
      <c r="S1209" s="18"/>
      <c r="T1209" s="18"/>
      <c r="U1209" s="18"/>
      <c r="V1209" s="18"/>
      <c r="W1209" s="18"/>
      <c r="X1209" s="18"/>
      <c r="Y1209" s="18"/>
      <c r="Z1209" s="18"/>
      <c r="AA1209" s="18"/>
      <c r="AB1209" s="18"/>
      <c r="AC1209" s="18"/>
      <c r="AD1209" s="18"/>
      <c r="AE1209" s="18"/>
      <c r="AF1209" s="18"/>
      <c r="AG1209" s="18"/>
      <c r="AH1209" s="18" t="s">
        <v>402</v>
      </c>
      <c r="AI1209" s="18"/>
      <c r="AJ1209" s="18" t="s">
        <v>1756</v>
      </c>
    </row>
    <row r="1210" customFormat="false" ht="15" hidden="false" customHeight="false" outlineLevel="0" collapsed="false">
      <c r="A1210" s="18" t="s">
        <v>273</v>
      </c>
      <c r="B1210" s="18" t="s">
        <v>531</v>
      </c>
      <c r="C1210" s="18" t="s">
        <v>1705</v>
      </c>
      <c r="D1210" s="18" t="s">
        <v>324</v>
      </c>
      <c r="E1210" s="18" t="s">
        <v>404</v>
      </c>
      <c r="F1210" s="18" t="s">
        <v>790</v>
      </c>
      <c r="G1210" s="18" t="n">
        <v>0.8</v>
      </c>
      <c r="H1210" s="18" t="n">
        <v>2607</v>
      </c>
      <c r="I1210" s="18" t="n">
        <v>110</v>
      </c>
      <c r="J1210" s="18" t="n">
        <v>109</v>
      </c>
      <c r="K1210" s="18" t="n">
        <v>-0.030572080245119</v>
      </c>
      <c r="L1210" s="18" t="n">
        <v>0.0238139260021767</v>
      </c>
      <c r="M1210" s="18" t="n">
        <v>-1.28379000767553</v>
      </c>
      <c r="N1210" s="18" t="n">
        <v>108</v>
      </c>
      <c r="O1210" s="18" t="n">
        <v>0.20196293103189</v>
      </c>
      <c r="P1210" s="18"/>
      <c r="Q1210" s="18"/>
      <c r="R1210" s="18"/>
      <c r="S1210" s="18"/>
      <c r="T1210" s="18"/>
      <c r="U1210" s="18"/>
      <c r="V1210" s="18"/>
      <c r="W1210" s="18"/>
      <c r="X1210" s="18"/>
      <c r="Y1210" s="18"/>
      <c r="Z1210" s="18"/>
      <c r="AA1210" s="18"/>
      <c r="AB1210" s="18"/>
      <c r="AC1210" s="18"/>
      <c r="AD1210" s="18"/>
      <c r="AE1210" s="18"/>
      <c r="AF1210" s="18"/>
      <c r="AG1210" s="18"/>
      <c r="AH1210" s="18" t="s">
        <v>402</v>
      </c>
      <c r="AI1210" s="18"/>
      <c r="AJ1210" s="18" t="s">
        <v>1757</v>
      </c>
    </row>
    <row r="1211" customFormat="false" ht="15" hidden="false" customHeight="false" outlineLevel="0" collapsed="false">
      <c r="A1211" s="18" t="s">
        <v>273</v>
      </c>
      <c r="B1211" s="18" t="s">
        <v>533</v>
      </c>
      <c r="C1211" s="18" t="s">
        <v>1705</v>
      </c>
      <c r="D1211" s="18" t="s">
        <v>324</v>
      </c>
      <c r="E1211" s="18" t="s">
        <v>404</v>
      </c>
      <c r="F1211" s="18" t="s">
        <v>790</v>
      </c>
      <c r="G1211" s="18" t="n">
        <v>0.8</v>
      </c>
      <c r="H1211" s="18" t="n">
        <v>2607</v>
      </c>
      <c r="I1211" s="18" t="n">
        <v>110</v>
      </c>
      <c r="J1211" s="18" t="n">
        <v>109</v>
      </c>
      <c r="K1211" s="18" t="n">
        <v>-0.0148994988072521</v>
      </c>
      <c r="L1211" s="18" t="n">
        <v>0.0247296788180747</v>
      </c>
      <c r="M1211" s="18" t="n">
        <v>-0.602494634760974</v>
      </c>
      <c r="N1211" s="18" t="n">
        <v>107</v>
      </c>
      <c r="O1211" s="18" t="n">
        <v>0.548119674448557</v>
      </c>
      <c r="P1211" s="18"/>
      <c r="Q1211" s="18"/>
      <c r="R1211" s="18"/>
      <c r="S1211" s="18"/>
      <c r="T1211" s="18"/>
      <c r="U1211" s="18"/>
      <c r="V1211" s="18"/>
      <c r="W1211" s="18"/>
      <c r="X1211" s="18"/>
      <c r="Y1211" s="18"/>
      <c r="Z1211" s="18"/>
      <c r="AA1211" s="18"/>
      <c r="AB1211" s="18"/>
      <c r="AC1211" s="18"/>
      <c r="AD1211" s="18"/>
      <c r="AE1211" s="18"/>
      <c r="AF1211" s="18"/>
      <c r="AG1211" s="18"/>
      <c r="AH1211" s="18" t="s">
        <v>402</v>
      </c>
      <c r="AI1211" s="18"/>
      <c r="AJ1211" s="18" t="s">
        <v>1758</v>
      </c>
    </row>
    <row r="1212" customFormat="false" ht="15" hidden="false" customHeight="false" outlineLevel="0" collapsed="false">
      <c r="A1212" s="18" t="s">
        <v>273</v>
      </c>
      <c r="B1212" s="18" t="s">
        <v>535</v>
      </c>
      <c r="C1212" s="18" t="s">
        <v>1705</v>
      </c>
      <c r="D1212" s="18" t="s">
        <v>324</v>
      </c>
      <c r="E1212" s="18" t="s">
        <v>404</v>
      </c>
      <c r="F1212" s="18" t="s">
        <v>790</v>
      </c>
      <c r="G1212" s="18" t="n">
        <v>0.8</v>
      </c>
      <c r="H1212" s="18" t="n">
        <v>2607</v>
      </c>
      <c r="I1212" s="18" t="n">
        <v>110</v>
      </c>
      <c r="J1212" s="18" t="n">
        <v>109</v>
      </c>
      <c r="K1212" s="18" t="n">
        <v>-0.0348316220074423</v>
      </c>
      <c r="L1212" s="18" t="n">
        <v>0.0248572169503213</v>
      </c>
      <c r="M1212" s="18" t="n">
        <v>-1.4012679728811</v>
      </c>
      <c r="N1212" s="18" t="n">
        <v>108</v>
      </c>
      <c r="O1212" s="18" t="n">
        <v>0.164001030664133</v>
      </c>
      <c r="P1212" s="18"/>
      <c r="Q1212" s="18"/>
      <c r="R1212" s="18"/>
      <c r="S1212" s="18"/>
      <c r="T1212" s="18"/>
      <c r="U1212" s="18"/>
      <c r="V1212" s="18"/>
      <c r="W1212" s="18"/>
      <c r="X1212" s="18"/>
      <c r="Y1212" s="18"/>
      <c r="Z1212" s="18"/>
      <c r="AA1212" s="18"/>
      <c r="AB1212" s="18"/>
      <c r="AC1212" s="18"/>
      <c r="AD1212" s="18"/>
      <c r="AE1212" s="18"/>
      <c r="AF1212" s="18"/>
      <c r="AG1212" s="18"/>
      <c r="AH1212" s="18" t="s">
        <v>402</v>
      </c>
      <c r="AI1212" s="18"/>
      <c r="AJ1212" s="18" t="s">
        <v>1759</v>
      </c>
    </row>
    <row r="1213" customFormat="false" ht="15" hidden="false" customHeight="false" outlineLevel="0" collapsed="false">
      <c r="A1213" s="18" t="s">
        <v>273</v>
      </c>
      <c r="B1213" s="18" t="s">
        <v>537</v>
      </c>
      <c r="C1213" s="18" t="s">
        <v>1705</v>
      </c>
      <c r="D1213" s="18" t="s">
        <v>324</v>
      </c>
      <c r="E1213" s="18" t="s">
        <v>404</v>
      </c>
      <c r="F1213" s="18" t="s">
        <v>790</v>
      </c>
      <c r="G1213" s="18" t="n">
        <v>0.8</v>
      </c>
      <c r="H1213" s="18" t="n">
        <v>2607</v>
      </c>
      <c r="I1213" s="18" t="n">
        <v>110</v>
      </c>
      <c r="J1213" s="18" t="n">
        <v>109</v>
      </c>
      <c r="K1213" s="18" t="n">
        <v>-0.00212564368224138</v>
      </c>
      <c r="L1213" s="18" t="n">
        <v>0.0298351695144752</v>
      </c>
      <c r="M1213" s="18" t="n">
        <v>-0.07124624115878</v>
      </c>
      <c r="N1213" s="18" t="n">
        <v>107</v>
      </c>
      <c r="O1213" s="18" t="n">
        <v>0.943334776095349</v>
      </c>
      <c r="P1213" s="18"/>
      <c r="Q1213" s="18"/>
      <c r="R1213" s="18"/>
      <c r="S1213" s="18"/>
      <c r="T1213" s="18"/>
      <c r="U1213" s="18"/>
      <c r="V1213" s="18"/>
      <c r="W1213" s="18"/>
      <c r="X1213" s="18"/>
      <c r="Y1213" s="18"/>
      <c r="Z1213" s="18"/>
      <c r="AA1213" s="18"/>
      <c r="AB1213" s="18"/>
      <c r="AC1213" s="18"/>
      <c r="AD1213" s="18"/>
      <c r="AE1213" s="18"/>
      <c r="AF1213" s="18"/>
      <c r="AG1213" s="18"/>
      <c r="AH1213" s="18" t="s">
        <v>402</v>
      </c>
      <c r="AI1213" s="18"/>
      <c r="AJ1213" s="18" t="s">
        <v>1760</v>
      </c>
    </row>
    <row r="1214" customFormat="false" ht="15" hidden="false" customHeight="false" outlineLevel="0" collapsed="false">
      <c r="A1214" s="18" t="s">
        <v>273</v>
      </c>
      <c r="B1214" s="18" t="s">
        <v>539</v>
      </c>
      <c r="C1214" s="18" t="s">
        <v>1705</v>
      </c>
      <c r="D1214" s="18" t="s">
        <v>324</v>
      </c>
      <c r="E1214" s="18" t="s">
        <v>404</v>
      </c>
      <c r="F1214" s="18" t="s">
        <v>790</v>
      </c>
      <c r="G1214" s="18" t="n">
        <v>0.8</v>
      </c>
      <c r="H1214" s="18" t="n">
        <v>2607</v>
      </c>
      <c r="I1214" s="18" t="n">
        <v>110</v>
      </c>
      <c r="J1214" s="18" t="n">
        <v>109</v>
      </c>
      <c r="K1214" s="18" t="n">
        <v>0.000575524597034756</v>
      </c>
      <c r="L1214" s="18" t="n">
        <v>0.0317179785967115</v>
      </c>
      <c r="M1214" s="18" t="n">
        <v>0.0181450591272682</v>
      </c>
      <c r="N1214" s="18" t="n">
        <v>107</v>
      </c>
      <c r="O1214" s="18" t="n">
        <v>0.985556923762688</v>
      </c>
      <c r="P1214" s="18"/>
      <c r="Q1214" s="18"/>
      <c r="R1214" s="18"/>
      <c r="S1214" s="18"/>
      <c r="T1214" s="18"/>
      <c r="U1214" s="18"/>
      <c r="V1214" s="18"/>
      <c r="W1214" s="18"/>
      <c r="X1214" s="18"/>
      <c r="Y1214" s="18"/>
      <c r="Z1214" s="18"/>
      <c r="AA1214" s="18"/>
      <c r="AB1214" s="18"/>
      <c r="AC1214" s="18"/>
      <c r="AD1214" s="18"/>
      <c r="AE1214" s="18"/>
      <c r="AF1214" s="18"/>
      <c r="AG1214" s="18"/>
      <c r="AH1214" s="18" t="s">
        <v>402</v>
      </c>
      <c r="AI1214" s="18"/>
      <c r="AJ1214" s="18" t="s">
        <v>1761</v>
      </c>
    </row>
    <row r="1215" customFormat="false" ht="15" hidden="false" customHeight="false" outlineLevel="0" collapsed="false">
      <c r="A1215" s="18" t="s">
        <v>273</v>
      </c>
      <c r="B1215" s="18" t="s">
        <v>541</v>
      </c>
      <c r="C1215" s="18" t="s">
        <v>1705</v>
      </c>
      <c r="D1215" s="18" t="s">
        <v>324</v>
      </c>
      <c r="E1215" s="18" t="s">
        <v>404</v>
      </c>
      <c r="F1215" s="18" t="s">
        <v>790</v>
      </c>
      <c r="G1215" s="18" t="n">
        <v>0.8</v>
      </c>
      <c r="H1215" s="18" t="n">
        <v>2607</v>
      </c>
      <c r="I1215" s="18" t="n">
        <v>110</v>
      </c>
      <c r="J1215" s="18" t="n">
        <v>109</v>
      </c>
      <c r="K1215" s="18" t="n">
        <v>-0.0222925286227016</v>
      </c>
      <c r="L1215" s="18" t="n">
        <v>0.0216292537235542</v>
      </c>
      <c r="M1215" s="18" t="n">
        <v>-1.03066563958354</v>
      </c>
      <c r="N1215" s="18" t="n">
        <v>108</v>
      </c>
      <c r="O1215" s="18" t="n">
        <v>0.305000267979211</v>
      </c>
      <c r="P1215" s="18"/>
      <c r="Q1215" s="18"/>
      <c r="R1215" s="18"/>
      <c r="S1215" s="18"/>
      <c r="T1215" s="18"/>
      <c r="U1215" s="18"/>
      <c r="V1215" s="18"/>
      <c r="W1215" s="18"/>
      <c r="X1215" s="18"/>
      <c r="Y1215" s="18"/>
      <c r="Z1215" s="18"/>
      <c r="AA1215" s="18"/>
      <c r="AB1215" s="18"/>
      <c r="AC1215" s="18"/>
      <c r="AD1215" s="18"/>
      <c r="AE1215" s="18"/>
      <c r="AF1215" s="18"/>
      <c r="AG1215" s="18"/>
      <c r="AH1215" s="18" t="s">
        <v>402</v>
      </c>
      <c r="AI1215" s="18"/>
      <c r="AJ1215" s="18" t="s">
        <v>1762</v>
      </c>
    </row>
    <row r="1216" customFormat="false" ht="15" hidden="false" customHeight="false" outlineLevel="0" collapsed="false">
      <c r="A1216" s="18" t="s">
        <v>273</v>
      </c>
      <c r="B1216" s="18" t="s">
        <v>543</v>
      </c>
      <c r="C1216" s="18" t="s">
        <v>1705</v>
      </c>
      <c r="D1216" s="18" t="s">
        <v>324</v>
      </c>
      <c r="E1216" s="18" t="s">
        <v>404</v>
      </c>
      <c r="F1216" s="18" t="s">
        <v>790</v>
      </c>
      <c r="G1216" s="18" t="n">
        <v>0.8</v>
      </c>
      <c r="H1216" s="18" t="n">
        <v>2607</v>
      </c>
      <c r="I1216" s="18" t="n">
        <v>110</v>
      </c>
      <c r="J1216" s="18" t="n">
        <v>109</v>
      </c>
      <c r="K1216" s="18" t="n">
        <v>-0.014809268574873</v>
      </c>
      <c r="L1216" s="18" t="n">
        <v>0.0205912479517072</v>
      </c>
      <c r="M1216" s="18" t="n">
        <v>-0.719202090597196</v>
      </c>
      <c r="N1216" s="18" t="n">
        <v>108</v>
      </c>
      <c r="O1216" s="18" t="n">
        <v>0.473569738965357</v>
      </c>
      <c r="P1216" s="18"/>
      <c r="Q1216" s="18"/>
      <c r="R1216" s="18"/>
      <c r="S1216" s="18"/>
      <c r="T1216" s="18"/>
      <c r="U1216" s="18"/>
      <c r="V1216" s="18"/>
      <c r="W1216" s="18"/>
      <c r="X1216" s="18"/>
      <c r="Y1216" s="18"/>
      <c r="Z1216" s="18"/>
      <c r="AA1216" s="18"/>
      <c r="AB1216" s="18"/>
      <c r="AC1216" s="18"/>
      <c r="AD1216" s="18"/>
      <c r="AE1216" s="18"/>
      <c r="AF1216" s="18"/>
      <c r="AG1216" s="18"/>
      <c r="AH1216" s="18" t="s">
        <v>402</v>
      </c>
      <c r="AI1216" s="18"/>
      <c r="AJ1216" s="18" t="s">
        <v>1763</v>
      </c>
    </row>
    <row r="1217" customFormat="false" ht="15" hidden="false" customHeight="false" outlineLevel="0" collapsed="false">
      <c r="A1217" s="18" t="s">
        <v>273</v>
      </c>
      <c r="B1217" s="18" t="s">
        <v>545</v>
      </c>
      <c r="C1217" s="18" t="s">
        <v>1705</v>
      </c>
      <c r="D1217" s="18" t="s">
        <v>324</v>
      </c>
      <c r="E1217" s="18" t="s">
        <v>404</v>
      </c>
      <c r="F1217" s="18" t="s">
        <v>790</v>
      </c>
      <c r="G1217" s="18" t="n">
        <v>0.8</v>
      </c>
      <c r="H1217" s="18" t="n">
        <v>2607</v>
      </c>
      <c r="I1217" s="18" t="n">
        <v>110</v>
      </c>
      <c r="J1217" s="18" t="n">
        <v>109</v>
      </c>
      <c r="K1217" s="18" t="n">
        <v>-0.012401961017383</v>
      </c>
      <c r="L1217" s="18" t="n">
        <v>0.0204640830675127</v>
      </c>
      <c r="M1217" s="18" t="n">
        <v>-0.6060355099453</v>
      </c>
      <c r="N1217" s="18" t="n">
        <v>108</v>
      </c>
      <c r="O1217" s="18" t="n">
        <v>0.545762809915397</v>
      </c>
      <c r="P1217" s="18"/>
      <c r="Q1217" s="18"/>
      <c r="R1217" s="18"/>
      <c r="S1217" s="18"/>
      <c r="T1217" s="18"/>
      <c r="U1217" s="18"/>
      <c r="V1217" s="18"/>
      <c r="W1217" s="18"/>
      <c r="X1217" s="18"/>
      <c r="Y1217" s="18"/>
      <c r="Z1217" s="18"/>
      <c r="AA1217" s="18"/>
      <c r="AB1217" s="18"/>
      <c r="AC1217" s="18"/>
      <c r="AD1217" s="18"/>
      <c r="AE1217" s="18"/>
      <c r="AF1217" s="18"/>
      <c r="AG1217" s="18"/>
      <c r="AH1217" s="18" t="s">
        <v>402</v>
      </c>
      <c r="AI1217" s="18"/>
      <c r="AJ1217" s="18" t="s">
        <v>1764</v>
      </c>
    </row>
    <row r="1218" customFormat="false" ht="15" hidden="false" customHeight="false" outlineLevel="0" collapsed="false">
      <c r="A1218" s="18" t="s">
        <v>273</v>
      </c>
      <c r="B1218" s="18" t="s">
        <v>547</v>
      </c>
      <c r="C1218" s="18" t="s">
        <v>1705</v>
      </c>
      <c r="D1218" s="18" t="s">
        <v>324</v>
      </c>
      <c r="E1218" s="18" t="s">
        <v>404</v>
      </c>
      <c r="F1218" s="18" t="s">
        <v>790</v>
      </c>
      <c r="G1218" s="18" t="n">
        <v>0.8</v>
      </c>
      <c r="H1218" s="18" t="n">
        <v>905</v>
      </c>
      <c r="I1218" s="18" t="n">
        <v>38</v>
      </c>
      <c r="J1218" s="18" t="n">
        <v>38</v>
      </c>
      <c r="K1218" s="18" t="n">
        <v>-0.0276808847479027</v>
      </c>
      <c r="L1218" s="18" t="n">
        <v>0.0331485350372569</v>
      </c>
      <c r="M1218" s="18" t="n">
        <v>-0.835056050494873</v>
      </c>
      <c r="N1218" s="18" t="n">
        <v>36</v>
      </c>
      <c r="O1218" s="18" t="n">
        <v>0.409193919788699</v>
      </c>
      <c r="P1218" s="18"/>
      <c r="Q1218" s="18"/>
      <c r="R1218" s="18"/>
      <c r="S1218" s="18"/>
      <c r="T1218" s="18"/>
      <c r="U1218" s="18"/>
      <c r="V1218" s="18"/>
      <c r="W1218" s="18"/>
      <c r="X1218" s="18"/>
      <c r="Y1218" s="18"/>
      <c r="Z1218" s="18"/>
      <c r="AA1218" s="18"/>
      <c r="AB1218" s="18"/>
      <c r="AC1218" s="18"/>
      <c r="AD1218" s="18"/>
      <c r="AE1218" s="18"/>
      <c r="AF1218" s="18"/>
      <c r="AG1218" s="18"/>
      <c r="AH1218" s="18" t="s">
        <v>402</v>
      </c>
      <c r="AI1218" s="18"/>
      <c r="AJ1218" s="18" t="s">
        <v>1765</v>
      </c>
    </row>
    <row r="1219" customFormat="false" ht="15" hidden="false" customHeight="false" outlineLevel="0" collapsed="false">
      <c r="A1219" s="18" t="s">
        <v>273</v>
      </c>
      <c r="B1219" s="18" t="s">
        <v>549</v>
      </c>
      <c r="C1219" s="18" t="s">
        <v>1705</v>
      </c>
      <c r="D1219" s="18" t="s">
        <v>324</v>
      </c>
      <c r="E1219" s="18" t="s">
        <v>404</v>
      </c>
      <c r="F1219" s="18" t="s">
        <v>790</v>
      </c>
      <c r="G1219" s="18" t="n">
        <v>0.8</v>
      </c>
      <c r="H1219" s="18" t="n">
        <v>2705</v>
      </c>
      <c r="I1219" s="18" t="n">
        <v>113</v>
      </c>
      <c r="J1219" s="18" t="n">
        <v>112</v>
      </c>
      <c r="K1219" s="18" t="n">
        <v>0.0287403133222693</v>
      </c>
      <c r="L1219" s="18" t="n">
        <v>0.0707633492564371</v>
      </c>
      <c r="M1219" s="18" t="n">
        <v>0.406146877221966</v>
      </c>
      <c r="N1219" s="18" t="n">
        <v>111</v>
      </c>
      <c r="O1219" s="18" t="n">
        <v>0.685416608195184</v>
      </c>
      <c r="P1219" s="18"/>
      <c r="Q1219" s="18"/>
      <c r="R1219" s="18"/>
      <c r="S1219" s="18"/>
      <c r="T1219" s="18"/>
      <c r="U1219" s="18"/>
      <c r="V1219" s="18"/>
      <c r="W1219" s="18"/>
      <c r="X1219" s="18"/>
      <c r="Y1219" s="18"/>
      <c r="Z1219" s="18"/>
      <c r="AA1219" s="18"/>
      <c r="AB1219" s="18"/>
      <c r="AC1219" s="18"/>
      <c r="AD1219" s="18"/>
      <c r="AE1219" s="18"/>
      <c r="AF1219" s="18"/>
      <c r="AG1219" s="18"/>
      <c r="AH1219" s="18" t="s">
        <v>402</v>
      </c>
      <c r="AI1219" s="18"/>
      <c r="AJ1219" s="18" t="s">
        <v>1766</v>
      </c>
    </row>
    <row r="1220" customFormat="false" ht="15" hidden="false" customHeight="false" outlineLevel="0" collapsed="false">
      <c r="A1220" s="18" t="s">
        <v>273</v>
      </c>
      <c r="B1220" s="18" t="s">
        <v>551</v>
      </c>
      <c r="C1220" s="18" t="s">
        <v>1705</v>
      </c>
      <c r="D1220" s="18" t="s">
        <v>324</v>
      </c>
      <c r="E1220" s="18" t="s">
        <v>404</v>
      </c>
      <c r="F1220" s="18" t="s">
        <v>790</v>
      </c>
      <c r="G1220" s="18" t="n">
        <v>0.8</v>
      </c>
      <c r="H1220" s="18" t="n">
        <v>2705</v>
      </c>
      <c r="I1220" s="18" t="n">
        <v>113</v>
      </c>
      <c r="J1220" s="18" t="n">
        <v>112</v>
      </c>
      <c r="K1220" s="18" t="n">
        <v>0.0112482574790208</v>
      </c>
      <c r="L1220" s="18" t="n">
        <v>0.0750689190163666</v>
      </c>
      <c r="M1220" s="18" t="n">
        <v>0.149839076230317</v>
      </c>
      <c r="N1220" s="18" t="n">
        <v>111</v>
      </c>
      <c r="O1220" s="18" t="n">
        <v>0.881163502774893</v>
      </c>
      <c r="P1220" s="18"/>
      <c r="Q1220" s="18"/>
      <c r="R1220" s="18"/>
      <c r="S1220" s="18"/>
      <c r="T1220" s="18"/>
      <c r="U1220" s="18"/>
      <c r="V1220" s="18"/>
      <c r="W1220" s="18"/>
      <c r="X1220" s="18"/>
      <c r="Y1220" s="18"/>
      <c r="Z1220" s="18"/>
      <c r="AA1220" s="18"/>
      <c r="AB1220" s="18"/>
      <c r="AC1220" s="18"/>
      <c r="AD1220" s="18"/>
      <c r="AE1220" s="18"/>
      <c r="AF1220" s="18"/>
      <c r="AG1220" s="18"/>
      <c r="AH1220" s="18" t="s">
        <v>402</v>
      </c>
      <c r="AI1220" s="18"/>
      <c r="AJ1220" s="18" t="s">
        <v>1767</v>
      </c>
    </row>
    <row r="1221" customFormat="false" ht="15" hidden="false" customHeight="false" outlineLevel="0" collapsed="false">
      <c r="A1221" s="18" t="s">
        <v>273</v>
      </c>
      <c r="B1221" s="18" t="s">
        <v>553</v>
      </c>
      <c r="C1221" s="18" t="s">
        <v>1705</v>
      </c>
      <c r="D1221" s="18" t="s">
        <v>324</v>
      </c>
      <c r="E1221" s="18" t="s">
        <v>404</v>
      </c>
      <c r="F1221" s="18" t="s">
        <v>790</v>
      </c>
      <c r="G1221" s="18" t="n">
        <v>0.8</v>
      </c>
      <c r="H1221" s="18" t="n">
        <v>2705</v>
      </c>
      <c r="I1221" s="18" t="n">
        <v>113</v>
      </c>
      <c r="J1221" s="18" t="n">
        <v>112</v>
      </c>
      <c r="K1221" s="18" t="n">
        <v>-0.056772743363974</v>
      </c>
      <c r="L1221" s="18" t="n">
        <v>0.0745279535331375</v>
      </c>
      <c r="M1221" s="18" t="n">
        <v>-0.761764420899214</v>
      </c>
      <c r="N1221" s="18" t="n">
        <v>110</v>
      </c>
      <c r="O1221" s="18" t="n">
        <v>0.44783079173438</v>
      </c>
      <c r="P1221" s="18"/>
      <c r="Q1221" s="18"/>
      <c r="R1221" s="18"/>
      <c r="S1221" s="18"/>
      <c r="T1221" s="18"/>
      <c r="U1221" s="18"/>
      <c r="V1221" s="18"/>
      <c r="W1221" s="18"/>
      <c r="X1221" s="18"/>
      <c r="Y1221" s="18"/>
      <c r="Z1221" s="18"/>
      <c r="AA1221" s="18"/>
      <c r="AB1221" s="18"/>
      <c r="AC1221" s="18"/>
      <c r="AD1221" s="18"/>
      <c r="AE1221" s="18"/>
      <c r="AF1221" s="18"/>
      <c r="AG1221" s="18"/>
      <c r="AH1221" s="18" t="s">
        <v>402</v>
      </c>
      <c r="AI1221" s="18"/>
      <c r="AJ1221" s="18" t="s">
        <v>1768</v>
      </c>
    </row>
    <row r="1222" customFormat="false" ht="15" hidden="false" customHeight="false" outlineLevel="0" collapsed="false">
      <c r="A1222" s="18" t="s">
        <v>273</v>
      </c>
      <c r="B1222" s="18" t="s">
        <v>555</v>
      </c>
      <c r="C1222" s="18" t="s">
        <v>1705</v>
      </c>
      <c r="D1222" s="18" t="s">
        <v>324</v>
      </c>
      <c r="E1222" s="18" t="s">
        <v>404</v>
      </c>
      <c r="F1222" s="18" t="s">
        <v>790</v>
      </c>
      <c r="G1222" s="18" t="n">
        <v>0.8</v>
      </c>
      <c r="H1222" s="18" t="n">
        <v>2705</v>
      </c>
      <c r="I1222" s="18" t="n">
        <v>113</v>
      </c>
      <c r="J1222" s="18" t="n">
        <v>112</v>
      </c>
      <c r="K1222" s="18" t="n">
        <v>0.00727866962822524</v>
      </c>
      <c r="L1222" s="18" t="n">
        <v>0.0784811524123912</v>
      </c>
      <c r="M1222" s="18" t="n">
        <v>0.0927441736581333</v>
      </c>
      <c r="N1222" s="18" t="n">
        <v>111</v>
      </c>
      <c r="O1222" s="18" t="n">
        <v>0.926273987931086</v>
      </c>
      <c r="P1222" s="18"/>
      <c r="Q1222" s="18"/>
      <c r="R1222" s="18"/>
      <c r="S1222" s="18"/>
      <c r="T1222" s="18"/>
      <c r="U1222" s="18"/>
      <c r="V1222" s="18"/>
      <c r="W1222" s="18"/>
      <c r="X1222" s="18"/>
      <c r="Y1222" s="18"/>
      <c r="Z1222" s="18"/>
      <c r="AA1222" s="18"/>
      <c r="AB1222" s="18"/>
      <c r="AC1222" s="18"/>
      <c r="AD1222" s="18"/>
      <c r="AE1222" s="18"/>
      <c r="AF1222" s="18"/>
      <c r="AG1222" s="18"/>
      <c r="AH1222" s="18" t="s">
        <v>402</v>
      </c>
      <c r="AI1222" s="18"/>
      <c r="AJ1222" s="18" t="s">
        <v>1769</v>
      </c>
    </row>
    <row r="1223" customFormat="false" ht="15" hidden="false" customHeight="false" outlineLevel="0" collapsed="false">
      <c r="A1223" s="18" t="s">
        <v>273</v>
      </c>
      <c r="B1223" s="18" t="s">
        <v>557</v>
      </c>
      <c r="C1223" s="18" t="s">
        <v>1705</v>
      </c>
      <c r="D1223" s="18" t="s">
        <v>324</v>
      </c>
      <c r="E1223" s="18" t="s">
        <v>404</v>
      </c>
      <c r="F1223" s="18" t="s">
        <v>790</v>
      </c>
      <c r="G1223" s="18" t="n">
        <v>0.8</v>
      </c>
      <c r="H1223" s="18" t="n">
        <v>2705</v>
      </c>
      <c r="I1223" s="18" t="n">
        <v>113</v>
      </c>
      <c r="J1223" s="18" t="n">
        <v>112</v>
      </c>
      <c r="K1223" s="18" t="n">
        <v>0.0294528466215071</v>
      </c>
      <c r="L1223" s="18" t="n">
        <v>0.0935468740067883</v>
      </c>
      <c r="M1223" s="18" t="n">
        <v>0.314845866676099</v>
      </c>
      <c r="N1223" s="18" t="n">
        <v>110</v>
      </c>
      <c r="O1223" s="18" t="n">
        <v>0.753475128874375</v>
      </c>
      <c r="P1223" s="18"/>
      <c r="Q1223" s="18"/>
      <c r="R1223" s="18"/>
      <c r="S1223" s="18"/>
      <c r="T1223" s="18"/>
      <c r="U1223" s="18"/>
      <c r="V1223" s="18"/>
      <c r="W1223" s="18"/>
      <c r="X1223" s="18"/>
      <c r="Y1223" s="18"/>
      <c r="Z1223" s="18"/>
      <c r="AA1223" s="18"/>
      <c r="AB1223" s="18"/>
      <c r="AC1223" s="18"/>
      <c r="AD1223" s="18"/>
      <c r="AE1223" s="18"/>
      <c r="AF1223" s="18"/>
      <c r="AG1223" s="18"/>
      <c r="AH1223" s="18" t="s">
        <v>402</v>
      </c>
      <c r="AI1223" s="18"/>
      <c r="AJ1223" s="18" t="s">
        <v>1770</v>
      </c>
    </row>
    <row r="1224" customFormat="false" ht="15" hidden="false" customHeight="false" outlineLevel="0" collapsed="false">
      <c r="A1224" s="18" t="s">
        <v>273</v>
      </c>
      <c r="B1224" s="18" t="s">
        <v>559</v>
      </c>
      <c r="C1224" s="18" t="s">
        <v>1705</v>
      </c>
      <c r="D1224" s="18" t="s">
        <v>324</v>
      </c>
      <c r="E1224" s="18" t="s">
        <v>404</v>
      </c>
      <c r="F1224" s="18" t="s">
        <v>790</v>
      </c>
      <c r="G1224" s="18" t="n">
        <v>0.8</v>
      </c>
      <c r="H1224" s="18" t="n">
        <v>2705</v>
      </c>
      <c r="I1224" s="18" t="n">
        <v>113</v>
      </c>
      <c r="J1224" s="18" t="n">
        <v>112</v>
      </c>
      <c r="K1224" s="18" t="n">
        <v>0.0330161647239881</v>
      </c>
      <c r="L1224" s="18" t="n">
        <v>0.099460993098725</v>
      </c>
      <c r="M1224" s="18" t="n">
        <v>0.331950885421144</v>
      </c>
      <c r="N1224" s="18" t="n">
        <v>110</v>
      </c>
      <c r="O1224" s="18" t="n">
        <v>0.740558012058307</v>
      </c>
      <c r="P1224" s="18"/>
      <c r="Q1224" s="18"/>
      <c r="R1224" s="18"/>
      <c r="S1224" s="18"/>
      <c r="T1224" s="18"/>
      <c r="U1224" s="18"/>
      <c r="V1224" s="18"/>
      <c r="W1224" s="18"/>
      <c r="X1224" s="18"/>
      <c r="Y1224" s="18"/>
      <c r="Z1224" s="18"/>
      <c r="AA1224" s="18"/>
      <c r="AB1224" s="18"/>
      <c r="AC1224" s="18"/>
      <c r="AD1224" s="18"/>
      <c r="AE1224" s="18"/>
      <c r="AF1224" s="18"/>
      <c r="AG1224" s="18"/>
      <c r="AH1224" s="18" t="s">
        <v>402</v>
      </c>
      <c r="AI1224" s="18"/>
      <c r="AJ1224" s="18" t="s">
        <v>1771</v>
      </c>
    </row>
    <row r="1225" customFormat="false" ht="15" hidden="false" customHeight="false" outlineLevel="0" collapsed="false">
      <c r="A1225" s="18" t="s">
        <v>273</v>
      </c>
      <c r="B1225" s="18" t="s">
        <v>561</v>
      </c>
      <c r="C1225" s="18" t="s">
        <v>1705</v>
      </c>
      <c r="D1225" s="18" t="s">
        <v>324</v>
      </c>
      <c r="E1225" s="18" t="s">
        <v>404</v>
      </c>
      <c r="F1225" s="18" t="s">
        <v>790</v>
      </c>
      <c r="G1225" s="18" t="n">
        <v>0.8</v>
      </c>
      <c r="H1225" s="18" t="n">
        <v>2705</v>
      </c>
      <c r="I1225" s="18" t="n">
        <v>113</v>
      </c>
      <c r="J1225" s="18" t="n">
        <v>112</v>
      </c>
      <c r="K1225" s="18" t="n">
        <v>-0.069331114644453</v>
      </c>
      <c r="L1225" s="18" t="n">
        <v>0.0662371010159199</v>
      </c>
      <c r="M1225" s="18" t="n">
        <v>-1.04671118725123</v>
      </c>
      <c r="N1225" s="18" t="n">
        <v>111</v>
      </c>
      <c r="O1225" s="18" t="n">
        <v>0.297506732697491</v>
      </c>
      <c r="P1225" s="18"/>
      <c r="Q1225" s="18"/>
      <c r="R1225" s="18"/>
      <c r="S1225" s="18"/>
      <c r="T1225" s="18"/>
      <c r="U1225" s="18"/>
      <c r="V1225" s="18"/>
      <c r="W1225" s="18"/>
      <c r="X1225" s="18"/>
      <c r="Y1225" s="18"/>
      <c r="Z1225" s="18"/>
      <c r="AA1225" s="18"/>
      <c r="AB1225" s="18"/>
      <c r="AC1225" s="18"/>
      <c r="AD1225" s="18"/>
      <c r="AE1225" s="18"/>
      <c r="AF1225" s="18"/>
      <c r="AG1225" s="18"/>
      <c r="AH1225" s="18" t="s">
        <v>402</v>
      </c>
      <c r="AI1225" s="18"/>
      <c r="AJ1225" s="18" t="s">
        <v>1772</v>
      </c>
    </row>
    <row r="1226" customFormat="false" ht="15" hidden="false" customHeight="false" outlineLevel="0" collapsed="false">
      <c r="A1226" s="18" t="s">
        <v>273</v>
      </c>
      <c r="B1226" s="18" t="s">
        <v>563</v>
      </c>
      <c r="C1226" s="18" t="s">
        <v>1705</v>
      </c>
      <c r="D1226" s="18" t="s">
        <v>324</v>
      </c>
      <c r="E1226" s="18" t="s">
        <v>404</v>
      </c>
      <c r="F1226" s="18" t="s">
        <v>790</v>
      </c>
      <c r="G1226" s="18" t="n">
        <v>0.8</v>
      </c>
      <c r="H1226" s="18" t="n">
        <v>2705</v>
      </c>
      <c r="I1226" s="18" t="n">
        <v>113</v>
      </c>
      <c r="J1226" s="18" t="n">
        <v>112</v>
      </c>
      <c r="K1226" s="18" t="n">
        <v>0.0388151635477198</v>
      </c>
      <c r="L1226" s="18" t="n">
        <v>0.0635688692976647</v>
      </c>
      <c r="M1226" s="18" t="n">
        <v>0.610600188056919</v>
      </c>
      <c r="N1226" s="18" t="n">
        <v>111</v>
      </c>
      <c r="O1226" s="18" t="n">
        <v>0.542712523145904</v>
      </c>
      <c r="P1226" s="18"/>
      <c r="Q1226" s="18"/>
      <c r="R1226" s="18"/>
      <c r="S1226" s="18"/>
      <c r="T1226" s="18"/>
      <c r="U1226" s="18"/>
      <c r="V1226" s="18"/>
      <c r="W1226" s="18"/>
      <c r="X1226" s="18"/>
      <c r="Y1226" s="18"/>
      <c r="Z1226" s="18"/>
      <c r="AA1226" s="18"/>
      <c r="AB1226" s="18"/>
      <c r="AC1226" s="18"/>
      <c r="AD1226" s="18"/>
      <c r="AE1226" s="18"/>
      <c r="AF1226" s="18"/>
      <c r="AG1226" s="18"/>
      <c r="AH1226" s="18" t="s">
        <v>402</v>
      </c>
      <c r="AI1226" s="18"/>
      <c r="AJ1226" s="18" t="s">
        <v>1773</v>
      </c>
    </row>
    <row r="1227" customFormat="false" ht="15" hidden="false" customHeight="false" outlineLevel="0" collapsed="false">
      <c r="A1227" s="18" t="s">
        <v>273</v>
      </c>
      <c r="B1227" s="18" t="s">
        <v>565</v>
      </c>
      <c r="C1227" s="18" t="s">
        <v>1705</v>
      </c>
      <c r="D1227" s="18" t="s">
        <v>324</v>
      </c>
      <c r="E1227" s="18" t="s">
        <v>404</v>
      </c>
      <c r="F1227" s="18" t="s">
        <v>790</v>
      </c>
      <c r="G1227" s="18" t="n">
        <v>0.8</v>
      </c>
      <c r="H1227" s="18" t="n">
        <v>2705</v>
      </c>
      <c r="I1227" s="18" t="n">
        <v>113</v>
      </c>
      <c r="J1227" s="18" t="n">
        <v>112</v>
      </c>
      <c r="K1227" s="18" t="n">
        <v>0.0304545627757223</v>
      </c>
      <c r="L1227" s="18" t="n">
        <v>0.0635655497201327</v>
      </c>
      <c r="M1227" s="18" t="n">
        <v>0.479104843894344</v>
      </c>
      <c r="N1227" s="18" t="n">
        <v>111</v>
      </c>
      <c r="O1227" s="18" t="n">
        <v>0.63280655738878</v>
      </c>
      <c r="P1227" s="18"/>
      <c r="Q1227" s="18"/>
      <c r="R1227" s="18"/>
      <c r="S1227" s="18"/>
      <c r="T1227" s="18"/>
      <c r="U1227" s="18"/>
      <c r="V1227" s="18"/>
      <c r="W1227" s="18"/>
      <c r="X1227" s="18"/>
      <c r="Y1227" s="18"/>
      <c r="Z1227" s="18"/>
      <c r="AA1227" s="18"/>
      <c r="AB1227" s="18"/>
      <c r="AC1227" s="18"/>
      <c r="AD1227" s="18"/>
      <c r="AE1227" s="18"/>
      <c r="AF1227" s="18"/>
      <c r="AG1227" s="18"/>
      <c r="AH1227" s="18" t="s">
        <v>402</v>
      </c>
      <c r="AI1227" s="18"/>
      <c r="AJ1227" s="18" t="s">
        <v>1774</v>
      </c>
    </row>
    <row r="1228" customFormat="false" ht="15" hidden="false" customHeight="false" outlineLevel="0" collapsed="false">
      <c r="A1228" s="18" t="s">
        <v>273</v>
      </c>
      <c r="B1228" s="18" t="s">
        <v>567</v>
      </c>
      <c r="C1228" s="18" t="s">
        <v>1705</v>
      </c>
      <c r="D1228" s="18" t="s">
        <v>324</v>
      </c>
      <c r="E1228" s="18" t="s">
        <v>404</v>
      </c>
      <c r="F1228" s="18" t="s">
        <v>790</v>
      </c>
      <c r="G1228" s="18" t="n">
        <v>0.8</v>
      </c>
      <c r="H1228" s="18" t="n">
        <v>929</v>
      </c>
      <c r="I1228" s="18" t="n">
        <v>40</v>
      </c>
      <c r="J1228" s="18" t="n">
        <v>40</v>
      </c>
      <c r="K1228" s="18" t="n">
        <v>-0.0308517884612298</v>
      </c>
      <c r="L1228" s="18" t="n">
        <v>0.0379431645323618</v>
      </c>
      <c r="M1228" s="18" t="n">
        <v>-0.813105307410937</v>
      </c>
      <c r="N1228" s="18" t="n">
        <v>38</v>
      </c>
      <c r="O1228" s="18" t="n">
        <v>0.421223140372883</v>
      </c>
      <c r="P1228" s="18"/>
      <c r="Q1228" s="18"/>
      <c r="R1228" s="18"/>
      <c r="S1228" s="18"/>
      <c r="T1228" s="18"/>
      <c r="U1228" s="18"/>
      <c r="V1228" s="18"/>
      <c r="W1228" s="18"/>
      <c r="X1228" s="18"/>
      <c r="Y1228" s="18"/>
      <c r="Z1228" s="18"/>
      <c r="AA1228" s="18"/>
      <c r="AB1228" s="18"/>
      <c r="AC1228" s="18"/>
      <c r="AD1228" s="18"/>
      <c r="AE1228" s="18"/>
      <c r="AF1228" s="18"/>
      <c r="AG1228" s="18"/>
      <c r="AH1228" s="18" t="s">
        <v>402</v>
      </c>
      <c r="AI1228" s="18"/>
      <c r="AJ1228" s="18" t="s">
        <v>1775</v>
      </c>
    </row>
    <row r="1229" customFormat="false" ht="15" hidden="false" customHeight="false" outlineLevel="0" collapsed="false">
      <c r="A1229" s="18" t="s">
        <v>273</v>
      </c>
      <c r="B1229" s="18" t="s">
        <v>569</v>
      </c>
      <c r="C1229" s="18" t="s">
        <v>1705</v>
      </c>
      <c r="D1229" s="18" t="s">
        <v>324</v>
      </c>
      <c r="E1229" s="18" t="s">
        <v>404</v>
      </c>
      <c r="F1229" s="18" t="s">
        <v>790</v>
      </c>
      <c r="G1229" s="18" t="n">
        <v>0.8</v>
      </c>
      <c r="H1229" s="18" t="n">
        <v>2692</v>
      </c>
      <c r="I1229" s="18" t="n">
        <v>113</v>
      </c>
      <c r="J1229" s="18" t="n">
        <v>112</v>
      </c>
      <c r="K1229" s="18" t="n">
        <v>-0.0143973157898823</v>
      </c>
      <c r="L1229" s="18" t="n">
        <v>0.0226446459886639</v>
      </c>
      <c r="M1229" s="18" t="n">
        <v>-0.635793370189568</v>
      </c>
      <c r="N1229" s="18" t="n">
        <v>111</v>
      </c>
      <c r="O1229" s="18" t="n">
        <v>0.526219800267395</v>
      </c>
      <c r="P1229" s="18"/>
      <c r="Q1229" s="18"/>
      <c r="R1229" s="18"/>
      <c r="S1229" s="18"/>
      <c r="T1229" s="18"/>
      <c r="U1229" s="18"/>
      <c r="V1229" s="18"/>
      <c r="W1229" s="18"/>
      <c r="X1229" s="18"/>
      <c r="Y1229" s="18"/>
      <c r="Z1229" s="18"/>
      <c r="AA1229" s="18"/>
      <c r="AB1229" s="18"/>
      <c r="AC1229" s="18"/>
      <c r="AD1229" s="18"/>
      <c r="AE1229" s="18"/>
      <c r="AF1229" s="18"/>
      <c r="AG1229" s="18"/>
      <c r="AH1229" s="18" t="s">
        <v>402</v>
      </c>
      <c r="AI1229" s="18"/>
      <c r="AJ1229" s="18" t="s">
        <v>1776</v>
      </c>
    </row>
    <row r="1230" customFormat="false" ht="15" hidden="false" customHeight="false" outlineLevel="0" collapsed="false">
      <c r="A1230" s="18" t="s">
        <v>273</v>
      </c>
      <c r="B1230" s="18" t="s">
        <v>571</v>
      </c>
      <c r="C1230" s="18" t="s">
        <v>1705</v>
      </c>
      <c r="D1230" s="18" t="s">
        <v>324</v>
      </c>
      <c r="E1230" s="18" t="s">
        <v>404</v>
      </c>
      <c r="F1230" s="18" t="s">
        <v>790</v>
      </c>
      <c r="G1230" s="18" t="n">
        <v>0.8</v>
      </c>
      <c r="H1230" s="18" t="n">
        <v>2692</v>
      </c>
      <c r="I1230" s="18" t="n">
        <v>113</v>
      </c>
      <c r="J1230" s="18" t="n">
        <v>112</v>
      </c>
      <c r="K1230" s="18" t="n">
        <v>-0.029845001034723</v>
      </c>
      <c r="L1230" s="18" t="n">
        <v>0.0239019011518037</v>
      </c>
      <c r="M1230" s="18" t="n">
        <v>-1.24864548828873</v>
      </c>
      <c r="N1230" s="18" t="n">
        <v>111</v>
      </c>
      <c r="O1230" s="18" t="n">
        <v>0.214421879853463</v>
      </c>
      <c r="P1230" s="18"/>
      <c r="Q1230" s="18"/>
      <c r="R1230" s="18"/>
      <c r="S1230" s="18"/>
      <c r="T1230" s="18"/>
      <c r="U1230" s="18"/>
      <c r="V1230" s="18"/>
      <c r="W1230" s="18"/>
      <c r="X1230" s="18"/>
      <c r="Y1230" s="18"/>
      <c r="Z1230" s="18"/>
      <c r="AA1230" s="18"/>
      <c r="AB1230" s="18"/>
      <c r="AC1230" s="18"/>
      <c r="AD1230" s="18"/>
      <c r="AE1230" s="18"/>
      <c r="AF1230" s="18"/>
      <c r="AG1230" s="18"/>
      <c r="AH1230" s="18" t="s">
        <v>402</v>
      </c>
      <c r="AI1230" s="18"/>
      <c r="AJ1230" s="18" t="s">
        <v>1777</v>
      </c>
    </row>
    <row r="1231" customFormat="false" ht="15" hidden="false" customHeight="false" outlineLevel="0" collapsed="false">
      <c r="A1231" s="18" t="s">
        <v>273</v>
      </c>
      <c r="B1231" s="18" t="s">
        <v>573</v>
      </c>
      <c r="C1231" s="18" t="s">
        <v>1705</v>
      </c>
      <c r="D1231" s="18" t="s">
        <v>324</v>
      </c>
      <c r="E1231" s="18" t="s">
        <v>404</v>
      </c>
      <c r="F1231" s="18" t="s">
        <v>790</v>
      </c>
      <c r="G1231" s="18" t="n">
        <v>0.8</v>
      </c>
      <c r="H1231" s="18" t="n">
        <v>2692</v>
      </c>
      <c r="I1231" s="18" t="n">
        <v>113</v>
      </c>
      <c r="J1231" s="18" t="n">
        <v>112</v>
      </c>
      <c r="K1231" s="18" t="n">
        <v>-0.0157969384724487</v>
      </c>
      <c r="L1231" s="18" t="n">
        <v>0.0241449909704105</v>
      </c>
      <c r="M1231" s="18" t="n">
        <v>-0.654253235870236</v>
      </c>
      <c r="N1231" s="18" t="n">
        <v>110</v>
      </c>
      <c r="O1231" s="18" t="n">
        <v>0.514314224528701</v>
      </c>
      <c r="P1231" s="18"/>
      <c r="Q1231" s="18"/>
      <c r="R1231" s="18"/>
      <c r="S1231" s="18"/>
      <c r="T1231" s="18"/>
      <c r="U1231" s="18"/>
      <c r="V1231" s="18"/>
      <c r="W1231" s="18"/>
      <c r="X1231" s="18"/>
      <c r="Y1231" s="18"/>
      <c r="Z1231" s="18"/>
      <c r="AA1231" s="18"/>
      <c r="AB1231" s="18"/>
      <c r="AC1231" s="18"/>
      <c r="AD1231" s="18"/>
      <c r="AE1231" s="18"/>
      <c r="AF1231" s="18"/>
      <c r="AG1231" s="18"/>
      <c r="AH1231" s="18" t="s">
        <v>402</v>
      </c>
      <c r="AI1231" s="18"/>
      <c r="AJ1231" s="18" t="s">
        <v>1778</v>
      </c>
    </row>
    <row r="1232" customFormat="false" ht="15" hidden="false" customHeight="false" outlineLevel="0" collapsed="false">
      <c r="A1232" s="18" t="s">
        <v>273</v>
      </c>
      <c r="B1232" s="18" t="s">
        <v>575</v>
      </c>
      <c r="C1232" s="18" t="s">
        <v>1705</v>
      </c>
      <c r="D1232" s="18" t="s">
        <v>324</v>
      </c>
      <c r="E1232" s="18" t="s">
        <v>404</v>
      </c>
      <c r="F1232" s="18" t="s">
        <v>790</v>
      </c>
      <c r="G1232" s="18" t="n">
        <v>0.8</v>
      </c>
      <c r="H1232" s="18" t="n">
        <v>2692</v>
      </c>
      <c r="I1232" s="18" t="n">
        <v>113</v>
      </c>
      <c r="J1232" s="18" t="n">
        <v>112</v>
      </c>
      <c r="K1232" s="18" t="n">
        <v>-0.0325205520691095</v>
      </c>
      <c r="L1232" s="18" t="n">
        <v>0.0249837892606731</v>
      </c>
      <c r="M1232" s="18" t="n">
        <v>-1.30166612157188</v>
      </c>
      <c r="N1232" s="18" t="n">
        <v>111</v>
      </c>
      <c r="O1232" s="18" t="n">
        <v>0.195725542557023</v>
      </c>
      <c r="P1232" s="18"/>
      <c r="Q1232" s="18"/>
      <c r="R1232" s="18"/>
      <c r="S1232" s="18"/>
      <c r="T1232" s="18"/>
      <c r="U1232" s="18"/>
      <c r="V1232" s="18"/>
      <c r="W1232" s="18"/>
      <c r="X1232" s="18"/>
      <c r="Y1232" s="18"/>
      <c r="Z1232" s="18"/>
      <c r="AA1232" s="18"/>
      <c r="AB1232" s="18"/>
      <c r="AC1232" s="18"/>
      <c r="AD1232" s="18"/>
      <c r="AE1232" s="18"/>
      <c r="AF1232" s="18"/>
      <c r="AG1232" s="18"/>
      <c r="AH1232" s="18" t="s">
        <v>402</v>
      </c>
      <c r="AI1232" s="18"/>
      <c r="AJ1232" s="18" t="s">
        <v>1779</v>
      </c>
    </row>
    <row r="1233" customFormat="false" ht="15" hidden="false" customHeight="false" outlineLevel="0" collapsed="false">
      <c r="A1233" s="18" t="s">
        <v>273</v>
      </c>
      <c r="B1233" s="18" t="s">
        <v>577</v>
      </c>
      <c r="C1233" s="18" t="s">
        <v>1705</v>
      </c>
      <c r="D1233" s="18" t="s">
        <v>324</v>
      </c>
      <c r="E1233" s="18" t="s">
        <v>404</v>
      </c>
      <c r="F1233" s="18" t="s">
        <v>790</v>
      </c>
      <c r="G1233" s="18" t="n">
        <v>0.8</v>
      </c>
      <c r="H1233" s="18" t="n">
        <v>2692</v>
      </c>
      <c r="I1233" s="18" t="n">
        <v>113</v>
      </c>
      <c r="J1233" s="18" t="n">
        <v>112</v>
      </c>
      <c r="K1233" s="18" t="n">
        <v>-0.00868022961992018</v>
      </c>
      <c r="L1233" s="18" t="n">
        <v>0.0299778458297481</v>
      </c>
      <c r="M1233" s="18" t="n">
        <v>-0.289554815553374</v>
      </c>
      <c r="N1233" s="18" t="n">
        <v>110</v>
      </c>
      <c r="O1233" s="18" t="n">
        <v>0.772701901234548</v>
      </c>
      <c r="P1233" s="18"/>
      <c r="Q1233" s="18"/>
      <c r="R1233" s="18"/>
      <c r="S1233" s="18"/>
      <c r="T1233" s="18"/>
      <c r="U1233" s="18"/>
      <c r="V1233" s="18"/>
      <c r="W1233" s="18"/>
      <c r="X1233" s="18"/>
      <c r="Y1233" s="18"/>
      <c r="Z1233" s="18"/>
      <c r="AA1233" s="18"/>
      <c r="AB1233" s="18"/>
      <c r="AC1233" s="18"/>
      <c r="AD1233" s="18"/>
      <c r="AE1233" s="18"/>
      <c r="AF1233" s="18"/>
      <c r="AG1233" s="18"/>
      <c r="AH1233" s="18" t="s">
        <v>402</v>
      </c>
      <c r="AI1233" s="18"/>
      <c r="AJ1233" s="18" t="s">
        <v>1780</v>
      </c>
    </row>
    <row r="1234" customFormat="false" ht="15" hidden="false" customHeight="false" outlineLevel="0" collapsed="false">
      <c r="A1234" s="18" t="s">
        <v>273</v>
      </c>
      <c r="B1234" s="18" t="s">
        <v>579</v>
      </c>
      <c r="C1234" s="18" t="s">
        <v>1705</v>
      </c>
      <c r="D1234" s="18" t="s">
        <v>324</v>
      </c>
      <c r="E1234" s="18" t="s">
        <v>404</v>
      </c>
      <c r="F1234" s="18" t="s">
        <v>790</v>
      </c>
      <c r="G1234" s="18" t="n">
        <v>0.8</v>
      </c>
      <c r="H1234" s="18" t="n">
        <v>2692</v>
      </c>
      <c r="I1234" s="18" t="n">
        <v>113</v>
      </c>
      <c r="J1234" s="18" t="n">
        <v>112</v>
      </c>
      <c r="K1234" s="18" t="n">
        <v>-0.00474530948916904</v>
      </c>
      <c r="L1234" s="18" t="n">
        <v>0.0318883151396268</v>
      </c>
      <c r="M1234" s="18" t="n">
        <v>-0.148810292058114</v>
      </c>
      <c r="N1234" s="18" t="n">
        <v>110</v>
      </c>
      <c r="O1234" s="18" t="n">
        <v>0.881975798151284</v>
      </c>
      <c r="P1234" s="18"/>
      <c r="Q1234" s="18"/>
      <c r="R1234" s="18"/>
      <c r="S1234" s="18"/>
      <c r="T1234" s="18"/>
      <c r="U1234" s="18"/>
      <c r="V1234" s="18"/>
      <c r="W1234" s="18"/>
      <c r="X1234" s="18"/>
      <c r="Y1234" s="18"/>
      <c r="Z1234" s="18"/>
      <c r="AA1234" s="18"/>
      <c r="AB1234" s="18"/>
      <c r="AC1234" s="18"/>
      <c r="AD1234" s="18"/>
      <c r="AE1234" s="18"/>
      <c r="AF1234" s="18"/>
      <c r="AG1234" s="18"/>
      <c r="AH1234" s="18" t="s">
        <v>402</v>
      </c>
      <c r="AI1234" s="18"/>
      <c r="AJ1234" s="18" t="s">
        <v>1781</v>
      </c>
    </row>
    <row r="1235" customFormat="false" ht="15" hidden="false" customHeight="false" outlineLevel="0" collapsed="false">
      <c r="A1235" s="18" t="s">
        <v>273</v>
      </c>
      <c r="B1235" s="18" t="s">
        <v>581</v>
      </c>
      <c r="C1235" s="18" t="s">
        <v>1705</v>
      </c>
      <c r="D1235" s="18" t="s">
        <v>324</v>
      </c>
      <c r="E1235" s="18" t="s">
        <v>404</v>
      </c>
      <c r="F1235" s="18" t="s">
        <v>790</v>
      </c>
      <c r="G1235" s="18" t="n">
        <v>0.8</v>
      </c>
      <c r="H1235" s="18" t="n">
        <v>2692</v>
      </c>
      <c r="I1235" s="18" t="n">
        <v>113</v>
      </c>
      <c r="J1235" s="18" t="n">
        <v>112</v>
      </c>
      <c r="K1235" s="18" t="n">
        <v>-0.0255017790747169</v>
      </c>
      <c r="L1235" s="18" t="n">
        <v>0.0213235665175937</v>
      </c>
      <c r="M1235" s="18" t="n">
        <v>-1.19594342033148</v>
      </c>
      <c r="N1235" s="18" t="n">
        <v>111</v>
      </c>
      <c r="O1235" s="18" t="n">
        <v>0.234267157500045</v>
      </c>
      <c r="P1235" s="18"/>
      <c r="Q1235" s="18"/>
      <c r="R1235" s="18"/>
      <c r="S1235" s="18"/>
      <c r="T1235" s="18"/>
      <c r="U1235" s="18"/>
      <c r="V1235" s="18"/>
      <c r="W1235" s="18"/>
      <c r="X1235" s="18"/>
      <c r="Y1235" s="18"/>
      <c r="Z1235" s="18"/>
      <c r="AA1235" s="18"/>
      <c r="AB1235" s="18"/>
      <c r="AC1235" s="18"/>
      <c r="AD1235" s="18"/>
      <c r="AE1235" s="18"/>
      <c r="AF1235" s="18"/>
      <c r="AG1235" s="18"/>
      <c r="AH1235" s="18" t="s">
        <v>402</v>
      </c>
      <c r="AI1235" s="18"/>
      <c r="AJ1235" s="18" t="s">
        <v>1782</v>
      </c>
    </row>
    <row r="1236" customFormat="false" ht="15" hidden="false" customHeight="false" outlineLevel="0" collapsed="false">
      <c r="A1236" s="18" t="s">
        <v>273</v>
      </c>
      <c r="B1236" s="18" t="s">
        <v>583</v>
      </c>
      <c r="C1236" s="18" t="s">
        <v>1705</v>
      </c>
      <c r="D1236" s="18" t="s">
        <v>324</v>
      </c>
      <c r="E1236" s="18" t="s">
        <v>404</v>
      </c>
      <c r="F1236" s="18" t="s">
        <v>790</v>
      </c>
      <c r="G1236" s="18" t="n">
        <v>0.8</v>
      </c>
      <c r="H1236" s="18" t="n">
        <v>2692</v>
      </c>
      <c r="I1236" s="18" t="n">
        <v>113</v>
      </c>
      <c r="J1236" s="18" t="n">
        <v>112</v>
      </c>
      <c r="K1236" s="18" t="n">
        <v>-0.0284575952423331</v>
      </c>
      <c r="L1236" s="18" t="n">
        <v>0.0202936546731472</v>
      </c>
      <c r="M1236" s="18" t="n">
        <v>-1.40229030702826</v>
      </c>
      <c r="N1236" s="18" t="n">
        <v>111</v>
      </c>
      <c r="O1236" s="18" t="n">
        <v>0.163619071988546</v>
      </c>
      <c r="P1236" s="18"/>
      <c r="Q1236" s="18"/>
      <c r="R1236" s="18"/>
      <c r="S1236" s="18"/>
      <c r="T1236" s="18"/>
      <c r="U1236" s="18"/>
      <c r="V1236" s="18"/>
      <c r="W1236" s="18"/>
      <c r="X1236" s="18"/>
      <c r="Y1236" s="18"/>
      <c r="Z1236" s="18"/>
      <c r="AA1236" s="18"/>
      <c r="AB1236" s="18"/>
      <c r="AC1236" s="18"/>
      <c r="AD1236" s="18"/>
      <c r="AE1236" s="18"/>
      <c r="AF1236" s="18"/>
      <c r="AG1236" s="18"/>
      <c r="AH1236" s="18" t="s">
        <v>402</v>
      </c>
      <c r="AI1236" s="18"/>
      <c r="AJ1236" s="18" t="s">
        <v>1783</v>
      </c>
    </row>
    <row r="1237" customFormat="false" ht="15" hidden="false" customHeight="false" outlineLevel="0" collapsed="false">
      <c r="A1237" s="18" t="s">
        <v>273</v>
      </c>
      <c r="B1237" s="18" t="s">
        <v>585</v>
      </c>
      <c r="C1237" s="18" t="s">
        <v>1705</v>
      </c>
      <c r="D1237" s="18" t="s">
        <v>324</v>
      </c>
      <c r="E1237" s="18" t="s">
        <v>404</v>
      </c>
      <c r="F1237" s="18" t="s">
        <v>790</v>
      </c>
      <c r="G1237" s="18" t="n">
        <v>0.8</v>
      </c>
      <c r="H1237" s="18" t="n">
        <v>2692</v>
      </c>
      <c r="I1237" s="18" t="n">
        <v>113</v>
      </c>
      <c r="J1237" s="18" t="n">
        <v>112</v>
      </c>
      <c r="K1237" s="18" t="n">
        <v>-0.0216947137740866</v>
      </c>
      <c r="L1237" s="18" t="n">
        <v>0.0202823384405547</v>
      </c>
      <c r="M1237" s="18" t="n">
        <v>-1.06963572458232</v>
      </c>
      <c r="N1237" s="18" t="n">
        <v>111</v>
      </c>
      <c r="O1237" s="18" t="n">
        <v>0.287103795212697</v>
      </c>
      <c r="P1237" s="18"/>
      <c r="Q1237" s="18"/>
      <c r="R1237" s="18"/>
      <c r="S1237" s="18"/>
      <c r="T1237" s="18"/>
      <c r="U1237" s="18"/>
      <c r="V1237" s="18"/>
      <c r="W1237" s="18"/>
      <c r="X1237" s="18"/>
      <c r="Y1237" s="18"/>
      <c r="Z1237" s="18"/>
      <c r="AA1237" s="18"/>
      <c r="AB1237" s="18"/>
      <c r="AC1237" s="18"/>
      <c r="AD1237" s="18"/>
      <c r="AE1237" s="18"/>
      <c r="AF1237" s="18"/>
      <c r="AG1237" s="18"/>
      <c r="AH1237" s="18" t="s">
        <v>402</v>
      </c>
      <c r="AI1237" s="18"/>
      <c r="AJ1237" s="18" t="s">
        <v>1784</v>
      </c>
    </row>
    <row r="1238" customFormat="false" ht="15" hidden="false" customHeight="false" outlineLevel="0" collapsed="false">
      <c r="A1238" s="18" t="s">
        <v>273</v>
      </c>
      <c r="B1238" s="18" t="s">
        <v>587</v>
      </c>
      <c r="C1238" s="18" t="s">
        <v>1705</v>
      </c>
      <c r="D1238" s="18" t="s">
        <v>324</v>
      </c>
      <c r="E1238" s="18" t="s">
        <v>404</v>
      </c>
      <c r="F1238" s="18" t="s">
        <v>790</v>
      </c>
      <c r="G1238" s="18" t="n">
        <v>0.8</v>
      </c>
      <c r="H1238" s="18" t="n">
        <v>924</v>
      </c>
      <c r="I1238" s="18" t="n">
        <v>40</v>
      </c>
      <c r="J1238" s="18" t="n">
        <v>40</v>
      </c>
      <c r="K1238" s="18" t="n">
        <v>-0.0336650941465388</v>
      </c>
      <c r="L1238" s="18" t="n">
        <v>0.0378646749827757</v>
      </c>
      <c r="M1238" s="18" t="n">
        <v>-0.889089742929333</v>
      </c>
      <c r="N1238" s="18" t="n">
        <v>38</v>
      </c>
      <c r="O1238" s="18" t="n">
        <v>0.379548769796631</v>
      </c>
      <c r="P1238" s="18"/>
      <c r="Q1238" s="18"/>
      <c r="R1238" s="18"/>
      <c r="S1238" s="18"/>
      <c r="T1238" s="18"/>
      <c r="U1238" s="18"/>
      <c r="V1238" s="18"/>
      <c r="W1238" s="18"/>
      <c r="X1238" s="18"/>
      <c r="Y1238" s="18"/>
      <c r="Z1238" s="18"/>
      <c r="AA1238" s="18"/>
      <c r="AB1238" s="18"/>
      <c r="AC1238" s="18"/>
      <c r="AD1238" s="18"/>
      <c r="AE1238" s="18"/>
      <c r="AF1238" s="18"/>
      <c r="AG1238" s="18"/>
      <c r="AH1238" s="18" t="s">
        <v>402</v>
      </c>
      <c r="AI1238" s="18"/>
      <c r="AJ1238" s="18" t="s">
        <v>1785</v>
      </c>
    </row>
    <row r="1239" customFormat="false" ht="15" hidden="false" customHeight="false" outlineLevel="0" collapsed="false">
      <c r="A1239" s="18" t="s">
        <v>273</v>
      </c>
      <c r="B1239" s="18" t="s">
        <v>589</v>
      </c>
      <c r="C1239" s="18" t="s">
        <v>1705</v>
      </c>
      <c r="D1239" s="18" t="s">
        <v>324</v>
      </c>
      <c r="E1239" s="18" t="s">
        <v>404</v>
      </c>
      <c r="F1239" s="18" t="s">
        <v>790</v>
      </c>
      <c r="G1239" s="18" t="n">
        <v>0.8</v>
      </c>
      <c r="H1239" s="18" t="n">
        <v>2705</v>
      </c>
      <c r="I1239" s="18" t="n">
        <v>113</v>
      </c>
      <c r="J1239" s="18" t="n">
        <v>112</v>
      </c>
      <c r="K1239" s="18" t="n">
        <v>-0.010646705908388</v>
      </c>
      <c r="L1239" s="18" t="n">
        <v>0.0216144350267273</v>
      </c>
      <c r="M1239" s="18" t="n">
        <v>-0.492573869972672</v>
      </c>
      <c r="N1239" s="18" t="n">
        <v>111</v>
      </c>
      <c r="O1239" s="18" t="n">
        <v>0.623286635987041</v>
      </c>
      <c r="P1239" s="18"/>
      <c r="Q1239" s="18"/>
      <c r="R1239" s="18"/>
      <c r="S1239" s="18"/>
      <c r="T1239" s="18"/>
      <c r="U1239" s="18"/>
      <c r="V1239" s="18"/>
      <c r="W1239" s="18"/>
      <c r="X1239" s="18"/>
      <c r="Y1239" s="18"/>
      <c r="Z1239" s="18"/>
      <c r="AA1239" s="18"/>
      <c r="AB1239" s="18"/>
      <c r="AC1239" s="18"/>
      <c r="AD1239" s="18"/>
      <c r="AE1239" s="18"/>
      <c r="AF1239" s="18"/>
      <c r="AG1239" s="18"/>
      <c r="AH1239" s="18" t="s">
        <v>402</v>
      </c>
      <c r="AI1239" s="18"/>
      <c r="AJ1239" s="18" t="s">
        <v>1786</v>
      </c>
    </row>
    <row r="1240" customFormat="false" ht="15" hidden="false" customHeight="false" outlineLevel="0" collapsed="false">
      <c r="A1240" s="18" t="s">
        <v>273</v>
      </c>
      <c r="B1240" s="18" t="s">
        <v>591</v>
      </c>
      <c r="C1240" s="18" t="s">
        <v>1705</v>
      </c>
      <c r="D1240" s="18" t="s">
        <v>324</v>
      </c>
      <c r="E1240" s="18" t="s">
        <v>404</v>
      </c>
      <c r="F1240" s="18" t="s">
        <v>790</v>
      </c>
      <c r="G1240" s="18" t="n">
        <v>0.8</v>
      </c>
      <c r="H1240" s="18" t="n">
        <v>2705</v>
      </c>
      <c r="I1240" s="18" t="n">
        <v>113</v>
      </c>
      <c r="J1240" s="18" t="n">
        <v>112</v>
      </c>
      <c r="K1240" s="18" t="n">
        <v>-0.0220471048806884</v>
      </c>
      <c r="L1240" s="18" t="n">
        <v>0.0228660888304329</v>
      </c>
      <c r="M1240" s="18" t="n">
        <v>-0.964183470298843</v>
      </c>
      <c r="N1240" s="18" t="n">
        <v>111</v>
      </c>
      <c r="O1240" s="18" t="n">
        <v>0.337049837903211</v>
      </c>
      <c r="P1240" s="18"/>
      <c r="Q1240" s="18"/>
      <c r="R1240" s="18"/>
      <c r="S1240" s="18"/>
      <c r="T1240" s="18"/>
      <c r="U1240" s="18"/>
      <c r="V1240" s="18"/>
      <c r="W1240" s="18"/>
      <c r="X1240" s="18"/>
      <c r="Y1240" s="18"/>
      <c r="Z1240" s="18"/>
      <c r="AA1240" s="18"/>
      <c r="AB1240" s="18"/>
      <c r="AC1240" s="18"/>
      <c r="AD1240" s="18"/>
      <c r="AE1240" s="18"/>
      <c r="AF1240" s="18"/>
      <c r="AG1240" s="18"/>
      <c r="AH1240" s="18" t="s">
        <v>402</v>
      </c>
      <c r="AI1240" s="18"/>
      <c r="AJ1240" s="18" t="s">
        <v>1787</v>
      </c>
    </row>
    <row r="1241" customFormat="false" ht="15" hidden="false" customHeight="false" outlineLevel="0" collapsed="false">
      <c r="A1241" s="18" t="s">
        <v>273</v>
      </c>
      <c r="B1241" s="18" t="s">
        <v>593</v>
      </c>
      <c r="C1241" s="18" t="s">
        <v>1705</v>
      </c>
      <c r="D1241" s="18" t="s">
        <v>324</v>
      </c>
      <c r="E1241" s="18" t="s">
        <v>404</v>
      </c>
      <c r="F1241" s="18" t="s">
        <v>790</v>
      </c>
      <c r="G1241" s="18" t="n">
        <v>0.8</v>
      </c>
      <c r="H1241" s="18" t="n">
        <v>2705</v>
      </c>
      <c r="I1241" s="18" t="n">
        <v>113</v>
      </c>
      <c r="J1241" s="18" t="n">
        <v>112</v>
      </c>
      <c r="K1241" s="18" t="n">
        <v>-0.0132305955952374</v>
      </c>
      <c r="L1241" s="18" t="n">
        <v>0.0230453716764638</v>
      </c>
      <c r="M1241" s="18" t="n">
        <v>-0.574110749046835</v>
      </c>
      <c r="N1241" s="18" t="n">
        <v>110</v>
      </c>
      <c r="O1241" s="18" t="n">
        <v>0.567064980032876</v>
      </c>
      <c r="P1241" s="18"/>
      <c r="Q1241" s="18"/>
      <c r="R1241" s="18"/>
      <c r="S1241" s="18"/>
      <c r="T1241" s="18"/>
      <c r="U1241" s="18"/>
      <c r="V1241" s="18"/>
      <c r="W1241" s="18"/>
      <c r="X1241" s="18"/>
      <c r="Y1241" s="18"/>
      <c r="Z1241" s="18"/>
      <c r="AA1241" s="18"/>
      <c r="AB1241" s="18"/>
      <c r="AC1241" s="18"/>
      <c r="AD1241" s="18"/>
      <c r="AE1241" s="18"/>
      <c r="AF1241" s="18"/>
      <c r="AG1241" s="18"/>
      <c r="AH1241" s="18" t="s">
        <v>402</v>
      </c>
      <c r="AI1241" s="18"/>
      <c r="AJ1241" s="18" t="s">
        <v>1788</v>
      </c>
    </row>
    <row r="1242" customFormat="false" ht="15" hidden="false" customHeight="false" outlineLevel="0" collapsed="false">
      <c r="A1242" s="18" t="s">
        <v>273</v>
      </c>
      <c r="B1242" s="18" t="s">
        <v>595</v>
      </c>
      <c r="C1242" s="18" t="s">
        <v>1705</v>
      </c>
      <c r="D1242" s="18" t="s">
        <v>324</v>
      </c>
      <c r="E1242" s="18" t="s">
        <v>404</v>
      </c>
      <c r="F1242" s="18" t="s">
        <v>790</v>
      </c>
      <c r="G1242" s="18" t="n">
        <v>0.8</v>
      </c>
      <c r="H1242" s="18" t="n">
        <v>2705</v>
      </c>
      <c r="I1242" s="18" t="n">
        <v>113</v>
      </c>
      <c r="J1242" s="18" t="n">
        <v>112</v>
      </c>
      <c r="K1242" s="18" t="n">
        <v>-0.0253105136052534</v>
      </c>
      <c r="L1242" s="18" t="n">
        <v>0.0238965936357982</v>
      </c>
      <c r="M1242" s="18" t="n">
        <v>-1.05916826435619</v>
      </c>
      <c r="N1242" s="18" t="n">
        <v>111</v>
      </c>
      <c r="O1242" s="18" t="n">
        <v>0.291822557979083</v>
      </c>
      <c r="P1242" s="18"/>
      <c r="Q1242" s="18"/>
      <c r="R1242" s="18"/>
      <c r="S1242" s="18"/>
      <c r="T1242" s="18"/>
      <c r="U1242" s="18"/>
      <c r="V1242" s="18"/>
      <c r="W1242" s="18"/>
      <c r="X1242" s="18"/>
      <c r="Y1242" s="18"/>
      <c r="Z1242" s="18"/>
      <c r="AA1242" s="18"/>
      <c r="AB1242" s="18"/>
      <c r="AC1242" s="18"/>
      <c r="AD1242" s="18"/>
      <c r="AE1242" s="18"/>
      <c r="AF1242" s="18"/>
      <c r="AG1242" s="18"/>
      <c r="AH1242" s="18" t="s">
        <v>402</v>
      </c>
      <c r="AI1242" s="18"/>
      <c r="AJ1242" s="18" t="s">
        <v>1789</v>
      </c>
    </row>
    <row r="1243" customFormat="false" ht="15" hidden="false" customHeight="false" outlineLevel="0" collapsed="false">
      <c r="A1243" s="18" t="s">
        <v>273</v>
      </c>
      <c r="B1243" s="18" t="s">
        <v>597</v>
      </c>
      <c r="C1243" s="18" t="s">
        <v>1705</v>
      </c>
      <c r="D1243" s="18" t="s">
        <v>324</v>
      </c>
      <c r="E1243" s="18" t="s">
        <v>404</v>
      </c>
      <c r="F1243" s="18" t="s">
        <v>790</v>
      </c>
      <c r="G1243" s="18" t="n">
        <v>0.8</v>
      </c>
      <c r="H1243" s="18" t="n">
        <v>2705</v>
      </c>
      <c r="I1243" s="18" t="n">
        <v>113</v>
      </c>
      <c r="J1243" s="18" t="n">
        <v>112</v>
      </c>
      <c r="K1243" s="18" t="n">
        <v>-0.00338037246811295</v>
      </c>
      <c r="L1243" s="18" t="n">
        <v>0.0285994083090947</v>
      </c>
      <c r="M1243" s="18" t="n">
        <v>-0.118197286866175</v>
      </c>
      <c r="N1243" s="18" t="n">
        <v>110</v>
      </c>
      <c r="O1243" s="18" t="n">
        <v>0.906126906758876</v>
      </c>
      <c r="P1243" s="18"/>
      <c r="Q1243" s="18"/>
      <c r="R1243" s="18"/>
      <c r="S1243" s="18"/>
      <c r="T1243" s="18"/>
      <c r="U1243" s="18"/>
      <c r="V1243" s="18"/>
      <c r="W1243" s="18"/>
      <c r="X1243" s="18"/>
      <c r="Y1243" s="18"/>
      <c r="Z1243" s="18"/>
      <c r="AA1243" s="18"/>
      <c r="AB1243" s="18"/>
      <c r="AC1243" s="18"/>
      <c r="AD1243" s="18"/>
      <c r="AE1243" s="18"/>
      <c r="AF1243" s="18"/>
      <c r="AG1243" s="18"/>
      <c r="AH1243" s="18" t="s">
        <v>402</v>
      </c>
      <c r="AI1243" s="18"/>
      <c r="AJ1243" s="18" t="s">
        <v>1790</v>
      </c>
    </row>
    <row r="1244" customFormat="false" ht="15" hidden="false" customHeight="false" outlineLevel="0" collapsed="false">
      <c r="A1244" s="18" t="s">
        <v>273</v>
      </c>
      <c r="B1244" s="18" t="s">
        <v>599</v>
      </c>
      <c r="C1244" s="18" t="s">
        <v>1705</v>
      </c>
      <c r="D1244" s="18" t="s">
        <v>324</v>
      </c>
      <c r="E1244" s="18" t="s">
        <v>404</v>
      </c>
      <c r="F1244" s="18" t="s">
        <v>790</v>
      </c>
      <c r="G1244" s="18" t="n">
        <v>0.8</v>
      </c>
      <c r="H1244" s="18" t="n">
        <v>2705</v>
      </c>
      <c r="I1244" s="18" t="n">
        <v>113</v>
      </c>
      <c r="J1244" s="18" t="n">
        <v>112</v>
      </c>
      <c r="K1244" s="18" t="n">
        <v>-0.000206046811834969</v>
      </c>
      <c r="L1244" s="18" t="n">
        <v>0.0304161333518252</v>
      </c>
      <c r="M1244" s="18" t="n">
        <v>-0.00677426053639407</v>
      </c>
      <c r="N1244" s="18" t="n">
        <v>110</v>
      </c>
      <c r="O1244" s="18" t="n">
        <v>0.994607233878673</v>
      </c>
      <c r="P1244" s="18"/>
      <c r="Q1244" s="18"/>
      <c r="R1244" s="18"/>
      <c r="S1244" s="18"/>
      <c r="T1244" s="18"/>
      <c r="U1244" s="18"/>
      <c r="V1244" s="18"/>
      <c r="W1244" s="18"/>
      <c r="X1244" s="18"/>
      <c r="Y1244" s="18"/>
      <c r="Z1244" s="18"/>
      <c r="AA1244" s="18"/>
      <c r="AB1244" s="18"/>
      <c r="AC1244" s="18"/>
      <c r="AD1244" s="18"/>
      <c r="AE1244" s="18"/>
      <c r="AF1244" s="18"/>
      <c r="AG1244" s="18"/>
      <c r="AH1244" s="18" t="s">
        <v>402</v>
      </c>
      <c r="AI1244" s="18"/>
      <c r="AJ1244" s="18" t="s">
        <v>1791</v>
      </c>
    </row>
    <row r="1245" customFormat="false" ht="15" hidden="false" customHeight="false" outlineLevel="0" collapsed="false">
      <c r="A1245" s="18" t="s">
        <v>273</v>
      </c>
      <c r="B1245" s="18" t="s">
        <v>601</v>
      </c>
      <c r="C1245" s="18" t="s">
        <v>1705</v>
      </c>
      <c r="D1245" s="18" t="s">
        <v>324</v>
      </c>
      <c r="E1245" s="18" t="s">
        <v>404</v>
      </c>
      <c r="F1245" s="18" t="s">
        <v>790</v>
      </c>
      <c r="G1245" s="18" t="n">
        <v>0.8</v>
      </c>
      <c r="H1245" s="18" t="n">
        <v>2705</v>
      </c>
      <c r="I1245" s="18" t="n">
        <v>113</v>
      </c>
      <c r="J1245" s="18" t="n">
        <v>112</v>
      </c>
      <c r="K1245" s="18" t="n">
        <v>-0.0201756746217421</v>
      </c>
      <c r="L1245" s="18" t="n">
        <v>0.0203843978008124</v>
      </c>
      <c r="M1245" s="18" t="n">
        <v>-0.989760640411855</v>
      </c>
      <c r="N1245" s="18" t="n">
        <v>111</v>
      </c>
      <c r="O1245" s="18" t="n">
        <v>0.324443776898465</v>
      </c>
      <c r="P1245" s="18"/>
      <c r="Q1245" s="18"/>
      <c r="R1245" s="18"/>
      <c r="S1245" s="18"/>
      <c r="T1245" s="18"/>
      <c r="U1245" s="18"/>
      <c r="V1245" s="18"/>
      <c r="W1245" s="18"/>
      <c r="X1245" s="18"/>
      <c r="Y1245" s="18"/>
      <c r="Z1245" s="18"/>
      <c r="AA1245" s="18"/>
      <c r="AB1245" s="18"/>
      <c r="AC1245" s="18"/>
      <c r="AD1245" s="18"/>
      <c r="AE1245" s="18"/>
      <c r="AF1245" s="18"/>
      <c r="AG1245" s="18"/>
      <c r="AH1245" s="18" t="s">
        <v>402</v>
      </c>
      <c r="AI1245" s="18"/>
      <c r="AJ1245" s="18" t="s">
        <v>1792</v>
      </c>
    </row>
    <row r="1246" customFormat="false" ht="15" hidden="false" customHeight="false" outlineLevel="0" collapsed="false">
      <c r="A1246" s="18" t="s">
        <v>273</v>
      </c>
      <c r="B1246" s="18" t="s">
        <v>603</v>
      </c>
      <c r="C1246" s="18" t="s">
        <v>1705</v>
      </c>
      <c r="D1246" s="18" t="s">
        <v>324</v>
      </c>
      <c r="E1246" s="18" t="s">
        <v>404</v>
      </c>
      <c r="F1246" s="18" t="s">
        <v>790</v>
      </c>
      <c r="G1246" s="18" t="n">
        <v>0.8</v>
      </c>
      <c r="H1246" s="18" t="n">
        <v>2705</v>
      </c>
      <c r="I1246" s="18" t="n">
        <v>113</v>
      </c>
      <c r="J1246" s="18" t="n">
        <v>112</v>
      </c>
      <c r="K1246" s="18" t="n">
        <v>-0.0123284306268948</v>
      </c>
      <c r="L1246" s="18" t="n">
        <v>0.0195016008931882</v>
      </c>
      <c r="M1246" s="18" t="n">
        <v>-0.632175311884323</v>
      </c>
      <c r="N1246" s="18" t="n">
        <v>111</v>
      </c>
      <c r="O1246" s="18" t="n">
        <v>0.528572306544813</v>
      </c>
      <c r="P1246" s="18"/>
      <c r="Q1246" s="18"/>
      <c r="R1246" s="18"/>
      <c r="S1246" s="18"/>
      <c r="T1246" s="18"/>
      <c r="U1246" s="18"/>
      <c r="V1246" s="18"/>
      <c r="W1246" s="18"/>
      <c r="X1246" s="18"/>
      <c r="Y1246" s="18"/>
      <c r="Z1246" s="18"/>
      <c r="AA1246" s="18"/>
      <c r="AB1246" s="18"/>
      <c r="AC1246" s="18"/>
      <c r="AD1246" s="18"/>
      <c r="AE1246" s="18"/>
      <c r="AF1246" s="18"/>
      <c r="AG1246" s="18"/>
      <c r="AH1246" s="18" t="s">
        <v>402</v>
      </c>
      <c r="AI1246" s="18"/>
      <c r="AJ1246" s="18" t="s">
        <v>1793</v>
      </c>
    </row>
    <row r="1247" customFormat="false" ht="15" hidden="false" customHeight="false" outlineLevel="0" collapsed="false">
      <c r="A1247" s="18" t="s">
        <v>273</v>
      </c>
      <c r="B1247" s="18" t="s">
        <v>605</v>
      </c>
      <c r="C1247" s="18" t="s">
        <v>1705</v>
      </c>
      <c r="D1247" s="18" t="s">
        <v>324</v>
      </c>
      <c r="E1247" s="18" t="s">
        <v>404</v>
      </c>
      <c r="F1247" s="18" t="s">
        <v>790</v>
      </c>
      <c r="G1247" s="18" t="n">
        <v>0.8</v>
      </c>
      <c r="H1247" s="18" t="n">
        <v>2705</v>
      </c>
      <c r="I1247" s="18" t="n">
        <v>113</v>
      </c>
      <c r="J1247" s="18" t="n">
        <v>112</v>
      </c>
      <c r="K1247" s="18" t="n">
        <v>-0.00940052266484866</v>
      </c>
      <c r="L1247" s="18" t="n">
        <v>0.0194257888087971</v>
      </c>
      <c r="M1247" s="18" t="n">
        <v>-0.483919739752939</v>
      </c>
      <c r="N1247" s="18" t="n">
        <v>111</v>
      </c>
      <c r="O1247" s="18" t="n">
        <v>0.629396187821768</v>
      </c>
      <c r="P1247" s="18"/>
      <c r="Q1247" s="18"/>
      <c r="R1247" s="18"/>
      <c r="S1247" s="18"/>
      <c r="T1247" s="18"/>
      <c r="U1247" s="18"/>
      <c r="V1247" s="18"/>
      <c r="W1247" s="18"/>
      <c r="X1247" s="18"/>
      <c r="Y1247" s="18"/>
      <c r="Z1247" s="18"/>
      <c r="AA1247" s="18"/>
      <c r="AB1247" s="18"/>
      <c r="AC1247" s="18"/>
      <c r="AD1247" s="18"/>
      <c r="AE1247" s="18"/>
      <c r="AF1247" s="18"/>
      <c r="AG1247" s="18"/>
      <c r="AH1247" s="18" t="s">
        <v>402</v>
      </c>
      <c r="AI1247" s="18"/>
      <c r="AJ1247" s="18" t="s">
        <v>1794</v>
      </c>
    </row>
    <row r="1248" customFormat="false" ht="15" hidden="false" customHeight="false" outlineLevel="0" collapsed="false">
      <c r="A1248" s="18" t="s">
        <v>273</v>
      </c>
      <c r="B1248" s="18" t="s">
        <v>607</v>
      </c>
      <c r="C1248" s="18" t="s">
        <v>1705</v>
      </c>
      <c r="D1248" s="18" t="s">
        <v>324</v>
      </c>
      <c r="E1248" s="18" t="s">
        <v>404</v>
      </c>
      <c r="F1248" s="18" t="s">
        <v>790</v>
      </c>
      <c r="G1248" s="18" t="n">
        <v>0.8</v>
      </c>
      <c r="H1248" s="18" t="n">
        <v>929</v>
      </c>
      <c r="I1248" s="18" t="n">
        <v>40</v>
      </c>
      <c r="J1248" s="18" t="n">
        <v>40</v>
      </c>
      <c r="K1248" s="18" t="n">
        <v>-0.0271202212217565</v>
      </c>
      <c r="L1248" s="18" t="n">
        <v>0.0319590839979256</v>
      </c>
      <c r="M1248" s="18" t="n">
        <v>-0.848591944109439</v>
      </c>
      <c r="N1248" s="18" t="n">
        <v>38</v>
      </c>
      <c r="O1248" s="18" t="n">
        <v>0.401422509125769</v>
      </c>
      <c r="P1248" s="18"/>
      <c r="Q1248" s="18"/>
      <c r="R1248" s="18"/>
      <c r="S1248" s="18"/>
      <c r="T1248" s="18"/>
      <c r="U1248" s="18"/>
      <c r="V1248" s="18"/>
      <c r="W1248" s="18"/>
      <c r="X1248" s="18"/>
      <c r="Y1248" s="18"/>
      <c r="Z1248" s="18"/>
      <c r="AA1248" s="18"/>
      <c r="AB1248" s="18"/>
      <c r="AC1248" s="18"/>
      <c r="AD1248" s="18"/>
      <c r="AE1248" s="18"/>
      <c r="AF1248" s="18"/>
      <c r="AG1248" s="18"/>
      <c r="AH1248" s="18" t="s">
        <v>402</v>
      </c>
      <c r="AI1248" s="18"/>
      <c r="AJ1248" s="18" t="s">
        <v>1795</v>
      </c>
    </row>
    <row r="1249" customFormat="false" ht="15" hidden="false" customHeight="false" outlineLevel="0" collapsed="false">
      <c r="A1249" s="18" t="s">
        <v>273</v>
      </c>
      <c r="B1249" s="18" t="s">
        <v>609</v>
      </c>
      <c r="C1249" s="18" t="s">
        <v>1705</v>
      </c>
      <c r="D1249" s="18" t="s">
        <v>324</v>
      </c>
      <c r="E1249" s="18" t="s">
        <v>404</v>
      </c>
      <c r="F1249" s="18" t="s">
        <v>790</v>
      </c>
      <c r="G1249" s="18" t="n">
        <v>0.8</v>
      </c>
      <c r="H1249" s="18" t="n">
        <v>2607</v>
      </c>
      <c r="I1249" s="18" t="n">
        <v>110</v>
      </c>
      <c r="J1249" s="18" t="n">
        <v>109</v>
      </c>
      <c r="K1249" s="18" t="n">
        <v>0.0222006034603753</v>
      </c>
      <c r="L1249" s="18" t="n">
        <v>0.0723263064970799</v>
      </c>
      <c r="M1249" s="18" t="n">
        <v>0.306950603944798</v>
      </c>
      <c r="N1249" s="18" t="n">
        <v>108</v>
      </c>
      <c r="O1249" s="18" t="n">
        <v>0.759472019314107</v>
      </c>
      <c r="P1249" s="18"/>
      <c r="Q1249" s="18"/>
      <c r="R1249" s="18"/>
      <c r="S1249" s="18"/>
      <c r="T1249" s="18"/>
      <c r="U1249" s="18"/>
      <c r="V1249" s="18"/>
      <c r="W1249" s="18"/>
      <c r="X1249" s="18"/>
      <c r="Y1249" s="18"/>
      <c r="Z1249" s="18"/>
      <c r="AA1249" s="18"/>
      <c r="AB1249" s="18"/>
      <c r="AC1249" s="18"/>
      <c r="AD1249" s="18"/>
      <c r="AE1249" s="18"/>
      <c r="AF1249" s="18"/>
      <c r="AG1249" s="18"/>
      <c r="AH1249" s="18" t="s">
        <v>402</v>
      </c>
      <c r="AI1249" s="18"/>
      <c r="AJ1249" s="18" t="s">
        <v>1796</v>
      </c>
    </row>
    <row r="1250" customFormat="false" ht="15" hidden="false" customHeight="false" outlineLevel="0" collapsed="false">
      <c r="A1250" s="18" t="s">
        <v>273</v>
      </c>
      <c r="B1250" s="18" t="s">
        <v>611</v>
      </c>
      <c r="C1250" s="18" t="s">
        <v>1705</v>
      </c>
      <c r="D1250" s="18" t="s">
        <v>324</v>
      </c>
      <c r="E1250" s="18" t="s">
        <v>404</v>
      </c>
      <c r="F1250" s="18" t="s">
        <v>790</v>
      </c>
      <c r="G1250" s="18" t="n">
        <v>0.8</v>
      </c>
      <c r="H1250" s="18" t="n">
        <v>2607</v>
      </c>
      <c r="I1250" s="18" t="n">
        <v>110</v>
      </c>
      <c r="J1250" s="18" t="n">
        <v>109</v>
      </c>
      <c r="K1250" s="18" t="n">
        <v>0.00330783904572041</v>
      </c>
      <c r="L1250" s="18" t="n">
        <v>0.0766262588940584</v>
      </c>
      <c r="M1250" s="18" t="n">
        <v>0.0431684789713374</v>
      </c>
      <c r="N1250" s="18" t="n">
        <v>108</v>
      </c>
      <c r="O1250" s="18" t="n">
        <v>0.96564694266968</v>
      </c>
      <c r="P1250" s="18"/>
      <c r="Q1250" s="18"/>
      <c r="R1250" s="18"/>
      <c r="S1250" s="18"/>
      <c r="T1250" s="18"/>
      <c r="U1250" s="18"/>
      <c r="V1250" s="18"/>
      <c r="W1250" s="18"/>
      <c r="X1250" s="18"/>
      <c r="Y1250" s="18"/>
      <c r="Z1250" s="18"/>
      <c r="AA1250" s="18"/>
      <c r="AB1250" s="18"/>
      <c r="AC1250" s="18"/>
      <c r="AD1250" s="18"/>
      <c r="AE1250" s="18"/>
      <c r="AF1250" s="18"/>
      <c r="AG1250" s="18"/>
      <c r="AH1250" s="18" t="s">
        <v>402</v>
      </c>
      <c r="AI1250" s="18"/>
      <c r="AJ1250" s="18" t="s">
        <v>1797</v>
      </c>
    </row>
    <row r="1251" customFormat="false" ht="15" hidden="false" customHeight="false" outlineLevel="0" collapsed="false">
      <c r="A1251" s="18" t="s">
        <v>273</v>
      </c>
      <c r="B1251" s="18" t="s">
        <v>613</v>
      </c>
      <c r="C1251" s="18" t="s">
        <v>1705</v>
      </c>
      <c r="D1251" s="18" t="s">
        <v>324</v>
      </c>
      <c r="E1251" s="18" t="s">
        <v>404</v>
      </c>
      <c r="F1251" s="18" t="s">
        <v>790</v>
      </c>
      <c r="G1251" s="18" t="n">
        <v>0.8</v>
      </c>
      <c r="H1251" s="18" t="n">
        <v>2607</v>
      </c>
      <c r="I1251" s="18" t="n">
        <v>110</v>
      </c>
      <c r="J1251" s="18" t="n">
        <v>109</v>
      </c>
      <c r="K1251" s="18" t="n">
        <v>-0.0618370313928862</v>
      </c>
      <c r="L1251" s="18" t="n">
        <v>0.07812886631631</v>
      </c>
      <c r="M1251" s="18" t="n">
        <v>-0.791474832650647</v>
      </c>
      <c r="N1251" s="18" t="n">
        <v>107</v>
      </c>
      <c r="O1251" s="18" t="n">
        <v>0.430417975873774</v>
      </c>
      <c r="P1251" s="18"/>
      <c r="Q1251" s="18"/>
      <c r="R1251" s="18"/>
      <c r="S1251" s="18"/>
      <c r="T1251" s="18"/>
      <c r="U1251" s="18"/>
      <c r="V1251" s="18"/>
      <c r="W1251" s="18"/>
      <c r="X1251" s="18"/>
      <c r="Y1251" s="18"/>
      <c r="Z1251" s="18"/>
      <c r="AA1251" s="18"/>
      <c r="AB1251" s="18"/>
      <c r="AC1251" s="18"/>
      <c r="AD1251" s="18"/>
      <c r="AE1251" s="18"/>
      <c r="AF1251" s="18"/>
      <c r="AG1251" s="18"/>
      <c r="AH1251" s="18" t="s">
        <v>402</v>
      </c>
      <c r="AI1251" s="18"/>
      <c r="AJ1251" s="18" t="s">
        <v>1798</v>
      </c>
    </row>
    <row r="1252" customFormat="false" ht="15" hidden="false" customHeight="false" outlineLevel="0" collapsed="false">
      <c r="A1252" s="18" t="s">
        <v>273</v>
      </c>
      <c r="B1252" s="18" t="s">
        <v>615</v>
      </c>
      <c r="C1252" s="18" t="s">
        <v>1705</v>
      </c>
      <c r="D1252" s="18" t="s">
        <v>324</v>
      </c>
      <c r="E1252" s="18" t="s">
        <v>404</v>
      </c>
      <c r="F1252" s="18" t="s">
        <v>790</v>
      </c>
      <c r="G1252" s="18" t="n">
        <v>0.8</v>
      </c>
      <c r="H1252" s="18" t="n">
        <v>2607</v>
      </c>
      <c r="I1252" s="18" t="n">
        <v>110</v>
      </c>
      <c r="J1252" s="18" t="n">
        <v>109</v>
      </c>
      <c r="K1252" s="18" t="n">
        <v>-0.00167634017274268</v>
      </c>
      <c r="L1252" s="18" t="n">
        <v>0.0800568978192185</v>
      </c>
      <c r="M1252" s="18" t="n">
        <v>-0.0209393596105626</v>
      </c>
      <c r="N1252" s="18" t="n">
        <v>108</v>
      </c>
      <c r="O1252" s="18" t="n">
        <v>0.98333266629965</v>
      </c>
      <c r="P1252" s="18"/>
      <c r="Q1252" s="18"/>
      <c r="R1252" s="18"/>
      <c r="S1252" s="18"/>
      <c r="T1252" s="18"/>
      <c r="U1252" s="18"/>
      <c r="V1252" s="18"/>
      <c r="W1252" s="18"/>
      <c r="X1252" s="18"/>
      <c r="Y1252" s="18"/>
      <c r="Z1252" s="18"/>
      <c r="AA1252" s="18"/>
      <c r="AB1252" s="18"/>
      <c r="AC1252" s="18"/>
      <c r="AD1252" s="18"/>
      <c r="AE1252" s="18"/>
      <c r="AF1252" s="18"/>
      <c r="AG1252" s="18"/>
      <c r="AH1252" s="18" t="s">
        <v>402</v>
      </c>
      <c r="AI1252" s="18"/>
      <c r="AJ1252" s="18" t="s">
        <v>1799</v>
      </c>
    </row>
    <row r="1253" customFormat="false" ht="15" hidden="false" customHeight="false" outlineLevel="0" collapsed="false">
      <c r="A1253" s="18" t="s">
        <v>273</v>
      </c>
      <c r="B1253" s="18" t="s">
        <v>617</v>
      </c>
      <c r="C1253" s="18" t="s">
        <v>1705</v>
      </c>
      <c r="D1253" s="18" t="s">
        <v>324</v>
      </c>
      <c r="E1253" s="18" t="s">
        <v>404</v>
      </c>
      <c r="F1253" s="18" t="s">
        <v>790</v>
      </c>
      <c r="G1253" s="18" t="n">
        <v>0.8</v>
      </c>
      <c r="H1253" s="18" t="n">
        <v>2607</v>
      </c>
      <c r="I1253" s="18" t="n">
        <v>110</v>
      </c>
      <c r="J1253" s="18" t="n">
        <v>109</v>
      </c>
      <c r="K1253" s="18" t="n">
        <v>0.0314499862158352</v>
      </c>
      <c r="L1253" s="18" t="n">
        <v>0.0952962885364456</v>
      </c>
      <c r="M1253" s="18" t="n">
        <v>0.330023201310797</v>
      </c>
      <c r="N1253" s="18" t="n">
        <v>107</v>
      </c>
      <c r="O1253" s="18" t="n">
        <v>0.742027684293121</v>
      </c>
      <c r="P1253" s="18"/>
      <c r="Q1253" s="18"/>
      <c r="R1253" s="18"/>
      <c r="S1253" s="18"/>
      <c r="T1253" s="18"/>
      <c r="U1253" s="18"/>
      <c r="V1253" s="18"/>
      <c r="W1253" s="18"/>
      <c r="X1253" s="18"/>
      <c r="Y1253" s="18"/>
      <c r="Z1253" s="18"/>
      <c r="AA1253" s="18"/>
      <c r="AB1253" s="18"/>
      <c r="AC1253" s="18"/>
      <c r="AD1253" s="18"/>
      <c r="AE1253" s="18"/>
      <c r="AF1253" s="18"/>
      <c r="AG1253" s="18"/>
      <c r="AH1253" s="18" t="s">
        <v>402</v>
      </c>
      <c r="AI1253" s="18"/>
      <c r="AJ1253" s="18" t="s">
        <v>1800</v>
      </c>
    </row>
    <row r="1254" customFormat="false" ht="15" hidden="false" customHeight="false" outlineLevel="0" collapsed="false">
      <c r="A1254" s="18" t="s">
        <v>273</v>
      </c>
      <c r="B1254" s="18" t="s">
        <v>619</v>
      </c>
      <c r="C1254" s="18" t="s">
        <v>1705</v>
      </c>
      <c r="D1254" s="18" t="s">
        <v>324</v>
      </c>
      <c r="E1254" s="18" t="s">
        <v>404</v>
      </c>
      <c r="F1254" s="18" t="s">
        <v>790</v>
      </c>
      <c r="G1254" s="18" t="n">
        <v>0.8</v>
      </c>
      <c r="H1254" s="18" t="n">
        <v>2607</v>
      </c>
      <c r="I1254" s="18" t="n">
        <v>110</v>
      </c>
      <c r="J1254" s="18" t="n">
        <v>109</v>
      </c>
      <c r="K1254" s="18" t="n">
        <v>0.0349939978617338</v>
      </c>
      <c r="L1254" s="18" t="n">
        <v>0.101288299027997</v>
      </c>
      <c r="M1254" s="18" t="n">
        <v>0.345489046588304</v>
      </c>
      <c r="N1254" s="18" t="n">
        <v>107</v>
      </c>
      <c r="O1254" s="18" t="n">
        <v>0.730405038571157</v>
      </c>
      <c r="P1254" s="18"/>
      <c r="Q1254" s="18"/>
      <c r="R1254" s="18"/>
      <c r="S1254" s="18"/>
      <c r="T1254" s="18"/>
      <c r="U1254" s="18"/>
      <c r="V1254" s="18"/>
      <c r="W1254" s="18"/>
      <c r="X1254" s="18"/>
      <c r="Y1254" s="18"/>
      <c r="Z1254" s="18"/>
      <c r="AA1254" s="18"/>
      <c r="AB1254" s="18"/>
      <c r="AC1254" s="18"/>
      <c r="AD1254" s="18"/>
      <c r="AE1254" s="18"/>
      <c r="AF1254" s="18"/>
      <c r="AG1254" s="18"/>
      <c r="AH1254" s="18" t="s">
        <v>402</v>
      </c>
      <c r="AI1254" s="18"/>
      <c r="AJ1254" s="18" t="s">
        <v>1801</v>
      </c>
    </row>
    <row r="1255" customFormat="false" ht="15" hidden="false" customHeight="false" outlineLevel="0" collapsed="false">
      <c r="A1255" s="18" t="s">
        <v>273</v>
      </c>
      <c r="B1255" s="18" t="s">
        <v>621</v>
      </c>
      <c r="C1255" s="18" t="s">
        <v>1705</v>
      </c>
      <c r="D1255" s="18" t="s">
        <v>324</v>
      </c>
      <c r="E1255" s="18" t="s">
        <v>404</v>
      </c>
      <c r="F1255" s="18" t="s">
        <v>790</v>
      </c>
      <c r="G1255" s="18" t="n">
        <v>0.8</v>
      </c>
      <c r="H1255" s="18" t="n">
        <v>2607</v>
      </c>
      <c r="I1255" s="18" t="n">
        <v>110</v>
      </c>
      <c r="J1255" s="18" t="n">
        <v>109</v>
      </c>
      <c r="K1255" s="18" t="n">
        <v>-0.0746303821796571</v>
      </c>
      <c r="L1255" s="18" t="n">
        <v>0.068637816863068</v>
      </c>
      <c r="M1255" s="18" t="n">
        <v>-1.08730705011414</v>
      </c>
      <c r="N1255" s="18" t="n">
        <v>108</v>
      </c>
      <c r="O1255" s="18" t="n">
        <v>0.279321793730861</v>
      </c>
      <c r="P1255" s="18"/>
      <c r="Q1255" s="18"/>
      <c r="R1255" s="18"/>
      <c r="S1255" s="18"/>
      <c r="T1255" s="18"/>
      <c r="U1255" s="18"/>
      <c r="V1255" s="18"/>
      <c r="W1255" s="18"/>
      <c r="X1255" s="18"/>
      <c r="Y1255" s="18"/>
      <c r="Z1255" s="18"/>
      <c r="AA1255" s="18"/>
      <c r="AB1255" s="18"/>
      <c r="AC1255" s="18"/>
      <c r="AD1255" s="18"/>
      <c r="AE1255" s="18"/>
      <c r="AF1255" s="18"/>
      <c r="AG1255" s="18"/>
      <c r="AH1255" s="18" t="s">
        <v>402</v>
      </c>
      <c r="AI1255" s="18"/>
      <c r="AJ1255" s="18" t="s">
        <v>1802</v>
      </c>
    </row>
    <row r="1256" customFormat="false" ht="15" hidden="false" customHeight="false" outlineLevel="0" collapsed="false">
      <c r="A1256" s="18" t="s">
        <v>273</v>
      </c>
      <c r="B1256" s="18" t="s">
        <v>623</v>
      </c>
      <c r="C1256" s="18" t="s">
        <v>1705</v>
      </c>
      <c r="D1256" s="18" t="s">
        <v>324</v>
      </c>
      <c r="E1256" s="18" t="s">
        <v>404</v>
      </c>
      <c r="F1256" s="18" t="s">
        <v>790</v>
      </c>
      <c r="G1256" s="18" t="n">
        <v>0.8</v>
      </c>
      <c r="H1256" s="18" t="n">
        <v>2607</v>
      </c>
      <c r="I1256" s="18" t="n">
        <v>110</v>
      </c>
      <c r="J1256" s="18" t="n">
        <v>109</v>
      </c>
      <c r="K1256" s="18" t="n">
        <v>0.0371617474897516</v>
      </c>
      <c r="L1256" s="18" t="n">
        <v>0.065606635306409</v>
      </c>
      <c r="M1256" s="18" t="n">
        <v>0.566432759677303</v>
      </c>
      <c r="N1256" s="18" t="n">
        <v>108</v>
      </c>
      <c r="O1256" s="18" t="n">
        <v>0.572274847761446</v>
      </c>
      <c r="P1256" s="18"/>
      <c r="Q1256" s="18"/>
      <c r="R1256" s="18"/>
      <c r="S1256" s="18"/>
      <c r="T1256" s="18"/>
      <c r="U1256" s="18"/>
      <c r="V1256" s="18"/>
      <c r="W1256" s="18"/>
      <c r="X1256" s="18"/>
      <c r="Y1256" s="18"/>
      <c r="Z1256" s="18"/>
      <c r="AA1256" s="18"/>
      <c r="AB1256" s="18"/>
      <c r="AC1256" s="18"/>
      <c r="AD1256" s="18"/>
      <c r="AE1256" s="18"/>
      <c r="AF1256" s="18"/>
      <c r="AG1256" s="18"/>
      <c r="AH1256" s="18" t="s">
        <v>402</v>
      </c>
      <c r="AI1256" s="18"/>
      <c r="AJ1256" s="18" t="s">
        <v>1803</v>
      </c>
    </row>
    <row r="1257" customFormat="false" ht="15" hidden="false" customHeight="false" outlineLevel="0" collapsed="false">
      <c r="A1257" s="18" t="s">
        <v>273</v>
      </c>
      <c r="B1257" s="18" t="s">
        <v>625</v>
      </c>
      <c r="C1257" s="18" t="s">
        <v>1705</v>
      </c>
      <c r="D1257" s="18" t="s">
        <v>324</v>
      </c>
      <c r="E1257" s="18" t="s">
        <v>404</v>
      </c>
      <c r="F1257" s="18" t="s">
        <v>790</v>
      </c>
      <c r="G1257" s="18" t="n">
        <v>0.8</v>
      </c>
      <c r="H1257" s="18" t="n">
        <v>2607</v>
      </c>
      <c r="I1257" s="18" t="n">
        <v>110</v>
      </c>
      <c r="J1257" s="18" t="n">
        <v>109</v>
      </c>
      <c r="K1257" s="18" t="n">
        <v>0.0277322871312488</v>
      </c>
      <c r="L1257" s="18" t="n">
        <v>0.0654579266647839</v>
      </c>
      <c r="M1257" s="18" t="n">
        <v>0.42366583459431</v>
      </c>
      <c r="N1257" s="18" t="n">
        <v>108</v>
      </c>
      <c r="O1257" s="18" t="n">
        <v>0.672652112992902</v>
      </c>
      <c r="P1257" s="18"/>
      <c r="Q1257" s="18"/>
      <c r="R1257" s="18"/>
      <c r="S1257" s="18"/>
      <c r="T1257" s="18"/>
      <c r="U1257" s="18"/>
      <c r="V1257" s="18"/>
      <c r="W1257" s="18"/>
      <c r="X1257" s="18"/>
      <c r="Y1257" s="18"/>
      <c r="Z1257" s="18"/>
      <c r="AA1257" s="18"/>
      <c r="AB1257" s="18"/>
      <c r="AC1257" s="18"/>
      <c r="AD1257" s="18"/>
      <c r="AE1257" s="18"/>
      <c r="AF1257" s="18"/>
      <c r="AG1257" s="18"/>
      <c r="AH1257" s="18" t="s">
        <v>402</v>
      </c>
      <c r="AI1257" s="18"/>
      <c r="AJ1257" s="18" t="s">
        <v>1804</v>
      </c>
    </row>
    <row r="1258" customFormat="false" ht="15" hidden="false" customHeight="false" outlineLevel="0" collapsed="false">
      <c r="A1258" s="18" t="s">
        <v>273</v>
      </c>
      <c r="B1258" s="18" t="s">
        <v>627</v>
      </c>
      <c r="C1258" s="18" t="s">
        <v>1705</v>
      </c>
      <c r="D1258" s="18" t="s">
        <v>324</v>
      </c>
      <c r="E1258" s="18" t="s">
        <v>404</v>
      </c>
      <c r="F1258" s="18" t="s">
        <v>790</v>
      </c>
      <c r="G1258" s="18" t="n">
        <v>0.8</v>
      </c>
      <c r="H1258" s="18" t="n">
        <v>905</v>
      </c>
      <c r="I1258" s="18" t="n">
        <v>38</v>
      </c>
      <c r="J1258" s="18" t="n">
        <v>38</v>
      </c>
      <c r="K1258" s="18" t="n">
        <v>-0.0339910997117108</v>
      </c>
      <c r="L1258" s="18" t="n">
        <v>0.0394938512176892</v>
      </c>
      <c r="M1258" s="18" t="n">
        <v>-0.860668146146413</v>
      </c>
      <c r="N1258" s="18" t="n">
        <v>36</v>
      </c>
      <c r="O1258" s="18" t="n">
        <v>0.395116895982668</v>
      </c>
      <c r="P1258" s="18"/>
      <c r="Q1258" s="18"/>
      <c r="R1258" s="18"/>
      <c r="S1258" s="18"/>
      <c r="T1258" s="18"/>
      <c r="U1258" s="18"/>
      <c r="V1258" s="18"/>
      <c r="W1258" s="18"/>
      <c r="X1258" s="18"/>
      <c r="Y1258" s="18"/>
      <c r="Z1258" s="18"/>
      <c r="AA1258" s="18"/>
      <c r="AB1258" s="18"/>
      <c r="AC1258" s="18"/>
      <c r="AD1258" s="18"/>
      <c r="AE1258" s="18"/>
      <c r="AF1258" s="18"/>
      <c r="AG1258" s="18"/>
      <c r="AH1258" s="18" t="s">
        <v>402</v>
      </c>
      <c r="AI1258" s="18"/>
      <c r="AJ1258" s="18" t="s">
        <v>1805</v>
      </c>
    </row>
    <row r="1259" customFormat="false" ht="15" hidden="false" customHeight="false" outlineLevel="0" collapsed="false">
      <c r="A1259" s="18" t="s">
        <v>273</v>
      </c>
      <c r="B1259" s="18" t="s">
        <v>629</v>
      </c>
      <c r="C1259" s="18" t="s">
        <v>1705</v>
      </c>
      <c r="D1259" s="18" t="s">
        <v>324</v>
      </c>
      <c r="E1259" s="18" t="s">
        <v>404</v>
      </c>
      <c r="F1259" s="18" t="s">
        <v>790</v>
      </c>
      <c r="G1259" s="18" t="n">
        <v>0.8</v>
      </c>
      <c r="H1259" s="18" t="n">
        <v>2594</v>
      </c>
      <c r="I1259" s="18" t="n">
        <v>110</v>
      </c>
      <c r="J1259" s="18" t="n">
        <v>109</v>
      </c>
      <c r="K1259" s="18" t="n">
        <v>-0.0226196483375809</v>
      </c>
      <c r="L1259" s="18" t="n">
        <v>0.0236519700649601</v>
      </c>
      <c r="M1259" s="18" t="n">
        <v>-0.95635366844521</v>
      </c>
      <c r="N1259" s="18" t="n">
        <v>108</v>
      </c>
      <c r="O1259" s="18" t="n">
        <v>0.341029444604476</v>
      </c>
      <c r="P1259" s="18"/>
      <c r="Q1259" s="18"/>
      <c r="R1259" s="18"/>
      <c r="S1259" s="18"/>
      <c r="T1259" s="18"/>
      <c r="U1259" s="18"/>
      <c r="V1259" s="18"/>
      <c r="W1259" s="18"/>
      <c r="X1259" s="18"/>
      <c r="Y1259" s="18"/>
      <c r="Z1259" s="18"/>
      <c r="AA1259" s="18"/>
      <c r="AB1259" s="18"/>
      <c r="AC1259" s="18"/>
      <c r="AD1259" s="18"/>
      <c r="AE1259" s="18"/>
      <c r="AF1259" s="18"/>
      <c r="AG1259" s="18"/>
      <c r="AH1259" s="18" t="s">
        <v>402</v>
      </c>
      <c r="AI1259" s="18"/>
      <c r="AJ1259" s="18" t="s">
        <v>1806</v>
      </c>
    </row>
    <row r="1260" customFormat="false" ht="15" hidden="false" customHeight="false" outlineLevel="0" collapsed="false">
      <c r="A1260" s="18" t="s">
        <v>273</v>
      </c>
      <c r="B1260" s="18" t="s">
        <v>631</v>
      </c>
      <c r="C1260" s="18" t="s">
        <v>1705</v>
      </c>
      <c r="D1260" s="18" t="s">
        <v>324</v>
      </c>
      <c r="E1260" s="18" t="s">
        <v>404</v>
      </c>
      <c r="F1260" s="18" t="s">
        <v>790</v>
      </c>
      <c r="G1260" s="18" t="n">
        <v>0.8</v>
      </c>
      <c r="H1260" s="18" t="n">
        <v>2594</v>
      </c>
      <c r="I1260" s="18" t="n">
        <v>110</v>
      </c>
      <c r="J1260" s="18" t="n">
        <v>109</v>
      </c>
      <c r="K1260" s="18" t="n">
        <v>-0.0393077377315784</v>
      </c>
      <c r="L1260" s="18" t="n">
        <v>0.024882021234974</v>
      </c>
      <c r="M1260" s="18" t="n">
        <v>-1.57976465659179</v>
      </c>
      <c r="N1260" s="18" t="n">
        <v>108</v>
      </c>
      <c r="O1260" s="18" t="n">
        <v>0.117085227477119</v>
      </c>
      <c r="P1260" s="18"/>
      <c r="Q1260" s="18"/>
      <c r="R1260" s="18"/>
      <c r="S1260" s="18"/>
      <c r="T1260" s="18"/>
      <c r="U1260" s="18"/>
      <c r="V1260" s="18"/>
      <c r="W1260" s="18"/>
      <c r="X1260" s="18"/>
      <c r="Y1260" s="18"/>
      <c r="Z1260" s="18"/>
      <c r="AA1260" s="18"/>
      <c r="AB1260" s="18"/>
      <c r="AC1260" s="18"/>
      <c r="AD1260" s="18"/>
      <c r="AE1260" s="18"/>
      <c r="AF1260" s="18"/>
      <c r="AG1260" s="18"/>
      <c r="AH1260" s="18" t="s">
        <v>402</v>
      </c>
      <c r="AI1260" s="18"/>
      <c r="AJ1260" s="18" t="s">
        <v>1807</v>
      </c>
    </row>
    <row r="1261" customFormat="false" ht="15" hidden="false" customHeight="false" outlineLevel="0" collapsed="false">
      <c r="A1261" s="18" t="s">
        <v>273</v>
      </c>
      <c r="B1261" s="18" t="s">
        <v>633</v>
      </c>
      <c r="C1261" s="18" t="s">
        <v>1705</v>
      </c>
      <c r="D1261" s="18" t="s">
        <v>324</v>
      </c>
      <c r="E1261" s="18" t="s">
        <v>404</v>
      </c>
      <c r="F1261" s="18" t="s">
        <v>790</v>
      </c>
      <c r="G1261" s="18" t="n">
        <v>0.8</v>
      </c>
      <c r="H1261" s="18" t="n">
        <v>2594</v>
      </c>
      <c r="I1261" s="18" t="n">
        <v>110</v>
      </c>
      <c r="J1261" s="18" t="n">
        <v>109</v>
      </c>
      <c r="K1261" s="18" t="n">
        <v>-0.0208735184688496</v>
      </c>
      <c r="L1261" s="18" t="n">
        <v>0.0259270625085162</v>
      </c>
      <c r="M1261" s="18" t="n">
        <v>-0.805086131990207</v>
      </c>
      <c r="N1261" s="18" t="n">
        <v>107</v>
      </c>
      <c r="O1261" s="18" t="n">
        <v>0.422555354753315</v>
      </c>
      <c r="P1261" s="18"/>
      <c r="Q1261" s="18"/>
      <c r="R1261" s="18"/>
      <c r="S1261" s="18"/>
      <c r="T1261" s="18"/>
      <c r="U1261" s="18"/>
      <c r="V1261" s="18"/>
      <c r="W1261" s="18"/>
      <c r="X1261" s="18"/>
      <c r="Y1261" s="18"/>
      <c r="Z1261" s="18"/>
      <c r="AA1261" s="18"/>
      <c r="AB1261" s="18"/>
      <c r="AC1261" s="18"/>
      <c r="AD1261" s="18"/>
      <c r="AE1261" s="18"/>
      <c r="AF1261" s="18"/>
      <c r="AG1261" s="18"/>
      <c r="AH1261" s="18" t="s">
        <v>402</v>
      </c>
      <c r="AI1261" s="18"/>
      <c r="AJ1261" s="18" t="s">
        <v>1808</v>
      </c>
    </row>
    <row r="1262" customFormat="false" ht="15" hidden="false" customHeight="false" outlineLevel="0" collapsed="false">
      <c r="A1262" s="18" t="s">
        <v>273</v>
      </c>
      <c r="B1262" s="18" t="s">
        <v>635</v>
      </c>
      <c r="C1262" s="18" t="s">
        <v>1705</v>
      </c>
      <c r="D1262" s="18" t="s">
        <v>324</v>
      </c>
      <c r="E1262" s="18" t="s">
        <v>404</v>
      </c>
      <c r="F1262" s="18" t="s">
        <v>790</v>
      </c>
      <c r="G1262" s="18" t="n">
        <v>0.8</v>
      </c>
      <c r="H1262" s="18" t="n">
        <v>2594</v>
      </c>
      <c r="I1262" s="18" t="n">
        <v>110</v>
      </c>
      <c r="J1262" s="18" t="n">
        <v>109</v>
      </c>
      <c r="K1262" s="18" t="n">
        <v>-0.0429354653726714</v>
      </c>
      <c r="L1262" s="18" t="n">
        <v>0.0259793021141793</v>
      </c>
      <c r="M1262" s="18" t="n">
        <v>-1.65267970571225</v>
      </c>
      <c r="N1262" s="18" t="n">
        <v>108</v>
      </c>
      <c r="O1262" s="18" t="n">
        <v>0.101300370745847</v>
      </c>
      <c r="P1262" s="18"/>
      <c r="Q1262" s="18"/>
      <c r="R1262" s="18"/>
      <c r="S1262" s="18"/>
      <c r="T1262" s="18"/>
      <c r="U1262" s="18"/>
      <c r="V1262" s="18"/>
      <c r="W1262" s="18"/>
      <c r="X1262" s="18"/>
      <c r="Y1262" s="18"/>
      <c r="Z1262" s="18"/>
      <c r="AA1262" s="18"/>
      <c r="AB1262" s="18"/>
      <c r="AC1262" s="18"/>
      <c r="AD1262" s="18"/>
      <c r="AE1262" s="18"/>
      <c r="AF1262" s="18"/>
      <c r="AG1262" s="18"/>
      <c r="AH1262" s="18" t="s">
        <v>402</v>
      </c>
      <c r="AI1262" s="18"/>
      <c r="AJ1262" s="18" t="s">
        <v>1809</v>
      </c>
    </row>
    <row r="1263" customFormat="false" ht="15" hidden="false" customHeight="false" outlineLevel="0" collapsed="false">
      <c r="A1263" s="18" t="s">
        <v>273</v>
      </c>
      <c r="B1263" s="18" t="s">
        <v>637</v>
      </c>
      <c r="C1263" s="18" t="s">
        <v>1705</v>
      </c>
      <c r="D1263" s="18" t="s">
        <v>324</v>
      </c>
      <c r="E1263" s="18" t="s">
        <v>404</v>
      </c>
      <c r="F1263" s="18" t="s">
        <v>790</v>
      </c>
      <c r="G1263" s="18" t="n">
        <v>0.8</v>
      </c>
      <c r="H1263" s="18" t="n">
        <v>2594</v>
      </c>
      <c r="I1263" s="18" t="n">
        <v>110</v>
      </c>
      <c r="J1263" s="18" t="n">
        <v>109</v>
      </c>
      <c r="K1263" s="18" t="n">
        <v>-0.007752090150593</v>
      </c>
      <c r="L1263" s="18" t="n">
        <v>0.031289109346388</v>
      </c>
      <c r="M1263" s="18" t="n">
        <v>-0.247756817388856</v>
      </c>
      <c r="N1263" s="18" t="n">
        <v>107</v>
      </c>
      <c r="O1263" s="18" t="n">
        <v>0.804797386982274</v>
      </c>
      <c r="P1263" s="18"/>
      <c r="Q1263" s="18"/>
      <c r="R1263" s="18"/>
      <c r="S1263" s="18"/>
      <c r="T1263" s="18"/>
      <c r="U1263" s="18"/>
      <c r="V1263" s="18"/>
      <c r="W1263" s="18"/>
      <c r="X1263" s="18"/>
      <c r="Y1263" s="18"/>
      <c r="Z1263" s="18"/>
      <c r="AA1263" s="18"/>
      <c r="AB1263" s="18"/>
      <c r="AC1263" s="18"/>
      <c r="AD1263" s="18"/>
      <c r="AE1263" s="18"/>
      <c r="AF1263" s="18"/>
      <c r="AG1263" s="18"/>
      <c r="AH1263" s="18" t="s">
        <v>402</v>
      </c>
      <c r="AI1263" s="18"/>
      <c r="AJ1263" s="18" t="s">
        <v>1810</v>
      </c>
    </row>
    <row r="1264" customFormat="false" ht="15" hidden="false" customHeight="false" outlineLevel="0" collapsed="false">
      <c r="A1264" s="18" t="s">
        <v>273</v>
      </c>
      <c r="B1264" s="18" t="s">
        <v>639</v>
      </c>
      <c r="C1264" s="18" t="s">
        <v>1705</v>
      </c>
      <c r="D1264" s="18" t="s">
        <v>324</v>
      </c>
      <c r="E1264" s="18" t="s">
        <v>404</v>
      </c>
      <c r="F1264" s="18" t="s">
        <v>790</v>
      </c>
      <c r="G1264" s="18" t="n">
        <v>0.8</v>
      </c>
      <c r="H1264" s="18" t="n">
        <v>2594</v>
      </c>
      <c r="I1264" s="18" t="n">
        <v>110</v>
      </c>
      <c r="J1264" s="18" t="n">
        <v>109</v>
      </c>
      <c r="K1264" s="18" t="n">
        <v>-0.00378574936348651</v>
      </c>
      <c r="L1264" s="18" t="n">
        <v>0.033269605292777</v>
      </c>
      <c r="M1264" s="18" t="n">
        <v>-0.113790029372799</v>
      </c>
      <c r="N1264" s="18" t="n">
        <v>107</v>
      </c>
      <c r="O1264" s="18" t="n">
        <v>0.909617477438002</v>
      </c>
      <c r="P1264" s="18"/>
      <c r="Q1264" s="18"/>
      <c r="R1264" s="18"/>
      <c r="S1264" s="18"/>
      <c r="T1264" s="18"/>
      <c r="U1264" s="18"/>
      <c r="V1264" s="18"/>
      <c r="W1264" s="18"/>
      <c r="X1264" s="18"/>
      <c r="Y1264" s="18"/>
      <c r="Z1264" s="18"/>
      <c r="AA1264" s="18"/>
      <c r="AB1264" s="18"/>
      <c r="AC1264" s="18"/>
      <c r="AD1264" s="18"/>
      <c r="AE1264" s="18"/>
      <c r="AF1264" s="18"/>
      <c r="AG1264" s="18"/>
      <c r="AH1264" s="18" t="s">
        <v>402</v>
      </c>
      <c r="AI1264" s="18"/>
      <c r="AJ1264" s="18" t="s">
        <v>1811</v>
      </c>
    </row>
    <row r="1265" customFormat="false" ht="15" hidden="false" customHeight="false" outlineLevel="0" collapsed="false">
      <c r="A1265" s="18" t="s">
        <v>273</v>
      </c>
      <c r="B1265" s="18" t="s">
        <v>641</v>
      </c>
      <c r="C1265" s="18" t="s">
        <v>1705</v>
      </c>
      <c r="D1265" s="18" t="s">
        <v>324</v>
      </c>
      <c r="E1265" s="18" t="s">
        <v>404</v>
      </c>
      <c r="F1265" s="18" t="s">
        <v>790</v>
      </c>
      <c r="G1265" s="18" t="n">
        <v>0.8</v>
      </c>
      <c r="H1265" s="18" t="n">
        <v>2594</v>
      </c>
      <c r="I1265" s="18" t="n">
        <v>110</v>
      </c>
      <c r="J1265" s="18" t="n">
        <v>109</v>
      </c>
      <c r="K1265" s="18" t="n">
        <v>-0.0302983485841497</v>
      </c>
      <c r="L1265" s="18" t="n">
        <v>0.0226234362344739</v>
      </c>
      <c r="M1265" s="18" t="n">
        <v>-1.33924609286279</v>
      </c>
      <c r="N1265" s="18" t="n">
        <v>108</v>
      </c>
      <c r="O1265" s="18" t="n">
        <v>0.183302299300141</v>
      </c>
      <c r="P1265" s="18"/>
      <c r="Q1265" s="18"/>
      <c r="R1265" s="18"/>
      <c r="S1265" s="18"/>
      <c r="T1265" s="18"/>
      <c r="U1265" s="18"/>
      <c r="V1265" s="18"/>
      <c r="W1265" s="18"/>
      <c r="X1265" s="18"/>
      <c r="Y1265" s="18"/>
      <c r="Z1265" s="18"/>
      <c r="AA1265" s="18"/>
      <c r="AB1265" s="18"/>
      <c r="AC1265" s="18"/>
      <c r="AD1265" s="18"/>
      <c r="AE1265" s="18"/>
      <c r="AF1265" s="18"/>
      <c r="AG1265" s="18"/>
      <c r="AH1265" s="18" t="s">
        <v>402</v>
      </c>
      <c r="AI1265" s="18"/>
      <c r="AJ1265" s="18" t="s">
        <v>1812</v>
      </c>
    </row>
    <row r="1266" customFormat="false" ht="15" hidden="false" customHeight="false" outlineLevel="0" collapsed="false">
      <c r="A1266" s="18" t="s">
        <v>273</v>
      </c>
      <c r="B1266" s="18" t="s">
        <v>643</v>
      </c>
      <c r="C1266" s="18" t="s">
        <v>1705</v>
      </c>
      <c r="D1266" s="18" t="s">
        <v>324</v>
      </c>
      <c r="E1266" s="18" t="s">
        <v>404</v>
      </c>
      <c r="F1266" s="18" t="s">
        <v>790</v>
      </c>
      <c r="G1266" s="18" t="n">
        <v>0.8</v>
      </c>
      <c r="H1266" s="18" t="n">
        <v>2594</v>
      </c>
      <c r="I1266" s="18" t="n">
        <v>110</v>
      </c>
      <c r="J1266" s="18" t="n">
        <v>109</v>
      </c>
      <c r="K1266" s="18" t="n">
        <v>-0.0328776399500732</v>
      </c>
      <c r="L1266" s="18" t="n">
        <v>0.0214186263596856</v>
      </c>
      <c r="M1266" s="18" t="n">
        <v>-1.53500226382192</v>
      </c>
      <c r="N1266" s="18" t="n">
        <v>108</v>
      </c>
      <c r="O1266" s="18" t="n">
        <v>0.127707696006032</v>
      </c>
      <c r="P1266" s="18"/>
      <c r="Q1266" s="18"/>
      <c r="R1266" s="18"/>
      <c r="S1266" s="18"/>
      <c r="T1266" s="18"/>
      <c r="U1266" s="18"/>
      <c r="V1266" s="18"/>
      <c r="W1266" s="18"/>
      <c r="X1266" s="18"/>
      <c r="Y1266" s="18"/>
      <c r="Z1266" s="18"/>
      <c r="AA1266" s="18"/>
      <c r="AB1266" s="18"/>
      <c r="AC1266" s="18"/>
      <c r="AD1266" s="18"/>
      <c r="AE1266" s="18"/>
      <c r="AF1266" s="18"/>
      <c r="AG1266" s="18"/>
      <c r="AH1266" s="18" t="s">
        <v>402</v>
      </c>
      <c r="AI1266" s="18"/>
      <c r="AJ1266" s="18" t="s">
        <v>1813</v>
      </c>
    </row>
    <row r="1267" customFormat="false" ht="15" hidden="false" customHeight="false" outlineLevel="0" collapsed="false">
      <c r="A1267" s="18" t="s">
        <v>273</v>
      </c>
      <c r="B1267" s="18" t="s">
        <v>645</v>
      </c>
      <c r="C1267" s="18" t="s">
        <v>1705</v>
      </c>
      <c r="D1267" s="18" t="s">
        <v>324</v>
      </c>
      <c r="E1267" s="18" t="s">
        <v>404</v>
      </c>
      <c r="F1267" s="18" t="s">
        <v>790</v>
      </c>
      <c r="G1267" s="18" t="n">
        <v>0.8</v>
      </c>
      <c r="H1267" s="18" t="n">
        <v>2594</v>
      </c>
      <c r="I1267" s="18" t="n">
        <v>110</v>
      </c>
      <c r="J1267" s="18" t="n">
        <v>109</v>
      </c>
      <c r="K1267" s="18" t="n">
        <v>-0.0261093677157673</v>
      </c>
      <c r="L1267" s="18" t="n">
        <v>0.0213598162394244</v>
      </c>
      <c r="M1267" s="18" t="n">
        <v>-1.22235919181629</v>
      </c>
      <c r="N1267" s="18" t="n">
        <v>108</v>
      </c>
      <c r="O1267" s="18" t="n">
        <v>0.224232814511135</v>
      </c>
      <c r="P1267" s="18"/>
      <c r="Q1267" s="18"/>
      <c r="R1267" s="18"/>
      <c r="S1267" s="18"/>
      <c r="T1267" s="18"/>
      <c r="U1267" s="18"/>
      <c r="V1267" s="18"/>
      <c r="W1267" s="18"/>
      <c r="X1267" s="18"/>
      <c r="Y1267" s="18"/>
      <c r="Z1267" s="18"/>
      <c r="AA1267" s="18"/>
      <c r="AB1267" s="18"/>
      <c r="AC1267" s="18"/>
      <c r="AD1267" s="18"/>
      <c r="AE1267" s="18"/>
      <c r="AF1267" s="18"/>
      <c r="AG1267" s="18"/>
      <c r="AH1267" s="18" t="s">
        <v>402</v>
      </c>
      <c r="AI1267" s="18"/>
      <c r="AJ1267" s="18" t="s">
        <v>1814</v>
      </c>
    </row>
    <row r="1268" customFormat="false" ht="15" hidden="false" customHeight="false" outlineLevel="0" collapsed="false">
      <c r="A1268" s="18" t="s">
        <v>273</v>
      </c>
      <c r="B1268" s="18" t="s">
        <v>647</v>
      </c>
      <c r="C1268" s="18" t="s">
        <v>1705</v>
      </c>
      <c r="D1268" s="18" t="s">
        <v>324</v>
      </c>
      <c r="E1268" s="18" t="s">
        <v>404</v>
      </c>
      <c r="F1268" s="18" t="s">
        <v>790</v>
      </c>
      <c r="G1268" s="18" t="n">
        <v>0.8</v>
      </c>
      <c r="H1268" s="18" t="n">
        <v>900</v>
      </c>
      <c r="I1268" s="18" t="n">
        <v>38</v>
      </c>
      <c r="J1268" s="18" t="n">
        <v>38</v>
      </c>
      <c r="K1268" s="18" t="n">
        <v>-0.0369917083484894</v>
      </c>
      <c r="L1268" s="18" t="n">
        <v>0.0393761530768448</v>
      </c>
      <c r="M1268" s="18" t="n">
        <v>-0.939444446904145</v>
      </c>
      <c r="N1268" s="18" t="n">
        <v>36</v>
      </c>
      <c r="O1268" s="18" t="n">
        <v>0.353763554162059</v>
      </c>
      <c r="P1268" s="18"/>
      <c r="Q1268" s="18"/>
      <c r="R1268" s="18"/>
      <c r="S1268" s="18"/>
      <c r="T1268" s="18"/>
      <c r="U1268" s="18"/>
      <c r="V1268" s="18"/>
      <c r="W1268" s="18"/>
      <c r="X1268" s="18"/>
      <c r="Y1268" s="18"/>
      <c r="Z1268" s="18"/>
      <c r="AA1268" s="18"/>
      <c r="AB1268" s="18"/>
      <c r="AC1268" s="18"/>
      <c r="AD1268" s="18"/>
      <c r="AE1268" s="18"/>
      <c r="AF1268" s="18"/>
      <c r="AG1268" s="18"/>
      <c r="AH1268" s="18" t="s">
        <v>402</v>
      </c>
      <c r="AI1268" s="18"/>
      <c r="AJ1268" s="18" t="s">
        <v>1815</v>
      </c>
    </row>
    <row r="1269" customFormat="false" ht="15" hidden="false" customHeight="false" outlineLevel="0" collapsed="false">
      <c r="A1269" s="18" t="s">
        <v>273</v>
      </c>
      <c r="B1269" s="18" t="s">
        <v>649</v>
      </c>
      <c r="C1269" s="18" t="s">
        <v>1705</v>
      </c>
      <c r="D1269" s="18" t="s">
        <v>324</v>
      </c>
      <c r="E1269" s="18" t="s">
        <v>404</v>
      </c>
      <c r="F1269" s="18" t="s">
        <v>790</v>
      </c>
      <c r="G1269" s="18" t="n">
        <v>0.8</v>
      </c>
      <c r="H1269" s="18" t="n">
        <v>2607</v>
      </c>
      <c r="I1269" s="18" t="n">
        <v>110</v>
      </c>
      <c r="J1269" s="18" t="n">
        <v>109</v>
      </c>
      <c r="K1269" s="18" t="n">
        <v>-0.0184182697712439</v>
      </c>
      <c r="L1269" s="18" t="n">
        <v>0.022597254847616</v>
      </c>
      <c r="M1269" s="18" t="n">
        <v>-0.815066692633552</v>
      </c>
      <c r="N1269" s="18" t="n">
        <v>108</v>
      </c>
      <c r="O1269" s="18" t="n">
        <v>0.416827915251268</v>
      </c>
      <c r="P1269" s="18"/>
      <c r="Q1269" s="18"/>
      <c r="R1269" s="18"/>
      <c r="S1269" s="18"/>
      <c r="T1269" s="18"/>
      <c r="U1269" s="18"/>
      <c r="V1269" s="18"/>
      <c r="W1269" s="18"/>
      <c r="X1269" s="18"/>
      <c r="Y1269" s="18"/>
      <c r="Z1269" s="18"/>
      <c r="AA1269" s="18"/>
      <c r="AB1269" s="18"/>
      <c r="AC1269" s="18"/>
      <c r="AD1269" s="18"/>
      <c r="AE1269" s="18"/>
      <c r="AF1269" s="18"/>
      <c r="AG1269" s="18"/>
      <c r="AH1269" s="18" t="s">
        <v>402</v>
      </c>
      <c r="AI1269" s="18"/>
      <c r="AJ1269" s="18" t="s">
        <v>1816</v>
      </c>
    </row>
    <row r="1270" customFormat="false" ht="15" hidden="false" customHeight="false" outlineLevel="0" collapsed="false">
      <c r="A1270" s="18" t="s">
        <v>273</v>
      </c>
      <c r="B1270" s="18" t="s">
        <v>651</v>
      </c>
      <c r="C1270" s="18" t="s">
        <v>1705</v>
      </c>
      <c r="D1270" s="18" t="s">
        <v>324</v>
      </c>
      <c r="E1270" s="18" t="s">
        <v>404</v>
      </c>
      <c r="F1270" s="18" t="s">
        <v>790</v>
      </c>
      <c r="G1270" s="18" t="n">
        <v>0.8</v>
      </c>
      <c r="H1270" s="18" t="n">
        <v>2607</v>
      </c>
      <c r="I1270" s="18" t="n">
        <v>110</v>
      </c>
      <c r="J1270" s="18" t="n">
        <v>109</v>
      </c>
      <c r="K1270" s="18" t="n">
        <v>-0.0310698698894176</v>
      </c>
      <c r="L1270" s="18" t="n">
        <v>0.0238359879911571</v>
      </c>
      <c r="M1270" s="18" t="n">
        <v>-1.30348571667951</v>
      </c>
      <c r="N1270" s="18" t="n">
        <v>108</v>
      </c>
      <c r="O1270" s="18" t="n">
        <v>0.195180844890837</v>
      </c>
      <c r="P1270" s="18"/>
      <c r="Q1270" s="18"/>
      <c r="R1270" s="18"/>
      <c r="S1270" s="18"/>
      <c r="T1270" s="18"/>
      <c r="U1270" s="18"/>
      <c r="V1270" s="18"/>
      <c r="W1270" s="18"/>
      <c r="X1270" s="18"/>
      <c r="Y1270" s="18"/>
      <c r="Z1270" s="18"/>
      <c r="AA1270" s="18"/>
      <c r="AB1270" s="18"/>
      <c r="AC1270" s="18"/>
      <c r="AD1270" s="18"/>
      <c r="AE1270" s="18"/>
      <c r="AF1270" s="18"/>
      <c r="AG1270" s="18"/>
      <c r="AH1270" s="18" t="s">
        <v>402</v>
      </c>
      <c r="AI1270" s="18"/>
      <c r="AJ1270" s="18" t="s">
        <v>1817</v>
      </c>
    </row>
    <row r="1271" customFormat="false" ht="15" hidden="false" customHeight="false" outlineLevel="0" collapsed="false">
      <c r="A1271" s="18" t="s">
        <v>273</v>
      </c>
      <c r="B1271" s="18" t="s">
        <v>653</v>
      </c>
      <c r="C1271" s="18" t="s">
        <v>1705</v>
      </c>
      <c r="D1271" s="18" t="s">
        <v>324</v>
      </c>
      <c r="E1271" s="18" t="s">
        <v>404</v>
      </c>
      <c r="F1271" s="18" t="s">
        <v>790</v>
      </c>
      <c r="G1271" s="18" t="n">
        <v>0.8</v>
      </c>
      <c r="H1271" s="18" t="n">
        <v>2607</v>
      </c>
      <c r="I1271" s="18" t="n">
        <v>110</v>
      </c>
      <c r="J1271" s="18" t="n">
        <v>109</v>
      </c>
      <c r="K1271" s="18" t="n">
        <v>-0.0175448377735558</v>
      </c>
      <c r="L1271" s="18" t="n">
        <v>0.024765550257754</v>
      </c>
      <c r="M1271" s="18" t="n">
        <v>-0.70843722796196</v>
      </c>
      <c r="N1271" s="18" t="n">
        <v>107</v>
      </c>
      <c r="O1271" s="18" t="n">
        <v>0.480214312699241</v>
      </c>
      <c r="P1271" s="18"/>
      <c r="Q1271" s="18"/>
      <c r="R1271" s="18"/>
      <c r="S1271" s="18"/>
      <c r="T1271" s="18"/>
      <c r="U1271" s="18"/>
      <c r="V1271" s="18"/>
      <c r="W1271" s="18"/>
      <c r="X1271" s="18"/>
      <c r="Y1271" s="18"/>
      <c r="Z1271" s="18"/>
      <c r="AA1271" s="18"/>
      <c r="AB1271" s="18"/>
      <c r="AC1271" s="18"/>
      <c r="AD1271" s="18"/>
      <c r="AE1271" s="18"/>
      <c r="AF1271" s="18"/>
      <c r="AG1271" s="18"/>
      <c r="AH1271" s="18" t="s">
        <v>402</v>
      </c>
      <c r="AI1271" s="18"/>
      <c r="AJ1271" s="18" t="s">
        <v>1818</v>
      </c>
    </row>
    <row r="1272" customFormat="false" ht="15" hidden="false" customHeight="false" outlineLevel="0" collapsed="false">
      <c r="A1272" s="18" t="s">
        <v>273</v>
      </c>
      <c r="B1272" s="18" t="s">
        <v>655</v>
      </c>
      <c r="C1272" s="18" t="s">
        <v>1705</v>
      </c>
      <c r="D1272" s="18" t="s">
        <v>324</v>
      </c>
      <c r="E1272" s="18" t="s">
        <v>404</v>
      </c>
      <c r="F1272" s="18" t="s">
        <v>790</v>
      </c>
      <c r="G1272" s="18" t="n">
        <v>0.8</v>
      </c>
      <c r="H1272" s="18" t="n">
        <v>2607</v>
      </c>
      <c r="I1272" s="18" t="n">
        <v>110</v>
      </c>
      <c r="J1272" s="18" t="n">
        <v>109</v>
      </c>
      <c r="K1272" s="18" t="n">
        <v>-0.0353178255291389</v>
      </c>
      <c r="L1272" s="18" t="n">
        <v>0.0248796651944862</v>
      </c>
      <c r="M1272" s="18" t="n">
        <v>-1.4195458521269</v>
      </c>
      <c r="N1272" s="18" t="n">
        <v>108</v>
      </c>
      <c r="O1272" s="18" t="n">
        <v>0.15861989841383</v>
      </c>
      <c r="P1272" s="18"/>
      <c r="Q1272" s="18"/>
      <c r="R1272" s="18"/>
      <c r="S1272" s="18"/>
      <c r="T1272" s="18"/>
      <c r="U1272" s="18"/>
      <c r="V1272" s="18"/>
      <c r="W1272" s="18"/>
      <c r="X1272" s="18"/>
      <c r="Y1272" s="18"/>
      <c r="Z1272" s="18"/>
      <c r="AA1272" s="18"/>
      <c r="AB1272" s="18"/>
      <c r="AC1272" s="18"/>
      <c r="AD1272" s="18"/>
      <c r="AE1272" s="18"/>
      <c r="AF1272" s="18"/>
      <c r="AG1272" s="18"/>
      <c r="AH1272" s="18" t="s">
        <v>402</v>
      </c>
      <c r="AI1272" s="18"/>
      <c r="AJ1272" s="18" t="s">
        <v>1819</v>
      </c>
    </row>
    <row r="1273" customFormat="false" ht="15" hidden="false" customHeight="false" outlineLevel="0" collapsed="false">
      <c r="A1273" s="18" t="s">
        <v>273</v>
      </c>
      <c r="B1273" s="18" t="s">
        <v>657</v>
      </c>
      <c r="C1273" s="18" t="s">
        <v>1705</v>
      </c>
      <c r="D1273" s="18" t="s">
        <v>324</v>
      </c>
      <c r="E1273" s="18" t="s">
        <v>404</v>
      </c>
      <c r="F1273" s="18" t="s">
        <v>790</v>
      </c>
      <c r="G1273" s="18" t="n">
        <v>0.8</v>
      </c>
      <c r="H1273" s="18" t="n">
        <v>2607</v>
      </c>
      <c r="I1273" s="18" t="n">
        <v>110</v>
      </c>
      <c r="J1273" s="18" t="n">
        <v>109</v>
      </c>
      <c r="K1273" s="18" t="n">
        <v>-0.00208511157320386</v>
      </c>
      <c r="L1273" s="18" t="n">
        <v>0.0298630156233034</v>
      </c>
      <c r="M1273" s="18" t="n">
        <v>-0.0698225390063005</v>
      </c>
      <c r="N1273" s="18" t="n">
        <v>107</v>
      </c>
      <c r="O1273" s="18" t="n">
        <v>0.944465233164182</v>
      </c>
      <c r="P1273" s="18"/>
      <c r="Q1273" s="18"/>
      <c r="R1273" s="18"/>
      <c r="S1273" s="18"/>
      <c r="T1273" s="18"/>
      <c r="U1273" s="18"/>
      <c r="V1273" s="18"/>
      <c r="W1273" s="18"/>
      <c r="X1273" s="18"/>
      <c r="Y1273" s="18"/>
      <c r="Z1273" s="18"/>
      <c r="AA1273" s="18"/>
      <c r="AB1273" s="18"/>
      <c r="AC1273" s="18"/>
      <c r="AD1273" s="18"/>
      <c r="AE1273" s="18"/>
      <c r="AF1273" s="18"/>
      <c r="AG1273" s="18"/>
      <c r="AH1273" s="18" t="s">
        <v>402</v>
      </c>
      <c r="AI1273" s="18"/>
      <c r="AJ1273" s="18" t="s">
        <v>1820</v>
      </c>
    </row>
    <row r="1274" customFormat="false" ht="15" hidden="false" customHeight="false" outlineLevel="0" collapsed="false">
      <c r="A1274" s="18" t="s">
        <v>273</v>
      </c>
      <c r="B1274" s="18" t="s">
        <v>659</v>
      </c>
      <c r="C1274" s="18" t="s">
        <v>1705</v>
      </c>
      <c r="D1274" s="18" t="s">
        <v>324</v>
      </c>
      <c r="E1274" s="18" t="s">
        <v>404</v>
      </c>
      <c r="F1274" s="18" t="s">
        <v>790</v>
      </c>
      <c r="G1274" s="18" t="n">
        <v>0.8</v>
      </c>
      <c r="H1274" s="18" t="n">
        <v>2607</v>
      </c>
      <c r="I1274" s="18" t="n">
        <v>110</v>
      </c>
      <c r="J1274" s="18" t="n">
        <v>109</v>
      </c>
      <c r="K1274" s="18" t="n">
        <v>0.00110451479286569</v>
      </c>
      <c r="L1274" s="18" t="n">
        <v>0.0317473362117425</v>
      </c>
      <c r="M1274" s="18" t="n">
        <v>0.0347907863985502</v>
      </c>
      <c r="N1274" s="18" t="n">
        <v>107</v>
      </c>
      <c r="O1274" s="18" t="n">
        <v>0.97231138758235</v>
      </c>
      <c r="P1274" s="18"/>
      <c r="Q1274" s="18"/>
      <c r="R1274" s="18"/>
      <c r="S1274" s="18"/>
      <c r="T1274" s="18"/>
      <c r="U1274" s="18"/>
      <c r="V1274" s="18"/>
      <c r="W1274" s="18"/>
      <c r="X1274" s="18"/>
      <c r="Y1274" s="18"/>
      <c r="Z1274" s="18"/>
      <c r="AA1274" s="18"/>
      <c r="AB1274" s="18"/>
      <c r="AC1274" s="18"/>
      <c r="AD1274" s="18"/>
      <c r="AE1274" s="18"/>
      <c r="AF1274" s="18"/>
      <c r="AG1274" s="18"/>
      <c r="AH1274" s="18" t="s">
        <v>402</v>
      </c>
      <c r="AI1274" s="18"/>
      <c r="AJ1274" s="18" t="s">
        <v>1821</v>
      </c>
    </row>
    <row r="1275" customFormat="false" ht="15" hidden="false" customHeight="false" outlineLevel="0" collapsed="false">
      <c r="A1275" s="18" t="s">
        <v>273</v>
      </c>
      <c r="B1275" s="18" t="s">
        <v>661</v>
      </c>
      <c r="C1275" s="18" t="s">
        <v>1705</v>
      </c>
      <c r="D1275" s="18" t="s">
        <v>324</v>
      </c>
      <c r="E1275" s="18" t="s">
        <v>404</v>
      </c>
      <c r="F1275" s="18" t="s">
        <v>790</v>
      </c>
      <c r="G1275" s="18" t="n">
        <v>0.8</v>
      </c>
      <c r="H1275" s="18" t="n">
        <v>2607</v>
      </c>
      <c r="I1275" s="18" t="n">
        <v>110</v>
      </c>
      <c r="J1275" s="18" t="n">
        <v>109</v>
      </c>
      <c r="K1275" s="18" t="n">
        <v>-0.0241665953483489</v>
      </c>
      <c r="L1275" s="18" t="n">
        <v>0.0216493101328007</v>
      </c>
      <c r="M1275" s="18" t="n">
        <v>-1.1162755395025</v>
      </c>
      <c r="N1275" s="18" t="n">
        <v>108</v>
      </c>
      <c r="O1275" s="18" t="n">
        <v>0.266781639898425</v>
      </c>
      <c r="P1275" s="18"/>
      <c r="Q1275" s="18"/>
      <c r="R1275" s="18"/>
      <c r="S1275" s="18"/>
      <c r="T1275" s="18"/>
      <c r="U1275" s="18"/>
      <c r="V1275" s="18"/>
      <c r="W1275" s="18"/>
      <c r="X1275" s="18"/>
      <c r="Y1275" s="18"/>
      <c r="Z1275" s="18"/>
      <c r="AA1275" s="18"/>
      <c r="AB1275" s="18"/>
      <c r="AC1275" s="18"/>
      <c r="AD1275" s="18"/>
      <c r="AE1275" s="18"/>
      <c r="AF1275" s="18"/>
      <c r="AG1275" s="18"/>
      <c r="AH1275" s="18" t="s">
        <v>402</v>
      </c>
      <c r="AI1275" s="18"/>
      <c r="AJ1275" s="18" t="s">
        <v>1822</v>
      </c>
    </row>
    <row r="1276" customFormat="false" ht="15" hidden="false" customHeight="false" outlineLevel="0" collapsed="false">
      <c r="A1276" s="18" t="s">
        <v>273</v>
      </c>
      <c r="B1276" s="18" t="s">
        <v>663</v>
      </c>
      <c r="C1276" s="18" t="s">
        <v>1705</v>
      </c>
      <c r="D1276" s="18" t="s">
        <v>324</v>
      </c>
      <c r="E1276" s="18" t="s">
        <v>404</v>
      </c>
      <c r="F1276" s="18" t="s">
        <v>790</v>
      </c>
      <c r="G1276" s="18" t="n">
        <v>0.8</v>
      </c>
      <c r="H1276" s="18" t="n">
        <v>2607</v>
      </c>
      <c r="I1276" s="18" t="n">
        <v>110</v>
      </c>
      <c r="J1276" s="18" t="n">
        <v>109</v>
      </c>
      <c r="K1276" s="18" t="n">
        <v>-0.0158279357116374</v>
      </c>
      <c r="L1276" s="18" t="n">
        <v>0.0206150375352992</v>
      </c>
      <c r="M1276" s="18" t="n">
        <v>-0.767785927361772</v>
      </c>
      <c r="N1276" s="18" t="n">
        <v>108</v>
      </c>
      <c r="O1276" s="18" t="n">
        <v>0.44428980494862</v>
      </c>
      <c r="P1276" s="18"/>
      <c r="Q1276" s="18"/>
      <c r="R1276" s="18"/>
      <c r="S1276" s="18"/>
      <c r="T1276" s="18"/>
      <c r="U1276" s="18"/>
      <c r="V1276" s="18"/>
      <c r="W1276" s="18"/>
      <c r="X1276" s="18"/>
      <c r="Y1276" s="18"/>
      <c r="Z1276" s="18"/>
      <c r="AA1276" s="18"/>
      <c r="AB1276" s="18"/>
      <c r="AC1276" s="18"/>
      <c r="AD1276" s="18"/>
      <c r="AE1276" s="18"/>
      <c r="AF1276" s="18"/>
      <c r="AG1276" s="18"/>
      <c r="AH1276" s="18" t="s">
        <v>402</v>
      </c>
      <c r="AI1276" s="18"/>
      <c r="AJ1276" s="18" t="s">
        <v>1823</v>
      </c>
    </row>
    <row r="1277" customFormat="false" ht="15" hidden="false" customHeight="false" outlineLevel="0" collapsed="false">
      <c r="A1277" s="18" t="s">
        <v>273</v>
      </c>
      <c r="B1277" s="18" t="s">
        <v>665</v>
      </c>
      <c r="C1277" s="18" t="s">
        <v>1705</v>
      </c>
      <c r="D1277" s="18" t="s">
        <v>324</v>
      </c>
      <c r="E1277" s="18" t="s">
        <v>404</v>
      </c>
      <c r="F1277" s="18" t="s">
        <v>790</v>
      </c>
      <c r="G1277" s="18" t="n">
        <v>0.8</v>
      </c>
      <c r="H1277" s="18" t="n">
        <v>2607</v>
      </c>
      <c r="I1277" s="18" t="n">
        <v>110</v>
      </c>
      <c r="J1277" s="18" t="n">
        <v>109</v>
      </c>
      <c r="K1277" s="18" t="n">
        <v>-0.0132299928655041</v>
      </c>
      <c r="L1277" s="18" t="n">
        <v>0.0204858761795774</v>
      </c>
      <c r="M1277" s="18" t="n">
        <v>-0.645810447624069</v>
      </c>
      <c r="N1277" s="18" t="n">
        <v>108</v>
      </c>
      <c r="O1277" s="18" t="n">
        <v>0.519771939802449</v>
      </c>
      <c r="P1277" s="18"/>
      <c r="Q1277" s="18"/>
      <c r="R1277" s="18"/>
      <c r="S1277" s="18"/>
      <c r="T1277" s="18"/>
      <c r="U1277" s="18"/>
      <c r="V1277" s="18"/>
      <c r="W1277" s="18"/>
      <c r="X1277" s="18"/>
      <c r="Y1277" s="18"/>
      <c r="Z1277" s="18"/>
      <c r="AA1277" s="18"/>
      <c r="AB1277" s="18"/>
      <c r="AC1277" s="18"/>
      <c r="AD1277" s="18"/>
      <c r="AE1277" s="18"/>
      <c r="AF1277" s="18"/>
      <c r="AG1277" s="18"/>
      <c r="AH1277" s="18" t="s">
        <v>402</v>
      </c>
      <c r="AI1277" s="18"/>
      <c r="AJ1277" s="18" t="s">
        <v>1824</v>
      </c>
    </row>
    <row r="1278" customFormat="false" ht="15" hidden="false" customHeight="false" outlineLevel="0" collapsed="false">
      <c r="A1278" s="18" t="s">
        <v>273</v>
      </c>
      <c r="B1278" s="18" t="s">
        <v>667</v>
      </c>
      <c r="C1278" s="18" t="s">
        <v>1705</v>
      </c>
      <c r="D1278" s="18" t="s">
        <v>324</v>
      </c>
      <c r="E1278" s="18" t="s">
        <v>404</v>
      </c>
      <c r="F1278" s="18" t="s">
        <v>790</v>
      </c>
      <c r="G1278" s="18" t="n">
        <v>0.8</v>
      </c>
      <c r="H1278" s="18" t="n">
        <v>905</v>
      </c>
      <c r="I1278" s="18" t="n">
        <v>38</v>
      </c>
      <c r="J1278" s="18" t="n">
        <v>38</v>
      </c>
      <c r="K1278" s="18" t="n">
        <v>-0.0295930776484016</v>
      </c>
      <c r="L1278" s="18" t="n">
        <v>0.0332606681841436</v>
      </c>
      <c r="M1278" s="18" t="n">
        <v>-0.889731904499429</v>
      </c>
      <c r="N1278" s="18" t="n">
        <v>36</v>
      </c>
      <c r="O1278" s="18" t="n">
        <v>0.379517167806199</v>
      </c>
      <c r="P1278" s="18"/>
      <c r="Q1278" s="18"/>
      <c r="R1278" s="18"/>
      <c r="S1278" s="18"/>
      <c r="T1278" s="18"/>
      <c r="U1278" s="18"/>
      <c r="V1278" s="18"/>
      <c r="W1278" s="18"/>
      <c r="X1278" s="18"/>
      <c r="Y1278" s="18"/>
      <c r="Z1278" s="18"/>
      <c r="AA1278" s="18"/>
      <c r="AB1278" s="18"/>
      <c r="AC1278" s="18"/>
      <c r="AD1278" s="18"/>
      <c r="AE1278" s="18"/>
      <c r="AF1278" s="18"/>
      <c r="AG1278" s="18"/>
      <c r="AH1278" s="18" t="s">
        <v>402</v>
      </c>
      <c r="AI1278" s="18"/>
      <c r="AJ1278" s="18" t="s">
        <v>1825</v>
      </c>
    </row>
    <row r="1279" customFormat="false" ht="15" hidden="false" customHeight="false" outlineLevel="0" collapsed="false">
      <c r="A1279" s="18" t="s">
        <v>273</v>
      </c>
      <c r="B1279" s="18" t="s">
        <v>669</v>
      </c>
      <c r="C1279" s="18" t="s">
        <v>1705</v>
      </c>
      <c r="D1279" s="18" t="s">
        <v>324</v>
      </c>
      <c r="E1279" s="18" t="s">
        <v>404</v>
      </c>
      <c r="F1279" s="18" t="s">
        <v>790</v>
      </c>
      <c r="G1279" s="18" t="n">
        <v>0.8</v>
      </c>
      <c r="H1279" s="18" t="n">
        <v>2704</v>
      </c>
      <c r="I1279" s="18" t="n">
        <v>113</v>
      </c>
      <c r="J1279" s="18" t="n">
        <v>112</v>
      </c>
      <c r="K1279" s="18" t="n">
        <v>0.0275913553855336</v>
      </c>
      <c r="L1279" s="18" t="n">
        <v>0.0710347931185162</v>
      </c>
      <c r="M1279" s="18" t="n">
        <v>0.388420296227224</v>
      </c>
      <c r="N1279" s="18" t="n">
        <v>111</v>
      </c>
      <c r="O1279" s="18" t="n">
        <v>0.698449015213077</v>
      </c>
      <c r="P1279" s="18"/>
      <c r="Q1279" s="18"/>
      <c r="R1279" s="18"/>
      <c r="S1279" s="18"/>
      <c r="T1279" s="18"/>
      <c r="U1279" s="18"/>
      <c r="V1279" s="18"/>
      <c r="W1279" s="18"/>
      <c r="X1279" s="18"/>
      <c r="Y1279" s="18"/>
      <c r="Z1279" s="18"/>
      <c r="AA1279" s="18"/>
      <c r="AB1279" s="18"/>
      <c r="AC1279" s="18"/>
      <c r="AD1279" s="18"/>
      <c r="AE1279" s="18"/>
      <c r="AF1279" s="18"/>
      <c r="AG1279" s="18"/>
      <c r="AH1279" s="18" t="s">
        <v>402</v>
      </c>
      <c r="AI1279" s="18"/>
      <c r="AJ1279" s="18" t="s">
        <v>1826</v>
      </c>
    </row>
    <row r="1280" customFormat="false" ht="15" hidden="false" customHeight="false" outlineLevel="0" collapsed="false">
      <c r="A1280" s="18" t="s">
        <v>273</v>
      </c>
      <c r="B1280" s="18" t="s">
        <v>671</v>
      </c>
      <c r="C1280" s="18" t="s">
        <v>1705</v>
      </c>
      <c r="D1280" s="18" t="s">
        <v>324</v>
      </c>
      <c r="E1280" s="18" t="s">
        <v>404</v>
      </c>
      <c r="F1280" s="18" t="s">
        <v>790</v>
      </c>
      <c r="G1280" s="18" t="n">
        <v>0.8</v>
      </c>
      <c r="H1280" s="18" t="n">
        <v>2704</v>
      </c>
      <c r="I1280" s="18" t="n">
        <v>113</v>
      </c>
      <c r="J1280" s="18" t="n">
        <v>112</v>
      </c>
      <c r="K1280" s="18" t="n">
        <v>0.0102139413290535</v>
      </c>
      <c r="L1280" s="18" t="n">
        <v>0.0753524294199819</v>
      </c>
      <c r="M1280" s="18" t="n">
        <v>0.135548931967746</v>
      </c>
      <c r="N1280" s="18" t="n">
        <v>111</v>
      </c>
      <c r="O1280" s="18" t="n">
        <v>0.892423389271069</v>
      </c>
      <c r="P1280" s="18"/>
      <c r="Q1280" s="18"/>
      <c r="R1280" s="18"/>
      <c r="S1280" s="18"/>
      <c r="T1280" s="18"/>
      <c r="U1280" s="18"/>
      <c r="V1280" s="18"/>
      <c r="W1280" s="18"/>
      <c r="X1280" s="18"/>
      <c r="Y1280" s="18"/>
      <c r="Z1280" s="18"/>
      <c r="AA1280" s="18"/>
      <c r="AB1280" s="18"/>
      <c r="AC1280" s="18"/>
      <c r="AD1280" s="18"/>
      <c r="AE1280" s="18"/>
      <c r="AF1280" s="18"/>
      <c r="AG1280" s="18"/>
      <c r="AH1280" s="18" t="s">
        <v>402</v>
      </c>
      <c r="AI1280" s="18"/>
      <c r="AJ1280" s="18" t="s">
        <v>1827</v>
      </c>
    </row>
    <row r="1281" customFormat="false" ht="15" hidden="false" customHeight="false" outlineLevel="0" collapsed="false">
      <c r="A1281" s="18" t="s">
        <v>273</v>
      </c>
      <c r="B1281" s="18" t="s">
        <v>673</v>
      </c>
      <c r="C1281" s="18" t="s">
        <v>1705</v>
      </c>
      <c r="D1281" s="18" t="s">
        <v>324</v>
      </c>
      <c r="E1281" s="18" t="s">
        <v>404</v>
      </c>
      <c r="F1281" s="18" t="s">
        <v>790</v>
      </c>
      <c r="G1281" s="18" t="n">
        <v>0.8</v>
      </c>
      <c r="H1281" s="18" t="n">
        <v>2704</v>
      </c>
      <c r="I1281" s="18" t="n">
        <v>113</v>
      </c>
      <c r="J1281" s="18" t="n">
        <v>112</v>
      </c>
      <c r="K1281" s="18" t="n">
        <v>-0.0597953476534948</v>
      </c>
      <c r="L1281" s="18" t="n">
        <v>0.0748269742114766</v>
      </c>
      <c r="M1281" s="18" t="n">
        <v>-0.799114868449721</v>
      </c>
      <c r="N1281" s="18" t="n">
        <v>110</v>
      </c>
      <c r="O1281" s="18" t="n">
        <v>0.425945935440897</v>
      </c>
      <c r="P1281" s="18"/>
      <c r="Q1281" s="18"/>
      <c r="R1281" s="18"/>
      <c r="S1281" s="18"/>
      <c r="T1281" s="18"/>
      <c r="U1281" s="18"/>
      <c r="V1281" s="18"/>
      <c r="W1281" s="18"/>
      <c r="X1281" s="18"/>
      <c r="Y1281" s="18"/>
      <c r="Z1281" s="18"/>
      <c r="AA1281" s="18"/>
      <c r="AB1281" s="18"/>
      <c r="AC1281" s="18"/>
      <c r="AD1281" s="18"/>
      <c r="AE1281" s="18"/>
      <c r="AF1281" s="18"/>
      <c r="AG1281" s="18"/>
      <c r="AH1281" s="18" t="s">
        <v>402</v>
      </c>
      <c r="AI1281" s="18"/>
      <c r="AJ1281" s="18" t="s">
        <v>1828</v>
      </c>
    </row>
    <row r="1282" customFormat="false" ht="15" hidden="false" customHeight="false" outlineLevel="0" collapsed="false">
      <c r="A1282" s="18" t="s">
        <v>273</v>
      </c>
      <c r="B1282" s="18" t="s">
        <v>675</v>
      </c>
      <c r="C1282" s="18" t="s">
        <v>1705</v>
      </c>
      <c r="D1282" s="18" t="s">
        <v>324</v>
      </c>
      <c r="E1282" s="18" t="s">
        <v>404</v>
      </c>
      <c r="F1282" s="18" t="s">
        <v>790</v>
      </c>
      <c r="G1282" s="18" t="n">
        <v>0.8</v>
      </c>
      <c r="H1282" s="18" t="n">
        <v>2704</v>
      </c>
      <c r="I1282" s="18" t="n">
        <v>113</v>
      </c>
      <c r="J1282" s="18" t="n">
        <v>112</v>
      </c>
      <c r="K1282" s="18" t="n">
        <v>0.00629678162055253</v>
      </c>
      <c r="L1282" s="18" t="n">
        <v>0.0787761955950749</v>
      </c>
      <c r="M1282" s="18" t="n">
        <v>0.0799325427305378</v>
      </c>
      <c r="N1282" s="18" t="n">
        <v>111</v>
      </c>
      <c r="O1282" s="18" t="n">
        <v>0.936434840927632</v>
      </c>
      <c r="P1282" s="18"/>
      <c r="Q1282" s="18"/>
      <c r="R1282" s="18"/>
      <c r="S1282" s="18"/>
      <c r="T1282" s="18"/>
      <c r="U1282" s="18"/>
      <c r="V1282" s="18"/>
      <c r="W1282" s="18"/>
      <c r="X1282" s="18"/>
      <c r="Y1282" s="18"/>
      <c r="Z1282" s="18"/>
      <c r="AA1282" s="18"/>
      <c r="AB1282" s="18"/>
      <c r="AC1282" s="18"/>
      <c r="AD1282" s="18"/>
      <c r="AE1282" s="18"/>
      <c r="AF1282" s="18"/>
      <c r="AG1282" s="18"/>
      <c r="AH1282" s="18" t="s">
        <v>402</v>
      </c>
      <c r="AI1282" s="18"/>
      <c r="AJ1282" s="18" t="s">
        <v>1829</v>
      </c>
    </row>
    <row r="1283" customFormat="false" ht="15" hidden="false" customHeight="false" outlineLevel="0" collapsed="false">
      <c r="A1283" s="18" t="s">
        <v>273</v>
      </c>
      <c r="B1283" s="18" t="s">
        <v>677</v>
      </c>
      <c r="C1283" s="18" t="s">
        <v>1705</v>
      </c>
      <c r="D1283" s="18" t="s">
        <v>324</v>
      </c>
      <c r="E1283" s="18" t="s">
        <v>404</v>
      </c>
      <c r="F1283" s="18" t="s">
        <v>790</v>
      </c>
      <c r="G1283" s="18" t="n">
        <v>0.8</v>
      </c>
      <c r="H1283" s="18" t="n">
        <v>2704</v>
      </c>
      <c r="I1283" s="18" t="n">
        <v>113</v>
      </c>
      <c r="J1283" s="18" t="n">
        <v>112</v>
      </c>
      <c r="K1283" s="18" t="n">
        <v>0.029262062763948</v>
      </c>
      <c r="L1283" s="18" t="n">
        <v>0.0938962744740287</v>
      </c>
      <c r="M1283" s="18" t="n">
        <v>0.311642425941422</v>
      </c>
      <c r="N1283" s="18" t="n">
        <v>110</v>
      </c>
      <c r="O1283" s="18" t="n">
        <v>0.755902177924316</v>
      </c>
      <c r="P1283" s="18"/>
      <c r="Q1283" s="18"/>
      <c r="R1283" s="18"/>
      <c r="S1283" s="18"/>
      <c r="T1283" s="18"/>
      <c r="U1283" s="18"/>
      <c r="V1283" s="18"/>
      <c r="W1283" s="18"/>
      <c r="X1283" s="18"/>
      <c r="Y1283" s="18"/>
      <c r="Z1283" s="18"/>
      <c r="AA1283" s="18"/>
      <c r="AB1283" s="18"/>
      <c r="AC1283" s="18"/>
      <c r="AD1283" s="18"/>
      <c r="AE1283" s="18"/>
      <c r="AF1283" s="18"/>
      <c r="AG1283" s="18"/>
      <c r="AH1283" s="18" t="s">
        <v>402</v>
      </c>
      <c r="AI1283" s="18"/>
      <c r="AJ1283" s="18" t="s">
        <v>1830</v>
      </c>
    </row>
    <row r="1284" customFormat="false" ht="15" hidden="false" customHeight="false" outlineLevel="0" collapsed="false">
      <c r="A1284" s="18" t="s">
        <v>273</v>
      </c>
      <c r="B1284" s="18" t="s">
        <v>679</v>
      </c>
      <c r="C1284" s="18" t="s">
        <v>1705</v>
      </c>
      <c r="D1284" s="18" t="s">
        <v>324</v>
      </c>
      <c r="E1284" s="18" t="s">
        <v>404</v>
      </c>
      <c r="F1284" s="18" t="s">
        <v>790</v>
      </c>
      <c r="G1284" s="18" t="n">
        <v>0.8</v>
      </c>
      <c r="H1284" s="18" t="n">
        <v>2704</v>
      </c>
      <c r="I1284" s="18" t="n">
        <v>113</v>
      </c>
      <c r="J1284" s="18" t="n">
        <v>112</v>
      </c>
      <c r="K1284" s="18" t="n">
        <v>0.0333861215627619</v>
      </c>
      <c r="L1284" s="18" t="n">
        <v>0.0998304788410943</v>
      </c>
      <c r="M1284" s="18" t="n">
        <v>0.334428142089797</v>
      </c>
      <c r="N1284" s="18" t="n">
        <v>110</v>
      </c>
      <c r="O1284" s="18" t="n">
        <v>0.738693305883471</v>
      </c>
      <c r="P1284" s="18"/>
      <c r="Q1284" s="18"/>
      <c r="R1284" s="18"/>
      <c r="S1284" s="18"/>
      <c r="T1284" s="18"/>
      <c r="U1284" s="18"/>
      <c r="V1284" s="18"/>
      <c r="W1284" s="18"/>
      <c r="X1284" s="18"/>
      <c r="Y1284" s="18"/>
      <c r="Z1284" s="18"/>
      <c r="AA1284" s="18"/>
      <c r="AB1284" s="18"/>
      <c r="AC1284" s="18"/>
      <c r="AD1284" s="18"/>
      <c r="AE1284" s="18"/>
      <c r="AF1284" s="18"/>
      <c r="AG1284" s="18"/>
      <c r="AH1284" s="18" t="s">
        <v>402</v>
      </c>
      <c r="AI1284" s="18"/>
      <c r="AJ1284" s="18" t="s">
        <v>1831</v>
      </c>
    </row>
    <row r="1285" customFormat="false" ht="15" hidden="false" customHeight="false" outlineLevel="0" collapsed="false">
      <c r="A1285" s="18" t="s">
        <v>273</v>
      </c>
      <c r="B1285" s="18" t="s">
        <v>681</v>
      </c>
      <c r="C1285" s="18" t="s">
        <v>1705</v>
      </c>
      <c r="D1285" s="18" t="s">
        <v>324</v>
      </c>
      <c r="E1285" s="18" t="s">
        <v>404</v>
      </c>
      <c r="F1285" s="18" t="s">
        <v>790</v>
      </c>
      <c r="G1285" s="18" t="n">
        <v>0.8</v>
      </c>
      <c r="H1285" s="18" t="n">
        <v>2704</v>
      </c>
      <c r="I1285" s="18" t="n">
        <v>113</v>
      </c>
      <c r="J1285" s="18" t="n">
        <v>112</v>
      </c>
      <c r="K1285" s="18" t="n">
        <v>-0.0721112382655886</v>
      </c>
      <c r="L1285" s="18" t="n">
        <v>0.0664817878928858</v>
      </c>
      <c r="M1285" s="18" t="n">
        <v>-1.08467657912228</v>
      </c>
      <c r="N1285" s="18" t="n">
        <v>111</v>
      </c>
      <c r="O1285" s="18" t="n">
        <v>0.280415176923613</v>
      </c>
      <c r="P1285" s="18"/>
      <c r="Q1285" s="18"/>
      <c r="R1285" s="18"/>
      <c r="S1285" s="18"/>
      <c r="T1285" s="18"/>
      <c r="U1285" s="18"/>
      <c r="V1285" s="18"/>
      <c r="W1285" s="18"/>
      <c r="X1285" s="18"/>
      <c r="Y1285" s="18"/>
      <c r="Z1285" s="18"/>
      <c r="AA1285" s="18"/>
      <c r="AB1285" s="18"/>
      <c r="AC1285" s="18"/>
      <c r="AD1285" s="18"/>
      <c r="AE1285" s="18"/>
      <c r="AF1285" s="18"/>
      <c r="AG1285" s="18"/>
      <c r="AH1285" s="18" t="s">
        <v>402</v>
      </c>
      <c r="AI1285" s="18"/>
      <c r="AJ1285" s="18" t="s">
        <v>1832</v>
      </c>
    </row>
    <row r="1286" customFormat="false" ht="15" hidden="false" customHeight="false" outlineLevel="0" collapsed="false">
      <c r="A1286" s="18" t="s">
        <v>273</v>
      </c>
      <c r="B1286" s="18" t="s">
        <v>683</v>
      </c>
      <c r="C1286" s="18" t="s">
        <v>1705</v>
      </c>
      <c r="D1286" s="18" t="s">
        <v>324</v>
      </c>
      <c r="E1286" s="18" t="s">
        <v>404</v>
      </c>
      <c r="F1286" s="18" t="s">
        <v>790</v>
      </c>
      <c r="G1286" s="18" t="n">
        <v>0.8</v>
      </c>
      <c r="H1286" s="18" t="n">
        <v>2704</v>
      </c>
      <c r="I1286" s="18" t="n">
        <v>113</v>
      </c>
      <c r="J1286" s="18" t="n">
        <v>112</v>
      </c>
      <c r="K1286" s="18" t="n">
        <v>0.0375611385872003</v>
      </c>
      <c r="L1286" s="18" t="n">
        <v>0.063826061429837</v>
      </c>
      <c r="M1286" s="18" t="n">
        <v>0.588492188703993</v>
      </c>
      <c r="N1286" s="18" t="n">
        <v>111</v>
      </c>
      <c r="O1286" s="18" t="n">
        <v>0.557397558889573</v>
      </c>
      <c r="P1286" s="18"/>
      <c r="Q1286" s="18"/>
      <c r="R1286" s="18"/>
      <c r="S1286" s="18"/>
      <c r="T1286" s="18"/>
      <c r="U1286" s="18"/>
      <c r="V1286" s="18"/>
      <c r="W1286" s="18"/>
      <c r="X1286" s="18"/>
      <c r="Y1286" s="18"/>
      <c r="Z1286" s="18"/>
      <c r="AA1286" s="18"/>
      <c r="AB1286" s="18"/>
      <c r="AC1286" s="18"/>
      <c r="AD1286" s="18"/>
      <c r="AE1286" s="18"/>
      <c r="AF1286" s="18"/>
      <c r="AG1286" s="18"/>
      <c r="AH1286" s="18" t="s">
        <v>402</v>
      </c>
      <c r="AI1286" s="18"/>
      <c r="AJ1286" s="18" t="s">
        <v>1833</v>
      </c>
    </row>
    <row r="1287" customFormat="false" ht="15" hidden="false" customHeight="false" outlineLevel="0" collapsed="false">
      <c r="A1287" s="18" t="s">
        <v>273</v>
      </c>
      <c r="B1287" s="18" t="s">
        <v>685</v>
      </c>
      <c r="C1287" s="18" t="s">
        <v>1705</v>
      </c>
      <c r="D1287" s="18" t="s">
        <v>324</v>
      </c>
      <c r="E1287" s="18" t="s">
        <v>404</v>
      </c>
      <c r="F1287" s="18" t="s">
        <v>790</v>
      </c>
      <c r="G1287" s="18" t="n">
        <v>0.8</v>
      </c>
      <c r="H1287" s="18" t="n">
        <v>2704</v>
      </c>
      <c r="I1287" s="18" t="n">
        <v>113</v>
      </c>
      <c r="J1287" s="18" t="n">
        <v>112</v>
      </c>
      <c r="K1287" s="18" t="n">
        <v>0.0296286401066595</v>
      </c>
      <c r="L1287" s="18" t="n">
        <v>0.0638140817180161</v>
      </c>
      <c r="M1287" s="18" t="n">
        <v>0.464296269866947</v>
      </c>
      <c r="N1287" s="18" t="n">
        <v>111</v>
      </c>
      <c r="O1287" s="18" t="n">
        <v>0.643344844872929</v>
      </c>
      <c r="P1287" s="18"/>
      <c r="Q1287" s="18"/>
      <c r="R1287" s="18"/>
      <c r="S1287" s="18"/>
      <c r="T1287" s="18"/>
      <c r="U1287" s="18"/>
      <c r="V1287" s="18"/>
      <c r="W1287" s="18"/>
      <c r="X1287" s="18"/>
      <c r="Y1287" s="18"/>
      <c r="Z1287" s="18"/>
      <c r="AA1287" s="18"/>
      <c r="AB1287" s="18"/>
      <c r="AC1287" s="18"/>
      <c r="AD1287" s="18"/>
      <c r="AE1287" s="18"/>
      <c r="AF1287" s="18"/>
      <c r="AG1287" s="18"/>
      <c r="AH1287" s="18" t="s">
        <v>402</v>
      </c>
      <c r="AI1287" s="18"/>
      <c r="AJ1287" s="18" t="s">
        <v>1834</v>
      </c>
    </row>
    <row r="1288" customFormat="false" ht="15" hidden="false" customHeight="false" outlineLevel="0" collapsed="false">
      <c r="A1288" s="18" t="s">
        <v>273</v>
      </c>
      <c r="B1288" s="18" t="s">
        <v>687</v>
      </c>
      <c r="C1288" s="18" t="s">
        <v>1705</v>
      </c>
      <c r="D1288" s="18" t="s">
        <v>324</v>
      </c>
      <c r="E1288" s="18" t="s">
        <v>404</v>
      </c>
      <c r="F1288" s="18" t="s">
        <v>790</v>
      </c>
      <c r="G1288" s="18" t="n">
        <v>0.8</v>
      </c>
      <c r="H1288" s="18" t="n">
        <v>929</v>
      </c>
      <c r="I1288" s="18" t="n">
        <v>40</v>
      </c>
      <c r="J1288" s="18" t="n">
        <v>40</v>
      </c>
      <c r="K1288" s="18" t="n">
        <v>-0.0326472657875395</v>
      </c>
      <c r="L1288" s="18" t="n">
        <v>0.0384834299300132</v>
      </c>
      <c r="M1288" s="18" t="n">
        <v>-0.848346050414751</v>
      </c>
      <c r="N1288" s="18" t="n">
        <v>38</v>
      </c>
      <c r="O1288" s="18" t="n">
        <v>0.401557683189135</v>
      </c>
      <c r="P1288" s="18"/>
      <c r="Q1288" s="18"/>
      <c r="R1288" s="18"/>
      <c r="S1288" s="18"/>
      <c r="T1288" s="18"/>
      <c r="U1288" s="18"/>
      <c r="V1288" s="18"/>
      <c r="W1288" s="18"/>
      <c r="X1288" s="18"/>
      <c r="Y1288" s="18"/>
      <c r="Z1288" s="18"/>
      <c r="AA1288" s="18"/>
      <c r="AB1288" s="18"/>
      <c r="AC1288" s="18"/>
      <c r="AD1288" s="18"/>
      <c r="AE1288" s="18"/>
      <c r="AF1288" s="18"/>
      <c r="AG1288" s="18"/>
      <c r="AH1288" s="18" t="s">
        <v>402</v>
      </c>
      <c r="AI1288" s="18"/>
      <c r="AJ1288" s="18" t="s">
        <v>1835</v>
      </c>
    </row>
    <row r="1289" customFormat="false" ht="15" hidden="false" customHeight="false" outlineLevel="0" collapsed="false">
      <c r="A1289" s="18" t="s">
        <v>273</v>
      </c>
      <c r="B1289" s="18" t="s">
        <v>689</v>
      </c>
      <c r="C1289" s="18" t="s">
        <v>1705</v>
      </c>
      <c r="D1289" s="18" t="s">
        <v>324</v>
      </c>
      <c r="E1289" s="18" t="s">
        <v>404</v>
      </c>
      <c r="F1289" s="18" t="s">
        <v>790</v>
      </c>
      <c r="G1289" s="18" t="n">
        <v>0.8</v>
      </c>
      <c r="H1289" s="18" t="n">
        <v>2691</v>
      </c>
      <c r="I1289" s="18" t="n">
        <v>113</v>
      </c>
      <c r="J1289" s="18" t="n">
        <v>112</v>
      </c>
      <c r="K1289" s="18" t="n">
        <v>-0.015336497482651</v>
      </c>
      <c r="L1289" s="18" t="n">
        <v>0.0228471400263554</v>
      </c>
      <c r="M1289" s="18" t="n">
        <v>-0.67126552666809</v>
      </c>
      <c r="N1289" s="18" t="n">
        <v>111</v>
      </c>
      <c r="O1289" s="18" t="n">
        <v>0.503445924997383</v>
      </c>
      <c r="P1289" s="18"/>
      <c r="Q1289" s="18"/>
      <c r="R1289" s="18"/>
      <c r="S1289" s="18"/>
      <c r="T1289" s="18"/>
      <c r="U1289" s="18"/>
      <c r="V1289" s="18"/>
      <c r="W1289" s="18"/>
      <c r="X1289" s="18"/>
      <c r="Y1289" s="18"/>
      <c r="Z1289" s="18"/>
      <c r="AA1289" s="18"/>
      <c r="AB1289" s="18"/>
      <c r="AC1289" s="18"/>
      <c r="AD1289" s="18"/>
      <c r="AE1289" s="18"/>
      <c r="AF1289" s="18"/>
      <c r="AG1289" s="18"/>
      <c r="AH1289" s="18" t="s">
        <v>402</v>
      </c>
      <c r="AI1289" s="18"/>
      <c r="AJ1289" s="18" t="s">
        <v>1836</v>
      </c>
    </row>
    <row r="1290" customFormat="false" ht="15" hidden="false" customHeight="false" outlineLevel="0" collapsed="false">
      <c r="A1290" s="18" t="s">
        <v>273</v>
      </c>
      <c r="B1290" s="18" t="s">
        <v>691</v>
      </c>
      <c r="C1290" s="18" t="s">
        <v>1705</v>
      </c>
      <c r="D1290" s="18" t="s">
        <v>324</v>
      </c>
      <c r="E1290" s="18" t="s">
        <v>404</v>
      </c>
      <c r="F1290" s="18" t="s">
        <v>790</v>
      </c>
      <c r="G1290" s="18" t="n">
        <v>0.8</v>
      </c>
      <c r="H1290" s="18" t="n">
        <v>2691</v>
      </c>
      <c r="I1290" s="18" t="n">
        <v>113</v>
      </c>
      <c r="J1290" s="18" t="n">
        <v>112</v>
      </c>
      <c r="K1290" s="18" t="n">
        <v>-0.0306843074837953</v>
      </c>
      <c r="L1290" s="18" t="n">
        <v>0.0241132411309698</v>
      </c>
      <c r="M1290" s="18" t="n">
        <v>-1.27250863196428</v>
      </c>
      <c r="N1290" s="18" t="n">
        <v>111</v>
      </c>
      <c r="O1290" s="18" t="n">
        <v>0.205851560504163</v>
      </c>
      <c r="P1290" s="18"/>
      <c r="Q1290" s="18"/>
      <c r="R1290" s="18"/>
      <c r="S1290" s="18"/>
      <c r="T1290" s="18"/>
      <c r="U1290" s="18"/>
      <c r="V1290" s="18"/>
      <c r="W1290" s="18"/>
      <c r="X1290" s="18"/>
      <c r="Y1290" s="18"/>
      <c r="Z1290" s="18"/>
      <c r="AA1290" s="18"/>
      <c r="AB1290" s="18"/>
      <c r="AC1290" s="18"/>
      <c r="AD1290" s="18"/>
      <c r="AE1290" s="18"/>
      <c r="AF1290" s="18"/>
      <c r="AG1290" s="18"/>
      <c r="AH1290" s="18" t="s">
        <v>402</v>
      </c>
      <c r="AI1290" s="18"/>
      <c r="AJ1290" s="18" t="s">
        <v>1837</v>
      </c>
    </row>
    <row r="1291" customFormat="false" ht="15" hidden="false" customHeight="false" outlineLevel="0" collapsed="false">
      <c r="A1291" s="18" t="s">
        <v>273</v>
      </c>
      <c r="B1291" s="18" t="s">
        <v>693</v>
      </c>
      <c r="C1291" s="18" t="s">
        <v>1705</v>
      </c>
      <c r="D1291" s="18" t="s">
        <v>324</v>
      </c>
      <c r="E1291" s="18" t="s">
        <v>404</v>
      </c>
      <c r="F1291" s="18" t="s">
        <v>790</v>
      </c>
      <c r="G1291" s="18" t="n">
        <v>0.8</v>
      </c>
      <c r="H1291" s="18" t="n">
        <v>2691</v>
      </c>
      <c r="I1291" s="18" t="n">
        <v>113</v>
      </c>
      <c r="J1291" s="18" t="n">
        <v>112</v>
      </c>
      <c r="K1291" s="18" t="n">
        <v>-0.0179917720097546</v>
      </c>
      <c r="L1291" s="18" t="n">
        <v>0.0243753696919605</v>
      </c>
      <c r="M1291" s="18" t="n">
        <v>-0.738112785041723</v>
      </c>
      <c r="N1291" s="18" t="n">
        <v>110</v>
      </c>
      <c r="O1291" s="18" t="n">
        <v>0.462017718235296</v>
      </c>
      <c r="P1291" s="18"/>
      <c r="Q1291" s="18"/>
      <c r="R1291" s="18"/>
      <c r="S1291" s="18"/>
      <c r="T1291" s="18"/>
      <c r="U1291" s="18"/>
      <c r="V1291" s="18"/>
      <c r="W1291" s="18"/>
      <c r="X1291" s="18"/>
      <c r="Y1291" s="18"/>
      <c r="Z1291" s="18"/>
      <c r="AA1291" s="18"/>
      <c r="AB1291" s="18"/>
      <c r="AC1291" s="18"/>
      <c r="AD1291" s="18"/>
      <c r="AE1291" s="18"/>
      <c r="AF1291" s="18"/>
      <c r="AG1291" s="18"/>
      <c r="AH1291" s="18" t="s">
        <v>402</v>
      </c>
      <c r="AI1291" s="18"/>
      <c r="AJ1291" s="18" t="s">
        <v>1838</v>
      </c>
    </row>
    <row r="1292" customFormat="false" ht="15" hidden="false" customHeight="false" outlineLevel="0" collapsed="false">
      <c r="A1292" s="18" t="s">
        <v>273</v>
      </c>
      <c r="B1292" s="18" t="s">
        <v>695</v>
      </c>
      <c r="C1292" s="18" t="s">
        <v>1705</v>
      </c>
      <c r="D1292" s="18" t="s">
        <v>324</v>
      </c>
      <c r="E1292" s="18" t="s">
        <v>404</v>
      </c>
      <c r="F1292" s="18" t="s">
        <v>790</v>
      </c>
      <c r="G1292" s="18" t="n">
        <v>0.8</v>
      </c>
      <c r="H1292" s="18" t="n">
        <v>2691</v>
      </c>
      <c r="I1292" s="18" t="n">
        <v>113</v>
      </c>
      <c r="J1292" s="18" t="n">
        <v>112</v>
      </c>
      <c r="K1292" s="18" t="n">
        <v>-0.033322788086868</v>
      </c>
      <c r="L1292" s="18" t="n">
        <v>0.0252044959887428</v>
      </c>
      <c r="M1292" s="18" t="n">
        <v>-1.32209698229043</v>
      </c>
      <c r="N1292" s="18" t="n">
        <v>111</v>
      </c>
      <c r="O1292" s="18" t="n">
        <v>0.188853858911058</v>
      </c>
      <c r="P1292" s="18"/>
      <c r="Q1292" s="18"/>
      <c r="R1292" s="18"/>
      <c r="S1292" s="18"/>
      <c r="T1292" s="18"/>
      <c r="U1292" s="18"/>
      <c r="V1292" s="18"/>
      <c r="W1292" s="18"/>
      <c r="X1292" s="18"/>
      <c r="Y1292" s="18"/>
      <c r="Z1292" s="18"/>
      <c r="AA1292" s="18"/>
      <c r="AB1292" s="18"/>
      <c r="AC1292" s="18"/>
      <c r="AD1292" s="18"/>
      <c r="AE1292" s="18"/>
      <c r="AF1292" s="18"/>
      <c r="AG1292" s="18"/>
      <c r="AH1292" s="18" t="s">
        <v>402</v>
      </c>
      <c r="AI1292" s="18"/>
      <c r="AJ1292" s="18" t="s">
        <v>1839</v>
      </c>
    </row>
    <row r="1293" customFormat="false" ht="15" hidden="false" customHeight="false" outlineLevel="0" collapsed="false">
      <c r="A1293" s="18" t="s">
        <v>273</v>
      </c>
      <c r="B1293" s="18" t="s">
        <v>697</v>
      </c>
      <c r="C1293" s="18" t="s">
        <v>1705</v>
      </c>
      <c r="D1293" s="18" t="s">
        <v>324</v>
      </c>
      <c r="E1293" s="18" t="s">
        <v>404</v>
      </c>
      <c r="F1293" s="18" t="s">
        <v>790</v>
      </c>
      <c r="G1293" s="18" t="n">
        <v>0.8</v>
      </c>
      <c r="H1293" s="18" t="n">
        <v>2691</v>
      </c>
      <c r="I1293" s="18" t="n">
        <v>113</v>
      </c>
      <c r="J1293" s="18" t="n">
        <v>112</v>
      </c>
      <c r="K1293" s="18" t="n">
        <v>-0.00884702378160811</v>
      </c>
      <c r="L1293" s="18" t="n">
        <v>0.0302450538608714</v>
      </c>
      <c r="M1293" s="18" t="n">
        <v>-0.292511424258156</v>
      </c>
      <c r="N1293" s="18" t="n">
        <v>110</v>
      </c>
      <c r="O1293" s="18" t="n">
        <v>0.770446653505335</v>
      </c>
      <c r="P1293" s="18"/>
      <c r="Q1293" s="18"/>
      <c r="R1293" s="18"/>
      <c r="S1293" s="18"/>
      <c r="T1293" s="18"/>
      <c r="U1293" s="18"/>
      <c r="V1293" s="18"/>
      <c r="W1293" s="18"/>
      <c r="X1293" s="18"/>
      <c r="Y1293" s="18"/>
      <c r="Z1293" s="18"/>
      <c r="AA1293" s="18"/>
      <c r="AB1293" s="18"/>
      <c r="AC1293" s="18"/>
      <c r="AD1293" s="18"/>
      <c r="AE1293" s="18"/>
      <c r="AF1293" s="18"/>
      <c r="AG1293" s="18"/>
      <c r="AH1293" s="18" t="s">
        <v>402</v>
      </c>
      <c r="AI1293" s="18"/>
      <c r="AJ1293" s="18" t="s">
        <v>1840</v>
      </c>
    </row>
    <row r="1294" customFormat="false" ht="15" hidden="false" customHeight="false" outlineLevel="0" collapsed="false">
      <c r="A1294" s="18" t="s">
        <v>273</v>
      </c>
      <c r="B1294" s="18" t="s">
        <v>699</v>
      </c>
      <c r="C1294" s="18" t="s">
        <v>1705</v>
      </c>
      <c r="D1294" s="18" t="s">
        <v>324</v>
      </c>
      <c r="E1294" s="18" t="s">
        <v>404</v>
      </c>
      <c r="F1294" s="18" t="s">
        <v>790</v>
      </c>
      <c r="G1294" s="18" t="n">
        <v>0.8</v>
      </c>
      <c r="H1294" s="18" t="n">
        <v>2691</v>
      </c>
      <c r="I1294" s="18" t="n">
        <v>113</v>
      </c>
      <c r="J1294" s="18" t="n">
        <v>112</v>
      </c>
      <c r="K1294" s="18" t="n">
        <v>-0.00438454115394335</v>
      </c>
      <c r="L1294" s="18" t="n">
        <v>0.0321730884043386</v>
      </c>
      <c r="M1294" s="18" t="n">
        <v>-0.136279772051728</v>
      </c>
      <c r="N1294" s="18" t="n">
        <v>110</v>
      </c>
      <c r="O1294" s="18" t="n">
        <v>0.891849213252058</v>
      </c>
      <c r="P1294" s="18"/>
      <c r="Q1294" s="18"/>
      <c r="R1294" s="18"/>
      <c r="S1294" s="18"/>
      <c r="T1294" s="18"/>
      <c r="U1294" s="18"/>
      <c r="V1294" s="18"/>
      <c r="W1294" s="18"/>
      <c r="X1294" s="18"/>
      <c r="Y1294" s="18"/>
      <c r="Z1294" s="18"/>
      <c r="AA1294" s="18"/>
      <c r="AB1294" s="18"/>
      <c r="AC1294" s="18"/>
      <c r="AD1294" s="18"/>
      <c r="AE1294" s="18"/>
      <c r="AF1294" s="18"/>
      <c r="AG1294" s="18"/>
      <c r="AH1294" s="18" t="s">
        <v>402</v>
      </c>
      <c r="AI1294" s="18"/>
      <c r="AJ1294" s="18" t="s">
        <v>1841</v>
      </c>
    </row>
    <row r="1295" customFormat="false" ht="15" hidden="false" customHeight="false" outlineLevel="0" collapsed="false">
      <c r="A1295" s="18" t="s">
        <v>273</v>
      </c>
      <c r="B1295" s="18" t="s">
        <v>701</v>
      </c>
      <c r="C1295" s="18" t="s">
        <v>1705</v>
      </c>
      <c r="D1295" s="18" t="s">
        <v>324</v>
      </c>
      <c r="E1295" s="18" t="s">
        <v>404</v>
      </c>
      <c r="F1295" s="18" t="s">
        <v>790</v>
      </c>
      <c r="G1295" s="18" t="n">
        <v>0.8</v>
      </c>
      <c r="H1295" s="18" t="n">
        <v>2691</v>
      </c>
      <c r="I1295" s="18" t="n">
        <v>113</v>
      </c>
      <c r="J1295" s="18" t="n">
        <v>112</v>
      </c>
      <c r="K1295" s="18" t="n">
        <v>-0.0276095966155649</v>
      </c>
      <c r="L1295" s="18" t="n">
        <v>0.0215107077156608</v>
      </c>
      <c r="M1295" s="18" t="n">
        <v>-1.28352804475437</v>
      </c>
      <c r="N1295" s="18" t="n">
        <v>111</v>
      </c>
      <c r="O1295" s="18" t="n">
        <v>0.201980226150894</v>
      </c>
      <c r="P1295" s="18"/>
      <c r="Q1295" s="18"/>
      <c r="R1295" s="18"/>
      <c r="S1295" s="18"/>
      <c r="T1295" s="18"/>
      <c r="U1295" s="18"/>
      <c r="V1295" s="18"/>
      <c r="W1295" s="18"/>
      <c r="X1295" s="18"/>
      <c r="Y1295" s="18"/>
      <c r="Z1295" s="18"/>
      <c r="AA1295" s="18"/>
      <c r="AB1295" s="18"/>
      <c r="AC1295" s="18"/>
      <c r="AD1295" s="18"/>
      <c r="AE1295" s="18"/>
      <c r="AF1295" s="18"/>
      <c r="AG1295" s="18"/>
      <c r="AH1295" s="18" t="s">
        <v>402</v>
      </c>
      <c r="AI1295" s="18"/>
      <c r="AJ1295" s="18" t="s">
        <v>1842</v>
      </c>
    </row>
    <row r="1296" customFormat="false" ht="15" hidden="false" customHeight="false" outlineLevel="0" collapsed="false">
      <c r="A1296" s="18" t="s">
        <v>273</v>
      </c>
      <c r="B1296" s="18" t="s">
        <v>703</v>
      </c>
      <c r="C1296" s="18" t="s">
        <v>1705</v>
      </c>
      <c r="D1296" s="18" t="s">
        <v>324</v>
      </c>
      <c r="E1296" s="18" t="s">
        <v>404</v>
      </c>
      <c r="F1296" s="18" t="s">
        <v>790</v>
      </c>
      <c r="G1296" s="18" t="n">
        <v>0.8</v>
      </c>
      <c r="H1296" s="18" t="n">
        <v>2691</v>
      </c>
      <c r="I1296" s="18" t="n">
        <v>113</v>
      </c>
      <c r="J1296" s="18" t="n">
        <v>112</v>
      </c>
      <c r="K1296" s="18" t="n">
        <v>-0.0295826937063881</v>
      </c>
      <c r="L1296" s="18" t="n">
        <v>0.0204760823206587</v>
      </c>
      <c r="M1296" s="18" t="n">
        <v>-1.44474383542313</v>
      </c>
      <c r="N1296" s="18" t="n">
        <v>111</v>
      </c>
      <c r="O1296" s="18" t="n">
        <v>0.151346885199753</v>
      </c>
      <c r="P1296" s="18"/>
      <c r="Q1296" s="18"/>
      <c r="R1296" s="18"/>
      <c r="S1296" s="18"/>
      <c r="T1296" s="18"/>
      <c r="U1296" s="18"/>
      <c r="V1296" s="18"/>
      <c r="W1296" s="18"/>
      <c r="X1296" s="18"/>
      <c r="Y1296" s="18"/>
      <c r="Z1296" s="18"/>
      <c r="AA1296" s="18"/>
      <c r="AB1296" s="18"/>
      <c r="AC1296" s="18"/>
      <c r="AD1296" s="18"/>
      <c r="AE1296" s="18"/>
      <c r="AF1296" s="18"/>
      <c r="AG1296" s="18"/>
      <c r="AH1296" s="18" t="s">
        <v>402</v>
      </c>
      <c r="AI1296" s="18"/>
      <c r="AJ1296" s="18" t="s">
        <v>1843</v>
      </c>
    </row>
    <row r="1297" customFormat="false" ht="15" hidden="false" customHeight="false" outlineLevel="0" collapsed="false">
      <c r="A1297" s="18" t="s">
        <v>273</v>
      </c>
      <c r="B1297" s="18" t="s">
        <v>705</v>
      </c>
      <c r="C1297" s="18" t="s">
        <v>1705</v>
      </c>
      <c r="D1297" s="18" t="s">
        <v>324</v>
      </c>
      <c r="E1297" s="18" t="s">
        <v>404</v>
      </c>
      <c r="F1297" s="18" t="s">
        <v>790</v>
      </c>
      <c r="G1297" s="18" t="n">
        <v>0.8</v>
      </c>
      <c r="H1297" s="18" t="n">
        <v>2691</v>
      </c>
      <c r="I1297" s="18" t="n">
        <v>113</v>
      </c>
      <c r="J1297" s="18" t="n">
        <v>112</v>
      </c>
      <c r="K1297" s="18" t="n">
        <v>-0.0224687309869641</v>
      </c>
      <c r="L1297" s="18" t="n">
        <v>0.0204662406998019</v>
      </c>
      <c r="M1297" s="18" t="n">
        <v>-1.09784358136576</v>
      </c>
      <c r="N1297" s="18" t="n">
        <v>111</v>
      </c>
      <c r="O1297" s="18" t="n">
        <v>0.274648573653549</v>
      </c>
      <c r="P1297" s="18"/>
      <c r="Q1297" s="18"/>
      <c r="R1297" s="18"/>
      <c r="S1297" s="18"/>
      <c r="T1297" s="18"/>
      <c r="U1297" s="18"/>
      <c r="V1297" s="18"/>
      <c r="W1297" s="18"/>
      <c r="X1297" s="18"/>
      <c r="Y1297" s="18"/>
      <c r="Z1297" s="18"/>
      <c r="AA1297" s="18"/>
      <c r="AB1297" s="18"/>
      <c r="AC1297" s="18"/>
      <c r="AD1297" s="18"/>
      <c r="AE1297" s="18"/>
      <c r="AF1297" s="18"/>
      <c r="AG1297" s="18"/>
      <c r="AH1297" s="18" t="s">
        <v>402</v>
      </c>
      <c r="AI1297" s="18"/>
      <c r="AJ1297" s="18" t="s">
        <v>1844</v>
      </c>
    </row>
    <row r="1298" customFormat="false" ht="15" hidden="false" customHeight="false" outlineLevel="0" collapsed="false">
      <c r="A1298" s="18" t="s">
        <v>273</v>
      </c>
      <c r="B1298" s="18" t="s">
        <v>707</v>
      </c>
      <c r="C1298" s="18" t="s">
        <v>1705</v>
      </c>
      <c r="D1298" s="18" t="s">
        <v>324</v>
      </c>
      <c r="E1298" s="18" t="s">
        <v>404</v>
      </c>
      <c r="F1298" s="18" t="s">
        <v>790</v>
      </c>
      <c r="G1298" s="18" t="n">
        <v>0.8</v>
      </c>
      <c r="H1298" s="18" t="n">
        <v>924</v>
      </c>
      <c r="I1298" s="18" t="n">
        <v>40</v>
      </c>
      <c r="J1298" s="18" t="n">
        <v>40</v>
      </c>
      <c r="K1298" s="18" t="n">
        <v>-0.0355667944469196</v>
      </c>
      <c r="L1298" s="18" t="n">
        <v>0.0384194724581846</v>
      </c>
      <c r="M1298" s="18" t="n">
        <v>-0.925749162371507</v>
      </c>
      <c r="N1298" s="18" t="n">
        <v>38</v>
      </c>
      <c r="O1298" s="18" t="n">
        <v>0.360418593234181</v>
      </c>
      <c r="P1298" s="18"/>
      <c r="Q1298" s="18"/>
      <c r="R1298" s="18"/>
      <c r="S1298" s="18"/>
      <c r="T1298" s="18"/>
      <c r="U1298" s="18"/>
      <c r="V1298" s="18"/>
      <c r="W1298" s="18"/>
      <c r="X1298" s="18"/>
      <c r="Y1298" s="18"/>
      <c r="Z1298" s="18"/>
      <c r="AA1298" s="18"/>
      <c r="AB1298" s="18"/>
      <c r="AC1298" s="18"/>
      <c r="AD1298" s="18"/>
      <c r="AE1298" s="18"/>
      <c r="AF1298" s="18"/>
      <c r="AG1298" s="18"/>
      <c r="AH1298" s="18" t="s">
        <v>402</v>
      </c>
      <c r="AI1298" s="18"/>
      <c r="AJ1298" s="18" t="s">
        <v>1845</v>
      </c>
    </row>
    <row r="1299" customFormat="false" ht="15" hidden="false" customHeight="false" outlineLevel="0" collapsed="false">
      <c r="A1299" s="18" t="s">
        <v>273</v>
      </c>
      <c r="B1299" s="18" t="s">
        <v>709</v>
      </c>
      <c r="C1299" s="18" t="s">
        <v>1705</v>
      </c>
      <c r="D1299" s="18" t="s">
        <v>324</v>
      </c>
      <c r="E1299" s="18" t="s">
        <v>404</v>
      </c>
      <c r="F1299" s="18" t="s">
        <v>790</v>
      </c>
      <c r="G1299" s="18" t="n">
        <v>0.8</v>
      </c>
      <c r="H1299" s="18" t="n">
        <v>2704</v>
      </c>
      <c r="I1299" s="18" t="n">
        <v>113</v>
      </c>
      <c r="J1299" s="18" t="n">
        <v>112</v>
      </c>
      <c r="K1299" s="18" t="n">
        <v>-0.011559580228348</v>
      </c>
      <c r="L1299" s="18" t="n">
        <v>0.0217407298817895</v>
      </c>
      <c r="M1299" s="18" t="n">
        <v>-0.531701570793652</v>
      </c>
      <c r="N1299" s="18" t="n">
        <v>111</v>
      </c>
      <c r="O1299" s="18" t="n">
        <v>0.595995219180064</v>
      </c>
      <c r="P1299" s="18"/>
      <c r="Q1299" s="18"/>
      <c r="R1299" s="18"/>
      <c r="S1299" s="18"/>
      <c r="T1299" s="18"/>
      <c r="U1299" s="18"/>
      <c r="V1299" s="18"/>
      <c r="W1299" s="18"/>
      <c r="X1299" s="18"/>
      <c r="Y1299" s="18"/>
      <c r="Z1299" s="18"/>
      <c r="AA1299" s="18"/>
      <c r="AB1299" s="18"/>
      <c r="AC1299" s="18"/>
      <c r="AD1299" s="18"/>
      <c r="AE1299" s="18"/>
      <c r="AF1299" s="18"/>
      <c r="AG1299" s="18"/>
      <c r="AH1299" s="18" t="s">
        <v>402</v>
      </c>
      <c r="AI1299" s="18"/>
      <c r="AJ1299" s="18" t="s">
        <v>1846</v>
      </c>
    </row>
    <row r="1300" customFormat="false" ht="15" hidden="false" customHeight="false" outlineLevel="0" collapsed="false">
      <c r="A1300" s="18" t="s">
        <v>273</v>
      </c>
      <c r="B1300" s="18" t="s">
        <v>711</v>
      </c>
      <c r="C1300" s="18" t="s">
        <v>1705</v>
      </c>
      <c r="D1300" s="18" t="s">
        <v>324</v>
      </c>
      <c r="E1300" s="18" t="s">
        <v>404</v>
      </c>
      <c r="F1300" s="18" t="s">
        <v>790</v>
      </c>
      <c r="G1300" s="18" t="n">
        <v>0.8</v>
      </c>
      <c r="H1300" s="18" t="n">
        <v>2704</v>
      </c>
      <c r="I1300" s="18" t="n">
        <v>113</v>
      </c>
      <c r="J1300" s="18" t="n">
        <v>112</v>
      </c>
      <c r="K1300" s="18" t="n">
        <v>-0.0228898307204738</v>
      </c>
      <c r="L1300" s="18" t="n">
        <v>0.0229967520768368</v>
      </c>
      <c r="M1300" s="18" t="n">
        <v>-0.995350588813334</v>
      </c>
      <c r="N1300" s="18" t="n">
        <v>111</v>
      </c>
      <c r="O1300" s="18" t="n">
        <v>0.321730659964647</v>
      </c>
      <c r="P1300" s="18"/>
      <c r="Q1300" s="18"/>
      <c r="R1300" s="18"/>
      <c r="S1300" s="18"/>
      <c r="T1300" s="18"/>
      <c r="U1300" s="18"/>
      <c r="V1300" s="18"/>
      <c r="W1300" s="18"/>
      <c r="X1300" s="18"/>
      <c r="Y1300" s="18"/>
      <c r="Z1300" s="18"/>
      <c r="AA1300" s="18"/>
      <c r="AB1300" s="18"/>
      <c r="AC1300" s="18"/>
      <c r="AD1300" s="18"/>
      <c r="AE1300" s="18"/>
      <c r="AF1300" s="18"/>
      <c r="AG1300" s="18"/>
      <c r="AH1300" s="18" t="s">
        <v>402</v>
      </c>
      <c r="AI1300" s="18"/>
      <c r="AJ1300" s="18" t="s">
        <v>1847</v>
      </c>
    </row>
    <row r="1301" customFormat="false" ht="15" hidden="false" customHeight="false" outlineLevel="0" collapsed="false">
      <c r="A1301" s="18" t="s">
        <v>273</v>
      </c>
      <c r="B1301" s="18" t="s">
        <v>713</v>
      </c>
      <c r="C1301" s="18" t="s">
        <v>1705</v>
      </c>
      <c r="D1301" s="18" t="s">
        <v>324</v>
      </c>
      <c r="E1301" s="18" t="s">
        <v>404</v>
      </c>
      <c r="F1301" s="18" t="s">
        <v>790</v>
      </c>
      <c r="G1301" s="18" t="n">
        <v>0.8</v>
      </c>
      <c r="H1301" s="18" t="n">
        <v>2704</v>
      </c>
      <c r="I1301" s="18" t="n">
        <v>113</v>
      </c>
      <c r="J1301" s="18" t="n">
        <v>112</v>
      </c>
      <c r="K1301" s="18" t="n">
        <v>-0.0152638962853691</v>
      </c>
      <c r="L1301" s="18" t="n">
        <v>0.0231947144636168</v>
      </c>
      <c r="M1301" s="18" t="n">
        <v>-0.658076490198316</v>
      </c>
      <c r="N1301" s="18" t="n">
        <v>110</v>
      </c>
      <c r="O1301" s="18" t="n">
        <v>0.511863880587443</v>
      </c>
      <c r="P1301" s="18"/>
      <c r="Q1301" s="18"/>
      <c r="R1301" s="18"/>
      <c r="S1301" s="18"/>
      <c r="T1301" s="18"/>
      <c r="U1301" s="18"/>
      <c r="V1301" s="18"/>
      <c r="W1301" s="18"/>
      <c r="X1301" s="18"/>
      <c r="Y1301" s="18"/>
      <c r="Z1301" s="18"/>
      <c r="AA1301" s="18"/>
      <c r="AB1301" s="18"/>
      <c r="AC1301" s="18"/>
      <c r="AD1301" s="18"/>
      <c r="AE1301" s="18"/>
      <c r="AF1301" s="18"/>
      <c r="AG1301" s="18"/>
      <c r="AH1301" s="18" t="s">
        <v>402</v>
      </c>
      <c r="AI1301" s="18"/>
      <c r="AJ1301" s="18" t="s">
        <v>1848</v>
      </c>
    </row>
    <row r="1302" customFormat="false" ht="15" hidden="false" customHeight="false" outlineLevel="0" collapsed="false">
      <c r="A1302" s="18" t="s">
        <v>273</v>
      </c>
      <c r="B1302" s="18" t="s">
        <v>715</v>
      </c>
      <c r="C1302" s="18" t="s">
        <v>1705</v>
      </c>
      <c r="D1302" s="18" t="s">
        <v>324</v>
      </c>
      <c r="E1302" s="18" t="s">
        <v>404</v>
      </c>
      <c r="F1302" s="18" t="s">
        <v>790</v>
      </c>
      <c r="G1302" s="18" t="n">
        <v>0.8</v>
      </c>
      <c r="H1302" s="18" t="n">
        <v>2704</v>
      </c>
      <c r="I1302" s="18" t="n">
        <v>113</v>
      </c>
      <c r="J1302" s="18" t="n">
        <v>112</v>
      </c>
      <c r="K1302" s="18" t="n">
        <v>-0.0261323014853996</v>
      </c>
      <c r="L1302" s="18" t="n">
        <v>0.0240324170738472</v>
      </c>
      <c r="M1302" s="18" t="n">
        <v>-1.08737716248432</v>
      </c>
      <c r="N1302" s="18" t="n">
        <v>111</v>
      </c>
      <c r="O1302" s="18" t="n">
        <v>0.27922568840152</v>
      </c>
      <c r="P1302" s="18"/>
      <c r="Q1302" s="18"/>
      <c r="R1302" s="18"/>
      <c r="S1302" s="18"/>
      <c r="T1302" s="18"/>
      <c r="U1302" s="18"/>
      <c r="V1302" s="18"/>
      <c r="W1302" s="18"/>
      <c r="X1302" s="18"/>
      <c r="Y1302" s="18"/>
      <c r="Z1302" s="18"/>
      <c r="AA1302" s="18"/>
      <c r="AB1302" s="18"/>
      <c r="AC1302" s="18"/>
      <c r="AD1302" s="18"/>
      <c r="AE1302" s="18"/>
      <c r="AF1302" s="18"/>
      <c r="AG1302" s="18"/>
      <c r="AH1302" s="18" t="s">
        <v>402</v>
      </c>
      <c r="AI1302" s="18"/>
      <c r="AJ1302" s="18" t="s">
        <v>1849</v>
      </c>
    </row>
    <row r="1303" customFormat="false" ht="15" hidden="false" customHeight="false" outlineLevel="0" collapsed="false">
      <c r="A1303" s="18" t="s">
        <v>273</v>
      </c>
      <c r="B1303" s="18" t="s">
        <v>717</v>
      </c>
      <c r="C1303" s="18" t="s">
        <v>1705</v>
      </c>
      <c r="D1303" s="18" t="s">
        <v>324</v>
      </c>
      <c r="E1303" s="18" t="s">
        <v>404</v>
      </c>
      <c r="F1303" s="18" t="s">
        <v>790</v>
      </c>
      <c r="G1303" s="18" t="n">
        <v>0.8</v>
      </c>
      <c r="H1303" s="18" t="n">
        <v>2704</v>
      </c>
      <c r="I1303" s="18" t="n">
        <v>113</v>
      </c>
      <c r="J1303" s="18" t="n">
        <v>112</v>
      </c>
      <c r="K1303" s="18" t="n">
        <v>-0.00364643168215768</v>
      </c>
      <c r="L1303" s="18" t="n">
        <v>0.0287649688973372</v>
      </c>
      <c r="M1303" s="18" t="n">
        <v>-0.126766404482197</v>
      </c>
      <c r="N1303" s="18" t="n">
        <v>110</v>
      </c>
      <c r="O1303" s="18" t="n">
        <v>0.899356717093096</v>
      </c>
      <c r="P1303" s="18"/>
      <c r="Q1303" s="18"/>
      <c r="R1303" s="18"/>
      <c r="S1303" s="18"/>
      <c r="T1303" s="18"/>
      <c r="U1303" s="18"/>
      <c r="V1303" s="18"/>
      <c r="W1303" s="18"/>
      <c r="X1303" s="18"/>
      <c r="Y1303" s="18"/>
      <c r="Z1303" s="18"/>
      <c r="AA1303" s="18"/>
      <c r="AB1303" s="18"/>
      <c r="AC1303" s="18"/>
      <c r="AD1303" s="18"/>
      <c r="AE1303" s="18"/>
      <c r="AF1303" s="18"/>
      <c r="AG1303" s="18"/>
      <c r="AH1303" s="18" t="s">
        <v>402</v>
      </c>
      <c r="AI1303" s="18"/>
      <c r="AJ1303" s="18" t="s">
        <v>1850</v>
      </c>
    </row>
    <row r="1304" customFormat="false" ht="15" hidden="false" customHeight="false" outlineLevel="0" collapsed="false">
      <c r="A1304" s="18" t="s">
        <v>273</v>
      </c>
      <c r="B1304" s="18" t="s">
        <v>719</v>
      </c>
      <c r="C1304" s="18" t="s">
        <v>1705</v>
      </c>
      <c r="D1304" s="18" t="s">
        <v>324</v>
      </c>
      <c r="E1304" s="18" t="s">
        <v>404</v>
      </c>
      <c r="F1304" s="18" t="s">
        <v>790</v>
      </c>
      <c r="G1304" s="18" t="n">
        <v>0.8</v>
      </c>
      <c r="H1304" s="18" t="n">
        <v>2704</v>
      </c>
      <c r="I1304" s="18" t="n">
        <v>113</v>
      </c>
      <c r="J1304" s="18" t="n">
        <v>112</v>
      </c>
      <c r="K1304" s="18" t="n">
        <v>2.50788192379808E-005</v>
      </c>
      <c r="L1304" s="18" t="n">
        <v>0.0305923476576717</v>
      </c>
      <c r="M1304" s="18" t="n">
        <v>0.000819774262459776</v>
      </c>
      <c r="N1304" s="18" t="n">
        <v>110</v>
      </c>
      <c r="O1304" s="18" t="n">
        <v>0.999347399695316</v>
      </c>
      <c r="P1304" s="18"/>
      <c r="Q1304" s="18"/>
      <c r="R1304" s="18"/>
      <c r="S1304" s="18"/>
      <c r="T1304" s="18"/>
      <c r="U1304" s="18"/>
      <c r="V1304" s="18"/>
      <c r="W1304" s="18"/>
      <c r="X1304" s="18"/>
      <c r="Y1304" s="18"/>
      <c r="Z1304" s="18"/>
      <c r="AA1304" s="18"/>
      <c r="AB1304" s="18"/>
      <c r="AC1304" s="18"/>
      <c r="AD1304" s="18"/>
      <c r="AE1304" s="18"/>
      <c r="AF1304" s="18"/>
      <c r="AG1304" s="18"/>
      <c r="AH1304" s="18" t="s">
        <v>402</v>
      </c>
      <c r="AI1304" s="18"/>
      <c r="AJ1304" s="18" t="s">
        <v>1851</v>
      </c>
    </row>
    <row r="1305" customFormat="false" ht="15" hidden="false" customHeight="false" outlineLevel="0" collapsed="false">
      <c r="A1305" s="18" t="s">
        <v>273</v>
      </c>
      <c r="B1305" s="18" t="s">
        <v>721</v>
      </c>
      <c r="C1305" s="18" t="s">
        <v>1705</v>
      </c>
      <c r="D1305" s="18" t="s">
        <v>324</v>
      </c>
      <c r="E1305" s="18" t="s">
        <v>404</v>
      </c>
      <c r="F1305" s="18" t="s">
        <v>790</v>
      </c>
      <c r="G1305" s="18" t="n">
        <v>0.8</v>
      </c>
      <c r="H1305" s="18" t="n">
        <v>2704</v>
      </c>
      <c r="I1305" s="18" t="n">
        <v>113</v>
      </c>
      <c r="J1305" s="18" t="n">
        <v>112</v>
      </c>
      <c r="K1305" s="18" t="n">
        <v>-0.0221666372735699</v>
      </c>
      <c r="L1305" s="18" t="n">
        <v>0.020502108206779</v>
      </c>
      <c r="M1305" s="18" t="n">
        <v>-1.08118819050231</v>
      </c>
      <c r="N1305" s="18" t="n">
        <v>111</v>
      </c>
      <c r="O1305" s="18" t="n">
        <v>0.281956815996462</v>
      </c>
      <c r="P1305" s="18"/>
      <c r="Q1305" s="18"/>
      <c r="R1305" s="18"/>
      <c r="S1305" s="18"/>
      <c r="T1305" s="18"/>
      <c r="U1305" s="18"/>
      <c r="V1305" s="18"/>
      <c r="W1305" s="18"/>
      <c r="X1305" s="18"/>
      <c r="Y1305" s="18"/>
      <c r="Z1305" s="18"/>
      <c r="AA1305" s="18"/>
      <c r="AB1305" s="18"/>
      <c r="AC1305" s="18"/>
      <c r="AD1305" s="18"/>
      <c r="AE1305" s="18"/>
      <c r="AF1305" s="18"/>
      <c r="AG1305" s="18"/>
      <c r="AH1305" s="18" t="s">
        <v>402</v>
      </c>
      <c r="AI1305" s="18"/>
      <c r="AJ1305" s="18" t="s">
        <v>1852</v>
      </c>
    </row>
    <row r="1306" customFormat="false" ht="15" hidden="false" customHeight="false" outlineLevel="0" collapsed="false">
      <c r="A1306" s="18" t="s">
        <v>273</v>
      </c>
      <c r="B1306" s="18" t="s">
        <v>723</v>
      </c>
      <c r="C1306" s="18" t="s">
        <v>1705</v>
      </c>
      <c r="D1306" s="18" t="s">
        <v>324</v>
      </c>
      <c r="E1306" s="18" t="s">
        <v>404</v>
      </c>
      <c r="F1306" s="18" t="s">
        <v>790</v>
      </c>
      <c r="G1306" s="18" t="n">
        <v>0.8</v>
      </c>
      <c r="H1306" s="18" t="n">
        <v>2704</v>
      </c>
      <c r="I1306" s="18" t="n">
        <v>113</v>
      </c>
      <c r="J1306" s="18" t="n">
        <v>112</v>
      </c>
      <c r="K1306" s="18" t="n">
        <v>-0.0133700430763644</v>
      </c>
      <c r="L1306" s="18" t="n">
        <v>0.0196196353385182</v>
      </c>
      <c r="M1306" s="18" t="n">
        <v>-0.681462363885821</v>
      </c>
      <c r="N1306" s="18" t="n">
        <v>111</v>
      </c>
      <c r="O1306" s="18" t="n">
        <v>0.496998303952736</v>
      </c>
      <c r="P1306" s="18"/>
      <c r="Q1306" s="18"/>
      <c r="R1306" s="18"/>
      <c r="S1306" s="18"/>
      <c r="T1306" s="18"/>
      <c r="U1306" s="18"/>
      <c r="V1306" s="18"/>
      <c r="W1306" s="18"/>
      <c r="X1306" s="18"/>
      <c r="Y1306" s="18"/>
      <c r="Z1306" s="18"/>
      <c r="AA1306" s="18"/>
      <c r="AB1306" s="18"/>
      <c r="AC1306" s="18"/>
      <c r="AD1306" s="18"/>
      <c r="AE1306" s="18"/>
      <c r="AF1306" s="18"/>
      <c r="AG1306" s="18"/>
      <c r="AH1306" s="18" t="s">
        <v>402</v>
      </c>
      <c r="AI1306" s="18"/>
      <c r="AJ1306" s="18" t="s">
        <v>1853</v>
      </c>
    </row>
    <row r="1307" customFormat="false" ht="15" hidden="false" customHeight="false" outlineLevel="0" collapsed="false">
      <c r="A1307" s="18" t="s">
        <v>273</v>
      </c>
      <c r="B1307" s="18" t="s">
        <v>725</v>
      </c>
      <c r="C1307" s="18" t="s">
        <v>1705</v>
      </c>
      <c r="D1307" s="18" t="s">
        <v>324</v>
      </c>
      <c r="E1307" s="18" t="s">
        <v>404</v>
      </c>
      <c r="F1307" s="18" t="s">
        <v>790</v>
      </c>
      <c r="G1307" s="18" t="n">
        <v>0.8</v>
      </c>
      <c r="H1307" s="18" t="n">
        <v>2704</v>
      </c>
      <c r="I1307" s="18" t="n">
        <v>113</v>
      </c>
      <c r="J1307" s="18" t="n">
        <v>112</v>
      </c>
      <c r="K1307" s="18" t="n">
        <v>-0.0101397261844705</v>
      </c>
      <c r="L1307" s="18" t="n">
        <v>0.0195428885542493</v>
      </c>
      <c r="M1307" s="18" t="n">
        <v>-0.518844804150807</v>
      </c>
      <c r="N1307" s="18" t="n">
        <v>111</v>
      </c>
      <c r="O1307" s="18" t="n">
        <v>0.604901846318976</v>
      </c>
      <c r="P1307" s="18"/>
      <c r="Q1307" s="18"/>
      <c r="R1307" s="18"/>
      <c r="S1307" s="18"/>
      <c r="T1307" s="18"/>
      <c r="U1307" s="18"/>
      <c r="V1307" s="18"/>
      <c r="W1307" s="18"/>
      <c r="X1307" s="18"/>
      <c r="Y1307" s="18"/>
      <c r="Z1307" s="18"/>
      <c r="AA1307" s="18"/>
      <c r="AB1307" s="18"/>
      <c r="AC1307" s="18"/>
      <c r="AD1307" s="18"/>
      <c r="AE1307" s="18"/>
      <c r="AF1307" s="18"/>
      <c r="AG1307" s="18"/>
      <c r="AH1307" s="18" t="s">
        <v>402</v>
      </c>
      <c r="AI1307" s="18"/>
      <c r="AJ1307" s="18" t="s">
        <v>1854</v>
      </c>
    </row>
    <row r="1308" customFormat="false" ht="15" hidden="false" customHeight="false" outlineLevel="0" collapsed="false">
      <c r="A1308" s="18" t="s">
        <v>273</v>
      </c>
      <c r="B1308" s="18" t="s">
        <v>727</v>
      </c>
      <c r="C1308" s="18" t="s">
        <v>1705</v>
      </c>
      <c r="D1308" s="18" t="s">
        <v>324</v>
      </c>
      <c r="E1308" s="18" t="s">
        <v>404</v>
      </c>
      <c r="F1308" s="18" t="s">
        <v>790</v>
      </c>
      <c r="G1308" s="18" t="n">
        <v>0.8</v>
      </c>
      <c r="H1308" s="18" t="n">
        <v>929</v>
      </c>
      <c r="I1308" s="18" t="n">
        <v>40</v>
      </c>
      <c r="J1308" s="18" t="n">
        <v>40</v>
      </c>
      <c r="K1308" s="18" t="n">
        <v>-0.0288241839110529</v>
      </c>
      <c r="L1308" s="18" t="n">
        <v>0.0321742983895996</v>
      </c>
      <c r="M1308" s="18" t="n">
        <v>-0.895876067351024</v>
      </c>
      <c r="N1308" s="18" t="n">
        <v>38</v>
      </c>
      <c r="O1308" s="18" t="n">
        <v>0.37595924043789</v>
      </c>
      <c r="P1308" s="18"/>
      <c r="Q1308" s="18"/>
      <c r="R1308" s="18"/>
      <c r="S1308" s="18"/>
      <c r="T1308" s="18"/>
      <c r="U1308" s="18"/>
      <c r="V1308" s="18"/>
      <c r="W1308" s="18"/>
      <c r="X1308" s="18"/>
      <c r="Y1308" s="18"/>
      <c r="Z1308" s="18"/>
      <c r="AA1308" s="18"/>
      <c r="AB1308" s="18"/>
      <c r="AC1308" s="18"/>
      <c r="AD1308" s="18"/>
      <c r="AE1308" s="18"/>
      <c r="AF1308" s="18"/>
      <c r="AG1308" s="18"/>
      <c r="AH1308" s="18" t="s">
        <v>402</v>
      </c>
      <c r="AI1308" s="18"/>
      <c r="AJ1308" s="18" t="s">
        <v>1855</v>
      </c>
    </row>
    <row r="1309" customFormat="false" ht="15" hidden="false" customHeight="false" outlineLevel="0" collapsed="false">
      <c r="A1309" s="18" t="s">
        <v>273</v>
      </c>
      <c r="B1309" s="18" t="s">
        <v>729</v>
      </c>
      <c r="C1309" s="18" t="s">
        <v>1705</v>
      </c>
      <c r="D1309" s="18" t="s">
        <v>324</v>
      </c>
      <c r="E1309" s="18" t="s">
        <v>404</v>
      </c>
      <c r="F1309" s="18" t="s">
        <v>790</v>
      </c>
      <c r="G1309" s="18" t="n">
        <v>0.8</v>
      </c>
      <c r="H1309" s="18" t="n">
        <v>2606</v>
      </c>
      <c r="I1309" s="18" t="n">
        <v>110</v>
      </c>
      <c r="J1309" s="18" t="n">
        <v>109</v>
      </c>
      <c r="K1309" s="18" t="n">
        <v>0.0212484910890682</v>
      </c>
      <c r="L1309" s="18" t="n">
        <v>0.0725724820173011</v>
      </c>
      <c r="M1309" s="18" t="n">
        <v>0.292789918415669</v>
      </c>
      <c r="N1309" s="18" t="n">
        <v>108</v>
      </c>
      <c r="O1309" s="18" t="n">
        <v>0.770244525939966</v>
      </c>
      <c r="P1309" s="18"/>
      <c r="Q1309" s="18"/>
      <c r="R1309" s="18"/>
      <c r="S1309" s="18"/>
      <c r="T1309" s="18"/>
      <c r="U1309" s="18"/>
      <c r="V1309" s="18"/>
      <c r="W1309" s="18"/>
      <c r="X1309" s="18"/>
      <c r="Y1309" s="18"/>
      <c r="Z1309" s="18"/>
      <c r="AA1309" s="18"/>
      <c r="AB1309" s="18"/>
      <c r="AC1309" s="18"/>
      <c r="AD1309" s="18"/>
      <c r="AE1309" s="18"/>
      <c r="AF1309" s="18"/>
      <c r="AG1309" s="18"/>
      <c r="AH1309" s="18" t="s">
        <v>402</v>
      </c>
      <c r="AI1309" s="18"/>
      <c r="AJ1309" s="18" t="s">
        <v>1856</v>
      </c>
    </row>
    <row r="1310" customFormat="false" ht="15" hidden="false" customHeight="false" outlineLevel="0" collapsed="false">
      <c r="A1310" s="18" t="s">
        <v>273</v>
      </c>
      <c r="B1310" s="18" t="s">
        <v>731</v>
      </c>
      <c r="C1310" s="18" t="s">
        <v>1705</v>
      </c>
      <c r="D1310" s="18" t="s">
        <v>324</v>
      </c>
      <c r="E1310" s="18" t="s">
        <v>404</v>
      </c>
      <c r="F1310" s="18" t="s">
        <v>790</v>
      </c>
      <c r="G1310" s="18" t="n">
        <v>0.8</v>
      </c>
      <c r="H1310" s="18" t="n">
        <v>2606</v>
      </c>
      <c r="I1310" s="18" t="n">
        <v>110</v>
      </c>
      <c r="J1310" s="18" t="n">
        <v>109</v>
      </c>
      <c r="K1310" s="18" t="n">
        <v>0.0024602076489388</v>
      </c>
      <c r="L1310" s="18" t="n">
        <v>0.076883219778611</v>
      </c>
      <c r="M1310" s="18" t="n">
        <v>0.0319992796350502</v>
      </c>
      <c r="N1310" s="18" t="n">
        <v>108</v>
      </c>
      <c r="O1310" s="18" t="n">
        <v>0.974531687561814</v>
      </c>
      <c r="P1310" s="18"/>
      <c r="Q1310" s="18"/>
      <c r="R1310" s="18"/>
      <c r="S1310" s="18"/>
      <c r="T1310" s="18"/>
      <c r="U1310" s="18"/>
      <c r="V1310" s="18"/>
      <c r="W1310" s="18"/>
      <c r="X1310" s="18"/>
      <c r="Y1310" s="18"/>
      <c r="Z1310" s="18"/>
      <c r="AA1310" s="18"/>
      <c r="AB1310" s="18"/>
      <c r="AC1310" s="18"/>
      <c r="AD1310" s="18"/>
      <c r="AE1310" s="18"/>
      <c r="AF1310" s="18"/>
      <c r="AG1310" s="18"/>
      <c r="AH1310" s="18" t="s">
        <v>402</v>
      </c>
      <c r="AI1310" s="18"/>
      <c r="AJ1310" s="18" t="s">
        <v>1857</v>
      </c>
    </row>
    <row r="1311" customFormat="false" ht="15" hidden="false" customHeight="false" outlineLevel="0" collapsed="false">
      <c r="A1311" s="18" t="s">
        <v>273</v>
      </c>
      <c r="B1311" s="18" t="s">
        <v>733</v>
      </c>
      <c r="C1311" s="18" t="s">
        <v>1705</v>
      </c>
      <c r="D1311" s="18" t="s">
        <v>324</v>
      </c>
      <c r="E1311" s="18" t="s">
        <v>404</v>
      </c>
      <c r="F1311" s="18" t="s">
        <v>790</v>
      </c>
      <c r="G1311" s="18" t="n">
        <v>0.8</v>
      </c>
      <c r="H1311" s="18" t="n">
        <v>2606</v>
      </c>
      <c r="I1311" s="18" t="n">
        <v>110</v>
      </c>
      <c r="J1311" s="18" t="n">
        <v>109</v>
      </c>
      <c r="K1311" s="18" t="n">
        <v>-0.0653707544253779</v>
      </c>
      <c r="L1311" s="18" t="n">
        <v>0.0784091019464548</v>
      </c>
      <c r="M1311" s="18" t="n">
        <v>-0.833713852124199</v>
      </c>
      <c r="N1311" s="18" t="n">
        <v>107</v>
      </c>
      <c r="O1311" s="18" t="n">
        <v>0.406299550757343</v>
      </c>
      <c r="P1311" s="18"/>
      <c r="Q1311" s="18"/>
      <c r="R1311" s="18"/>
      <c r="S1311" s="18"/>
      <c r="T1311" s="18"/>
      <c r="U1311" s="18"/>
      <c r="V1311" s="18"/>
      <c r="W1311" s="18"/>
      <c r="X1311" s="18"/>
      <c r="Y1311" s="18"/>
      <c r="Z1311" s="18"/>
      <c r="AA1311" s="18"/>
      <c r="AB1311" s="18"/>
      <c r="AC1311" s="18"/>
      <c r="AD1311" s="18"/>
      <c r="AE1311" s="18"/>
      <c r="AF1311" s="18"/>
      <c r="AG1311" s="18"/>
      <c r="AH1311" s="18" t="s">
        <v>402</v>
      </c>
      <c r="AI1311" s="18"/>
      <c r="AJ1311" s="18" t="s">
        <v>1858</v>
      </c>
    </row>
    <row r="1312" customFormat="false" ht="15" hidden="false" customHeight="false" outlineLevel="0" collapsed="false">
      <c r="A1312" s="18" t="s">
        <v>273</v>
      </c>
      <c r="B1312" s="18" t="s">
        <v>735</v>
      </c>
      <c r="C1312" s="18" t="s">
        <v>1705</v>
      </c>
      <c r="D1312" s="18" t="s">
        <v>324</v>
      </c>
      <c r="E1312" s="18" t="s">
        <v>404</v>
      </c>
      <c r="F1312" s="18" t="s">
        <v>790</v>
      </c>
      <c r="G1312" s="18" t="n">
        <v>0.8</v>
      </c>
      <c r="H1312" s="18" t="n">
        <v>2606</v>
      </c>
      <c r="I1312" s="18" t="n">
        <v>110</v>
      </c>
      <c r="J1312" s="18" t="n">
        <v>109</v>
      </c>
      <c r="K1312" s="18" t="n">
        <v>-0.00247748954240108</v>
      </c>
      <c r="L1312" s="18" t="n">
        <v>0.080324129475311</v>
      </c>
      <c r="M1312" s="18" t="n">
        <v>-0.0308436525684674</v>
      </c>
      <c r="N1312" s="18" t="n">
        <v>108</v>
      </c>
      <c r="O1312" s="18" t="n">
        <v>0.97545115439883</v>
      </c>
      <c r="P1312" s="18"/>
      <c r="Q1312" s="18"/>
      <c r="R1312" s="18"/>
      <c r="S1312" s="18"/>
      <c r="T1312" s="18"/>
      <c r="U1312" s="18"/>
      <c r="V1312" s="18"/>
      <c r="W1312" s="18"/>
      <c r="X1312" s="18"/>
      <c r="Y1312" s="18"/>
      <c r="Z1312" s="18"/>
      <c r="AA1312" s="18"/>
      <c r="AB1312" s="18"/>
      <c r="AC1312" s="18"/>
      <c r="AD1312" s="18"/>
      <c r="AE1312" s="18"/>
      <c r="AF1312" s="18"/>
      <c r="AG1312" s="18"/>
      <c r="AH1312" s="18" t="s">
        <v>402</v>
      </c>
      <c r="AI1312" s="18"/>
      <c r="AJ1312" s="18" t="s">
        <v>1859</v>
      </c>
    </row>
    <row r="1313" customFormat="false" ht="15" hidden="false" customHeight="false" outlineLevel="0" collapsed="false">
      <c r="A1313" s="18" t="s">
        <v>273</v>
      </c>
      <c r="B1313" s="18" t="s">
        <v>737</v>
      </c>
      <c r="C1313" s="18" t="s">
        <v>1705</v>
      </c>
      <c r="D1313" s="18" t="s">
        <v>324</v>
      </c>
      <c r="E1313" s="18" t="s">
        <v>404</v>
      </c>
      <c r="F1313" s="18" t="s">
        <v>790</v>
      </c>
      <c r="G1313" s="18" t="n">
        <v>0.8</v>
      </c>
      <c r="H1313" s="18" t="n">
        <v>2606</v>
      </c>
      <c r="I1313" s="18" t="n">
        <v>110</v>
      </c>
      <c r="J1313" s="18" t="n">
        <v>109</v>
      </c>
      <c r="K1313" s="18" t="n">
        <v>0.0314319359226509</v>
      </c>
      <c r="L1313" s="18" t="n">
        <v>0.0956125405691225</v>
      </c>
      <c r="M1313" s="18" t="n">
        <v>0.328742816952211</v>
      </c>
      <c r="N1313" s="18" t="n">
        <v>107</v>
      </c>
      <c r="O1313" s="18" t="n">
        <v>0.742992620452291</v>
      </c>
      <c r="P1313" s="18"/>
      <c r="Q1313" s="18"/>
      <c r="R1313" s="18"/>
      <c r="S1313" s="18"/>
      <c r="T1313" s="18"/>
      <c r="U1313" s="18"/>
      <c r="V1313" s="18"/>
      <c r="W1313" s="18"/>
      <c r="X1313" s="18"/>
      <c r="Y1313" s="18"/>
      <c r="Z1313" s="18"/>
      <c r="AA1313" s="18"/>
      <c r="AB1313" s="18"/>
      <c r="AC1313" s="18"/>
      <c r="AD1313" s="18"/>
      <c r="AE1313" s="18"/>
      <c r="AF1313" s="18"/>
      <c r="AG1313" s="18"/>
      <c r="AH1313" s="18" t="s">
        <v>402</v>
      </c>
      <c r="AI1313" s="18"/>
      <c r="AJ1313" s="18" t="s">
        <v>1860</v>
      </c>
    </row>
    <row r="1314" customFormat="false" ht="15" hidden="false" customHeight="false" outlineLevel="0" collapsed="false">
      <c r="A1314" s="18" t="s">
        <v>273</v>
      </c>
      <c r="B1314" s="18" t="s">
        <v>739</v>
      </c>
      <c r="C1314" s="18" t="s">
        <v>1705</v>
      </c>
      <c r="D1314" s="18" t="s">
        <v>324</v>
      </c>
      <c r="E1314" s="18" t="s">
        <v>404</v>
      </c>
      <c r="F1314" s="18" t="s">
        <v>790</v>
      </c>
      <c r="G1314" s="18" t="n">
        <v>0.8</v>
      </c>
      <c r="H1314" s="18" t="n">
        <v>2606</v>
      </c>
      <c r="I1314" s="18" t="n">
        <v>110</v>
      </c>
      <c r="J1314" s="18" t="n">
        <v>109</v>
      </c>
      <c r="K1314" s="18" t="n">
        <v>0.0355340799908398</v>
      </c>
      <c r="L1314" s="18" t="n">
        <v>0.10162228473646</v>
      </c>
      <c r="M1314" s="18" t="n">
        <v>0.349668186293897</v>
      </c>
      <c r="N1314" s="18" t="n">
        <v>107</v>
      </c>
      <c r="O1314" s="18" t="n">
        <v>0.72727501225224</v>
      </c>
      <c r="P1314" s="18"/>
      <c r="Q1314" s="18"/>
      <c r="R1314" s="18"/>
      <c r="S1314" s="18"/>
      <c r="T1314" s="18"/>
      <c r="U1314" s="18"/>
      <c r="V1314" s="18"/>
      <c r="W1314" s="18"/>
      <c r="X1314" s="18"/>
      <c r="Y1314" s="18"/>
      <c r="Z1314" s="18"/>
      <c r="AA1314" s="18"/>
      <c r="AB1314" s="18"/>
      <c r="AC1314" s="18"/>
      <c r="AD1314" s="18"/>
      <c r="AE1314" s="18"/>
      <c r="AF1314" s="18"/>
      <c r="AG1314" s="18"/>
      <c r="AH1314" s="18" t="s">
        <v>402</v>
      </c>
      <c r="AI1314" s="18"/>
      <c r="AJ1314" s="18" t="s">
        <v>1861</v>
      </c>
    </row>
    <row r="1315" customFormat="false" ht="15" hidden="false" customHeight="false" outlineLevel="0" collapsed="false">
      <c r="A1315" s="18" t="s">
        <v>273</v>
      </c>
      <c r="B1315" s="18" t="s">
        <v>741</v>
      </c>
      <c r="C1315" s="18" t="s">
        <v>1705</v>
      </c>
      <c r="D1315" s="18" t="s">
        <v>324</v>
      </c>
      <c r="E1315" s="18" t="s">
        <v>404</v>
      </c>
      <c r="F1315" s="18" t="s">
        <v>790</v>
      </c>
      <c r="G1315" s="18" t="n">
        <v>0.8</v>
      </c>
      <c r="H1315" s="18" t="n">
        <v>2606</v>
      </c>
      <c r="I1315" s="18" t="n">
        <v>110</v>
      </c>
      <c r="J1315" s="18" t="n">
        <v>109</v>
      </c>
      <c r="K1315" s="18" t="n">
        <v>-0.0770302707347653</v>
      </c>
      <c r="L1315" s="18" t="n">
        <v>0.0688674199283254</v>
      </c>
      <c r="M1315" s="18" t="n">
        <v>-1.11852993498138</v>
      </c>
      <c r="N1315" s="18" t="n">
        <v>108</v>
      </c>
      <c r="O1315" s="18" t="n">
        <v>0.265822467875657</v>
      </c>
      <c r="P1315" s="18"/>
      <c r="Q1315" s="18"/>
      <c r="R1315" s="18"/>
      <c r="S1315" s="18"/>
      <c r="T1315" s="18"/>
      <c r="U1315" s="18"/>
      <c r="V1315" s="18"/>
      <c r="W1315" s="18"/>
      <c r="X1315" s="18"/>
      <c r="Y1315" s="18"/>
      <c r="Z1315" s="18"/>
      <c r="AA1315" s="18"/>
      <c r="AB1315" s="18"/>
      <c r="AC1315" s="18"/>
      <c r="AD1315" s="18"/>
      <c r="AE1315" s="18"/>
      <c r="AF1315" s="18"/>
      <c r="AG1315" s="18"/>
      <c r="AH1315" s="18" t="s">
        <v>402</v>
      </c>
      <c r="AI1315" s="18"/>
      <c r="AJ1315" s="18" t="s">
        <v>1862</v>
      </c>
    </row>
    <row r="1316" customFormat="false" ht="15" hidden="false" customHeight="false" outlineLevel="0" collapsed="false">
      <c r="A1316" s="18" t="s">
        <v>273</v>
      </c>
      <c r="B1316" s="18" t="s">
        <v>743</v>
      </c>
      <c r="C1316" s="18" t="s">
        <v>1705</v>
      </c>
      <c r="D1316" s="18" t="s">
        <v>324</v>
      </c>
      <c r="E1316" s="18" t="s">
        <v>404</v>
      </c>
      <c r="F1316" s="18" t="s">
        <v>790</v>
      </c>
      <c r="G1316" s="18" t="n">
        <v>0.8</v>
      </c>
      <c r="H1316" s="18" t="n">
        <v>2606</v>
      </c>
      <c r="I1316" s="18" t="n">
        <v>110</v>
      </c>
      <c r="J1316" s="18" t="n">
        <v>109</v>
      </c>
      <c r="K1316" s="18" t="n">
        <v>0.0362563786600978</v>
      </c>
      <c r="L1316" s="18" t="n">
        <v>0.0658431138936647</v>
      </c>
      <c r="M1316" s="18" t="n">
        <v>0.550647995151795</v>
      </c>
      <c r="N1316" s="18" t="n">
        <v>108</v>
      </c>
      <c r="O1316" s="18" t="n">
        <v>0.583012225790327</v>
      </c>
      <c r="P1316" s="18"/>
      <c r="Q1316" s="18"/>
      <c r="R1316" s="18"/>
      <c r="S1316" s="18"/>
      <c r="T1316" s="18"/>
      <c r="U1316" s="18"/>
      <c r="V1316" s="18"/>
      <c r="W1316" s="18"/>
      <c r="X1316" s="18"/>
      <c r="Y1316" s="18"/>
      <c r="Z1316" s="18"/>
      <c r="AA1316" s="18"/>
      <c r="AB1316" s="18"/>
      <c r="AC1316" s="18"/>
      <c r="AD1316" s="18"/>
      <c r="AE1316" s="18"/>
      <c r="AF1316" s="18"/>
      <c r="AG1316" s="18"/>
      <c r="AH1316" s="18" t="s">
        <v>402</v>
      </c>
      <c r="AI1316" s="18"/>
      <c r="AJ1316" s="18" t="s">
        <v>1863</v>
      </c>
    </row>
    <row r="1317" customFormat="false" ht="15" hidden="false" customHeight="false" outlineLevel="0" collapsed="false">
      <c r="A1317" s="18" t="s">
        <v>273</v>
      </c>
      <c r="B1317" s="18" t="s">
        <v>745</v>
      </c>
      <c r="C1317" s="18" t="s">
        <v>1705</v>
      </c>
      <c r="D1317" s="18" t="s">
        <v>324</v>
      </c>
      <c r="E1317" s="18" t="s">
        <v>404</v>
      </c>
      <c r="F1317" s="18" t="s">
        <v>790</v>
      </c>
      <c r="G1317" s="18" t="n">
        <v>0.8</v>
      </c>
      <c r="H1317" s="18" t="n">
        <v>2606</v>
      </c>
      <c r="I1317" s="18" t="n">
        <v>110</v>
      </c>
      <c r="J1317" s="18" t="n">
        <v>109</v>
      </c>
      <c r="K1317" s="18" t="n">
        <v>0.0271951570288804</v>
      </c>
      <c r="L1317" s="18" t="n">
        <v>0.0656854351009275</v>
      </c>
      <c r="M1317" s="18" t="n">
        <v>0.414021114225616</v>
      </c>
      <c r="N1317" s="18" t="n">
        <v>108</v>
      </c>
      <c r="O1317" s="18" t="n">
        <v>0.67967971848685</v>
      </c>
      <c r="P1317" s="18"/>
      <c r="Q1317" s="18"/>
      <c r="R1317" s="18"/>
      <c r="S1317" s="18"/>
      <c r="T1317" s="18"/>
      <c r="U1317" s="18"/>
      <c r="V1317" s="18"/>
      <c r="W1317" s="18"/>
      <c r="X1317" s="18"/>
      <c r="Y1317" s="18"/>
      <c r="Z1317" s="18"/>
      <c r="AA1317" s="18"/>
      <c r="AB1317" s="18"/>
      <c r="AC1317" s="18"/>
      <c r="AD1317" s="18"/>
      <c r="AE1317" s="18"/>
      <c r="AF1317" s="18"/>
      <c r="AG1317" s="18"/>
      <c r="AH1317" s="18" t="s">
        <v>402</v>
      </c>
      <c r="AI1317" s="18"/>
      <c r="AJ1317" s="18" t="s">
        <v>1864</v>
      </c>
    </row>
    <row r="1318" customFormat="false" ht="15" hidden="false" customHeight="false" outlineLevel="0" collapsed="false">
      <c r="A1318" s="18" t="s">
        <v>273</v>
      </c>
      <c r="B1318" s="18" t="s">
        <v>747</v>
      </c>
      <c r="C1318" s="18" t="s">
        <v>1705</v>
      </c>
      <c r="D1318" s="18" t="s">
        <v>324</v>
      </c>
      <c r="E1318" s="18" t="s">
        <v>404</v>
      </c>
      <c r="F1318" s="18" t="s">
        <v>790</v>
      </c>
      <c r="G1318" s="18" t="n">
        <v>0.8</v>
      </c>
      <c r="H1318" s="18" t="n">
        <v>905</v>
      </c>
      <c r="I1318" s="18" t="n">
        <v>38</v>
      </c>
      <c r="J1318" s="18" t="n">
        <v>38</v>
      </c>
      <c r="K1318" s="18" t="n">
        <v>-0.0360454614381141</v>
      </c>
      <c r="L1318" s="18" t="n">
        <v>0.040043536975806</v>
      </c>
      <c r="M1318" s="18" t="n">
        <v>-0.900156783350394</v>
      </c>
      <c r="N1318" s="18" t="n">
        <v>36</v>
      </c>
      <c r="O1318" s="18" t="n">
        <v>0.374019166755352</v>
      </c>
      <c r="P1318" s="18"/>
      <c r="Q1318" s="18"/>
      <c r="R1318" s="18"/>
      <c r="S1318" s="18"/>
      <c r="T1318" s="18"/>
      <c r="U1318" s="18"/>
      <c r="V1318" s="18"/>
      <c r="W1318" s="18"/>
      <c r="X1318" s="18"/>
      <c r="Y1318" s="18"/>
      <c r="Z1318" s="18"/>
      <c r="AA1318" s="18"/>
      <c r="AB1318" s="18"/>
      <c r="AC1318" s="18"/>
      <c r="AD1318" s="18"/>
      <c r="AE1318" s="18"/>
      <c r="AF1318" s="18"/>
      <c r="AG1318" s="18"/>
      <c r="AH1318" s="18" t="s">
        <v>402</v>
      </c>
      <c r="AI1318" s="18"/>
      <c r="AJ1318" s="18" t="s">
        <v>1865</v>
      </c>
    </row>
    <row r="1319" customFormat="false" ht="15" hidden="false" customHeight="false" outlineLevel="0" collapsed="false">
      <c r="A1319" s="18" t="s">
        <v>273</v>
      </c>
      <c r="B1319" s="18" t="s">
        <v>749</v>
      </c>
      <c r="C1319" s="18" t="s">
        <v>1705</v>
      </c>
      <c r="D1319" s="18" t="s">
        <v>324</v>
      </c>
      <c r="E1319" s="18" t="s">
        <v>404</v>
      </c>
      <c r="F1319" s="18" t="s">
        <v>790</v>
      </c>
      <c r="G1319" s="18" t="n">
        <v>0.8</v>
      </c>
      <c r="H1319" s="18" t="n">
        <v>2593</v>
      </c>
      <c r="I1319" s="18" t="n">
        <v>110</v>
      </c>
      <c r="J1319" s="18" t="n">
        <v>109</v>
      </c>
      <c r="K1319" s="18" t="n">
        <v>-0.0233705136633434</v>
      </c>
      <c r="L1319" s="18" t="n">
        <v>0.0237860243389775</v>
      </c>
      <c r="M1319" s="18" t="n">
        <v>-0.982531310415199</v>
      </c>
      <c r="N1319" s="18" t="n">
        <v>108</v>
      </c>
      <c r="O1319" s="18" t="n">
        <v>0.32803412091373</v>
      </c>
      <c r="P1319" s="18"/>
      <c r="Q1319" s="18"/>
      <c r="R1319" s="18"/>
      <c r="S1319" s="18"/>
      <c r="T1319" s="18"/>
      <c r="U1319" s="18"/>
      <c r="V1319" s="18"/>
      <c r="W1319" s="18"/>
      <c r="X1319" s="18"/>
      <c r="Y1319" s="18"/>
      <c r="Z1319" s="18"/>
      <c r="AA1319" s="18"/>
      <c r="AB1319" s="18"/>
      <c r="AC1319" s="18"/>
      <c r="AD1319" s="18"/>
      <c r="AE1319" s="18"/>
      <c r="AF1319" s="18"/>
      <c r="AG1319" s="18"/>
      <c r="AH1319" s="18" t="s">
        <v>402</v>
      </c>
      <c r="AI1319" s="18"/>
      <c r="AJ1319" s="18" t="s">
        <v>1866</v>
      </c>
    </row>
    <row r="1320" customFormat="false" ht="15" hidden="false" customHeight="false" outlineLevel="0" collapsed="false">
      <c r="A1320" s="18" t="s">
        <v>273</v>
      </c>
      <c r="B1320" s="18" t="s">
        <v>751</v>
      </c>
      <c r="C1320" s="18" t="s">
        <v>1705</v>
      </c>
      <c r="D1320" s="18" t="s">
        <v>324</v>
      </c>
      <c r="E1320" s="18" t="s">
        <v>404</v>
      </c>
      <c r="F1320" s="18" t="s">
        <v>790</v>
      </c>
      <c r="G1320" s="18" t="n">
        <v>0.8</v>
      </c>
      <c r="H1320" s="18" t="n">
        <v>2593</v>
      </c>
      <c r="I1320" s="18" t="n">
        <v>110</v>
      </c>
      <c r="J1320" s="18" t="n">
        <v>109</v>
      </c>
      <c r="K1320" s="18" t="n">
        <v>-0.039969800439034</v>
      </c>
      <c r="L1320" s="18" t="n">
        <v>0.0250215743746042</v>
      </c>
      <c r="M1320" s="18" t="n">
        <v>-1.59741348968039</v>
      </c>
      <c r="N1320" s="18" t="n">
        <v>108</v>
      </c>
      <c r="O1320" s="18" t="n">
        <v>0.11309541964899</v>
      </c>
      <c r="P1320" s="18"/>
      <c r="Q1320" s="18"/>
      <c r="R1320" s="18"/>
      <c r="S1320" s="18"/>
      <c r="T1320" s="18"/>
      <c r="U1320" s="18"/>
      <c r="V1320" s="18"/>
      <c r="W1320" s="18"/>
      <c r="X1320" s="18"/>
      <c r="Y1320" s="18"/>
      <c r="Z1320" s="18"/>
      <c r="AA1320" s="18"/>
      <c r="AB1320" s="18"/>
      <c r="AC1320" s="18"/>
      <c r="AD1320" s="18"/>
      <c r="AE1320" s="18"/>
      <c r="AF1320" s="18"/>
      <c r="AG1320" s="18"/>
      <c r="AH1320" s="18" t="s">
        <v>402</v>
      </c>
      <c r="AI1320" s="18"/>
      <c r="AJ1320" s="18" t="s">
        <v>1867</v>
      </c>
    </row>
    <row r="1321" customFormat="false" ht="15" hidden="false" customHeight="false" outlineLevel="0" collapsed="false">
      <c r="A1321" s="18" t="s">
        <v>273</v>
      </c>
      <c r="B1321" s="18" t="s">
        <v>753</v>
      </c>
      <c r="C1321" s="18" t="s">
        <v>1705</v>
      </c>
      <c r="D1321" s="18" t="s">
        <v>324</v>
      </c>
      <c r="E1321" s="18" t="s">
        <v>404</v>
      </c>
      <c r="F1321" s="18" t="s">
        <v>790</v>
      </c>
      <c r="G1321" s="18" t="n">
        <v>0.8</v>
      </c>
      <c r="H1321" s="18" t="n">
        <v>2593</v>
      </c>
      <c r="I1321" s="18" t="n">
        <v>110</v>
      </c>
      <c r="J1321" s="18" t="n">
        <v>109</v>
      </c>
      <c r="K1321" s="18" t="n">
        <v>-0.0235366199936791</v>
      </c>
      <c r="L1321" s="18" t="n">
        <v>0.0260877713346843</v>
      </c>
      <c r="M1321" s="18" t="n">
        <v>-0.902208919716597</v>
      </c>
      <c r="N1321" s="18" t="n">
        <v>107</v>
      </c>
      <c r="O1321" s="18" t="n">
        <v>0.368972359372301</v>
      </c>
      <c r="P1321" s="18"/>
      <c r="Q1321" s="18"/>
      <c r="R1321" s="18"/>
      <c r="S1321" s="18"/>
      <c r="T1321" s="18"/>
      <c r="U1321" s="18"/>
      <c r="V1321" s="18"/>
      <c r="W1321" s="18"/>
      <c r="X1321" s="18"/>
      <c r="Y1321" s="18"/>
      <c r="Z1321" s="18"/>
      <c r="AA1321" s="18"/>
      <c r="AB1321" s="18"/>
      <c r="AC1321" s="18"/>
      <c r="AD1321" s="18"/>
      <c r="AE1321" s="18"/>
      <c r="AF1321" s="18"/>
      <c r="AG1321" s="18"/>
      <c r="AH1321" s="18" t="s">
        <v>402</v>
      </c>
      <c r="AI1321" s="18"/>
      <c r="AJ1321" s="18" t="s">
        <v>1868</v>
      </c>
    </row>
    <row r="1322" customFormat="false" ht="15" hidden="false" customHeight="false" outlineLevel="0" collapsed="false">
      <c r="A1322" s="18" t="s">
        <v>273</v>
      </c>
      <c r="B1322" s="18" t="s">
        <v>755</v>
      </c>
      <c r="C1322" s="18" t="s">
        <v>1705</v>
      </c>
      <c r="D1322" s="18" t="s">
        <v>324</v>
      </c>
      <c r="E1322" s="18" t="s">
        <v>404</v>
      </c>
      <c r="F1322" s="18" t="s">
        <v>790</v>
      </c>
      <c r="G1322" s="18" t="n">
        <v>0.8</v>
      </c>
      <c r="H1322" s="18" t="n">
        <v>2593</v>
      </c>
      <c r="I1322" s="18" t="n">
        <v>110</v>
      </c>
      <c r="J1322" s="18" t="n">
        <v>109</v>
      </c>
      <c r="K1322" s="18" t="n">
        <v>-0.0435651146894892</v>
      </c>
      <c r="L1322" s="18" t="n">
        <v>0.0261248888669203</v>
      </c>
      <c r="M1322" s="18" t="n">
        <v>-1.66757129231857</v>
      </c>
      <c r="N1322" s="18" t="n">
        <v>108</v>
      </c>
      <c r="O1322" s="18" t="n">
        <v>0.0982980437393318</v>
      </c>
      <c r="P1322" s="18"/>
      <c r="Q1322" s="18"/>
      <c r="R1322" s="18"/>
      <c r="S1322" s="18"/>
      <c r="T1322" s="18"/>
      <c r="U1322" s="18"/>
      <c r="V1322" s="18"/>
      <c r="W1322" s="18"/>
      <c r="X1322" s="18"/>
      <c r="Y1322" s="18"/>
      <c r="Z1322" s="18"/>
      <c r="AA1322" s="18"/>
      <c r="AB1322" s="18"/>
      <c r="AC1322" s="18"/>
      <c r="AD1322" s="18"/>
      <c r="AE1322" s="18"/>
      <c r="AF1322" s="18"/>
      <c r="AG1322" s="18"/>
      <c r="AH1322" s="18" t="s">
        <v>402</v>
      </c>
      <c r="AI1322" s="18"/>
      <c r="AJ1322" s="18" t="s">
        <v>1869</v>
      </c>
    </row>
    <row r="1323" customFormat="false" ht="15" hidden="false" customHeight="false" outlineLevel="0" collapsed="false">
      <c r="A1323" s="18" t="s">
        <v>273</v>
      </c>
      <c r="B1323" s="18" t="s">
        <v>757</v>
      </c>
      <c r="C1323" s="18" t="s">
        <v>1705</v>
      </c>
      <c r="D1323" s="18" t="s">
        <v>324</v>
      </c>
      <c r="E1323" s="18" t="s">
        <v>404</v>
      </c>
      <c r="F1323" s="18" t="s">
        <v>790</v>
      </c>
      <c r="G1323" s="18" t="n">
        <v>0.8</v>
      </c>
      <c r="H1323" s="18" t="n">
        <v>2593</v>
      </c>
      <c r="I1323" s="18" t="n">
        <v>110</v>
      </c>
      <c r="J1323" s="18" t="n">
        <v>109</v>
      </c>
      <c r="K1323" s="18" t="n">
        <v>-0.0077544980150953</v>
      </c>
      <c r="L1323" s="18" t="n">
        <v>0.031466180274807</v>
      </c>
      <c r="M1323" s="18" t="n">
        <v>-0.246439127576722</v>
      </c>
      <c r="N1323" s="18" t="n">
        <v>107</v>
      </c>
      <c r="O1323" s="18" t="n">
        <v>0.805814478391951</v>
      </c>
      <c r="P1323" s="18"/>
      <c r="Q1323" s="18"/>
      <c r="R1323" s="18"/>
      <c r="S1323" s="18"/>
      <c r="T1323" s="18"/>
      <c r="U1323" s="18"/>
      <c r="V1323" s="18"/>
      <c r="W1323" s="18"/>
      <c r="X1323" s="18"/>
      <c r="Y1323" s="18"/>
      <c r="Z1323" s="18"/>
      <c r="AA1323" s="18"/>
      <c r="AB1323" s="18"/>
      <c r="AC1323" s="18"/>
      <c r="AD1323" s="18"/>
      <c r="AE1323" s="18"/>
      <c r="AF1323" s="18"/>
      <c r="AG1323" s="18"/>
      <c r="AH1323" s="18" t="s">
        <v>402</v>
      </c>
      <c r="AI1323" s="18"/>
      <c r="AJ1323" s="18" t="s">
        <v>1870</v>
      </c>
    </row>
    <row r="1324" customFormat="false" ht="15" hidden="false" customHeight="false" outlineLevel="0" collapsed="false">
      <c r="A1324" s="18" t="s">
        <v>273</v>
      </c>
      <c r="B1324" s="18" t="s">
        <v>759</v>
      </c>
      <c r="C1324" s="18" t="s">
        <v>1705</v>
      </c>
      <c r="D1324" s="18" t="s">
        <v>324</v>
      </c>
      <c r="E1324" s="18" t="s">
        <v>404</v>
      </c>
      <c r="F1324" s="18" t="s">
        <v>790</v>
      </c>
      <c r="G1324" s="18" t="n">
        <v>0.8</v>
      </c>
      <c r="H1324" s="18" t="n">
        <v>2593</v>
      </c>
      <c r="I1324" s="18" t="n">
        <v>110</v>
      </c>
      <c r="J1324" s="18" t="n">
        <v>109</v>
      </c>
      <c r="K1324" s="18" t="n">
        <v>-0.00326299106223398</v>
      </c>
      <c r="L1324" s="18" t="n">
        <v>0.0334580496524203</v>
      </c>
      <c r="M1324" s="18" t="n">
        <v>-0.0975248436813153</v>
      </c>
      <c r="N1324" s="18" t="n">
        <v>107</v>
      </c>
      <c r="O1324" s="18" t="n">
        <v>0.922492054455539</v>
      </c>
      <c r="P1324" s="18"/>
      <c r="Q1324" s="18"/>
      <c r="R1324" s="18"/>
      <c r="S1324" s="18"/>
      <c r="T1324" s="18"/>
      <c r="U1324" s="18"/>
      <c r="V1324" s="18"/>
      <c r="W1324" s="18"/>
      <c r="X1324" s="18"/>
      <c r="Y1324" s="18"/>
      <c r="Z1324" s="18"/>
      <c r="AA1324" s="18"/>
      <c r="AB1324" s="18"/>
      <c r="AC1324" s="18"/>
      <c r="AD1324" s="18"/>
      <c r="AE1324" s="18"/>
      <c r="AF1324" s="18"/>
      <c r="AG1324" s="18"/>
      <c r="AH1324" s="18" t="s">
        <v>402</v>
      </c>
      <c r="AI1324" s="18"/>
      <c r="AJ1324" s="18" t="s">
        <v>1871</v>
      </c>
    </row>
    <row r="1325" customFormat="false" ht="15" hidden="false" customHeight="false" outlineLevel="0" collapsed="false">
      <c r="A1325" s="18" t="s">
        <v>273</v>
      </c>
      <c r="B1325" s="18" t="s">
        <v>761</v>
      </c>
      <c r="C1325" s="18" t="s">
        <v>1705</v>
      </c>
      <c r="D1325" s="18" t="s">
        <v>324</v>
      </c>
      <c r="E1325" s="18" t="s">
        <v>404</v>
      </c>
      <c r="F1325" s="18" t="s">
        <v>790</v>
      </c>
      <c r="G1325" s="18" t="n">
        <v>0.8</v>
      </c>
      <c r="H1325" s="18" t="n">
        <v>2593</v>
      </c>
      <c r="I1325" s="18" t="n">
        <v>110</v>
      </c>
      <c r="J1325" s="18" t="n">
        <v>109</v>
      </c>
      <c r="K1325" s="18" t="n">
        <v>-0.0320365631319067</v>
      </c>
      <c r="L1325" s="18" t="n">
        <v>0.0227523520860063</v>
      </c>
      <c r="M1325" s="18" t="n">
        <v>-1.40805500067884</v>
      </c>
      <c r="N1325" s="18" t="n">
        <v>108</v>
      </c>
      <c r="O1325" s="18" t="n">
        <v>0.161986828631804</v>
      </c>
      <c r="P1325" s="18"/>
      <c r="Q1325" s="18"/>
      <c r="R1325" s="18"/>
      <c r="S1325" s="18"/>
      <c r="T1325" s="18"/>
      <c r="U1325" s="18"/>
      <c r="V1325" s="18"/>
      <c r="W1325" s="18"/>
      <c r="X1325" s="18"/>
      <c r="Y1325" s="18"/>
      <c r="Z1325" s="18"/>
      <c r="AA1325" s="18"/>
      <c r="AB1325" s="18"/>
      <c r="AC1325" s="18"/>
      <c r="AD1325" s="18"/>
      <c r="AE1325" s="18"/>
      <c r="AF1325" s="18"/>
      <c r="AG1325" s="18"/>
      <c r="AH1325" s="18" t="s">
        <v>402</v>
      </c>
      <c r="AI1325" s="18"/>
      <c r="AJ1325" s="18" t="s">
        <v>1872</v>
      </c>
    </row>
    <row r="1326" customFormat="false" ht="15" hidden="false" customHeight="false" outlineLevel="0" collapsed="false">
      <c r="A1326" s="18" t="s">
        <v>273</v>
      </c>
      <c r="B1326" s="18" t="s">
        <v>763</v>
      </c>
      <c r="C1326" s="18" t="s">
        <v>1705</v>
      </c>
      <c r="D1326" s="18" t="s">
        <v>324</v>
      </c>
      <c r="E1326" s="18" t="s">
        <v>404</v>
      </c>
      <c r="F1326" s="18" t="s">
        <v>790</v>
      </c>
      <c r="G1326" s="18" t="n">
        <v>0.8</v>
      </c>
      <c r="H1326" s="18" t="n">
        <v>2593</v>
      </c>
      <c r="I1326" s="18" t="n">
        <v>110</v>
      </c>
      <c r="J1326" s="18" t="n">
        <v>109</v>
      </c>
      <c r="K1326" s="18" t="n">
        <v>-0.033683760508173</v>
      </c>
      <c r="L1326" s="18" t="n">
        <v>0.021544943633211</v>
      </c>
      <c r="M1326" s="18" t="n">
        <v>-1.56341836310262</v>
      </c>
      <c r="N1326" s="18" t="n">
        <v>108</v>
      </c>
      <c r="O1326" s="18" t="n">
        <v>0.120879774675568</v>
      </c>
      <c r="P1326" s="18"/>
      <c r="Q1326" s="18"/>
      <c r="R1326" s="18"/>
      <c r="S1326" s="18"/>
      <c r="T1326" s="18"/>
      <c r="U1326" s="18"/>
      <c r="V1326" s="18"/>
      <c r="W1326" s="18"/>
      <c r="X1326" s="18"/>
      <c r="Y1326" s="18"/>
      <c r="Z1326" s="18"/>
      <c r="AA1326" s="18"/>
      <c r="AB1326" s="18"/>
      <c r="AC1326" s="18"/>
      <c r="AD1326" s="18"/>
      <c r="AE1326" s="18"/>
      <c r="AF1326" s="18"/>
      <c r="AG1326" s="18"/>
      <c r="AH1326" s="18" t="s">
        <v>402</v>
      </c>
      <c r="AI1326" s="18"/>
      <c r="AJ1326" s="18" t="s">
        <v>1873</v>
      </c>
    </row>
    <row r="1327" customFormat="false" ht="15" hidden="false" customHeight="false" outlineLevel="0" collapsed="false">
      <c r="A1327" s="18" t="s">
        <v>273</v>
      </c>
      <c r="B1327" s="18" t="s">
        <v>765</v>
      </c>
      <c r="C1327" s="18" t="s">
        <v>1705</v>
      </c>
      <c r="D1327" s="18" t="s">
        <v>324</v>
      </c>
      <c r="E1327" s="18" t="s">
        <v>404</v>
      </c>
      <c r="F1327" s="18" t="s">
        <v>790</v>
      </c>
      <c r="G1327" s="18" t="n">
        <v>0.8</v>
      </c>
      <c r="H1327" s="18" t="n">
        <v>2593</v>
      </c>
      <c r="I1327" s="18" t="n">
        <v>110</v>
      </c>
      <c r="J1327" s="18" t="n">
        <v>109</v>
      </c>
      <c r="K1327" s="18" t="n">
        <v>-0.0266192369721004</v>
      </c>
      <c r="L1327" s="18" t="n">
        <v>0.021486007684618</v>
      </c>
      <c r="M1327" s="18" t="n">
        <v>-1.23891033470854</v>
      </c>
      <c r="N1327" s="18" t="n">
        <v>108</v>
      </c>
      <c r="O1327" s="18" t="n">
        <v>0.218064524976007</v>
      </c>
      <c r="P1327" s="18"/>
      <c r="Q1327" s="18"/>
      <c r="R1327" s="18"/>
      <c r="S1327" s="18"/>
      <c r="T1327" s="18"/>
      <c r="U1327" s="18"/>
      <c r="V1327" s="18"/>
      <c r="W1327" s="18"/>
      <c r="X1327" s="18"/>
      <c r="Y1327" s="18"/>
      <c r="Z1327" s="18"/>
      <c r="AA1327" s="18"/>
      <c r="AB1327" s="18"/>
      <c r="AC1327" s="18"/>
      <c r="AD1327" s="18"/>
      <c r="AE1327" s="18"/>
      <c r="AF1327" s="18"/>
      <c r="AG1327" s="18"/>
      <c r="AH1327" s="18" t="s">
        <v>402</v>
      </c>
      <c r="AI1327" s="18"/>
      <c r="AJ1327" s="18" t="s">
        <v>1874</v>
      </c>
    </row>
    <row r="1328" customFormat="false" ht="15" hidden="false" customHeight="false" outlineLevel="0" collapsed="false">
      <c r="A1328" s="18" t="s">
        <v>273</v>
      </c>
      <c r="B1328" s="18" t="s">
        <v>767</v>
      </c>
      <c r="C1328" s="18" t="s">
        <v>1705</v>
      </c>
      <c r="D1328" s="18" t="s">
        <v>324</v>
      </c>
      <c r="E1328" s="18" t="s">
        <v>404</v>
      </c>
      <c r="F1328" s="18" t="s">
        <v>790</v>
      </c>
      <c r="G1328" s="18" t="n">
        <v>0.8</v>
      </c>
      <c r="H1328" s="18" t="n">
        <v>900</v>
      </c>
      <c r="I1328" s="18" t="n">
        <v>38</v>
      </c>
      <c r="J1328" s="18" t="n">
        <v>38</v>
      </c>
      <c r="K1328" s="18" t="n">
        <v>-0.0391396256697059</v>
      </c>
      <c r="L1328" s="18" t="n">
        <v>0.0399440257906593</v>
      </c>
      <c r="M1328" s="18" t="n">
        <v>-0.979861816503695</v>
      </c>
      <c r="N1328" s="18" t="n">
        <v>36</v>
      </c>
      <c r="O1328" s="18" t="n">
        <v>0.333693736454114</v>
      </c>
      <c r="P1328" s="18"/>
      <c r="Q1328" s="18"/>
      <c r="R1328" s="18"/>
      <c r="S1328" s="18"/>
      <c r="T1328" s="18"/>
      <c r="U1328" s="18"/>
      <c r="V1328" s="18"/>
      <c r="W1328" s="18"/>
      <c r="X1328" s="18"/>
      <c r="Y1328" s="18"/>
      <c r="Z1328" s="18"/>
      <c r="AA1328" s="18"/>
      <c r="AB1328" s="18"/>
      <c r="AC1328" s="18"/>
      <c r="AD1328" s="18"/>
      <c r="AE1328" s="18"/>
      <c r="AF1328" s="18"/>
      <c r="AG1328" s="18"/>
      <c r="AH1328" s="18" t="s">
        <v>402</v>
      </c>
      <c r="AI1328" s="18"/>
      <c r="AJ1328" s="18" t="s">
        <v>1875</v>
      </c>
    </row>
    <row r="1329" customFormat="false" ht="15" hidden="false" customHeight="false" outlineLevel="0" collapsed="false">
      <c r="A1329" s="18" t="s">
        <v>273</v>
      </c>
      <c r="B1329" s="18" t="s">
        <v>769</v>
      </c>
      <c r="C1329" s="18" t="s">
        <v>1705</v>
      </c>
      <c r="D1329" s="18" t="s">
        <v>324</v>
      </c>
      <c r="E1329" s="18" t="s">
        <v>404</v>
      </c>
      <c r="F1329" s="18" t="s">
        <v>790</v>
      </c>
      <c r="G1329" s="18" t="n">
        <v>0.8</v>
      </c>
      <c r="H1329" s="18" t="n">
        <v>2606</v>
      </c>
      <c r="I1329" s="18" t="n">
        <v>110</v>
      </c>
      <c r="J1329" s="18" t="n">
        <v>109</v>
      </c>
      <c r="K1329" s="18" t="n">
        <v>-0.0191663785760387</v>
      </c>
      <c r="L1329" s="18" t="n">
        <v>0.022665902693467</v>
      </c>
      <c r="M1329" s="18" t="n">
        <v>-0.845604026243485</v>
      </c>
      <c r="N1329" s="18" t="n">
        <v>108</v>
      </c>
      <c r="O1329" s="18" t="n">
        <v>0.399643243270551</v>
      </c>
      <c r="P1329" s="18"/>
      <c r="Q1329" s="18"/>
      <c r="R1329" s="18"/>
      <c r="S1329" s="18"/>
      <c r="T1329" s="18"/>
      <c r="U1329" s="18"/>
      <c r="V1329" s="18"/>
      <c r="W1329" s="18"/>
      <c r="X1329" s="18"/>
      <c r="Y1329" s="18"/>
      <c r="Z1329" s="18"/>
      <c r="AA1329" s="18"/>
      <c r="AB1329" s="18"/>
      <c r="AC1329" s="18"/>
      <c r="AD1329" s="18"/>
      <c r="AE1329" s="18"/>
      <c r="AF1329" s="18"/>
      <c r="AG1329" s="18"/>
      <c r="AH1329" s="18" t="s">
        <v>402</v>
      </c>
      <c r="AI1329" s="18"/>
      <c r="AJ1329" s="18" t="s">
        <v>1876</v>
      </c>
    </row>
    <row r="1330" customFormat="false" ht="15" hidden="false" customHeight="false" outlineLevel="0" collapsed="false">
      <c r="A1330" s="18" t="s">
        <v>273</v>
      </c>
      <c r="B1330" s="18" t="s">
        <v>771</v>
      </c>
      <c r="C1330" s="18" t="s">
        <v>1705</v>
      </c>
      <c r="D1330" s="18" t="s">
        <v>324</v>
      </c>
      <c r="E1330" s="18" t="s">
        <v>404</v>
      </c>
      <c r="F1330" s="18" t="s">
        <v>790</v>
      </c>
      <c r="G1330" s="18" t="n">
        <v>0.8</v>
      </c>
      <c r="H1330" s="18" t="n">
        <v>2606</v>
      </c>
      <c r="I1330" s="18" t="n">
        <v>110</v>
      </c>
      <c r="J1330" s="18" t="n">
        <v>109</v>
      </c>
      <c r="K1330" s="18" t="n">
        <v>-0.031757308450033</v>
      </c>
      <c r="L1330" s="18" t="n">
        <v>0.0239060148520892</v>
      </c>
      <c r="M1330" s="18" t="n">
        <v>-1.32842335481347</v>
      </c>
      <c r="N1330" s="18" t="n">
        <v>108</v>
      </c>
      <c r="O1330" s="18" t="n">
        <v>0.186838551422059</v>
      </c>
      <c r="P1330" s="18"/>
      <c r="Q1330" s="18"/>
      <c r="R1330" s="18"/>
      <c r="S1330" s="18"/>
      <c r="T1330" s="18"/>
      <c r="U1330" s="18"/>
      <c r="V1330" s="18"/>
      <c r="W1330" s="18"/>
      <c r="X1330" s="18"/>
      <c r="Y1330" s="18"/>
      <c r="Z1330" s="18"/>
      <c r="AA1330" s="18"/>
      <c r="AB1330" s="18"/>
      <c r="AC1330" s="18"/>
      <c r="AD1330" s="18"/>
      <c r="AE1330" s="18"/>
      <c r="AF1330" s="18"/>
      <c r="AG1330" s="18"/>
      <c r="AH1330" s="18" t="s">
        <v>402</v>
      </c>
      <c r="AI1330" s="18"/>
      <c r="AJ1330" s="18" t="s">
        <v>1877</v>
      </c>
    </row>
    <row r="1331" customFormat="false" ht="15" hidden="false" customHeight="false" outlineLevel="0" collapsed="false">
      <c r="A1331" s="18" t="s">
        <v>273</v>
      </c>
      <c r="B1331" s="18" t="s">
        <v>773</v>
      </c>
      <c r="C1331" s="18" t="s">
        <v>1705</v>
      </c>
      <c r="D1331" s="18" t="s">
        <v>324</v>
      </c>
      <c r="E1331" s="18" t="s">
        <v>404</v>
      </c>
      <c r="F1331" s="18" t="s">
        <v>790</v>
      </c>
      <c r="G1331" s="18" t="n">
        <v>0.8</v>
      </c>
      <c r="H1331" s="18" t="n">
        <v>2606</v>
      </c>
      <c r="I1331" s="18" t="n">
        <v>110</v>
      </c>
      <c r="J1331" s="18" t="n">
        <v>109</v>
      </c>
      <c r="K1331" s="18" t="n">
        <v>-0.0200171540606949</v>
      </c>
      <c r="L1331" s="18" t="n">
        <v>0.0248561069173535</v>
      </c>
      <c r="M1331" s="18" t="n">
        <v>-0.805321369402374</v>
      </c>
      <c r="N1331" s="18" t="n">
        <v>107</v>
      </c>
      <c r="O1331" s="18" t="n">
        <v>0.422420223220746</v>
      </c>
      <c r="P1331" s="18"/>
      <c r="Q1331" s="18"/>
      <c r="R1331" s="18"/>
      <c r="S1331" s="18"/>
      <c r="T1331" s="18"/>
      <c r="U1331" s="18"/>
      <c r="V1331" s="18"/>
      <c r="W1331" s="18"/>
      <c r="X1331" s="18"/>
      <c r="Y1331" s="18"/>
      <c r="Z1331" s="18"/>
      <c r="AA1331" s="18"/>
      <c r="AB1331" s="18"/>
      <c r="AC1331" s="18"/>
      <c r="AD1331" s="18"/>
      <c r="AE1331" s="18"/>
      <c r="AF1331" s="18"/>
      <c r="AG1331" s="18"/>
      <c r="AH1331" s="18" t="s">
        <v>402</v>
      </c>
      <c r="AI1331" s="18"/>
      <c r="AJ1331" s="18" t="s">
        <v>1878</v>
      </c>
    </row>
    <row r="1332" customFormat="false" ht="15" hidden="false" customHeight="false" outlineLevel="0" collapsed="false">
      <c r="A1332" s="18" t="s">
        <v>273</v>
      </c>
      <c r="B1332" s="18" t="s">
        <v>775</v>
      </c>
      <c r="C1332" s="18" t="s">
        <v>1705</v>
      </c>
      <c r="D1332" s="18" t="s">
        <v>324</v>
      </c>
      <c r="E1332" s="18" t="s">
        <v>404</v>
      </c>
      <c r="F1332" s="18" t="s">
        <v>790</v>
      </c>
      <c r="G1332" s="18" t="n">
        <v>0.8</v>
      </c>
      <c r="H1332" s="18" t="n">
        <v>2606</v>
      </c>
      <c r="I1332" s="18" t="n">
        <v>110</v>
      </c>
      <c r="J1332" s="18" t="n">
        <v>109</v>
      </c>
      <c r="K1332" s="18" t="n">
        <v>-0.0359885190931204</v>
      </c>
      <c r="L1332" s="18" t="n">
        <v>0.0249520540248839</v>
      </c>
      <c r="M1332" s="18" t="n">
        <v>-1.44230687610849</v>
      </c>
      <c r="N1332" s="18" t="n">
        <v>108</v>
      </c>
      <c r="O1332" s="18" t="n">
        <v>0.152109606602927</v>
      </c>
      <c r="P1332" s="18"/>
      <c r="Q1332" s="18"/>
      <c r="R1332" s="18"/>
      <c r="S1332" s="18"/>
      <c r="T1332" s="18"/>
      <c r="U1332" s="18"/>
      <c r="V1332" s="18"/>
      <c r="W1332" s="18"/>
      <c r="X1332" s="18"/>
      <c r="Y1332" s="18"/>
      <c r="Z1332" s="18"/>
      <c r="AA1332" s="18"/>
      <c r="AB1332" s="18"/>
      <c r="AC1332" s="18"/>
      <c r="AD1332" s="18"/>
      <c r="AE1332" s="18"/>
      <c r="AF1332" s="18"/>
      <c r="AG1332" s="18"/>
      <c r="AH1332" s="18" t="s">
        <v>402</v>
      </c>
      <c r="AI1332" s="18"/>
      <c r="AJ1332" s="18" t="s">
        <v>1879</v>
      </c>
    </row>
    <row r="1333" customFormat="false" ht="15" hidden="false" customHeight="false" outlineLevel="0" collapsed="false">
      <c r="A1333" s="18" t="s">
        <v>273</v>
      </c>
      <c r="B1333" s="18" t="s">
        <v>777</v>
      </c>
      <c r="C1333" s="18" t="s">
        <v>1705</v>
      </c>
      <c r="D1333" s="18" t="s">
        <v>324</v>
      </c>
      <c r="E1333" s="18" t="s">
        <v>404</v>
      </c>
      <c r="F1333" s="18" t="s">
        <v>790</v>
      </c>
      <c r="G1333" s="18" t="n">
        <v>0.8</v>
      </c>
      <c r="H1333" s="18" t="n">
        <v>2606</v>
      </c>
      <c r="I1333" s="18" t="n">
        <v>110</v>
      </c>
      <c r="J1333" s="18" t="n">
        <v>109</v>
      </c>
      <c r="K1333" s="18" t="n">
        <v>-0.00220514133107394</v>
      </c>
      <c r="L1333" s="18" t="n">
        <v>0.0299533336854646</v>
      </c>
      <c r="M1333" s="18" t="n">
        <v>-0.0736192289723004</v>
      </c>
      <c r="N1333" s="18" t="n">
        <v>107</v>
      </c>
      <c r="O1333" s="18" t="n">
        <v>0.941450819500244</v>
      </c>
      <c r="P1333" s="18"/>
      <c r="Q1333" s="18"/>
      <c r="R1333" s="18"/>
      <c r="S1333" s="18"/>
      <c r="T1333" s="18"/>
      <c r="U1333" s="18"/>
      <c r="V1333" s="18"/>
      <c r="W1333" s="18"/>
      <c r="X1333" s="18"/>
      <c r="Y1333" s="18"/>
      <c r="Z1333" s="18"/>
      <c r="AA1333" s="18"/>
      <c r="AB1333" s="18"/>
      <c r="AC1333" s="18"/>
      <c r="AD1333" s="18"/>
      <c r="AE1333" s="18"/>
      <c r="AF1333" s="18"/>
      <c r="AG1333" s="18"/>
      <c r="AH1333" s="18" t="s">
        <v>402</v>
      </c>
      <c r="AI1333" s="18"/>
      <c r="AJ1333" s="18" t="s">
        <v>1880</v>
      </c>
    </row>
    <row r="1334" customFormat="false" ht="15" hidden="false" customHeight="false" outlineLevel="0" collapsed="false">
      <c r="A1334" s="18" t="s">
        <v>273</v>
      </c>
      <c r="B1334" s="18" t="s">
        <v>779</v>
      </c>
      <c r="C1334" s="18" t="s">
        <v>1705</v>
      </c>
      <c r="D1334" s="18" t="s">
        <v>324</v>
      </c>
      <c r="E1334" s="18" t="s">
        <v>404</v>
      </c>
      <c r="F1334" s="18" t="s">
        <v>790</v>
      </c>
      <c r="G1334" s="18" t="n">
        <v>0.8</v>
      </c>
      <c r="H1334" s="18" t="n">
        <v>2606</v>
      </c>
      <c r="I1334" s="18" t="n">
        <v>110</v>
      </c>
      <c r="J1334" s="18" t="n">
        <v>109</v>
      </c>
      <c r="K1334" s="18" t="n">
        <v>0.00147980254475655</v>
      </c>
      <c r="L1334" s="18" t="n">
        <v>0.031843109358901</v>
      </c>
      <c r="M1334" s="18" t="n">
        <v>0.0464716723507688</v>
      </c>
      <c r="N1334" s="18" t="n">
        <v>107</v>
      </c>
      <c r="O1334" s="18" t="n">
        <v>0.963020935876026</v>
      </c>
      <c r="P1334" s="18"/>
      <c r="Q1334" s="18"/>
      <c r="R1334" s="18"/>
      <c r="S1334" s="18"/>
      <c r="T1334" s="18"/>
      <c r="U1334" s="18"/>
      <c r="V1334" s="18"/>
      <c r="W1334" s="18"/>
      <c r="X1334" s="18"/>
      <c r="Y1334" s="18"/>
      <c r="Z1334" s="18"/>
      <c r="AA1334" s="18"/>
      <c r="AB1334" s="18"/>
      <c r="AC1334" s="18"/>
      <c r="AD1334" s="18"/>
      <c r="AE1334" s="18"/>
      <c r="AF1334" s="18"/>
      <c r="AG1334" s="18"/>
      <c r="AH1334" s="18" t="s">
        <v>402</v>
      </c>
      <c r="AI1334" s="18"/>
      <c r="AJ1334" s="18" t="s">
        <v>1881</v>
      </c>
    </row>
    <row r="1335" customFormat="false" ht="15" hidden="false" customHeight="false" outlineLevel="0" collapsed="false">
      <c r="A1335" s="18" t="s">
        <v>273</v>
      </c>
      <c r="B1335" s="18" t="s">
        <v>781</v>
      </c>
      <c r="C1335" s="18" t="s">
        <v>1705</v>
      </c>
      <c r="D1335" s="18" t="s">
        <v>324</v>
      </c>
      <c r="E1335" s="18" t="s">
        <v>404</v>
      </c>
      <c r="F1335" s="18" t="s">
        <v>790</v>
      </c>
      <c r="G1335" s="18" t="n">
        <v>0.8</v>
      </c>
      <c r="H1335" s="18" t="n">
        <v>2606</v>
      </c>
      <c r="I1335" s="18" t="n">
        <v>110</v>
      </c>
      <c r="J1335" s="18" t="n">
        <v>109</v>
      </c>
      <c r="K1335" s="18" t="n">
        <v>-0.0258357060495032</v>
      </c>
      <c r="L1335" s="18" t="n">
        <v>0.0217177148889108</v>
      </c>
      <c r="M1335" s="18" t="n">
        <v>-1.18961438538339</v>
      </c>
      <c r="N1335" s="18" t="n">
        <v>108</v>
      </c>
      <c r="O1335" s="18" t="n">
        <v>0.236806697240677</v>
      </c>
      <c r="P1335" s="18"/>
      <c r="Q1335" s="18"/>
      <c r="R1335" s="18"/>
      <c r="S1335" s="18"/>
      <c r="T1335" s="18"/>
      <c r="U1335" s="18"/>
      <c r="V1335" s="18"/>
      <c r="W1335" s="18"/>
      <c r="X1335" s="18"/>
      <c r="Y1335" s="18"/>
      <c r="Z1335" s="18"/>
      <c r="AA1335" s="18"/>
      <c r="AB1335" s="18"/>
      <c r="AC1335" s="18"/>
      <c r="AD1335" s="18"/>
      <c r="AE1335" s="18"/>
      <c r="AF1335" s="18"/>
      <c r="AG1335" s="18"/>
      <c r="AH1335" s="18" t="s">
        <v>402</v>
      </c>
      <c r="AI1335" s="18"/>
      <c r="AJ1335" s="18" t="s">
        <v>1882</v>
      </c>
    </row>
    <row r="1336" customFormat="false" ht="15" hidden="false" customHeight="false" outlineLevel="0" collapsed="false">
      <c r="A1336" s="18" t="s">
        <v>273</v>
      </c>
      <c r="B1336" s="18" t="s">
        <v>783</v>
      </c>
      <c r="C1336" s="18" t="s">
        <v>1705</v>
      </c>
      <c r="D1336" s="18" t="s">
        <v>324</v>
      </c>
      <c r="E1336" s="18" t="s">
        <v>404</v>
      </c>
      <c r="F1336" s="18" t="s">
        <v>790</v>
      </c>
      <c r="G1336" s="18" t="n">
        <v>0.8</v>
      </c>
      <c r="H1336" s="18" t="n">
        <v>2606</v>
      </c>
      <c r="I1336" s="18" t="n">
        <v>110</v>
      </c>
      <c r="J1336" s="18" t="n">
        <v>109</v>
      </c>
      <c r="K1336" s="18" t="n">
        <v>-0.0165864906597877</v>
      </c>
      <c r="L1336" s="18" t="n">
        <v>0.0206847821540488</v>
      </c>
      <c r="M1336" s="18" t="n">
        <v>-0.801869245528461</v>
      </c>
      <c r="N1336" s="18" t="n">
        <v>108</v>
      </c>
      <c r="O1336" s="18" t="n">
        <v>0.424389438741099</v>
      </c>
      <c r="P1336" s="18"/>
      <c r="Q1336" s="18"/>
      <c r="R1336" s="18"/>
      <c r="S1336" s="18"/>
      <c r="T1336" s="18"/>
      <c r="U1336" s="18"/>
      <c r="V1336" s="18"/>
      <c r="W1336" s="18"/>
      <c r="X1336" s="18"/>
      <c r="Y1336" s="18"/>
      <c r="Z1336" s="18"/>
      <c r="AA1336" s="18"/>
      <c r="AB1336" s="18"/>
      <c r="AC1336" s="18"/>
      <c r="AD1336" s="18"/>
      <c r="AE1336" s="18"/>
      <c r="AF1336" s="18"/>
      <c r="AG1336" s="18"/>
      <c r="AH1336" s="18" t="s">
        <v>402</v>
      </c>
      <c r="AI1336" s="18"/>
      <c r="AJ1336" s="18" t="s">
        <v>1883</v>
      </c>
    </row>
    <row r="1337" customFormat="false" ht="15" hidden="false" customHeight="false" outlineLevel="0" collapsed="false">
      <c r="A1337" s="18" t="s">
        <v>273</v>
      </c>
      <c r="B1337" s="18" t="s">
        <v>785</v>
      </c>
      <c r="C1337" s="18" t="s">
        <v>1705</v>
      </c>
      <c r="D1337" s="18" t="s">
        <v>324</v>
      </c>
      <c r="E1337" s="18" t="s">
        <v>404</v>
      </c>
      <c r="F1337" s="18" t="s">
        <v>790</v>
      </c>
      <c r="G1337" s="18" t="n">
        <v>0.8</v>
      </c>
      <c r="H1337" s="18" t="n">
        <v>2606</v>
      </c>
      <c r="I1337" s="18" t="n">
        <v>110</v>
      </c>
      <c r="J1337" s="18" t="n">
        <v>109</v>
      </c>
      <c r="K1337" s="18" t="n">
        <v>-0.0137364976884212</v>
      </c>
      <c r="L1337" s="18" t="n">
        <v>0.0205533705562635</v>
      </c>
      <c r="M1337" s="18" t="n">
        <v>-0.6683330916853</v>
      </c>
      <c r="N1337" s="18" t="n">
        <v>108</v>
      </c>
      <c r="O1337" s="18" t="n">
        <v>0.505346878342806</v>
      </c>
      <c r="P1337" s="18"/>
      <c r="Q1337" s="18"/>
      <c r="R1337" s="18"/>
      <c r="S1337" s="18"/>
      <c r="T1337" s="18"/>
      <c r="U1337" s="18"/>
      <c r="V1337" s="18"/>
      <c r="W1337" s="18"/>
      <c r="X1337" s="18"/>
      <c r="Y1337" s="18"/>
      <c r="Z1337" s="18"/>
      <c r="AA1337" s="18"/>
      <c r="AB1337" s="18"/>
      <c r="AC1337" s="18"/>
      <c r="AD1337" s="18"/>
      <c r="AE1337" s="18"/>
      <c r="AF1337" s="18"/>
      <c r="AG1337" s="18"/>
      <c r="AH1337" s="18" t="s">
        <v>402</v>
      </c>
      <c r="AI1337" s="18"/>
      <c r="AJ1337" s="18" t="s">
        <v>1884</v>
      </c>
    </row>
    <row r="1338" customFormat="false" ht="15" hidden="false" customHeight="false" outlineLevel="0" collapsed="false">
      <c r="A1338" s="18" t="s">
        <v>273</v>
      </c>
      <c r="B1338" s="18" t="s">
        <v>787</v>
      </c>
      <c r="C1338" s="18" t="s">
        <v>1705</v>
      </c>
      <c r="D1338" s="18" t="s">
        <v>324</v>
      </c>
      <c r="E1338" s="18" t="s">
        <v>404</v>
      </c>
      <c r="F1338" s="18" t="s">
        <v>790</v>
      </c>
      <c r="G1338" s="18" t="n">
        <v>0.8</v>
      </c>
      <c r="H1338" s="18" t="n">
        <v>905</v>
      </c>
      <c r="I1338" s="18" t="n">
        <v>38</v>
      </c>
      <c r="J1338" s="18" t="n">
        <v>38</v>
      </c>
      <c r="K1338" s="18" t="n">
        <v>-0.031519008119532</v>
      </c>
      <c r="L1338" s="18" t="n">
        <v>0.0334802237250277</v>
      </c>
      <c r="M1338" s="18" t="n">
        <v>-0.941421669651817</v>
      </c>
      <c r="N1338" s="18" t="n">
        <v>36</v>
      </c>
      <c r="O1338" s="18" t="n">
        <v>0.352763593601367</v>
      </c>
      <c r="P1338" s="18"/>
      <c r="Q1338" s="18"/>
      <c r="R1338" s="18"/>
      <c r="S1338" s="18"/>
      <c r="T1338" s="18"/>
      <c r="U1338" s="18"/>
      <c r="V1338" s="18"/>
      <c r="W1338" s="18"/>
      <c r="X1338" s="18"/>
      <c r="Y1338" s="18"/>
      <c r="Z1338" s="18"/>
      <c r="AA1338" s="18"/>
      <c r="AB1338" s="18"/>
      <c r="AC1338" s="18"/>
      <c r="AD1338" s="18"/>
      <c r="AE1338" s="18"/>
      <c r="AF1338" s="18"/>
      <c r="AG1338" s="18"/>
      <c r="AH1338" s="18" t="s">
        <v>402</v>
      </c>
      <c r="AI1338" s="18"/>
      <c r="AJ1338" s="18" t="s">
        <v>1885</v>
      </c>
    </row>
    <row r="1339" customFormat="false" ht="15" hidden="false" customHeight="false" outlineLevel="0" collapsed="false">
      <c r="A1339" s="18" t="s">
        <v>344</v>
      </c>
      <c r="B1339" s="18" t="s">
        <v>345</v>
      </c>
      <c r="C1339" s="18" t="s">
        <v>169</v>
      </c>
      <c r="D1339" s="18" t="s">
        <v>1886</v>
      </c>
      <c r="E1339" s="18" t="s">
        <v>400</v>
      </c>
      <c r="F1339" s="18" t="s">
        <v>1887</v>
      </c>
      <c r="G1339" s="18"/>
      <c r="H1339" s="18"/>
      <c r="I1339" s="18"/>
      <c r="J1339" s="18"/>
      <c r="K1339" s="18"/>
      <c r="L1339" s="18"/>
      <c r="M1339" s="18"/>
      <c r="N1339" s="18"/>
      <c r="O1339" s="18"/>
      <c r="P1339" s="18"/>
      <c r="Q1339" s="18"/>
      <c r="R1339" s="18"/>
      <c r="S1339" s="18"/>
      <c r="T1339" s="18"/>
      <c r="U1339" s="18"/>
      <c r="V1339" s="18"/>
      <c r="W1339" s="18"/>
      <c r="X1339" s="18"/>
      <c r="Y1339" s="18"/>
      <c r="Z1339" s="18"/>
      <c r="AA1339" s="18"/>
      <c r="AB1339" s="18"/>
      <c r="AC1339" s="18"/>
      <c r="AD1339" s="18"/>
      <c r="AE1339" s="18"/>
      <c r="AF1339" s="18"/>
      <c r="AG1339" s="18" t="n">
        <v>500</v>
      </c>
      <c r="AH1339" s="18" t="s">
        <v>402</v>
      </c>
      <c r="AI1339" s="18"/>
      <c r="AJ1339" s="18" t="s">
        <v>1888</v>
      </c>
    </row>
    <row r="1340" customFormat="false" ht="15" hidden="false" customHeight="false" outlineLevel="0" collapsed="false">
      <c r="A1340" s="18" t="s">
        <v>344</v>
      </c>
      <c r="B1340" s="18" t="s">
        <v>345</v>
      </c>
      <c r="C1340" s="18" t="s">
        <v>169</v>
      </c>
      <c r="D1340" s="18" t="s">
        <v>1889</v>
      </c>
      <c r="E1340" s="18" t="s">
        <v>400</v>
      </c>
      <c r="F1340" s="18" t="s">
        <v>1887</v>
      </c>
      <c r="G1340" s="18"/>
      <c r="H1340" s="18"/>
      <c r="I1340" s="18"/>
      <c r="J1340" s="18"/>
      <c r="K1340" s="18"/>
      <c r="L1340" s="18"/>
      <c r="M1340" s="18"/>
      <c r="N1340" s="18"/>
      <c r="O1340" s="18"/>
      <c r="P1340" s="18"/>
      <c r="Q1340" s="18"/>
      <c r="R1340" s="18"/>
      <c r="S1340" s="18"/>
      <c r="T1340" s="18"/>
      <c r="U1340" s="18"/>
      <c r="V1340" s="18"/>
      <c r="W1340" s="18"/>
      <c r="X1340" s="18"/>
      <c r="Y1340" s="18"/>
      <c r="Z1340" s="18"/>
      <c r="AA1340" s="18"/>
      <c r="AB1340" s="18"/>
      <c r="AC1340" s="18"/>
      <c r="AD1340" s="18"/>
      <c r="AE1340" s="18"/>
      <c r="AF1340" s="18"/>
      <c r="AG1340" s="18"/>
      <c r="AH1340" s="18" t="s">
        <v>402</v>
      </c>
      <c r="AI1340" s="18"/>
      <c r="AJ1340" s="18" t="s">
        <v>1890</v>
      </c>
    </row>
    <row r="1341" customFormat="false" ht="15" hidden="false" customHeight="false" outlineLevel="0" collapsed="false">
      <c r="A1341" s="18" t="s">
        <v>344</v>
      </c>
      <c r="B1341" s="18" t="s">
        <v>345</v>
      </c>
      <c r="C1341" s="18" t="s">
        <v>169</v>
      </c>
      <c r="D1341" s="18" t="s">
        <v>1891</v>
      </c>
      <c r="E1341" s="18" t="s">
        <v>400</v>
      </c>
      <c r="F1341" s="18" t="s">
        <v>1887</v>
      </c>
      <c r="G1341" s="18"/>
      <c r="H1341" s="18"/>
      <c r="I1341" s="18"/>
      <c r="J1341" s="18"/>
      <c r="K1341" s="18"/>
      <c r="L1341" s="18"/>
      <c r="M1341" s="18"/>
      <c r="N1341" s="18"/>
      <c r="O1341" s="18"/>
      <c r="P1341" s="18"/>
      <c r="Q1341" s="18"/>
      <c r="R1341" s="18"/>
      <c r="S1341" s="18"/>
      <c r="T1341" s="18"/>
      <c r="U1341" s="18"/>
      <c r="V1341" s="18"/>
      <c r="W1341" s="18"/>
      <c r="X1341" s="18"/>
      <c r="Y1341" s="18"/>
      <c r="Z1341" s="18"/>
      <c r="AA1341" s="18"/>
      <c r="AB1341" s="18"/>
      <c r="AC1341" s="18"/>
      <c r="AD1341" s="18"/>
      <c r="AE1341" s="18"/>
      <c r="AF1341" s="18"/>
      <c r="AG1341" s="18"/>
      <c r="AH1341" s="18" t="s">
        <v>402</v>
      </c>
      <c r="AI1341" s="18"/>
      <c r="AJ1341" s="18" t="s">
        <v>1892</v>
      </c>
    </row>
    <row r="1342" customFormat="false" ht="15" hidden="false" customHeight="false" outlineLevel="0" collapsed="false">
      <c r="A1342" s="18" t="s">
        <v>344</v>
      </c>
      <c r="B1342" s="18" t="s">
        <v>345</v>
      </c>
      <c r="C1342" s="18" t="s">
        <v>169</v>
      </c>
      <c r="D1342" s="18" t="s">
        <v>1893</v>
      </c>
      <c r="E1342" s="18" t="s">
        <v>1894</v>
      </c>
      <c r="F1342" s="18" t="s">
        <v>1887</v>
      </c>
      <c r="G1342" s="18"/>
      <c r="H1342" s="18"/>
      <c r="I1342" s="18"/>
      <c r="J1342" s="18"/>
      <c r="K1342" s="18"/>
      <c r="L1342" s="18"/>
      <c r="M1342" s="18"/>
      <c r="N1342" s="18"/>
      <c r="O1342" s="18"/>
      <c r="P1342" s="18"/>
      <c r="Q1342" s="18"/>
      <c r="R1342" s="18"/>
      <c r="S1342" s="18"/>
      <c r="T1342" s="18"/>
      <c r="U1342" s="18"/>
      <c r="V1342" s="18"/>
      <c r="W1342" s="18"/>
      <c r="X1342" s="18"/>
      <c r="Y1342" s="18"/>
      <c r="Z1342" s="18"/>
      <c r="AA1342" s="18"/>
      <c r="AB1342" s="18"/>
      <c r="AC1342" s="18"/>
      <c r="AD1342" s="18"/>
      <c r="AE1342" s="18"/>
      <c r="AF1342" s="18"/>
      <c r="AG1342" s="18" t="n">
        <v>2012.257855823</v>
      </c>
      <c r="AH1342" s="18" t="s">
        <v>402</v>
      </c>
      <c r="AI1342" s="18"/>
      <c r="AJ1342" s="18" t="s">
        <v>1895</v>
      </c>
    </row>
    <row r="1343" customFormat="false" ht="15" hidden="false" customHeight="false" outlineLevel="0" collapsed="false">
      <c r="A1343" s="18" t="s">
        <v>344</v>
      </c>
      <c r="B1343" s="18" t="s">
        <v>345</v>
      </c>
      <c r="C1343" s="18" t="s">
        <v>169</v>
      </c>
      <c r="D1343" s="18" t="s">
        <v>373</v>
      </c>
      <c r="E1343" s="18" t="s">
        <v>400</v>
      </c>
      <c r="F1343" s="18" t="s">
        <v>1887</v>
      </c>
      <c r="G1343" s="18"/>
      <c r="H1343" s="18"/>
      <c r="I1343" s="18"/>
      <c r="J1343" s="18"/>
      <c r="K1343" s="18"/>
      <c r="L1343" s="18"/>
      <c r="M1343" s="18"/>
      <c r="N1343" s="18"/>
      <c r="O1343" s="18"/>
      <c r="P1343" s="18"/>
      <c r="Q1343" s="18"/>
      <c r="R1343" s="18"/>
      <c r="S1343" s="18"/>
      <c r="T1343" s="18"/>
      <c r="U1343" s="18"/>
      <c r="V1343" s="18"/>
      <c r="W1343" s="18"/>
      <c r="X1343" s="18"/>
      <c r="Y1343" s="18"/>
      <c r="Z1343" s="18"/>
      <c r="AA1343" s="18"/>
      <c r="AB1343" s="18"/>
      <c r="AC1343" s="18"/>
      <c r="AD1343" s="18"/>
      <c r="AE1343" s="18"/>
      <c r="AF1343" s="18"/>
      <c r="AG1343" s="18"/>
      <c r="AH1343" s="18" t="s">
        <v>402</v>
      </c>
      <c r="AI1343" s="18"/>
      <c r="AJ1343" s="18" t="s">
        <v>1896</v>
      </c>
    </row>
    <row r="1344" customFormat="false" ht="15" hidden="false" customHeight="false" outlineLevel="0" collapsed="false">
      <c r="A1344" s="18" t="s">
        <v>344</v>
      </c>
      <c r="B1344" s="18" t="s">
        <v>345</v>
      </c>
      <c r="C1344" s="18" t="s">
        <v>169</v>
      </c>
      <c r="D1344" s="18" t="s">
        <v>361</v>
      </c>
      <c r="E1344" s="18" t="s">
        <v>400</v>
      </c>
      <c r="F1344" s="18" t="s">
        <v>1887</v>
      </c>
      <c r="G1344" s="18"/>
      <c r="H1344" s="18"/>
      <c r="I1344" s="18"/>
      <c r="J1344" s="18"/>
      <c r="K1344" s="18"/>
      <c r="L1344" s="18"/>
      <c r="M1344" s="18"/>
      <c r="N1344" s="18"/>
      <c r="O1344" s="18"/>
      <c r="P1344" s="18"/>
      <c r="Q1344" s="18"/>
      <c r="R1344" s="18"/>
      <c r="S1344" s="18"/>
      <c r="T1344" s="18"/>
      <c r="U1344" s="18"/>
      <c r="V1344" s="18"/>
      <c r="W1344" s="18"/>
      <c r="X1344" s="18"/>
      <c r="Y1344" s="18"/>
      <c r="Z1344" s="18"/>
      <c r="AA1344" s="18"/>
      <c r="AB1344" s="18"/>
      <c r="AC1344" s="18"/>
      <c r="AD1344" s="18"/>
      <c r="AE1344" s="18"/>
      <c r="AF1344" s="18"/>
      <c r="AG1344" s="18" t="n">
        <v>12</v>
      </c>
      <c r="AH1344" s="18" t="s">
        <v>402</v>
      </c>
      <c r="AI1344" s="18"/>
      <c r="AJ1344" s="18" t="s">
        <v>1897</v>
      </c>
    </row>
    <row r="1345" customFormat="false" ht="15" hidden="false" customHeight="false" outlineLevel="0" collapsed="false">
      <c r="A1345" s="18" t="s">
        <v>344</v>
      </c>
      <c r="B1345" s="18" t="s">
        <v>345</v>
      </c>
      <c r="C1345" s="18" t="s">
        <v>169</v>
      </c>
      <c r="D1345" s="18" t="s">
        <v>1898</v>
      </c>
      <c r="E1345" s="18" t="s">
        <v>400</v>
      </c>
      <c r="F1345" s="18" t="s">
        <v>1887</v>
      </c>
      <c r="G1345" s="18"/>
      <c r="H1345" s="18"/>
      <c r="I1345" s="18"/>
      <c r="J1345" s="18"/>
      <c r="K1345" s="18"/>
      <c r="L1345" s="18"/>
      <c r="M1345" s="18"/>
      <c r="N1345" s="18"/>
      <c r="O1345" s="18"/>
      <c r="P1345" s="18"/>
      <c r="Q1345" s="18"/>
      <c r="R1345" s="18"/>
      <c r="S1345" s="18"/>
      <c r="T1345" s="18"/>
      <c r="U1345" s="18"/>
      <c r="V1345" s="18"/>
      <c r="W1345" s="18"/>
      <c r="X1345" s="18"/>
      <c r="Y1345" s="18"/>
      <c r="Z1345" s="18"/>
      <c r="AA1345" s="18"/>
      <c r="AB1345" s="18"/>
      <c r="AC1345" s="18"/>
      <c r="AD1345" s="18"/>
      <c r="AE1345" s="18"/>
      <c r="AF1345" s="18"/>
      <c r="AG1345" s="18" t="n">
        <v>13</v>
      </c>
      <c r="AH1345" s="18" t="s">
        <v>402</v>
      </c>
      <c r="AI1345" s="18"/>
      <c r="AJ1345" s="18" t="s">
        <v>1899</v>
      </c>
    </row>
    <row r="1346" customFormat="false" ht="15" hidden="false" customHeight="false" outlineLevel="0" collapsed="false">
      <c r="A1346" s="18" t="s">
        <v>344</v>
      </c>
      <c r="B1346" s="18" t="s">
        <v>345</v>
      </c>
      <c r="C1346" s="18" t="s">
        <v>169</v>
      </c>
      <c r="D1346" s="18" t="s">
        <v>1900</v>
      </c>
      <c r="E1346" s="18" t="s">
        <v>400</v>
      </c>
      <c r="F1346" s="18" t="s">
        <v>1887</v>
      </c>
      <c r="G1346" s="18"/>
      <c r="H1346" s="18"/>
      <c r="I1346" s="18"/>
      <c r="J1346" s="18"/>
      <c r="K1346" s="18"/>
      <c r="L1346" s="18"/>
      <c r="M1346" s="18"/>
      <c r="N1346" s="18"/>
      <c r="O1346" s="18"/>
      <c r="P1346" s="18"/>
      <c r="Q1346" s="18"/>
      <c r="R1346" s="18"/>
      <c r="S1346" s="18"/>
      <c r="T1346" s="18"/>
      <c r="U1346" s="18"/>
      <c r="V1346" s="18"/>
      <c r="W1346" s="18"/>
      <c r="X1346" s="18"/>
      <c r="Y1346" s="18"/>
      <c r="Z1346" s="18"/>
      <c r="AA1346" s="18"/>
      <c r="AB1346" s="18"/>
      <c r="AC1346" s="18"/>
      <c r="AD1346" s="18"/>
      <c r="AE1346" s="18"/>
      <c r="AF1346" s="18"/>
      <c r="AG1346" s="18"/>
      <c r="AH1346" s="18" t="s">
        <v>402</v>
      </c>
      <c r="AI1346" s="18"/>
      <c r="AJ1346" s="18" t="s">
        <v>1901</v>
      </c>
    </row>
    <row r="1347" customFormat="false" ht="15" hidden="false" customHeight="false" outlineLevel="0" collapsed="false">
      <c r="A1347" s="18" t="s">
        <v>344</v>
      </c>
      <c r="B1347" s="18" t="s">
        <v>345</v>
      </c>
      <c r="C1347" s="18" t="s">
        <v>169</v>
      </c>
      <c r="D1347" s="18" t="s">
        <v>1902</v>
      </c>
      <c r="E1347" s="18" t="s">
        <v>400</v>
      </c>
      <c r="F1347" s="18" t="s">
        <v>1887</v>
      </c>
      <c r="G1347" s="18"/>
      <c r="H1347" s="18"/>
      <c r="I1347" s="18"/>
      <c r="J1347" s="18"/>
      <c r="K1347" s="18"/>
      <c r="L1347" s="18"/>
      <c r="M1347" s="18"/>
      <c r="N1347" s="18"/>
      <c r="O1347" s="18"/>
      <c r="P1347" s="18"/>
      <c r="Q1347" s="18"/>
      <c r="R1347" s="18"/>
      <c r="S1347" s="18"/>
      <c r="T1347" s="18"/>
      <c r="U1347" s="18"/>
      <c r="V1347" s="18"/>
      <c r="W1347" s="18"/>
      <c r="X1347" s="18"/>
      <c r="Y1347" s="18"/>
      <c r="Z1347" s="18"/>
      <c r="AA1347" s="18"/>
      <c r="AB1347" s="18"/>
      <c r="AC1347" s="18"/>
      <c r="AD1347" s="18"/>
      <c r="AE1347" s="18"/>
      <c r="AF1347" s="18"/>
      <c r="AG1347" s="18" t="n">
        <v>2607</v>
      </c>
      <c r="AH1347" s="18" t="s">
        <v>402</v>
      </c>
      <c r="AI1347" s="18"/>
      <c r="AJ1347" s="18" t="s">
        <v>1903</v>
      </c>
    </row>
    <row r="1348" customFormat="false" ht="15" hidden="false" customHeight="false" outlineLevel="0" collapsed="false">
      <c r="A1348" s="18" t="s">
        <v>344</v>
      </c>
      <c r="B1348" s="18" t="s">
        <v>345</v>
      </c>
      <c r="C1348" s="18" t="s">
        <v>169</v>
      </c>
      <c r="D1348" s="18" t="s">
        <v>346</v>
      </c>
      <c r="E1348" s="18" t="s">
        <v>400</v>
      </c>
      <c r="F1348" s="18" t="s">
        <v>1887</v>
      </c>
      <c r="G1348" s="18"/>
      <c r="H1348" s="18"/>
      <c r="I1348" s="18"/>
      <c r="J1348" s="18"/>
      <c r="K1348" s="18"/>
      <c r="L1348" s="18"/>
      <c r="M1348" s="18"/>
      <c r="N1348" s="18"/>
      <c r="O1348" s="18"/>
      <c r="P1348" s="18"/>
      <c r="Q1348" s="18"/>
      <c r="R1348" s="18"/>
      <c r="S1348" s="18"/>
      <c r="T1348" s="18"/>
      <c r="U1348" s="18"/>
      <c r="V1348" s="18"/>
      <c r="W1348" s="18"/>
      <c r="X1348" s="18"/>
      <c r="Y1348" s="18"/>
      <c r="Z1348" s="18"/>
      <c r="AA1348" s="18"/>
      <c r="AB1348" s="18"/>
      <c r="AC1348" s="18"/>
      <c r="AD1348" s="18"/>
      <c r="AE1348" s="18"/>
      <c r="AF1348" s="18"/>
      <c r="AG1348" s="18" t="n">
        <v>10</v>
      </c>
      <c r="AH1348" s="18" t="s">
        <v>402</v>
      </c>
      <c r="AI1348" s="18"/>
      <c r="AJ1348" s="18" t="s">
        <v>1904</v>
      </c>
    </row>
  </sheetData>
  <autoFilter ref="A1:AJ13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2"/>
    <col collapsed="false" customWidth="true" hidden="false" outlineLevel="0" max="7" min="3" style="0" width="12"/>
    <col collapsed="false" customWidth="true" hidden="false" outlineLevel="0" max="8" min="8" style="0" width="95"/>
    <col collapsed="false" customWidth="true" hidden="false" outlineLevel="0" max="9" min="9" style="0" width="30"/>
    <col collapsed="false" customWidth="true" hidden="false" outlineLevel="0" max="10" min="10" style="0" width="60"/>
  </cols>
  <sheetData>
    <row r="1" customFormat="false" ht="15" hidden="false" customHeight="false" outlineLevel="0" collapsed="false">
      <c r="A1" s="1" t="s">
        <v>1905</v>
      </c>
    </row>
    <row r="2" customFormat="false" ht="15" hidden="false" customHeight="false" outlineLevel="0" collapsed="false">
      <c r="A2" s="2" t="s">
        <v>1906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398</v>
      </c>
      <c r="B5" s="3" t="s">
        <v>25</v>
      </c>
      <c r="C5" s="3" t="s">
        <v>1907</v>
      </c>
      <c r="D5" s="3" t="s">
        <v>1908</v>
      </c>
      <c r="E5" s="3" t="s">
        <v>1909</v>
      </c>
      <c r="F5" s="3" t="s">
        <v>1910</v>
      </c>
      <c r="G5" s="3" t="s">
        <v>1911</v>
      </c>
      <c r="H5" s="3" t="s">
        <v>1912</v>
      </c>
      <c r="I5" s="3" t="s">
        <v>1913</v>
      </c>
      <c r="J5" s="3" t="s">
        <v>165</v>
      </c>
    </row>
    <row r="6" customFormat="false" ht="68.65" hidden="false" customHeight="false" outlineLevel="0" collapsed="false">
      <c r="A6" s="4" t="s">
        <v>409</v>
      </c>
      <c r="B6" s="5" t="s">
        <v>1914</v>
      </c>
      <c r="C6" s="6" t="str">
        <f aca="false">IF(INDEX(Results_Long!$AG:$AG,SUMPRODUCT((Results_Long!$A$2:$A$1348="H1")*(Results_Long!$B$2:$B$1348="own_x1.0")*(Results_Long!$C$2:$C$1348="defined")*(Results_Long!$D$2:$D$1348="mde_power80")*ROW(Results_Long!$A$2:$A$1348)))="","NA",INDEX(Results_Long!$AG:$AG,SUMPRODUCT((Results_Long!$A$2:$A$1348="H1")*(Results_Long!$B$2:$B$1348="own_x1.0")*(Results_Long!$C$2:$C$1348="defined")*(Results_Long!$D$2:$D$1348="mde_power80")*ROW(Results_Long!$A$2:$A$1348))))</f>
        <v>NA</v>
      </c>
      <c r="D6" s="6" t="n">
        <f aca="false">IF(INDEX(Results_Long!$AG:$AG,SUMPRODUCT((Results_Long!$A$2:$A$1348="H1")*(Results_Long!$B$2:$B$1348="own_x1.0")*(Results_Long!$C$2:$C$1348="defined")*(Results_Long!$D$2:$D$1348="power_delta_0.08")*ROW(Results_Long!$A$2:$A$1348)))="","NA",INDEX(Results_Long!$AG:$AG,SUMPRODUCT((Results_Long!$A$2:$A$1348="H1")*(Results_Long!$B$2:$B$1348="own_x1.0")*(Results_Long!$C$2:$C$1348="defined")*(Results_Long!$D$2:$D$1348="power_delta_0.08")*ROW(Results_Long!$A$2:$A$1348))))</f>
        <v>0.7304</v>
      </c>
      <c r="E6" s="6" t="n">
        <f aca="false">IF(INDEX(Results_Long!$N:$N,SUMPRODUCT((Results_Long!$A$2:$A$1348="H1")*(Results_Long!$B$2:$B$1348="own_x1.0")*(Results_Long!$C$2:$C$1348="defined")*(Results_Long!$D$2:$D$1348="mde_power80")*ROW(Results_Long!$A$2:$A$1348)))="","NA",INDEX(Results_Long!$N:$N,SUMPRODUCT((Results_Long!$A$2:$A$1348="H1")*(Results_Long!$B$2:$B$1348="own_x1.0")*(Results_Long!$C$2:$C$1348="defined")*(Results_Long!$D$2:$D$1348="mde_power80")*ROW(Results_Long!$A$2:$A$1348))))</f>
        <v>11.8193607570982</v>
      </c>
      <c r="F6" s="19"/>
      <c r="G6" s="19"/>
      <c r="H6" s="5" t="str">
        <f aca="false">"MDE80 (own x1.0 scenario): "&amp;IF($C6="NA","NA - above the delta-grid ceiling 0.08; power at 0.08 = "&amp;IF($D6="NA","NA",IF($D6&lt;0,"-","")&amp;INT(ROUND(ABS($D6)*10000,0)/10000)&amp;"."&amp;REPT("0",4-LEN(MOD(ROUND(ABS($D6)*10000,0),10000)))&amp;MOD(ROUND(ABS($D6)*10000,0),10000)),""&amp;IF($C6="NA","NA",IF($C6&lt;0,"-","")&amp;INT(ROUND(ABS($C6)*10000,0)/10000)&amp;"."&amp;REPT("0",4-LEN(MOD(ROUND(ABS($C6)*10000,0),10000)))&amp;MOD(ROUND(ABS($C6)*10000,0),10000)))&amp;" (df_Satt = "&amp;IF($E6="NA","NA",IF($E6&lt;0,"-","")&amp;INT(ROUND(ABS($E6)*100,0)/100)&amp;"."&amp;REPT("0",2-LEN(MOD(ROUND(ABS($E6)*100,0),100)))&amp;MOD(ROUND(ABS($E6)*100,0),100))&amp;")"</f>
        <v>MDE80 (own x1.0 scenario): NA - above the delta-grid ceiling 0.08; power at 0.08 = 0.7304 (df_Satt = 11.82)</v>
      </c>
      <c r="I6" s="5" t="s">
        <v>1915</v>
      </c>
      <c r="J6" s="5" t="str">
        <f aca="false">IF(INDEX(Results_Long!$AJ:$AJ,SUMPRODUCT((Results_Long!$A$2:$A$1348="H1")*(Results_Long!$B$2:$B$1348="own_x1.0")*(Results_Long!$C$2:$C$1348="defined")*(Results_Long!$D$2:$D$1348="mde_power80")*ROW(Results_Long!$A$2:$A$1348)))="","NA",INDEX(Results_Long!$AJ:$AJ,SUMPRODUCT((Results_Long!$A$2:$A$1348="H1")*(Results_Long!$B$2:$B$1348="own_x1.0")*(Results_Long!$C$2:$C$1348="defined")*(Results_Long!$D$2:$D$1348="mde_power80")*ROW(Results_Long!$A$2:$A$1348))))</f>
        <v>H1 scenario own_x1.0: fixed VC (cluster/study/esid) = 0.0197455/1.02092e-09/0.0118832 (= T1/A2 components x 1.0); design X = [1, pp_mid] on 2,705/112; CR2/Satterthwaite two-sided alpha=.05, df precomputed y-free; delta enters as noncentral shift of one B=5000 stream [DEC-045/H-Q14/R1]; MDE = smallest delta with power &gt;= .80, linear interpolation on the 9-point grid; NA = above grid ceiling 0.08</v>
      </c>
    </row>
    <row r="7" customFormat="false" ht="23.85" hidden="false" customHeight="false" outlineLevel="0" collapsed="false">
      <c r="A7" s="4" t="s">
        <v>434</v>
      </c>
      <c r="B7" s="5" t="s">
        <v>1916</v>
      </c>
      <c r="C7" s="6" t="n">
        <f aca="false">IF(INDEX(Results_Long!$AG:$AG,SUMPRODUCT((Results_Long!$A$2:$A$1348="H3")*(Results_Long!$B$2:$B$1348="core_curve")*(Results_Long!$C$2:$C$1348="defined")*(Results_Long!$D$2:$D$1348="p_perm_share_sig")*ROW(Results_Long!$A$2:$A$1348)))="","NA",INDEX(Results_Long!$AG:$AG,SUMPRODUCT((Results_Long!$A$2:$A$1348="H3")*(Results_Long!$B$2:$B$1348="core_curve")*(Results_Long!$C$2:$C$1348="defined")*(Results_Long!$D$2:$D$1348="p_perm_share_sig")*ROW(Results_Long!$A$2:$A$1348))))</f>
        <v>1</v>
      </c>
      <c r="D7" s="6" t="n">
        <f aca="false">IF(INDEX(Results_Long!$AG:$AG,SUMPRODUCT((Results_Long!$A$2:$A$1348="H3")*(Results_Long!$B$2:$B$1348="core_curve")*(Results_Long!$C$2:$C$1348="defined")*(Results_Long!$D$2:$D$1348="observed_share_sig")*ROW(Results_Long!$A$2:$A$1348)))="","NA",INDEX(Results_Long!$AG:$AG,SUMPRODUCT((Results_Long!$A$2:$A$1348="H3")*(Results_Long!$B$2:$B$1348="core_curve")*(Results_Long!$C$2:$C$1348="defined")*(Results_Long!$D$2:$D$1348="observed_share_sig")*ROW(Results_Long!$A$2:$A$1348))))</f>
        <v>0</v>
      </c>
      <c r="E7" s="6" t="n">
        <f aca="false">IF(INDEX(Results_Long!$AG:$AG,SUMPRODUCT((Results_Long!$A$2:$A$1348="H3")*(Results_Long!$B$2:$B$1348="core_curve")*(Results_Long!$C$2:$C$1348="defined")*(Results_Long!$D$2:$D$1348="p_perm_median_t")*ROW(Results_Long!$A$2:$A$1348)))="","NA",INDEX(Results_Long!$AG:$AG,SUMPRODUCT((Results_Long!$A$2:$A$1348="H3")*(Results_Long!$B$2:$B$1348="core_curve")*(Results_Long!$C$2:$C$1348="defined")*(Results_Long!$D$2:$D$1348="p_perm_median_t")*ROW(Results_Long!$A$2:$A$1348))))</f>
        <v>0.854291417165669</v>
      </c>
      <c r="F7" s="6" t="n">
        <f aca="false">IF(INDEX(Results_Long!$AG:$AG,SUMPRODUCT((Results_Long!$A$2:$A$1348="H3")*(Results_Long!$B$2:$B$1348="core_curve")*(Results_Long!$C$2:$C$1348="defined")*(Results_Long!$D$2:$D$1348="eff_B")*ROW(Results_Long!$A$2:$A$1348)))="","NA",INDEX(Results_Long!$AG:$AG,SUMPRODUCT((Results_Long!$A$2:$A$1348="H3")*(Results_Long!$B$2:$B$1348="core_curve")*(Results_Long!$C$2:$C$1348="defined")*(Results_Long!$D$2:$D$1348="eff_B")*ROW(Results_Long!$A$2:$A$1348))))</f>
        <v>500</v>
      </c>
      <c r="G7" s="19"/>
      <c r="H7" s="5" t="str">
        <f aca="false">"Joint spec-curve permutation: observed share p&lt;.05 = "&amp;IF($D7="NA","NA",ROUND($D7*10,0))&amp;"/10; p_perm(share) = "&amp;IF($C7="NA","NA",IF($C7&lt;0,"-","")&amp;INT(ROUND(ABS($C7)*10000,0)/10000)&amp;"."&amp;REPT("0",4-LEN(MOD(ROUND(ABS($C7)*10000,0),10000)))&amp;MOD(ROUND(ABS($C7)*10000,0),10000))&amp;"; p_perm(median |t|) = "&amp;IF($E7="NA","NA",IF($E7&lt;0,"-","")&amp;INT(ROUND(ABS($E7)*10000,0)/10000)&amp;"."&amp;REPT("0",4-LEN(MOD(ROUND(ABS($E7)*10000,0),10000)))&amp;MOD(ROUND(ABS($E7)*10000,0),10000))&amp;"; B_eff = "&amp;IF($F7="NA","NA",ROUND($F7,0))</f>
        <v>Joint spec-curve permutation: observed share p&lt;.05 = 0/10; p_perm(share) = 1.0000; p_perm(median |t|) = 0.8543; B_eff = 500</v>
      </c>
      <c r="I7" s="5" t="s">
        <v>1917</v>
      </c>
      <c r="J7" s="5" t="str">
        <f aca="false">IF(INDEX(Results_Long!$AJ:$AJ,SUMPRODUCT((Results_Long!$A$2:$A$1348="H3")*(Results_Long!$B$2:$B$1348="core_curve")*(Results_Long!$C$2:$C$1348="defined")*(Results_Long!$D$2:$D$1348="p_perm_share_sig")*ROW(Results_Long!$A$2:$A$1348)))="","NA",INDEX(Results_Long!$AJ:$AJ,SUMPRODUCT((Results_Long!$A$2:$A$1348="H3")*(Results_Long!$B$2:$B$1348="core_curve")*(Results_Long!$C$2:$C$1348="defined")*(Results_Long!$D$2:$D$1348="p_perm_share_sig")*ROW(Results_Long!$A$2:$A$1348))))</f>
        <v>joint permutation [H-Q15/R3]: ONE cluster time-translation per replicate applied to all 10 core cells (codings re-derived); p = (1 + 500)/(500 + 1)</v>
      </c>
    </row>
    <row r="8" customFormat="false" ht="46.25" hidden="false" customHeight="false" outlineLevel="0" collapsed="false">
      <c r="A8" s="4" t="s">
        <v>971</v>
      </c>
      <c r="B8" s="5" t="s">
        <v>1918</v>
      </c>
      <c r="C8" s="6" t="n">
        <f aca="false">IF(INDEX(Results_Long!$K:$K,SUMPRODUCT((Results_Long!$A$2:$A$1348="H3")*(Results_Long!$B$2:$B$1348="paris_mid|none|full|dfE")*(Results_Long!$C$2:$C$1348="3LMA-RVE_CR2|r0.6")*(Results_Long!$D$2:$D$1348="diff")*ROW(Results_Long!$A$2:$A$1348)))="","NA",INDEX(Results_Long!$K:$K,SUMPRODUCT((Results_Long!$A$2:$A$1348="H3")*(Results_Long!$B$2:$B$1348="paris_mid|none|full|dfE")*(Results_Long!$C$2:$C$1348="3LMA-RVE_CR2|r0.6")*(Results_Long!$D$2:$D$1348="diff")*ROW(Results_Long!$A$2:$A$1348))))</f>
        <v>0.0101759067104026</v>
      </c>
      <c r="D8" s="6" t="n">
        <f aca="false">IF(INDEX(Results_Long!$N:$N,SUMPRODUCT((Results_Long!$A$2:$A$1348="H3")*(Results_Long!$B$2:$B$1348="paris_mid|none|full|dfE")*(Results_Long!$C$2:$C$1348="3LMA-RVE_CR2|r0.6")*(Results_Long!$D$2:$D$1348="diff")*ROW(Results_Long!$A$2:$A$1348)))="","NA",INDEX(Results_Long!$N:$N,SUMPRODUCT((Results_Long!$A$2:$A$1348="H3")*(Results_Long!$B$2:$B$1348="paris_mid|none|full|dfE")*(Results_Long!$C$2:$C$1348="3LMA-RVE_CR2|r0.6")*(Results_Long!$D$2:$D$1348="diff")*ROW(Results_Long!$A$2:$A$1348))))</f>
        <v>14.9920663728925</v>
      </c>
      <c r="E8" s="6" t="n">
        <f aca="false">IF(INDEX(Results_Long!$M:$M,SUMPRODUCT((Results_Long!$A$2:$A$1348="H3")*(Results_Long!$B$2:$B$1348="paris_mid|none|full|dfE")*(Results_Long!$C$2:$C$1348="3LMA-RVE_CR2|r0.6")*(Results_Long!$D$2:$D$1348="diff")*ROW(Results_Long!$A$2:$A$1348)))="","NA",INDEX(Results_Long!$M:$M,SUMPRODUCT((Results_Long!$A$2:$A$1348="H3")*(Results_Long!$B$2:$B$1348="paris_mid|none|full|dfE")*(Results_Long!$C$2:$C$1348="3LMA-RVE_CR2|r0.6")*(Results_Long!$D$2:$D$1348="diff")*ROW(Results_Long!$A$2:$A$1348))))</f>
        <v>0.561978682038798</v>
      </c>
      <c r="F8" s="6" t="n">
        <f aca="false">IF(INDEX(Results_Long!$O:$O,SUMPRODUCT((Results_Long!$A$2:$A$1348="H3")*(Results_Long!$B$2:$B$1348="paris_mid|none|full|dfE")*(Results_Long!$C$2:$C$1348="3LMA-RVE_CR2|r0.6")*(Results_Long!$D$2:$D$1348="diff")*ROW(Results_Long!$A$2:$A$1348)))="","NA",INDEX(Results_Long!$O:$O,SUMPRODUCT((Results_Long!$A$2:$A$1348="H3")*(Results_Long!$B$2:$B$1348="paris_mid|none|full|dfE")*(Results_Long!$C$2:$C$1348="3LMA-RVE_CR2|r0.6")*(Results_Long!$D$2:$D$1348="diff")*ROW(Results_Long!$A$2:$A$1348))))</f>
        <v>0.582435725630516</v>
      </c>
      <c r="G8" s="19"/>
      <c r="H8" s="5" t="str">
        <f aca="false">"core cell paris_mid: diff_z = "&amp;IF($C8="NA","NA",IF($C8&lt;0,"-","+")&amp;INT(ROUND(ABS($C8)*10000,0)/10000)&amp;"."&amp;REPT("0",4-LEN(MOD(ROUND(ABS($C8)*10000,0),10000)))&amp;MOD(ROUND(ABS($C8)*10000,0),10000))&amp;", t("&amp;IF($D8="NA","NA",IF($D8&lt;0,"-","")&amp;INT(ROUND(ABS($D8)*10,0)/10)&amp;"."&amp;REPT("0",1-LEN(MOD(ROUND(ABS($D8)*10,0),10)))&amp;MOD(ROUND(ABS($D8)*10,0),10))&amp;") = "&amp;IF($E8="NA","NA",IF($E8&lt;0,"-","")&amp;INT(ROUND(ABS($E8)*100,0)/100)&amp;"."&amp;REPT("0",2-LEN(MOD(ROUND(ABS($E8)*100,0),100)))&amp;MOD(ROUND(ABS($E8)*100,0),100))&amp;", "&amp;IF($F8="NA","p = NA",IF($F8&lt;0.0001,"p &lt; 0.0001","p = "&amp;IF($F8="NA","NA",IF($F8&lt;0,"-","")&amp;INT(ROUND(ABS($F8)*10000,0)/10000)&amp;"."&amp;REPT("0",4-LEN(MOD(ROUND(ABS($F8)*10000,0),10000)))&amp;MOD(ROUND(ABS($F8)*10000,0),10000))))</f>
        <v>core cell paris_mid: diff_z = +0.0102, t(15.0) = 0.56, p = 0.5824</v>
      </c>
      <c r="I8" s="5" t="s">
        <v>1919</v>
      </c>
      <c r="J8" s="5" t="str">
        <f aca="false">IF(INDEX(Results_Long!$AJ:$AJ,SUMPRODUCT((Results_Long!$A$2:$A$1348="H3")*(Results_Long!$B$2:$B$1348="paris_mid|none|full|dfE")*(Results_Long!$C$2:$C$1348="3LMA-RVE_CR2|r0.6")*(Results_Long!$D$2:$D$1348="diff")*ROW(Results_Long!$A$2:$A$1348)))="","NA",INDEX(Results_Long!$AJ:$AJ,SUMPRODUCT((Results_Long!$A$2:$A$1348="H3")*(Results_Long!$B$2:$B$1348="paris_mid|none|full|dfE")*(Results_Long!$C$2:$C$1348="3LMA-RVE_CR2|r0.6")*(Results_Long!$D$2:$D$1348="diff")*ROW(Results_Long!$A$2:$A$1348))))</f>
        <v>multiverse cell 361/1260: coding=paris_mid, outlier=none, es_set=full, df_basis=dfE, estimator=3LMA-RVE_CR2, rho=0.6 [DEC-045 S2]; descriptive curve cell; CORE cell (inference via joint permutation); verifier identity vs committed T2 diff at 1e-6</v>
      </c>
    </row>
    <row r="9" customFormat="false" ht="46.25" hidden="false" customHeight="false" outlineLevel="0" collapsed="false">
      <c r="A9" s="4" t="s">
        <v>973</v>
      </c>
      <c r="B9" s="5" t="s">
        <v>1920</v>
      </c>
      <c r="C9" s="6" t="n">
        <f aca="false">IF(INDEX(Results_Long!$K:$K,SUMPRODUCT((Results_Long!$A$2:$A$1348="H3")*(Results_Long!$B$2:$B$1348="tie_break_median|none|full|dfE")*(Results_Long!$C$2:$C$1348="3LMA-RVE_CR2|r0.6")*(Results_Long!$D$2:$D$1348="diff")*ROW(Results_Long!$A$2:$A$1348)))="","NA",INDEX(Results_Long!$K:$K,SUMPRODUCT((Results_Long!$A$2:$A$1348="H3")*(Results_Long!$B$2:$B$1348="tie_break_median|none|full|dfE")*(Results_Long!$C$2:$C$1348="3LMA-RVE_CR2|r0.6")*(Results_Long!$D$2:$D$1348="diff")*ROW(Results_Long!$A$2:$A$1348))))</f>
        <v>0.00980554090070676</v>
      </c>
      <c r="D9" s="6" t="n">
        <f aca="false">IF(INDEX(Results_Long!$N:$N,SUMPRODUCT((Results_Long!$A$2:$A$1348="H3")*(Results_Long!$B$2:$B$1348="tie_break_median|none|full|dfE")*(Results_Long!$C$2:$C$1348="3LMA-RVE_CR2|r0.6")*(Results_Long!$D$2:$D$1348="diff")*ROW(Results_Long!$A$2:$A$1348)))="","NA",INDEX(Results_Long!$N:$N,SUMPRODUCT((Results_Long!$A$2:$A$1348="H3")*(Results_Long!$B$2:$B$1348="tie_break_median|none|full|dfE")*(Results_Long!$C$2:$C$1348="3LMA-RVE_CR2|r0.6")*(Results_Long!$D$2:$D$1348="diff")*ROW(Results_Long!$A$2:$A$1348))))</f>
        <v>12.2637097789956</v>
      </c>
      <c r="E9" s="6" t="n">
        <f aca="false">IF(INDEX(Results_Long!$M:$M,SUMPRODUCT((Results_Long!$A$2:$A$1348="H3")*(Results_Long!$B$2:$B$1348="tie_break_median|none|full|dfE")*(Results_Long!$C$2:$C$1348="3LMA-RVE_CR2|r0.6")*(Results_Long!$D$2:$D$1348="diff")*ROW(Results_Long!$A$2:$A$1348)))="","NA",INDEX(Results_Long!$M:$M,SUMPRODUCT((Results_Long!$A$2:$A$1348="H3")*(Results_Long!$B$2:$B$1348="tie_break_median|none|full|dfE")*(Results_Long!$C$2:$C$1348="3LMA-RVE_CR2|r0.6")*(Results_Long!$D$2:$D$1348="diff")*ROW(Results_Long!$A$2:$A$1348))))</f>
        <v>0.552486235859967</v>
      </c>
      <c r="F9" s="6" t="n">
        <f aca="false">IF(INDEX(Results_Long!$O:$O,SUMPRODUCT((Results_Long!$A$2:$A$1348="H3")*(Results_Long!$B$2:$B$1348="tie_break_median|none|full|dfE")*(Results_Long!$C$2:$C$1348="3LMA-RVE_CR2|r0.6")*(Results_Long!$D$2:$D$1348="diff")*ROW(Results_Long!$A$2:$A$1348)))="","NA",INDEX(Results_Long!$O:$O,SUMPRODUCT((Results_Long!$A$2:$A$1348="H3")*(Results_Long!$B$2:$B$1348="tie_break_median|none|full|dfE")*(Results_Long!$C$2:$C$1348="3LMA-RVE_CR2|r0.6")*(Results_Long!$D$2:$D$1348="diff")*ROW(Results_Long!$A$2:$A$1348))))</f>
        <v>0.59054305378376</v>
      </c>
      <c r="G9" s="19"/>
      <c r="H9" s="5" t="str">
        <f aca="false">"core cell tie_break_median: diff_z = "&amp;IF($C9="NA","NA",IF($C9&lt;0,"-","+")&amp;INT(ROUND(ABS($C9)*10000,0)/10000)&amp;"."&amp;REPT("0",4-LEN(MOD(ROUND(ABS($C9)*10000,0),10000)))&amp;MOD(ROUND(ABS($C9)*10000,0),10000))&amp;", t("&amp;IF($D9="NA","NA",IF($D9&lt;0,"-","")&amp;INT(ROUND(ABS($D9)*10,0)/10)&amp;"."&amp;REPT("0",1-LEN(MOD(ROUND(ABS($D9)*10,0),10)))&amp;MOD(ROUND(ABS($D9)*10,0),10))&amp;") = "&amp;IF($E9="NA","NA",IF($E9&lt;0,"-","")&amp;INT(ROUND(ABS($E9)*100,0)/100)&amp;"."&amp;REPT("0",2-LEN(MOD(ROUND(ABS($E9)*100,0),100)))&amp;MOD(ROUND(ABS($E9)*100,0),100))&amp;", "&amp;IF($F9="NA","p = NA",IF($F9&lt;0.0001,"p &lt; 0.0001","p = "&amp;IF($F9="NA","NA",IF($F9&lt;0,"-","")&amp;INT(ROUND(ABS($F9)*10000,0)/10000)&amp;"."&amp;REPT("0",4-LEN(MOD(ROUND(ABS($F9)*10000,0),10000)))&amp;MOD(ROUND(ABS($F9)*10000,0),10000))))</f>
        <v>core cell tie_break_median: diff_z = +0.0098, t(12.3) = 0.55, p = 0.5905</v>
      </c>
      <c r="I9" s="5" t="s">
        <v>1921</v>
      </c>
      <c r="J9" s="5" t="str">
        <f aca="false">IF(INDEX(Results_Long!$AJ:$AJ,SUMPRODUCT((Results_Long!$A$2:$A$1348="H3")*(Results_Long!$B$2:$B$1348="tie_break_median|none|full|dfE")*(Results_Long!$C$2:$C$1348="3LMA-RVE_CR2|r0.6")*(Results_Long!$D$2:$D$1348="diff")*ROW(Results_Long!$A$2:$A$1348)))="","NA",INDEX(Results_Long!$AJ:$AJ,SUMPRODUCT((Results_Long!$A$2:$A$1348="H3")*(Results_Long!$B$2:$B$1348="tie_break_median|none|full|dfE")*(Results_Long!$C$2:$C$1348="3LMA-RVE_CR2|r0.6")*(Results_Long!$D$2:$D$1348="diff")*ROW(Results_Long!$A$2:$A$1348))))</f>
        <v>multiverse cell 362/1260: coding=tie_break_median, outlier=none, es_set=full, df_basis=dfE, estimator=3LMA-RVE_CR2, rho=0.6 [DEC-045 S2]; descriptive curve cell; CORE cell (inference via joint permutation); verifier identity vs committed T2 diff at 1e-6</v>
      </c>
    </row>
    <row r="10" customFormat="false" ht="46.25" hidden="false" customHeight="false" outlineLevel="0" collapsed="false">
      <c r="A10" s="4" t="s">
        <v>975</v>
      </c>
      <c r="B10" s="5" t="s">
        <v>1922</v>
      </c>
      <c r="C10" s="6" t="n">
        <f aca="false">IF(INDEX(Results_Long!$K:$K,SUMPRODUCT((Results_Long!$A$2:$A$1348="H3")*(Results_Long!$B$2:$B$1348="end_any_exposure|none|full|dfE")*(Results_Long!$C$2:$C$1348="3LMA-RVE_CR2|r0.6")*(Results_Long!$D$2:$D$1348="diff")*ROW(Results_Long!$A$2:$A$1348)))="","NA",INDEX(Results_Long!$K:$K,SUMPRODUCT((Results_Long!$A$2:$A$1348="H3")*(Results_Long!$B$2:$B$1348="end_any_exposure|none|full|dfE")*(Results_Long!$C$2:$C$1348="3LMA-RVE_CR2|r0.6")*(Results_Long!$D$2:$D$1348="diff")*ROW(Results_Long!$A$2:$A$1348))))</f>
        <v>-0.0194034552449364</v>
      </c>
      <c r="D10" s="6" t="n">
        <f aca="false">IF(INDEX(Results_Long!$N:$N,SUMPRODUCT((Results_Long!$A$2:$A$1348="H3")*(Results_Long!$B$2:$B$1348="end_any_exposure|none|full|dfE")*(Results_Long!$C$2:$C$1348="3LMA-RVE_CR2|r0.6")*(Results_Long!$D$2:$D$1348="diff")*ROW(Results_Long!$A$2:$A$1348)))="","NA",INDEX(Results_Long!$N:$N,SUMPRODUCT((Results_Long!$A$2:$A$1348="H3")*(Results_Long!$B$2:$B$1348="end_any_exposure|none|full|dfE")*(Results_Long!$C$2:$C$1348="3LMA-RVE_CR2|r0.6")*(Results_Long!$D$2:$D$1348="diff")*ROW(Results_Long!$A$2:$A$1348))))</f>
        <v>41.6029095187179</v>
      </c>
      <c r="E10" s="6" t="n">
        <f aca="false">IF(INDEX(Results_Long!$M:$M,SUMPRODUCT((Results_Long!$A$2:$A$1348="H3")*(Results_Long!$B$2:$B$1348="end_any_exposure|none|full|dfE")*(Results_Long!$C$2:$C$1348="3LMA-RVE_CR2|r0.6")*(Results_Long!$D$2:$D$1348="diff")*ROW(Results_Long!$A$2:$A$1348)))="","NA",INDEX(Results_Long!$M:$M,SUMPRODUCT((Results_Long!$A$2:$A$1348="H3")*(Results_Long!$B$2:$B$1348="end_any_exposure|none|full|dfE")*(Results_Long!$C$2:$C$1348="3LMA-RVE_CR2|r0.6")*(Results_Long!$D$2:$D$1348="diff")*ROW(Results_Long!$A$2:$A$1348))))</f>
        <v>-0.926986735496728</v>
      </c>
      <c r="F10" s="6" t="n">
        <f aca="false">IF(INDEX(Results_Long!$O:$O,SUMPRODUCT((Results_Long!$A$2:$A$1348="H3")*(Results_Long!$B$2:$B$1348="end_any_exposure|none|full|dfE")*(Results_Long!$C$2:$C$1348="3LMA-RVE_CR2|r0.6")*(Results_Long!$D$2:$D$1348="diff")*ROW(Results_Long!$A$2:$A$1348)))="","NA",INDEX(Results_Long!$O:$O,SUMPRODUCT((Results_Long!$A$2:$A$1348="H3")*(Results_Long!$B$2:$B$1348="end_any_exposure|none|full|dfE")*(Results_Long!$C$2:$C$1348="3LMA-RVE_CR2|r0.6")*(Results_Long!$D$2:$D$1348="diff")*ROW(Results_Long!$A$2:$A$1348))))</f>
        <v>0.359280212535771</v>
      </c>
      <c r="G10" s="19"/>
      <c r="H10" s="5" t="str">
        <f aca="false">"core cell end_any_exposure: diff_z = "&amp;IF($C10="NA","NA",IF($C10&lt;0,"-","+")&amp;INT(ROUND(ABS($C10)*10000,0)/10000)&amp;"."&amp;REPT("0",4-LEN(MOD(ROUND(ABS($C10)*10000,0),10000)))&amp;MOD(ROUND(ABS($C10)*10000,0),10000))&amp;", t("&amp;IF($D10="NA","NA",IF($D10&lt;0,"-","")&amp;INT(ROUND(ABS($D10)*10,0)/10)&amp;"."&amp;REPT("0",1-LEN(MOD(ROUND(ABS($D10)*10,0),10)))&amp;MOD(ROUND(ABS($D10)*10,0),10))&amp;") = "&amp;IF($E10="NA","NA",IF($E10&lt;0,"-","")&amp;INT(ROUND(ABS($E10)*100,0)/100)&amp;"."&amp;REPT("0",2-LEN(MOD(ROUND(ABS($E10)*100,0),100)))&amp;MOD(ROUND(ABS($E10)*100,0),100))&amp;", "&amp;IF($F10="NA","p = NA",IF($F10&lt;0.0001,"p &lt; 0.0001","p = "&amp;IF($F10="NA","NA",IF($F10&lt;0,"-","")&amp;INT(ROUND(ABS($F10)*10000,0)/10000)&amp;"."&amp;REPT("0",4-LEN(MOD(ROUND(ABS($F10)*10000,0),10000)))&amp;MOD(ROUND(ABS($F10)*10000,0),10000))))</f>
        <v>core cell end_any_exposure: diff_z = -0.0194, t(41.6) = -0.93, p = 0.3593</v>
      </c>
      <c r="I10" s="5" t="s">
        <v>1923</v>
      </c>
      <c r="J10" s="5" t="str">
        <f aca="false">IF(INDEX(Results_Long!$AJ:$AJ,SUMPRODUCT((Results_Long!$A$2:$A$1348="H3")*(Results_Long!$B$2:$B$1348="end_any_exposure|none|full|dfE")*(Results_Long!$C$2:$C$1348="3LMA-RVE_CR2|r0.6")*(Results_Long!$D$2:$D$1348="diff")*ROW(Results_Long!$A$2:$A$1348)))="","NA",INDEX(Results_Long!$AJ:$AJ,SUMPRODUCT((Results_Long!$A$2:$A$1348="H3")*(Results_Long!$B$2:$B$1348="end_any_exposure|none|full|dfE")*(Results_Long!$C$2:$C$1348="3LMA-RVE_CR2|r0.6")*(Results_Long!$D$2:$D$1348="diff")*ROW(Results_Long!$A$2:$A$1348))))</f>
        <v>multiverse cell 363/1260: coding=end_any_exposure, outlier=none, es_set=full, df_basis=dfE, estimator=3LMA-RVE_CR2, rho=0.6 [DEC-045 S2]; descriptive curve cell; CORE cell (inference via joint permutation); verifier identity vs committed T2 diff at 1e-6</v>
      </c>
    </row>
    <row r="11" customFormat="false" ht="46.25" hidden="false" customHeight="false" outlineLevel="0" collapsed="false">
      <c r="A11" s="4" t="s">
        <v>977</v>
      </c>
      <c r="B11" s="5" t="s">
        <v>1924</v>
      </c>
      <c r="C11" s="6" t="n">
        <f aca="false">IF(INDEX(Results_Long!$K:$K,SUMPRODUCT((Results_Long!$A$2:$A$1348="H3")*(Results_Long!$B$2:$B$1348="share_recut_2017|none|full|dfE")*(Results_Long!$C$2:$C$1348="3LMA-RVE_CR2|r0.6")*(Results_Long!$D$2:$D$1348="diff")*ROW(Results_Long!$A$2:$A$1348)))="","NA",INDEX(Results_Long!$K:$K,SUMPRODUCT((Results_Long!$A$2:$A$1348="H3")*(Results_Long!$B$2:$B$1348="share_recut_2017|none|full|dfE")*(Results_Long!$C$2:$C$1348="3LMA-RVE_CR2|r0.6")*(Results_Long!$D$2:$D$1348="diff")*ROW(Results_Long!$A$2:$A$1348))))</f>
        <v>0.00803406938025233</v>
      </c>
      <c r="D11" s="6" t="n">
        <f aca="false">IF(INDEX(Results_Long!$N:$N,SUMPRODUCT((Results_Long!$A$2:$A$1348="H3")*(Results_Long!$B$2:$B$1348="share_recut_2017|none|full|dfE")*(Results_Long!$C$2:$C$1348="3LMA-RVE_CR2|r0.6")*(Results_Long!$D$2:$D$1348="diff")*ROW(Results_Long!$A$2:$A$1348)))="","NA",INDEX(Results_Long!$N:$N,SUMPRODUCT((Results_Long!$A$2:$A$1348="H3")*(Results_Long!$B$2:$B$1348="share_recut_2017|none|full|dfE")*(Results_Long!$C$2:$C$1348="3LMA-RVE_CR2|r0.6")*(Results_Long!$D$2:$D$1348="diff")*ROW(Results_Long!$A$2:$A$1348))))</f>
        <v>10.8521828308988</v>
      </c>
      <c r="E11" s="6" t="n">
        <f aca="false">IF(INDEX(Results_Long!$M:$M,SUMPRODUCT((Results_Long!$A$2:$A$1348="H3")*(Results_Long!$B$2:$B$1348="share_recut_2017|none|full|dfE")*(Results_Long!$C$2:$C$1348="3LMA-RVE_CR2|r0.6")*(Results_Long!$D$2:$D$1348="diff")*ROW(Results_Long!$A$2:$A$1348)))="","NA",INDEX(Results_Long!$M:$M,SUMPRODUCT((Results_Long!$A$2:$A$1348="H3")*(Results_Long!$B$2:$B$1348="share_recut_2017|none|full|dfE")*(Results_Long!$C$2:$C$1348="3LMA-RVE_CR2|r0.6")*(Results_Long!$D$2:$D$1348="diff")*ROW(Results_Long!$A$2:$A$1348))))</f>
        <v>0.446333895994757</v>
      </c>
      <c r="F11" s="6" t="n">
        <f aca="false">IF(INDEX(Results_Long!$O:$O,SUMPRODUCT((Results_Long!$A$2:$A$1348="H3")*(Results_Long!$B$2:$B$1348="share_recut_2017|none|full|dfE")*(Results_Long!$C$2:$C$1348="3LMA-RVE_CR2|r0.6")*(Results_Long!$D$2:$D$1348="diff")*ROW(Results_Long!$A$2:$A$1348)))="","NA",INDEX(Results_Long!$O:$O,SUMPRODUCT((Results_Long!$A$2:$A$1348="H3")*(Results_Long!$B$2:$B$1348="share_recut_2017|none|full|dfE")*(Results_Long!$C$2:$C$1348="3LMA-RVE_CR2|r0.6")*(Results_Long!$D$2:$D$1348="diff")*ROW(Results_Long!$A$2:$A$1348))))</f>
        <v>0.664130799693444</v>
      </c>
      <c r="G11" s="19"/>
      <c r="H11" s="5" t="str">
        <f aca="false">"core cell share_recut_2017: diff_z = "&amp;IF($C11="NA","NA",IF($C11&lt;0,"-","+")&amp;INT(ROUND(ABS($C11)*10000,0)/10000)&amp;"."&amp;REPT("0",4-LEN(MOD(ROUND(ABS($C11)*10000,0),10000)))&amp;MOD(ROUND(ABS($C11)*10000,0),10000))&amp;", t("&amp;IF($D11="NA","NA",IF($D11&lt;0,"-","")&amp;INT(ROUND(ABS($D11)*10,0)/10)&amp;"."&amp;REPT("0",1-LEN(MOD(ROUND(ABS($D11)*10,0),10)))&amp;MOD(ROUND(ABS($D11)*10,0),10))&amp;") = "&amp;IF($E11="NA","NA",IF($E11&lt;0,"-","")&amp;INT(ROUND(ABS($E11)*100,0)/100)&amp;"."&amp;REPT("0",2-LEN(MOD(ROUND(ABS($E11)*100,0),100)))&amp;MOD(ROUND(ABS($E11)*100,0),100))&amp;", "&amp;IF($F11="NA","p = NA",IF($F11&lt;0.0001,"p &lt; 0.0001","p = "&amp;IF($F11="NA","NA",IF($F11&lt;0,"-","")&amp;INT(ROUND(ABS($F11)*10000,0)/10000)&amp;"."&amp;REPT("0",4-LEN(MOD(ROUND(ABS($F11)*10000,0),10000)))&amp;MOD(ROUND(ABS($F11)*10000,0),10000))))</f>
        <v>core cell share_recut_2017: diff_z = +0.0080, t(10.9) = 0.45, p = 0.6641</v>
      </c>
      <c r="I11" s="5" t="s">
        <v>1925</v>
      </c>
      <c r="J11" s="5" t="str">
        <f aca="false">IF(INDEX(Results_Long!$AJ:$AJ,SUMPRODUCT((Results_Long!$A$2:$A$1348="H3")*(Results_Long!$B$2:$B$1348="share_recut_2017|none|full|dfE")*(Results_Long!$C$2:$C$1348="3LMA-RVE_CR2|r0.6")*(Results_Long!$D$2:$D$1348="diff")*ROW(Results_Long!$A$2:$A$1348)))="","NA",INDEX(Results_Long!$AJ:$AJ,SUMPRODUCT((Results_Long!$A$2:$A$1348="H3")*(Results_Long!$B$2:$B$1348="share_recut_2017|none|full|dfE")*(Results_Long!$C$2:$C$1348="3LMA-RVE_CR2|r0.6")*(Results_Long!$D$2:$D$1348="diff")*ROW(Results_Long!$A$2:$A$1348))))</f>
        <v>multiverse cell 364/1260: coding=share_recut_2017, outlier=none, es_set=full, df_basis=dfE, estimator=3LMA-RVE_CR2, rho=0.6 [DEC-045 S2]; descriptive curve cell; CORE cell (inference via joint permutation); verifier identity vs committed T2 diff at 1e-6</v>
      </c>
    </row>
    <row r="12" customFormat="false" ht="46.25" hidden="false" customHeight="false" outlineLevel="0" collapsed="false">
      <c r="A12" s="4" t="s">
        <v>979</v>
      </c>
      <c r="B12" s="5" t="s">
        <v>1926</v>
      </c>
      <c r="C12" s="6" t="n">
        <f aca="false">IF(INDEX(Results_Long!$K:$K,SUMPRODUCT((Results_Long!$A$2:$A$1348="H3")*(Results_Long!$B$2:$B$1348="share_recut_2018|none|full|dfE")*(Results_Long!$C$2:$C$1348="3LMA-RVE_CR2|r0.6")*(Results_Long!$D$2:$D$1348="diff")*ROW(Results_Long!$A$2:$A$1348)))="","NA",INDEX(Results_Long!$K:$K,SUMPRODUCT((Results_Long!$A$2:$A$1348="H3")*(Results_Long!$B$2:$B$1348="share_recut_2018|none|full|dfE")*(Results_Long!$C$2:$C$1348="3LMA-RVE_CR2|r0.6")*(Results_Long!$D$2:$D$1348="diff")*ROW(Results_Long!$A$2:$A$1348))))</f>
        <v>0.00312304259512057</v>
      </c>
      <c r="D12" s="6" t="n">
        <f aca="false">IF(INDEX(Results_Long!$N:$N,SUMPRODUCT((Results_Long!$A$2:$A$1348="H3")*(Results_Long!$B$2:$B$1348="share_recut_2018|none|full|dfE")*(Results_Long!$C$2:$C$1348="3LMA-RVE_CR2|r0.6")*(Results_Long!$D$2:$D$1348="diff")*ROW(Results_Long!$A$2:$A$1348)))="","NA",INDEX(Results_Long!$N:$N,SUMPRODUCT((Results_Long!$A$2:$A$1348="H3")*(Results_Long!$B$2:$B$1348="share_recut_2018|none|full|dfE")*(Results_Long!$C$2:$C$1348="3LMA-RVE_CR2|r0.6")*(Results_Long!$D$2:$D$1348="diff")*ROW(Results_Long!$A$2:$A$1348))))</f>
        <v>18.7761441211637</v>
      </c>
      <c r="E12" s="6" t="n">
        <f aca="false">IF(INDEX(Results_Long!$M:$M,SUMPRODUCT((Results_Long!$A$2:$A$1348="H3")*(Results_Long!$B$2:$B$1348="share_recut_2018|none|full|dfE")*(Results_Long!$C$2:$C$1348="3LMA-RVE_CR2|r0.6")*(Results_Long!$D$2:$D$1348="diff")*ROW(Results_Long!$A$2:$A$1348)))="","NA",INDEX(Results_Long!$M:$M,SUMPRODUCT((Results_Long!$A$2:$A$1348="H3")*(Results_Long!$B$2:$B$1348="share_recut_2018|none|full|dfE")*(Results_Long!$C$2:$C$1348="3LMA-RVE_CR2|r0.6")*(Results_Long!$D$2:$D$1348="diff")*ROW(Results_Long!$A$2:$A$1348))))</f>
        <v>0.140435528152245</v>
      </c>
      <c r="F12" s="6" t="n">
        <f aca="false">IF(INDEX(Results_Long!$O:$O,SUMPRODUCT((Results_Long!$A$2:$A$1348="H3")*(Results_Long!$B$2:$B$1348="share_recut_2018|none|full|dfE")*(Results_Long!$C$2:$C$1348="3LMA-RVE_CR2|r0.6")*(Results_Long!$D$2:$D$1348="diff")*ROW(Results_Long!$A$2:$A$1348)))="","NA",INDEX(Results_Long!$O:$O,SUMPRODUCT((Results_Long!$A$2:$A$1348="H3")*(Results_Long!$B$2:$B$1348="share_recut_2018|none|full|dfE")*(Results_Long!$C$2:$C$1348="3LMA-RVE_CR2|r0.6")*(Results_Long!$D$2:$D$1348="diff")*ROW(Results_Long!$A$2:$A$1348))))</f>
        <v>0.889811509138402</v>
      </c>
      <c r="G12" s="19"/>
      <c r="H12" s="5" t="str">
        <f aca="false">"core cell share_recut_2018: diff_z = "&amp;IF($C12="NA","NA",IF($C12&lt;0,"-","+")&amp;INT(ROUND(ABS($C12)*10000,0)/10000)&amp;"."&amp;REPT("0",4-LEN(MOD(ROUND(ABS($C12)*10000,0),10000)))&amp;MOD(ROUND(ABS($C12)*10000,0),10000))&amp;", t("&amp;IF($D12="NA","NA",IF($D12&lt;0,"-","")&amp;INT(ROUND(ABS($D12)*10,0)/10)&amp;"."&amp;REPT("0",1-LEN(MOD(ROUND(ABS($D12)*10,0),10)))&amp;MOD(ROUND(ABS($D12)*10,0),10))&amp;") = "&amp;IF($E12="NA","NA",IF($E12&lt;0,"-","")&amp;INT(ROUND(ABS($E12)*100,0)/100)&amp;"."&amp;REPT("0",2-LEN(MOD(ROUND(ABS($E12)*100,0),100)))&amp;MOD(ROUND(ABS($E12)*100,0),100))&amp;", "&amp;IF($F12="NA","p = NA",IF($F12&lt;0.0001,"p &lt; 0.0001","p = "&amp;IF($F12="NA","NA",IF($F12&lt;0,"-","")&amp;INT(ROUND(ABS($F12)*10000,0)/10000)&amp;"."&amp;REPT("0",4-LEN(MOD(ROUND(ABS($F12)*10000,0),10000)))&amp;MOD(ROUND(ABS($F12)*10000,0),10000))))</f>
        <v>core cell share_recut_2018: diff_z = +0.0031, t(18.8) = 0.14, p = 0.8898</v>
      </c>
      <c r="I12" s="5" t="s">
        <v>1927</v>
      </c>
      <c r="J12" s="5" t="str">
        <f aca="false">IF(INDEX(Results_Long!$AJ:$AJ,SUMPRODUCT((Results_Long!$A$2:$A$1348="H3")*(Results_Long!$B$2:$B$1348="share_recut_2018|none|full|dfE")*(Results_Long!$C$2:$C$1348="3LMA-RVE_CR2|r0.6")*(Results_Long!$D$2:$D$1348="diff")*ROW(Results_Long!$A$2:$A$1348)))="","NA",INDEX(Results_Long!$AJ:$AJ,SUMPRODUCT((Results_Long!$A$2:$A$1348="H3")*(Results_Long!$B$2:$B$1348="share_recut_2018|none|full|dfE")*(Results_Long!$C$2:$C$1348="3LMA-RVE_CR2|r0.6")*(Results_Long!$D$2:$D$1348="diff")*ROW(Results_Long!$A$2:$A$1348))))</f>
        <v>multiverse cell 365/1260: coding=share_recut_2018, outlier=none, es_set=full, df_basis=dfE, estimator=3LMA-RVE_CR2, rho=0.6 [DEC-045 S2]; descriptive curve cell; CORE cell (inference via joint permutation); verifier identity vs committed T2 diff at 1e-6</v>
      </c>
    </row>
    <row r="13" customFormat="false" ht="46.25" hidden="false" customHeight="false" outlineLevel="0" collapsed="false">
      <c r="A13" s="4" t="s">
        <v>981</v>
      </c>
      <c r="B13" s="5" t="s">
        <v>1928</v>
      </c>
      <c r="C13" s="6" t="n">
        <f aca="false">IF(INDEX(Results_Long!$K:$K,SUMPRODUCT((Results_Long!$A$2:$A$1348="H3")*(Results_Long!$B$2:$B$1348="share_recut_2019|none|full|dfE")*(Results_Long!$C$2:$C$1348="3LMA-RVE_CR2|r0.6")*(Results_Long!$D$2:$D$1348="diff")*ROW(Results_Long!$A$2:$A$1348)))="","NA",INDEX(Results_Long!$K:$K,SUMPRODUCT((Results_Long!$A$2:$A$1348="H3")*(Results_Long!$B$2:$B$1348="share_recut_2019|none|full|dfE")*(Results_Long!$C$2:$C$1348="3LMA-RVE_CR2|r0.6")*(Results_Long!$D$2:$D$1348="diff")*ROW(Results_Long!$A$2:$A$1348))))</f>
        <v>0.0042056665621965</v>
      </c>
      <c r="D13" s="6" t="n">
        <f aca="false">IF(INDEX(Results_Long!$N:$N,SUMPRODUCT((Results_Long!$A$2:$A$1348="H3")*(Results_Long!$B$2:$B$1348="share_recut_2019|none|full|dfE")*(Results_Long!$C$2:$C$1348="3LMA-RVE_CR2|r0.6")*(Results_Long!$D$2:$D$1348="diff")*ROW(Results_Long!$A$2:$A$1348)))="","NA",INDEX(Results_Long!$N:$N,SUMPRODUCT((Results_Long!$A$2:$A$1348="H3")*(Results_Long!$B$2:$B$1348="share_recut_2019|none|full|dfE")*(Results_Long!$C$2:$C$1348="3LMA-RVE_CR2|r0.6")*(Results_Long!$D$2:$D$1348="diff")*ROW(Results_Long!$A$2:$A$1348))))</f>
        <v>15.4439041670781</v>
      </c>
      <c r="E13" s="6" t="n">
        <f aca="false">IF(INDEX(Results_Long!$M:$M,SUMPRODUCT((Results_Long!$A$2:$A$1348="H3")*(Results_Long!$B$2:$B$1348="share_recut_2019|none|full|dfE")*(Results_Long!$C$2:$C$1348="3LMA-RVE_CR2|r0.6")*(Results_Long!$D$2:$D$1348="diff")*ROW(Results_Long!$A$2:$A$1348)))="","NA",INDEX(Results_Long!$M:$M,SUMPRODUCT((Results_Long!$A$2:$A$1348="H3")*(Results_Long!$B$2:$B$1348="share_recut_2019|none|full|dfE")*(Results_Long!$C$2:$C$1348="3LMA-RVE_CR2|r0.6")*(Results_Long!$D$2:$D$1348="diff")*ROW(Results_Long!$A$2:$A$1348))))</f>
        <v>0.184584914620741</v>
      </c>
      <c r="F13" s="6" t="n">
        <f aca="false">IF(INDEX(Results_Long!$O:$O,SUMPRODUCT((Results_Long!$A$2:$A$1348="H3")*(Results_Long!$B$2:$B$1348="share_recut_2019|none|full|dfE")*(Results_Long!$C$2:$C$1348="3LMA-RVE_CR2|r0.6")*(Results_Long!$D$2:$D$1348="diff")*ROW(Results_Long!$A$2:$A$1348)))="","NA",INDEX(Results_Long!$O:$O,SUMPRODUCT((Results_Long!$A$2:$A$1348="H3")*(Results_Long!$B$2:$B$1348="share_recut_2019|none|full|dfE")*(Results_Long!$C$2:$C$1348="3LMA-RVE_CR2|r0.6")*(Results_Long!$D$2:$D$1348="diff")*ROW(Results_Long!$A$2:$A$1348))))</f>
        <v>0.855956667967861</v>
      </c>
      <c r="G13" s="19"/>
      <c r="H13" s="5" t="str">
        <f aca="false">"core cell share_recut_2019: diff_z = "&amp;IF($C13="NA","NA",IF($C13&lt;0,"-","+")&amp;INT(ROUND(ABS($C13)*10000,0)/10000)&amp;"."&amp;REPT("0",4-LEN(MOD(ROUND(ABS($C13)*10000,0),10000)))&amp;MOD(ROUND(ABS($C13)*10000,0),10000))&amp;", t("&amp;IF($D13="NA","NA",IF($D13&lt;0,"-","")&amp;INT(ROUND(ABS($D13)*10,0)/10)&amp;"."&amp;REPT("0",1-LEN(MOD(ROUND(ABS($D13)*10,0),10)))&amp;MOD(ROUND(ABS($D13)*10,0),10))&amp;") = "&amp;IF($E13="NA","NA",IF($E13&lt;0,"-","")&amp;INT(ROUND(ABS($E13)*100,0)/100)&amp;"."&amp;REPT("0",2-LEN(MOD(ROUND(ABS($E13)*100,0),100)))&amp;MOD(ROUND(ABS($E13)*100,0),100))&amp;", "&amp;IF($F13="NA","p = NA",IF($F13&lt;0.0001,"p &lt; 0.0001","p = "&amp;IF($F13="NA","NA",IF($F13&lt;0,"-","")&amp;INT(ROUND(ABS($F13)*10000,0)/10000)&amp;"."&amp;REPT("0",4-LEN(MOD(ROUND(ABS($F13)*10000,0),10000)))&amp;MOD(ROUND(ABS($F13)*10000,0),10000))))</f>
        <v>core cell share_recut_2019: diff_z = +0.0042, t(15.4) = 0.18, p = 0.8560</v>
      </c>
      <c r="I13" s="5" t="s">
        <v>1929</v>
      </c>
      <c r="J13" s="5" t="str">
        <f aca="false">IF(INDEX(Results_Long!$AJ:$AJ,SUMPRODUCT((Results_Long!$A$2:$A$1348="H3")*(Results_Long!$B$2:$B$1348="share_recut_2019|none|full|dfE")*(Results_Long!$C$2:$C$1348="3LMA-RVE_CR2|r0.6")*(Results_Long!$D$2:$D$1348="diff")*ROW(Results_Long!$A$2:$A$1348)))="","NA",INDEX(Results_Long!$AJ:$AJ,SUMPRODUCT((Results_Long!$A$2:$A$1348="H3")*(Results_Long!$B$2:$B$1348="share_recut_2019|none|full|dfE")*(Results_Long!$C$2:$C$1348="3LMA-RVE_CR2|r0.6")*(Results_Long!$D$2:$D$1348="diff")*ROW(Results_Long!$A$2:$A$1348))))</f>
        <v>multiverse cell 366/1260: coding=share_recut_2019, outlier=none, es_set=full, df_basis=dfE, estimator=3LMA-RVE_CR2, rho=0.6 [DEC-045 S2]; descriptive curve cell; CORE cell (inference via joint permutation); verifier identity vs committed T2 diff at 1e-6</v>
      </c>
    </row>
    <row r="14" customFormat="false" ht="46.25" hidden="false" customHeight="false" outlineLevel="0" collapsed="false">
      <c r="A14" s="4" t="s">
        <v>983</v>
      </c>
      <c r="B14" s="5" t="s">
        <v>1930</v>
      </c>
      <c r="C14" s="6" t="n">
        <f aca="false">IF(INDEX(Results_Long!$K:$K,SUMPRODUCT((Results_Long!$A$2:$A$1348="H3")*(Results_Long!$B$2:$B$1348="end_lag1|none|full|dfE")*(Results_Long!$C$2:$C$1348="3LMA-RVE_CR2|r0.6")*(Results_Long!$D$2:$D$1348="diff")*ROW(Results_Long!$A$2:$A$1348)))="","NA",INDEX(Results_Long!$K:$K,SUMPRODUCT((Results_Long!$A$2:$A$1348="H3")*(Results_Long!$B$2:$B$1348="end_lag1|none|full|dfE")*(Results_Long!$C$2:$C$1348="3LMA-RVE_CR2|r0.6")*(Results_Long!$D$2:$D$1348="diff")*ROW(Results_Long!$A$2:$A$1348))))</f>
        <v>-0.00636445665690057</v>
      </c>
      <c r="D14" s="6" t="n">
        <f aca="false">IF(INDEX(Results_Long!$N:$N,SUMPRODUCT((Results_Long!$A$2:$A$1348="H3")*(Results_Long!$B$2:$B$1348="end_lag1|none|full|dfE")*(Results_Long!$C$2:$C$1348="3LMA-RVE_CR2|r0.6")*(Results_Long!$D$2:$D$1348="diff")*ROW(Results_Long!$A$2:$A$1348)))="","NA",INDEX(Results_Long!$N:$N,SUMPRODUCT((Results_Long!$A$2:$A$1348="H3")*(Results_Long!$B$2:$B$1348="end_lag1|none|full|dfE")*(Results_Long!$C$2:$C$1348="3LMA-RVE_CR2|r0.6")*(Results_Long!$D$2:$D$1348="diff")*ROW(Results_Long!$A$2:$A$1348))))</f>
        <v>17.7558878107286</v>
      </c>
      <c r="E14" s="6" t="n">
        <f aca="false">IF(INDEX(Results_Long!$M:$M,SUMPRODUCT((Results_Long!$A$2:$A$1348="H3")*(Results_Long!$B$2:$B$1348="end_lag1|none|full|dfE")*(Results_Long!$C$2:$C$1348="3LMA-RVE_CR2|r0.6")*(Results_Long!$D$2:$D$1348="diff")*ROW(Results_Long!$A$2:$A$1348)))="","NA",INDEX(Results_Long!$M:$M,SUMPRODUCT((Results_Long!$A$2:$A$1348="H3")*(Results_Long!$B$2:$B$1348="end_lag1|none|full|dfE")*(Results_Long!$C$2:$C$1348="3LMA-RVE_CR2|r0.6")*(Results_Long!$D$2:$D$1348="diff")*ROW(Results_Long!$A$2:$A$1348))))</f>
        <v>-0.308666717355235</v>
      </c>
      <c r="F14" s="6" t="n">
        <f aca="false">IF(INDEX(Results_Long!$O:$O,SUMPRODUCT((Results_Long!$A$2:$A$1348="H3")*(Results_Long!$B$2:$B$1348="end_lag1|none|full|dfE")*(Results_Long!$C$2:$C$1348="3LMA-RVE_CR2|r0.6")*(Results_Long!$D$2:$D$1348="diff")*ROW(Results_Long!$A$2:$A$1348)))="","NA",INDEX(Results_Long!$O:$O,SUMPRODUCT((Results_Long!$A$2:$A$1348="H3")*(Results_Long!$B$2:$B$1348="end_lag1|none|full|dfE")*(Results_Long!$C$2:$C$1348="3LMA-RVE_CR2|r0.6")*(Results_Long!$D$2:$D$1348="diff")*ROW(Results_Long!$A$2:$A$1348))))</f>
        <v>0.7611672683926</v>
      </c>
      <c r="G14" s="19"/>
      <c r="H14" s="5" t="str">
        <f aca="false">"core cell end_lag1: diff_z = "&amp;IF($C14="NA","NA",IF($C14&lt;0,"-","+")&amp;INT(ROUND(ABS($C14)*10000,0)/10000)&amp;"."&amp;REPT("0",4-LEN(MOD(ROUND(ABS($C14)*10000,0),10000)))&amp;MOD(ROUND(ABS($C14)*10000,0),10000))&amp;", t("&amp;IF($D14="NA","NA",IF($D14&lt;0,"-","")&amp;INT(ROUND(ABS($D14)*10,0)/10)&amp;"."&amp;REPT("0",1-LEN(MOD(ROUND(ABS($D14)*10,0),10)))&amp;MOD(ROUND(ABS($D14)*10,0),10))&amp;") = "&amp;IF($E14="NA","NA",IF($E14&lt;0,"-","")&amp;INT(ROUND(ABS($E14)*100,0)/100)&amp;"."&amp;REPT("0",2-LEN(MOD(ROUND(ABS($E14)*100,0),100)))&amp;MOD(ROUND(ABS($E14)*100,0),100))&amp;", "&amp;IF($F14="NA","p = NA",IF($F14&lt;0.0001,"p &lt; 0.0001","p = "&amp;IF($F14="NA","NA",IF($F14&lt;0,"-","")&amp;INT(ROUND(ABS($F14)*10000,0)/10000)&amp;"."&amp;REPT("0",4-LEN(MOD(ROUND(ABS($F14)*10000,0),10000)))&amp;MOD(ROUND(ABS($F14)*10000,0),10000))))</f>
        <v>core cell end_lag1: diff_z = -0.0064, t(17.8) = -0.31, p = 0.7612</v>
      </c>
      <c r="I14" s="5" t="s">
        <v>1931</v>
      </c>
      <c r="J14" s="5" t="str">
        <f aca="false">IF(INDEX(Results_Long!$AJ:$AJ,SUMPRODUCT((Results_Long!$A$2:$A$1348="H3")*(Results_Long!$B$2:$B$1348="end_lag1|none|full|dfE")*(Results_Long!$C$2:$C$1348="3LMA-RVE_CR2|r0.6")*(Results_Long!$D$2:$D$1348="diff")*ROW(Results_Long!$A$2:$A$1348)))="","NA",INDEX(Results_Long!$AJ:$AJ,SUMPRODUCT((Results_Long!$A$2:$A$1348="H3")*(Results_Long!$B$2:$B$1348="end_lag1|none|full|dfE")*(Results_Long!$C$2:$C$1348="3LMA-RVE_CR2|r0.6")*(Results_Long!$D$2:$D$1348="diff")*ROW(Results_Long!$A$2:$A$1348))))</f>
        <v>multiverse cell 367/1260: coding=end_lag1, outlier=none, es_set=full, df_basis=dfE, estimator=3LMA-RVE_CR2, rho=0.6 [DEC-045 S2]; descriptive curve cell; CORE cell (inference via joint permutation); verifier identity vs committed T2 diff at 1e-6</v>
      </c>
    </row>
    <row r="15" customFormat="false" ht="46.25" hidden="false" customHeight="false" outlineLevel="0" collapsed="false">
      <c r="A15" s="4" t="s">
        <v>985</v>
      </c>
      <c r="B15" s="5" t="s">
        <v>1932</v>
      </c>
      <c r="C15" s="6" t="n">
        <f aca="false">IF(INDEX(Results_Long!$K:$K,SUMPRODUCT((Results_Long!$A$2:$A$1348="H3")*(Results_Long!$B$2:$B$1348="end_lag2|none|full|dfE")*(Results_Long!$C$2:$C$1348="3LMA-RVE_CR2|r0.6")*(Results_Long!$D$2:$D$1348="diff")*ROW(Results_Long!$A$2:$A$1348)))="","NA",INDEX(Results_Long!$K:$K,SUMPRODUCT((Results_Long!$A$2:$A$1348="H3")*(Results_Long!$B$2:$B$1348="end_lag2|none|full|dfE")*(Results_Long!$C$2:$C$1348="3LMA-RVE_CR2|r0.6")*(Results_Long!$D$2:$D$1348="diff")*ROW(Results_Long!$A$2:$A$1348))))</f>
        <v>0.0397895553527688</v>
      </c>
      <c r="D15" s="6" t="n">
        <f aca="false">IF(INDEX(Results_Long!$N:$N,SUMPRODUCT((Results_Long!$A$2:$A$1348="H3")*(Results_Long!$B$2:$B$1348="end_lag2|none|full|dfE")*(Results_Long!$C$2:$C$1348="3LMA-RVE_CR2|r0.6")*(Results_Long!$D$2:$D$1348="diff")*ROW(Results_Long!$A$2:$A$1348)))="","NA",INDEX(Results_Long!$N:$N,SUMPRODUCT((Results_Long!$A$2:$A$1348="H3")*(Results_Long!$B$2:$B$1348="end_lag2|none|full|dfE")*(Results_Long!$C$2:$C$1348="3LMA-RVE_CR2|r0.6")*(Results_Long!$D$2:$D$1348="diff")*ROW(Results_Long!$A$2:$A$1348))))</f>
        <v>22.0108300678987</v>
      </c>
      <c r="E15" s="6" t="n">
        <f aca="false">IF(INDEX(Results_Long!$M:$M,SUMPRODUCT((Results_Long!$A$2:$A$1348="H3")*(Results_Long!$B$2:$B$1348="end_lag2|none|full|dfE")*(Results_Long!$C$2:$C$1348="3LMA-RVE_CR2|r0.6")*(Results_Long!$D$2:$D$1348="diff")*ROW(Results_Long!$A$2:$A$1348)))="","NA",INDEX(Results_Long!$M:$M,SUMPRODUCT((Results_Long!$A$2:$A$1348="H3")*(Results_Long!$B$2:$B$1348="end_lag2|none|full|dfE")*(Results_Long!$C$2:$C$1348="3LMA-RVE_CR2|r0.6")*(Results_Long!$D$2:$D$1348="diff")*ROW(Results_Long!$A$2:$A$1348))))</f>
        <v>1.52212476844257</v>
      </c>
      <c r="F15" s="6" t="n">
        <f aca="false">IF(INDEX(Results_Long!$O:$O,SUMPRODUCT((Results_Long!$A$2:$A$1348="H3")*(Results_Long!$B$2:$B$1348="end_lag2|none|full|dfE")*(Results_Long!$C$2:$C$1348="3LMA-RVE_CR2|r0.6")*(Results_Long!$D$2:$D$1348="diff")*ROW(Results_Long!$A$2:$A$1348)))="","NA",INDEX(Results_Long!$O:$O,SUMPRODUCT((Results_Long!$A$2:$A$1348="H3")*(Results_Long!$B$2:$B$1348="end_lag2|none|full|dfE")*(Results_Long!$C$2:$C$1348="3LMA-RVE_CR2|r0.6")*(Results_Long!$D$2:$D$1348="diff")*ROW(Results_Long!$A$2:$A$1348))))</f>
        <v>0.14221586082545</v>
      </c>
      <c r="G15" s="19"/>
      <c r="H15" s="5" t="str">
        <f aca="false">"core cell end_lag2: diff_z = "&amp;IF($C15="NA","NA",IF($C15&lt;0,"-","+")&amp;INT(ROUND(ABS($C15)*10000,0)/10000)&amp;"."&amp;REPT("0",4-LEN(MOD(ROUND(ABS($C15)*10000,0),10000)))&amp;MOD(ROUND(ABS($C15)*10000,0),10000))&amp;", t("&amp;IF($D15="NA","NA",IF($D15&lt;0,"-","")&amp;INT(ROUND(ABS($D15)*10,0)/10)&amp;"."&amp;REPT("0",1-LEN(MOD(ROUND(ABS($D15)*10,0),10)))&amp;MOD(ROUND(ABS($D15)*10,0),10))&amp;") = "&amp;IF($E15="NA","NA",IF($E15&lt;0,"-","")&amp;INT(ROUND(ABS($E15)*100,0)/100)&amp;"."&amp;REPT("0",2-LEN(MOD(ROUND(ABS($E15)*100,0),100)))&amp;MOD(ROUND(ABS($E15)*100,0),100))&amp;", "&amp;IF($F15="NA","p = NA",IF($F15&lt;0.0001,"p &lt; 0.0001","p = "&amp;IF($F15="NA","NA",IF($F15&lt;0,"-","")&amp;INT(ROUND(ABS($F15)*10000,0)/10000)&amp;"."&amp;REPT("0",4-LEN(MOD(ROUND(ABS($F15)*10000,0),10000)))&amp;MOD(ROUND(ABS($F15)*10000,0),10000))))</f>
        <v>core cell end_lag2: diff_z = +0.0398, t(22.0) = 1.52, p = 0.1422</v>
      </c>
      <c r="I15" s="5" t="s">
        <v>1933</v>
      </c>
      <c r="J15" s="5" t="str">
        <f aca="false">IF(INDEX(Results_Long!$AJ:$AJ,SUMPRODUCT((Results_Long!$A$2:$A$1348="H3")*(Results_Long!$B$2:$B$1348="end_lag2|none|full|dfE")*(Results_Long!$C$2:$C$1348="3LMA-RVE_CR2|r0.6")*(Results_Long!$D$2:$D$1348="diff")*ROW(Results_Long!$A$2:$A$1348)))="","NA",INDEX(Results_Long!$AJ:$AJ,SUMPRODUCT((Results_Long!$A$2:$A$1348="H3")*(Results_Long!$B$2:$B$1348="end_lag2|none|full|dfE")*(Results_Long!$C$2:$C$1348="3LMA-RVE_CR2|r0.6")*(Results_Long!$D$2:$D$1348="diff")*ROW(Results_Long!$A$2:$A$1348))))</f>
        <v>multiverse cell 368/1260: coding=end_lag2, outlier=none, es_set=full, df_basis=dfE, estimator=3LMA-RVE_CR2, rho=0.6 [DEC-045 S2]; descriptive curve cell; CORE cell (inference via joint permutation); verifier identity vs committed T2 diff at 1e-6</v>
      </c>
    </row>
    <row r="16" customFormat="false" ht="46.25" hidden="false" customHeight="false" outlineLevel="0" collapsed="false">
      <c r="A16" s="4" t="s">
        <v>987</v>
      </c>
      <c r="B16" s="5" t="s">
        <v>1934</v>
      </c>
      <c r="C16" s="6" t="n">
        <f aca="false">IF(INDEX(Results_Long!$K:$K,SUMPRODUCT((Results_Long!$A$2:$A$1348="H3")*(Results_Long!$B$2:$B$1348="end_lag3|none|full|dfE")*(Results_Long!$C$2:$C$1348="3LMA-RVE_CR2|r0.6")*(Results_Long!$D$2:$D$1348="diff")*ROW(Results_Long!$A$2:$A$1348)))="","NA",INDEX(Results_Long!$K:$K,SUMPRODUCT((Results_Long!$A$2:$A$1348="H3")*(Results_Long!$B$2:$B$1348="end_lag3|none|full|dfE")*(Results_Long!$C$2:$C$1348="3LMA-RVE_CR2|r0.6")*(Results_Long!$D$2:$D$1348="diff")*ROW(Results_Long!$A$2:$A$1348))))</f>
        <v>0.0213188918890692</v>
      </c>
      <c r="D16" s="6" t="n">
        <f aca="false">IF(INDEX(Results_Long!$N:$N,SUMPRODUCT((Results_Long!$A$2:$A$1348="H3")*(Results_Long!$B$2:$B$1348="end_lag3|none|full|dfE")*(Results_Long!$C$2:$C$1348="3LMA-RVE_CR2|r0.6")*(Results_Long!$D$2:$D$1348="diff")*ROW(Results_Long!$A$2:$A$1348)))="","NA",INDEX(Results_Long!$N:$N,SUMPRODUCT((Results_Long!$A$2:$A$1348="H3")*(Results_Long!$B$2:$B$1348="end_lag3|none|full|dfE")*(Results_Long!$C$2:$C$1348="3LMA-RVE_CR2|r0.6")*(Results_Long!$D$2:$D$1348="diff")*ROW(Results_Long!$A$2:$A$1348))))</f>
        <v>22.3049715472071</v>
      </c>
      <c r="E16" s="6" t="n">
        <f aca="false">IF(INDEX(Results_Long!$M:$M,SUMPRODUCT((Results_Long!$A$2:$A$1348="H3")*(Results_Long!$B$2:$B$1348="end_lag3|none|full|dfE")*(Results_Long!$C$2:$C$1348="3LMA-RVE_CR2|r0.6")*(Results_Long!$D$2:$D$1348="diff")*ROW(Results_Long!$A$2:$A$1348)))="","NA",INDEX(Results_Long!$M:$M,SUMPRODUCT((Results_Long!$A$2:$A$1348="H3")*(Results_Long!$B$2:$B$1348="end_lag3|none|full|dfE")*(Results_Long!$C$2:$C$1348="3LMA-RVE_CR2|r0.6")*(Results_Long!$D$2:$D$1348="diff")*ROW(Results_Long!$A$2:$A$1348))))</f>
        <v>0.979598734834334</v>
      </c>
      <c r="F16" s="6" t="n">
        <f aca="false">IF(INDEX(Results_Long!$O:$O,SUMPRODUCT((Results_Long!$A$2:$A$1348="H3")*(Results_Long!$B$2:$B$1348="end_lag3|none|full|dfE")*(Results_Long!$C$2:$C$1348="3LMA-RVE_CR2|r0.6")*(Results_Long!$D$2:$D$1348="diff")*ROW(Results_Long!$A$2:$A$1348)))="","NA",INDEX(Results_Long!$O:$O,SUMPRODUCT((Results_Long!$A$2:$A$1348="H3")*(Results_Long!$B$2:$B$1348="end_lag3|none|full|dfE")*(Results_Long!$C$2:$C$1348="3LMA-RVE_CR2|r0.6")*(Results_Long!$D$2:$D$1348="diff")*ROW(Results_Long!$A$2:$A$1348))))</f>
        <v>0.337790635985211</v>
      </c>
      <c r="G16" s="19"/>
      <c r="H16" s="5" t="str">
        <f aca="false">"core cell end_lag3: diff_z = "&amp;IF($C16="NA","NA",IF($C16&lt;0,"-","+")&amp;INT(ROUND(ABS($C16)*10000,0)/10000)&amp;"."&amp;REPT("0",4-LEN(MOD(ROUND(ABS($C16)*10000,0),10000)))&amp;MOD(ROUND(ABS($C16)*10000,0),10000))&amp;", t("&amp;IF($D16="NA","NA",IF($D16&lt;0,"-","")&amp;INT(ROUND(ABS($D16)*10,0)/10)&amp;"."&amp;REPT("0",1-LEN(MOD(ROUND(ABS($D16)*10,0),10)))&amp;MOD(ROUND(ABS($D16)*10,0),10))&amp;") = "&amp;IF($E16="NA","NA",IF($E16&lt;0,"-","")&amp;INT(ROUND(ABS($E16)*100,0)/100)&amp;"."&amp;REPT("0",2-LEN(MOD(ROUND(ABS($E16)*100,0),100)))&amp;MOD(ROUND(ABS($E16)*100,0),100))&amp;", "&amp;IF($F16="NA","p = NA",IF($F16&lt;0.0001,"p &lt; 0.0001","p = "&amp;IF($F16="NA","NA",IF($F16&lt;0,"-","")&amp;INT(ROUND(ABS($F16)*10000,0)/10000)&amp;"."&amp;REPT("0",4-LEN(MOD(ROUND(ABS($F16)*10000,0),10000)))&amp;MOD(ROUND(ABS($F16)*10000,0),10000))))</f>
        <v>core cell end_lag3: diff_z = +0.0213, t(22.3) = 0.98, p = 0.3378</v>
      </c>
      <c r="I16" s="5" t="s">
        <v>1935</v>
      </c>
      <c r="J16" s="5" t="str">
        <f aca="false">IF(INDEX(Results_Long!$AJ:$AJ,SUMPRODUCT((Results_Long!$A$2:$A$1348="H3")*(Results_Long!$B$2:$B$1348="end_lag3|none|full|dfE")*(Results_Long!$C$2:$C$1348="3LMA-RVE_CR2|r0.6")*(Results_Long!$D$2:$D$1348="diff")*ROW(Results_Long!$A$2:$A$1348)))="","NA",INDEX(Results_Long!$AJ:$AJ,SUMPRODUCT((Results_Long!$A$2:$A$1348="H3")*(Results_Long!$B$2:$B$1348="end_lag3|none|full|dfE")*(Results_Long!$C$2:$C$1348="3LMA-RVE_CR2|r0.6")*(Results_Long!$D$2:$D$1348="diff")*ROW(Results_Long!$A$2:$A$1348))))</f>
        <v>multiverse cell 369/1260: coding=end_lag3, outlier=none, es_set=full, df_basis=dfE, estimator=3LMA-RVE_CR2, rho=0.6 [DEC-045 S2]; descriptive curve cell; CORE cell (inference via joint permutation); verifier identity vs committed T2 diff at 1e-6</v>
      </c>
    </row>
    <row r="17" customFormat="false" ht="46.25" hidden="false" customHeight="false" outlineLevel="0" collapsed="false">
      <c r="A17" s="4" t="s">
        <v>989</v>
      </c>
      <c r="B17" s="5" t="s">
        <v>1936</v>
      </c>
      <c r="C17" s="6" t="n">
        <f aca="false">IF(INDEX(Results_Long!$K:$K,SUMPRODUCT((Results_Long!$A$2:$A$1348="H3")*(Results_Long!$B$2:$B$1348="clean_window|none|full|dfE")*(Results_Long!$C$2:$C$1348="3LMA-RVE_CR2|r0.6")*(Results_Long!$D$2:$D$1348="diff")*ROW(Results_Long!$A$2:$A$1348)))="","NA",INDEX(Results_Long!$K:$K,SUMPRODUCT((Results_Long!$A$2:$A$1348="H3")*(Results_Long!$B$2:$B$1348="clean_window|none|full|dfE")*(Results_Long!$C$2:$C$1348="3LMA-RVE_CR2|r0.6")*(Results_Long!$D$2:$D$1348="diff")*ROW(Results_Long!$A$2:$A$1348))))</f>
        <v>-0.0129210003638893</v>
      </c>
      <c r="D17" s="6" t="n">
        <f aca="false">IF(INDEX(Results_Long!$N:$N,SUMPRODUCT((Results_Long!$A$2:$A$1348="H3")*(Results_Long!$B$2:$B$1348="clean_window|none|full|dfE")*(Results_Long!$C$2:$C$1348="3LMA-RVE_CR2|r0.6")*(Results_Long!$D$2:$D$1348="diff")*ROW(Results_Long!$A$2:$A$1348)))="","NA",INDEX(Results_Long!$N:$N,SUMPRODUCT((Results_Long!$A$2:$A$1348="H3")*(Results_Long!$B$2:$B$1348="clean_window|none|full|dfE")*(Results_Long!$C$2:$C$1348="3LMA-RVE_CR2|r0.6")*(Results_Long!$D$2:$D$1348="diff")*ROW(Results_Long!$A$2:$A$1348))))</f>
        <v>23.4744834169779</v>
      </c>
      <c r="E17" s="6" t="n">
        <f aca="false">IF(INDEX(Results_Long!$M:$M,SUMPRODUCT((Results_Long!$A$2:$A$1348="H3")*(Results_Long!$B$2:$B$1348="clean_window|none|full|dfE")*(Results_Long!$C$2:$C$1348="3LMA-RVE_CR2|r0.6")*(Results_Long!$D$2:$D$1348="diff")*ROW(Results_Long!$A$2:$A$1348)))="","NA",INDEX(Results_Long!$M:$M,SUMPRODUCT((Results_Long!$A$2:$A$1348="H3")*(Results_Long!$B$2:$B$1348="clean_window|none|full|dfE")*(Results_Long!$C$2:$C$1348="3LMA-RVE_CR2|r0.6")*(Results_Long!$D$2:$D$1348="diff")*ROW(Results_Long!$A$2:$A$1348))))</f>
        <v>-0.7455001331082</v>
      </c>
      <c r="F17" s="6" t="n">
        <f aca="false">IF(INDEX(Results_Long!$O:$O,SUMPRODUCT((Results_Long!$A$2:$A$1348="H3")*(Results_Long!$B$2:$B$1348="clean_window|none|full|dfE")*(Results_Long!$C$2:$C$1348="3LMA-RVE_CR2|r0.6")*(Results_Long!$D$2:$D$1348="diff")*ROW(Results_Long!$A$2:$A$1348)))="","NA",INDEX(Results_Long!$O:$O,SUMPRODUCT((Results_Long!$A$2:$A$1348="H3")*(Results_Long!$B$2:$B$1348="clean_window|none|full|dfE")*(Results_Long!$C$2:$C$1348="3LMA-RVE_CR2|r0.6")*(Results_Long!$D$2:$D$1348="diff")*ROW(Results_Long!$A$2:$A$1348))))</f>
        <v>0.463369367453051</v>
      </c>
      <c r="G17" s="19"/>
      <c r="H17" s="5" t="str">
        <f aca="false">"core cell clean_window: diff_z = "&amp;IF($C17="NA","NA",IF($C17&lt;0,"-","+")&amp;INT(ROUND(ABS($C17)*10000,0)/10000)&amp;"."&amp;REPT("0",4-LEN(MOD(ROUND(ABS($C17)*10000,0),10000)))&amp;MOD(ROUND(ABS($C17)*10000,0),10000))&amp;", t("&amp;IF($D17="NA","NA",IF($D17&lt;0,"-","")&amp;INT(ROUND(ABS($D17)*10,0)/10)&amp;"."&amp;REPT("0",1-LEN(MOD(ROUND(ABS($D17)*10,0),10)))&amp;MOD(ROUND(ABS($D17)*10,0),10))&amp;") = "&amp;IF($E17="NA","NA",IF($E17&lt;0,"-","")&amp;INT(ROUND(ABS($E17)*100,0)/100)&amp;"."&amp;REPT("0",2-LEN(MOD(ROUND(ABS($E17)*100,0),100)))&amp;MOD(ROUND(ABS($E17)*100,0),100))&amp;", "&amp;IF($F17="NA","p = NA",IF($F17&lt;0.0001,"p &lt; 0.0001","p = "&amp;IF($F17="NA","NA",IF($F17&lt;0,"-","")&amp;INT(ROUND(ABS($F17)*10000,0)/10000)&amp;"."&amp;REPT("0",4-LEN(MOD(ROUND(ABS($F17)*10000,0),10000)))&amp;MOD(ROUND(ABS($F17)*10000,0),10000))))</f>
        <v>core cell clean_window: diff_z = -0.0129, t(23.5) = -0.75, p = 0.4634</v>
      </c>
      <c r="I17" s="5" t="s">
        <v>1937</v>
      </c>
      <c r="J17" s="5" t="str">
        <f aca="false">IF(INDEX(Results_Long!$AJ:$AJ,SUMPRODUCT((Results_Long!$A$2:$A$1348="H3")*(Results_Long!$B$2:$B$1348="clean_window|none|full|dfE")*(Results_Long!$C$2:$C$1348="3LMA-RVE_CR2|r0.6")*(Results_Long!$D$2:$D$1348="diff")*ROW(Results_Long!$A$2:$A$1348)))="","NA",INDEX(Results_Long!$AJ:$AJ,SUMPRODUCT((Results_Long!$A$2:$A$1348="H3")*(Results_Long!$B$2:$B$1348="clean_window|none|full|dfE")*(Results_Long!$C$2:$C$1348="3LMA-RVE_CR2|r0.6")*(Results_Long!$D$2:$D$1348="diff")*ROW(Results_Long!$A$2:$A$1348))))</f>
        <v>multiverse cell 370/1260: coding=clean_window, outlier=none, es_set=full, df_basis=dfE, estimator=3LMA-RVE_CR2, rho=0.6 [DEC-045 S2]; descriptive curve cell; CORE cell (inference via joint permutation); verifier identity vs committed T2 diff at 1e-6</v>
      </c>
    </row>
    <row r="18" customFormat="false" ht="57.45" hidden="false" customHeight="false" outlineLevel="0" collapsed="false">
      <c r="A18" s="4" t="s">
        <v>429</v>
      </c>
      <c r="B18" s="5" t="s">
        <v>1938</v>
      </c>
      <c r="C18" s="6" t="n">
        <f aca="false">IF(INDEX(Results_Long!$AG:$AG,SUMPRODUCT((Results_Long!$A$2:$A$1348="H4")*(Results_Long!$B$2:$B$1348="perm_sup")*(Results_Long!$C$2:$C$1348="defined")*(Results_Long!$D$2:$D$1348="p_perm")*ROW(Results_Long!$A$2:$A$1348)))="","NA",INDEX(Results_Long!$AG:$AG,SUMPRODUCT((Results_Long!$A$2:$A$1348="H4")*(Results_Long!$B$2:$B$1348="perm_sup")*(Results_Long!$C$2:$C$1348="defined")*(Results_Long!$D$2:$D$1348="p_perm")*ROW(Results_Long!$A$2:$A$1348))))</f>
        <v>0.341317365269461</v>
      </c>
      <c r="D18" s="6" t="n">
        <f aca="false">IF(INDEX(Results_Long!$AG:$AG,SUMPRODUCT((Results_Long!$A$2:$A$1348="H4")*(Results_Long!$B$2:$B$1348="perm_sup")*(Results_Long!$C$2:$C$1348="defined")*(Results_Long!$D$2:$D$1348="eff_B")*ROW(Results_Long!$A$2:$A$1348)))="","NA",INDEX(Results_Long!$AG:$AG,SUMPRODUCT((Results_Long!$A$2:$A$1348="H4")*(Results_Long!$B$2:$B$1348="perm_sup")*(Results_Long!$C$2:$C$1348="defined")*(Results_Long!$D$2:$D$1348="eff_B")*ROW(Results_Long!$A$2:$A$1348))))</f>
        <v>500</v>
      </c>
      <c r="E18" s="19"/>
      <c r="F18" s="19"/>
      <c r="G18" s="19"/>
      <c r="H18" s="5" t="str">
        <f aca="false">"H4 sup-break permutation: p_perm = "&amp;IF($C18="NA","NA",IF($C18&lt;0,"-","")&amp;INT(ROUND(ABS($C18)*10000,0)/10000)&amp;"."&amp;REPT("0",4-LEN(MOD(ROUND(ABS($C18)*10000,0),10000)))&amp;MOD(ROUND(ABS($C18)*10000,0),10000))&amp;"; B_eff = "&amp;IF($D18="NA","NA",ROUND($D18,0))&amp;" (observed sup single-homed in the TH-a workbook Tab 7)"</f>
        <v>H4 sup-break permutation: p_perm = 0.3413; B_eff = 500 (observed sup single-homed in the TH-a workbook Tab 7)</v>
      </c>
      <c r="I18" s="5" t="s">
        <v>1939</v>
      </c>
      <c r="J18" s="5" t="str">
        <f aca="false">IF(INDEX(Results_Long!$AJ:$AJ,SUMPRODUCT((Results_Long!$A$2:$A$1348="H4")*(Results_Long!$B$2:$B$1348="perm_sup")*(Results_Long!$C$2:$C$1348="defined")*(Results_Long!$D$2:$D$1348="p_perm")*ROW(Results_Long!$A$2:$A$1348)))="","NA",INDEX(Results_Long!$AJ:$AJ,SUMPRODUCT((Results_Long!$A$2:$A$1348="H4")*(Results_Long!$B$2:$B$1348="perm_sup")*(Results_Long!$C$2:$C$1348="defined")*(Results_Long!$D$2:$D$1348="p_perm")*ROW(Results_Long!$A$2:$A$1348))))</f>
        <v>time-translation permutation, identical list as H5 [H-Q16/H-Q20]: p = (1 + 170) / (500 + 1); observed sup |t| = 2.122533 (from TH_a_results.csv observed_sup); admissible years fixed at the observed design: 2008, 2009, 2010, 2011, 2012, 2013, 2014, 2015, 2016, 2017, 2018, 2019; exceed count = 170 of 500 effective</v>
      </c>
    </row>
    <row r="19" customFormat="false" ht="46.25" hidden="false" customHeight="false" outlineLevel="0" collapsed="false">
      <c r="A19" s="4" t="s">
        <v>426</v>
      </c>
      <c r="B19" s="5" t="s">
        <v>1940</v>
      </c>
      <c r="C19" s="6" t="n">
        <f aca="false">IF(INDEX(Results_Long!$AG:$AG,SUMPRODUCT((Results_Long!$A$2:$A$1348="H5")*(Results_Long!$B$2:$B$1348="perm_race")*(Results_Long!$C$2:$C$1348="defined")*(Results_Long!$D$2:$D$1348="p_perm")*ROW(Results_Long!$A$2:$A$1348)))="","NA",INDEX(Results_Long!$AG:$AG,SUMPRODUCT((Results_Long!$A$2:$A$1348="H5")*(Results_Long!$B$2:$B$1348="perm_race")*(Results_Long!$C$2:$C$1348="defined")*(Results_Long!$D$2:$D$1348="p_perm")*ROW(Results_Long!$A$2:$A$1348))))</f>
        <v>0.401197604790419</v>
      </c>
      <c r="D19" s="6" t="n">
        <f aca="false">IF(INDEX(Results_Long!$AG:$AG,SUMPRODUCT((Results_Long!$A$2:$A$1348="H5")*(Results_Long!$B$2:$B$1348="perm_race")*(Results_Long!$C$2:$C$1348="defined")*(Results_Long!$D$2:$D$1348="eff_B")*ROW(Results_Long!$A$2:$A$1348)))="","NA",INDEX(Results_Long!$AG:$AG,SUMPRODUCT((Results_Long!$A$2:$A$1348="H5")*(Results_Long!$B$2:$B$1348="perm_race")*(Results_Long!$C$2:$C$1348="defined")*(Results_Long!$D$2:$D$1348="eff_B")*ROW(Results_Long!$A$2:$A$1348))))</f>
        <v>500</v>
      </c>
      <c r="E19" s="19"/>
      <c r="F19" s="19"/>
      <c r="G19" s="19"/>
      <c r="H19" s="5" t="str">
        <f aca="false">"H5 race permutation: p_perm = "&amp;IF($C19="NA","NA",IF($C19&lt;0,"-","")&amp;INT(ROUND(ABS($C19)*10000,0)/10000)&amp;"."&amp;REPT("0",4-LEN(MOD(ROUND(ABS($C19)*10000,0),10000)))&amp;MOD(ROUND(ABS($C19)*10000,0),10000))&amp;"; B_eff = "&amp;IF($D19="NA","NA",ROUND($D19,0))&amp;" (observed |t_race| verbatim in note; point estimate single-home: T8)"</f>
        <v>H5 race permutation: p_perm = 0.4012; B_eff = 500 (observed |t_race| verbatim in note; point estimate single-home: T8)</v>
      </c>
      <c r="I19" s="5" t="s">
        <v>1941</v>
      </c>
      <c r="J19" s="5" t="str">
        <f aca="false">IF(INDEX(Results_Long!$AJ:$AJ,SUMPRODUCT((Results_Long!$A$2:$A$1348="H5")*(Results_Long!$B$2:$B$1348="perm_race")*(Results_Long!$C$2:$C$1348="defined")*(Results_Long!$D$2:$D$1348="p_perm")*ROW(Results_Long!$A$2:$A$1348)))="","NA",INDEX(Results_Long!$AJ:$AJ,SUMPRODUCT((Results_Long!$A$2:$A$1348="H5")*(Results_Long!$B$2:$B$1348="perm_race")*(Results_Long!$C$2:$C$1348="defined")*(Results_Long!$D$2:$D$1348="p_perm")*ROW(Results_Long!$A$2:$A$1348))))</f>
        <v>time-translation permutation [H-Q20]: p = (1 + 200) / (500 + 1); observed |t_race| = 1.052421 (pp_mid coefficient of the T8 race model; point estimate/p_CR2 live in T8 — single-home [4a]); B = 500, exceed count = 200 of 500 effective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110"/>
    <col collapsed="false" customWidth="true" hidden="false" outlineLevel="0" max="5" min="5" style="0" width="34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1" t="s">
        <v>1942</v>
      </c>
    </row>
    <row r="2" customFormat="false" ht="15" hidden="false" customHeight="false" outlineLevel="0" collapsed="false">
      <c r="A2" s="2" t="s">
        <v>1943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1944</v>
      </c>
      <c r="B5" s="3" t="s">
        <v>1945</v>
      </c>
      <c r="C5" s="3" t="s">
        <v>1946</v>
      </c>
      <c r="D5" s="3" t="s">
        <v>1947</v>
      </c>
      <c r="E5" s="3" t="s">
        <v>1948</v>
      </c>
      <c r="F5" s="3" t="s">
        <v>1949</v>
      </c>
    </row>
    <row r="6" customFormat="false" ht="46.25" hidden="false" customHeight="false" outlineLevel="0" collapsed="false">
      <c r="A6" s="4" t="s">
        <v>1950</v>
      </c>
      <c r="B6" s="6" t="s">
        <v>1951</v>
      </c>
      <c r="C6" s="20" t="s">
        <v>1952</v>
      </c>
      <c r="D6" s="5" t="s">
        <v>1953</v>
      </c>
      <c r="E6" s="5" t="s">
        <v>1954</v>
      </c>
      <c r="F6" s="5" t="s">
        <v>1955</v>
      </c>
    </row>
    <row r="7" customFormat="false" ht="35.05" hidden="false" customHeight="false" outlineLevel="0" collapsed="false">
      <c r="A7" s="4" t="s">
        <v>1956</v>
      </c>
      <c r="B7" s="6" t="s">
        <v>1957</v>
      </c>
      <c r="C7" s="21" t="s">
        <v>1958</v>
      </c>
      <c r="D7" s="5" t="s">
        <v>1959</v>
      </c>
      <c r="E7" s="5" t="s">
        <v>1960</v>
      </c>
      <c r="F7" s="5"/>
    </row>
    <row r="8" customFormat="false" ht="46.25" hidden="false" customHeight="false" outlineLevel="0" collapsed="false">
      <c r="A8" s="4" t="s">
        <v>1961</v>
      </c>
      <c r="B8" s="6" t="s">
        <v>1962</v>
      </c>
      <c r="C8" s="22" t="s">
        <v>1963</v>
      </c>
      <c r="D8" s="5" t="s">
        <v>1964</v>
      </c>
      <c r="E8" s="5" t="s">
        <v>1965</v>
      </c>
      <c r="F8" s="5" t="s">
        <v>1966</v>
      </c>
    </row>
    <row r="9" customFormat="false" ht="35.05" hidden="false" customHeight="false" outlineLevel="0" collapsed="false">
      <c r="A9" s="4" t="s">
        <v>1967</v>
      </c>
      <c r="B9" s="6" t="s">
        <v>1968</v>
      </c>
      <c r="C9" s="22" t="s">
        <v>1963</v>
      </c>
      <c r="D9" s="5" t="s">
        <v>1969</v>
      </c>
      <c r="E9" s="5" t="s">
        <v>1970</v>
      </c>
      <c r="F9" s="5" t="s">
        <v>1971</v>
      </c>
    </row>
    <row r="10" customFormat="false" ht="23.85" hidden="false" customHeight="false" outlineLevel="0" collapsed="false">
      <c r="A10" s="4" t="s">
        <v>1972</v>
      </c>
      <c r="B10" s="6" t="s">
        <v>1973</v>
      </c>
      <c r="C10" s="22" t="s">
        <v>1963</v>
      </c>
      <c r="D10" s="5" t="s">
        <v>1974</v>
      </c>
      <c r="E10" s="5" t="s">
        <v>1975</v>
      </c>
      <c r="F10" s="5" t="s">
        <v>1976</v>
      </c>
    </row>
    <row r="11" customFormat="false" ht="23.85" hidden="false" customHeight="false" outlineLevel="0" collapsed="false">
      <c r="A11" s="4" t="s">
        <v>1977</v>
      </c>
      <c r="B11" s="6" t="s">
        <v>1978</v>
      </c>
      <c r="C11" s="22" t="s">
        <v>1963</v>
      </c>
      <c r="D11" s="5" t="s">
        <v>1979</v>
      </c>
      <c r="E11" s="5" t="s">
        <v>1980</v>
      </c>
      <c r="F11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2026-07-26T19:38:39Z</dcterms:created>
  <dc:creator>openpyxl</dc:creator>
  <dc:description/>
  <dc:language>en-US</dc:language>
  <cp:lastModifiedBy/>
  <dcterms:modified xsi:type="dcterms:W3CDTF">2026-07-26T19:38:40Z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