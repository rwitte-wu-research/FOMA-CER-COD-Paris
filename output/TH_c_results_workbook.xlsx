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R_Projects\FOMA-CER-COD-Paris\output\"/>
    </mc:Choice>
  </mc:AlternateContent>
  <xr:revisionPtr revIDLastSave="0" documentId="11_FCF630BA625AE05E4AA088FB9ED64C08790E167C" xr6:coauthVersionLast="47" xr6:coauthVersionMax="47" xr10:uidLastSave="{00000000-0000-0000-0000-000000000000}"/>
  <bookViews>
    <workbookView xWindow="-108" yWindow="-108" windowWidth="23256" windowHeight="13896" tabRatio="500" firstSheet="3" activeTab="5" xr2:uid="{00000000-000D-0000-FFFF-FFFF00000000}"/>
  </bookViews>
  <sheets>
    <sheet name="1_README" sheetId="1" r:id="rId1"/>
    <sheet name="2_Methodology" sheetId="2" r:id="rId2"/>
    <sheet name="3_Interpretation_Guide" sheetId="3" r:id="rId3"/>
    <sheet name="4_Formula_Reference" sheetId="4" r:id="rId4"/>
    <sheet name="5_Data_Provenance" sheetId="5" r:id="rId5"/>
    <sheet name="6_H1_MDE_Power" sheetId="6" r:id="rId6"/>
    <sheet name="7_H3_Spec_Curve" sheetId="7" r:id="rId7"/>
    <sheet name="8_H3_Core_Family" sheetId="8" r:id="rId8"/>
    <sheet name="9_H4_Perm_Sup" sheetId="9" r:id="rId9"/>
    <sheet name="10_H5_Perm_Race" sheetId="10" r:id="rId10"/>
    <sheet name="Results_Long" sheetId="11" r:id="rId11"/>
    <sheet name="Manuscript_Inputs" sheetId="12" r:id="rId12"/>
    <sheet name="Manuscript_Text_Blocks" sheetId="13" r:id="rId13"/>
  </sheets>
  <definedNames>
    <definedName name="_xlnm._FilterDatabase" localSheetId="10" hidden="1">Results_Long!$A$1:$AJ$1348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12" l="1"/>
  <c r="D19" i="12"/>
  <c r="C19" i="12"/>
  <c r="H19" i="12" s="1"/>
  <c r="J18" i="12"/>
  <c r="D18" i="12"/>
  <c r="C18" i="12"/>
  <c r="H18" i="12" s="1"/>
  <c r="J17" i="12"/>
  <c r="F17" i="12"/>
  <c r="E17" i="12"/>
  <c r="D17" i="12"/>
  <c r="C17" i="12"/>
  <c r="H17" i="12" s="1"/>
  <c r="J16" i="12"/>
  <c r="F16" i="12"/>
  <c r="E16" i="12"/>
  <c r="D16" i="12"/>
  <c r="C16" i="12"/>
  <c r="H16" i="12" s="1"/>
  <c r="J15" i="12"/>
  <c r="F15" i="12"/>
  <c r="E15" i="12"/>
  <c r="D15" i="12"/>
  <c r="C15" i="12"/>
  <c r="H15" i="12" s="1"/>
  <c r="J14" i="12"/>
  <c r="F14" i="12"/>
  <c r="E14" i="12"/>
  <c r="D14" i="12"/>
  <c r="C14" i="12"/>
  <c r="H14" i="12" s="1"/>
  <c r="J13" i="12"/>
  <c r="F13" i="12"/>
  <c r="E13" i="12"/>
  <c r="D13" i="12"/>
  <c r="C13" i="12"/>
  <c r="H13" i="12" s="1"/>
  <c r="J12" i="12"/>
  <c r="F12" i="12"/>
  <c r="H12" i="12" s="1"/>
  <c r="E12" i="12"/>
  <c r="D12" i="12"/>
  <c r="C12" i="12"/>
  <c r="J11" i="12"/>
  <c r="F11" i="12"/>
  <c r="E11" i="12"/>
  <c r="D11" i="12"/>
  <c r="C11" i="12"/>
  <c r="H11" i="12" s="1"/>
  <c r="J10" i="12"/>
  <c r="F10" i="12"/>
  <c r="E10" i="12"/>
  <c r="D10" i="12"/>
  <c r="C10" i="12"/>
  <c r="H10" i="12" s="1"/>
  <c r="J9" i="12"/>
  <c r="F9" i="12"/>
  <c r="E9" i="12"/>
  <c r="D9" i="12"/>
  <c r="C9" i="12"/>
  <c r="H9" i="12" s="1"/>
  <c r="J8" i="12"/>
  <c r="F8" i="12"/>
  <c r="E8" i="12"/>
  <c r="D8" i="12"/>
  <c r="C8" i="12"/>
  <c r="H8" i="12" s="1"/>
  <c r="J7" i="12"/>
  <c r="F7" i="12"/>
  <c r="E7" i="12"/>
  <c r="D7" i="12"/>
  <c r="H7" i="12" s="1"/>
  <c r="C7" i="12"/>
  <c r="J6" i="12"/>
  <c r="E6" i="12"/>
  <c r="D6" i="12"/>
  <c r="C6" i="12"/>
  <c r="H6" i="12" s="1"/>
  <c r="F10" i="10"/>
  <c r="F7" i="10"/>
  <c r="F6" i="10"/>
  <c r="F10" i="9"/>
  <c r="F7" i="9"/>
  <c r="F6" i="9"/>
  <c r="F18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T14" i="8"/>
  <c r="F14" i="8"/>
  <c r="F13" i="8"/>
  <c r="T12" i="8"/>
  <c r="S12" i="8"/>
  <c r="R12" i="8"/>
  <c r="Q12" i="8"/>
  <c r="P12" i="8"/>
  <c r="O12" i="8"/>
  <c r="N12" i="8"/>
  <c r="M12" i="8"/>
  <c r="L12" i="8"/>
  <c r="K12" i="8"/>
  <c r="J12" i="8"/>
  <c r="F12" i="8"/>
  <c r="F11" i="8"/>
  <c r="F10" i="8"/>
  <c r="T9" i="8"/>
  <c r="S9" i="8"/>
  <c r="R9" i="8"/>
  <c r="Q9" i="8"/>
  <c r="P9" i="8"/>
  <c r="O9" i="8"/>
  <c r="N9" i="8"/>
  <c r="M9" i="8"/>
  <c r="F9" i="8"/>
  <c r="F8" i="8"/>
  <c r="F7" i="8"/>
  <c r="T6" i="8"/>
  <c r="S6" i="8"/>
  <c r="R6" i="8"/>
  <c r="Q6" i="8"/>
  <c r="P6" i="8"/>
  <c r="F6" i="8"/>
  <c r="C22" i="7"/>
  <c r="C21" i="7"/>
  <c r="C20" i="7"/>
  <c r="C19" i="7"/>
  <c r="C18" i="7"/>
  <c r="C17" i="7"/>
  <c r="C15" i="7"/>
  <c r="C16" i="7" s="1"/>
  <c r="C14" i="7"/>
  <c r="F10" i="7"/>
  <c r="F9" i="7"/>
  <c r="F8" i="7"/>
  <c r="F7" i="7"/>
  <c r="J6" i="7"/>
  <c r="I6" i="7"/>
  <c r="H6" i="7"/>
  <c r="F6" i="7"/>
  <c r="G6" i="7" s="1"/>
  <c r="F75" i="6"/>
  <c r="F74" i="6"/>
  <c r="F73" i="6"/>
  <c r="F72" i="6"/>
  <c r="F71" i="6"/>
  <c r="F70" i="6"/>
  <c r="F69" i="6"/>
  <c r="F68" i="6"/>
  <c r="F67" i="6"/>
  <c r="F66" i="6"/>
  <c r="F65" i="6"/>
  <c r="F64" i="6"/>
  <c r="F63" i="6"/>
  <c r="H62" i="6"/>
  <c r="F62" i="6"/>
  <c r="G62" i="6" s="1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H48" i="6"/>
  <c r="F48" i="6"/>
  <c r="G48" i="6" s="1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H34" i="6"/>
  <c r="F34" i="6"/>
  <c r="G34" i="6" s="1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H20" i="6"/>
  <c r="F20" i="6"/>
  <c r="G20" i="6" s="1"/>
  <c r="F19" i="6"/>
  <c r="F18" i="6"/>
  <c r="F17" i="6"/>
  <c r="F16" i="6"/>
  <c r="F15" i="6"/>
  <c r="F14" i="6"/>
  <c r="F13" i="6"/>
  <c r="F12" i="6"/>
  <c r="F11" i="6"/>
  <c r="F10" i="6"/>
  <c r="F7" i="6"/>
  <c r="F6" i="6"/>
  <c r="H10" i="10" l="1"/>
  <c r="I10" i="10"/>
  <c r="G10" i="10"/>
  <c r="J7" i="10"/>
  <c r="I7" i="10"/>
  <c r="H7" i="10"/>
  <c r="G7" i="10"/>
  <c r="J6" i="10"/>
  <c r="I6" i="10"/>
  <c r="H6" i="10"/>
  <c r="G6" i="10"/>
  <c r="I10" i="9"/>
  <c r="H10" i="9"/>
  <c r="G10" i="9"/>
  <c r="G7" i="9"/>
  <c r="H7" i="9"/>
  <c r="I7" i="9"/>
  <c r="J7" i="9"/>
  <c r="G6" i="9"/>
  <c r="H6" i="9"/>
  <c r="I6" i="9"/>
  <c r="J6" i="9"/>
  <c r="G18" i="8"/>
  <c r="H18" i="8"/>
  <c r="I18" i="8"/>
  <c r="Q14" i="8"/>
  <c r="P14" i="8"/>
  <c r="O14" i="8"/>
  <c r="N14" i="8"/>
  <c r="M14" i="8"/>
  <c r="L14" i="8"/>
  <c r="K14" i="8"/>
  <c r="J14" i="8"/>
  <c r="I14" i="8"/>
  <c r="H14" i="8"/>
  <c r="G14" i="8"/>
  <c r="S14" i="8"/>
  <c r="R14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I12" i="8"/>
  <c r="H12" i="8"/>
  <c r="G12" i="8"/>
  <c r="O11" i="8"/>
  <c r="N11" i="8"/>
  <c r="M11" i="8"/>
  <c r="L11" i="8"/>
  <c r="K11" i="8"/>
  <c r="J11" i="8"/>
  <c r="H11" i="8"/>
  <c r="G11" i="8"/>
  <c r="I11" i="8"/>
  <c r="T11" i="8"/>
  <c r="S11" i="8"/>
  <c r="R11" i="8"/>
  <c r="Q11" i="8"/>
  <c r="P11" i="8"/>
  <c r="T10" i="8"/>
  <c r="S10" i="8"/>
  <c r="R10" i="8"/>
  <c r="Q10" i="8"/>
  <c r="P10" i="8"/>
  <c r="O10" i="8"/>
  <c r="N10" i="8"/>
  <c r="M10" i="8"/>
  <c r="L10" i="8"/>
  <c r="J10" i="8"/>
  <c r="I10" i="8"/>
  <c r="H10" i="8"/>
  <c r="G10" i="8"/>
  <c r="K10" i="8"/>
  <c r="G9" i="8"/>
  <c r="I9" i="8"/>
  <c r="L9" i="8"/>
  <c r="K9" i="8"/>
  <c r="J9" i="8"/>
  <c r="H9" i="8"/>
  <c r="Q8" i="8"/>
  <c r="L8" i="8"/>
  <c r="K8" i="8"/>
  <c r="J8" i="8"/>
  <c r="I8" i="8"/>
  <c r="H8" i="8"/>
  <c r="G8" i="8"/>
  <c r="T8" i="8"/>
  <c r="S8" i="8"/>
  <c r="R8" i="8"/>
  <c r="P8" i="8"/>
  <c r="O8" i="8"/>
  <c r="N8" i="8"/>
  <c r="M8" i="8"/>
  <c r="T7" i="8"/>
  <c r="S7" i="8"/>
  <c r="P7" i="8"/>
  <c r="R7" i="8"/>
  <c r="Q7" i="8"/>
  <c r="H7" i="8"/>
  <c r="G7" i="8"/>
  <c r="I7" i="8"/>
  <c r="J7" i="8"/>
  <c r="K7" i="8"/>
  <c r="L7" i="8"/>
  <c r="M7" i="8"/>
  <c r="N7" i="8"/>
  <c r="O7" i="8"/>
  <c r="G6" i="8"/>
  <c r="N6" i="8"/>
  <c r="O6" i="8"/>
  <c r="M6" i="8"/>
  <c r="L6" i="8"/>
  <c r="K6" i="8"/>
  <c r="J6" i="8"/>
  <c r="I6" i="8"/>
  <c r="H6" i="8"/>
  <c r="J10" i="7"/>
  <c r="H10" i="7"/>
  <c r="G10" i="7"/>
  <c r="I10" i="7"/>
  <c r="H9" i="7"/>
  <c r="G9" i="7"/>
  <c r="J9" i="7"/>
  <c r="I9" i="7"/>
  <c r="J8" i="7"/>
  <c r="I8" i="7"/>
  <c r="H8" i="7"/>
  <c r="G8" i="7"/>
  <c r="J7" i="7"/>
  <c r="I7" i="7"/>
  <c r="H7" i="7"/>
  <c r="G7" i="7"/>
  <c r="G75" i="6"/>
  <c r="H75" i="6"/>
  <c r="H74" i="6"/>
  <c r="G74" i="6"/>
  <c r="H73" i="6"/>
  <c r="G73" i="6"/>
  <c r="H72" i="6"/>
  <c r="G72" i="6"/>
  <c r="H71" i="6"/>
  <c r="G71" i="6"/>
  <c r="H70" i="6"/>
  <c r="G70" i="6"/>
  <c r="H69" i="6"/>
  <c r="G69" i="6"/>
  <c r="H68" i="6"/>
  <c r="G68" i="6"/>
  <c r="G67" i="6"/>
  <c r="H67" i="6"/>
  <c r="H66" i="6"/>
  <c r="G66" i="6"/>
  <c r="G65" i="6"/>
  <c r="H65" i="6"/>
  <c r="G64" i="6"/>
  <c r="H64" i="6"/>
  <c r="H63" i="6"/>
  <c r="G63" i="6"/>
  <c r="H61" i="6"/>
  <c r="G61" i="6"/>
  <c r="H60" i="6"/>
  <c r="G60" i="6"/>
  <c r="H59" i="6"/>
  <c r="G59" i="6"/>
  <c r="G58" i="6"/>
  <c r="H58" i="6"/>
  <c r="G57" i="6"/>
  <c r="H57" i="6"/>
  <c r="G56" i="6"/>
  <c r="H56" i="6"/>
  <c r="G55" i="6"/>
  <c r="H55" i="6"/>
  <c r="H54" i="6"/>
  <c r="G54" i="6"/>
  <c r="H53" i="6"/>
  <c r="G53" i="6"/>
  <c r="H52" i="6"/>
  <c r="G52" i="6"/>
  <c r="H51" i="6"/>
  <c r="G51" i="6"/>
  <c r="G50" i="6"/>
  <c r="H50" i="6"/>
  <c r="G49" i="6"/>
  <c r="H49" i="6"/>
  <c r="G47" i="6"/>
  <c r="H47" i="6"/>
  <c r="H46" i="6"/>
  <c r="G46" i="6"/>
  <c r="H45" i="6"/>
  <c r="G45" i="6"/>
  <c r="H44" i="6"/>
  <c r="G44" i="6"/>
  <c r="H43" i="6"/>
  <c r="G43" i="6"/>
  <c r="H42" i="6"/>
  <c r="G42" i="6"/>
  <c r="G41" i="6"/>
  <c r="H41" i="6"/>
  <c r="H40" i="6"/>
  <c r="G40" i="6"/>
  <c r="G39" i="6"/>
  <c r="H39" i="6"/>
  <c r="G38" i="6"/>
  <c r="H38" i="6"/>
  <c r="G37" i="6"/>
  <c r="H37" i="6"/>
  <c r="G36" i="6"/>
  <c r="H36" i="6"/>
  <c r="H35" i="6"/>
  <c r="G35" i="6"/>
  <c r="H33" i="6"/>
  <c r="G33" i="6"/>
  <c r="H32" i="6"/>
  <c r="G32" i="6"/>
  <c r="G31" i="6"/>
  <c r="H31" i="6"/>
  <c r="H30" i="6"/>
  <c r="G30" i="6"/>
  <c r="H29" i="6"/>
  <c r="G29" i="6"/>
  <c r="H28" i="6"/>
  <c r="G28" i="6"/>
  <c r="H27" i="6"/>
  <c r="G27" i="6"/>
  <c r="H26" i="6"/>
  <c r="G26" i="6"/>
  <c r="G25" i="6"/>
  <c r="H25" i="6"/>
  <c r="G24" i="6"/>
  <c r="H24" i="6"/>
  <c r="H23" i="6"/>
  <c r="G23" i="6"/>
  <c r="G22" i="6"/>
  <c r="H22" i="6"/>
  <c r="H21" i="6"/>
  <c r="G21" i="6"/>
  <c r="G19" i="6"/>
  <c r="H19" i="6"/>
  <c r="H18" i="6"/>
  <c r="G18" i="6"/>
  <c r="H17" i="6"/>
  <c r="G17" i="6"/>
  <c r="H16" i="6"/>
  <c r="G16" i="6"/>
  <c r="H15" i="6"/>
  <c r="G15" i="6"/>
  <c r="H14" i="6"/>
  <c r="G14" i="6"/>
  <c r="H13" i="6"/>
  <c r="G13" i="6"/>
  <c r="H12" i="6"/>
  <c r="G12" i="6"/>
  <c r="H11" i="6"/>
  <c r="G11" i="6"/>
  <c r="H10" i="6"/>
  <c r="G10" i="6"/>
  <c r="G7" i="6"/>
  <c r="H7" i="6"/>
  <c r="I7" i="6"/>
  <c r="J7" i="6"/>
  <c r="J6" i="6"/>
  <c r="I6" i="6"/>
  <c r="H6" i="6"/>
  <c r="G6" i="6"/>
</calcChain>
</file>

<file path=xl/sharedStrings.xml><?xml version="1.0" encoding="utf-8"?>
<sst xmlns="http://schemas.openxmlformats.org/spreadsheetml/2006/main" count="11722" uniqueCount="1979">
  <si>
    <t>TH-c (simulation &amp; permutation family) · README</t>
  </si>
  <si>
    <t>Template: docs/results_workbook_template.md (binding; 13-tab SOMA)</t>
  </si>
  <si>
    <t>Run finished 2026-07-26 17:39 (canonical) · runtime 44.3 h · verifier R/09_verify_outputs.R 19/19 PASS · chat artefact check 2026-07-26 18/18 PASS · output/TH_c_results.csv 1347x36 · counters fits/fallback/fail: 11,500/92/0 (pass) · 540/3/0 (curve) · 200/2/0 (calibration) · eff_B 500/500/500 · not_estimable cells: 0</t>
  </si>
  <si>
    <t>Item</t>
  </si>
  <si>
    <t>Value</t>
  </si>
  <si>
    <t>Workbook version</t>
  </si>
  <si>
    <t>v1.0 (built post-run by project chat; verifier never reads this file)</t>
  </si>
  <si>
    <t>Method one-liner</t>
  </si>
  <si>
    <t>Simulation &amp; permutation family: design-based MDE/power battery with full-REML calibration (H1), 1,260-cell specification curve with joint time-translation permutation (H3), permutation references for the sup-break (H4) and race (H5) statistics.</t>
  </si>
  <si>
    <t>Scope</t>
  </si>
  <si>
    <t>H1 (6 scenarios x 9-point delta grid + calibration), H3 (1,260 cells + core family + whole-curve stats), H4 perm, H5 perm; period domain 2,705 ES / 113 studies / 112 clusters.</t>
  </si>
  <si>
    <t>Repo / commit basis</t>
  </si>
  <si>
    <t>rwitte-wu-research/FOMA-CER-COD-Paris; chain 5a99de6 -&gt; e44fce7 (#12) -&gt; fce9d3a (#13) -&gt; dafd95e (#14); family commit lands on dafd95e (main = origin)</t>
  </si>
  <si>
    <t>Computational stack</t>
  </si>
  <si>
    <t>R 4.6.1 (ucrt) · metafor 5.0-1 · clubSandwich 0.7.0 · Matrix 1.7-5 · Windows 11 x64 (26200) · reference BLAS single-threaded + per-worker thread guards</t>
  </si>
  <si>
    <t>Scripts</t>
  </si>
  <si>
    <t>R/09_sim_perm.R + R/09_verify_outputs.R (paired verifier, 19/19 PASS)</t>
  </si>
  <si>
    <t>Decision basis</t>
  </si>
  <si>
    <t>DEC-045 (E/H execution spec incl. supersessions S1-S9) · DEC-031f (optimizer ladder) · DEC-044 (framing A; language gate UNRESOLVED - see 3_Interpretation_Guide)</t>
  </si>
  <si>
    <t>Framing gate</t>
  </si>
  <si>
    <t>Framing gate [DEC-044]: all TOST flags and permutation p-values in this workbook are MECHANICAL values; no evidence-of-absence or verdict language is used anywhere; adjudication happens as the documented gate-resolution step after TH-b (H2a/H2b RoBMA).</t>
  </si>
  <si>
    <t>TAB-INDEX</t>
  </si>
  <si>
    <t>1_README | 2_Methodology | 3_Interpretation_Guide | 4_Formula_Reference | 5_Data_Provenance | 6_H1_MDE_Power | 7_H3_Spec_Curve | 8_H3_Core_Family | 9_H4_Perm_Sup | 10_H5_Perm_Race | Results_Long | Manuscript_Inputs | Manuscript_Text_Blocks</t>
  </si>
  <si>
    <t>TH-c (simulation &amp; permutation family) · Methodology</t>
  </si>
  <si>
    <t>Quantity | Formula / Construction | Reference (project notation)</t>
  </si>
  <si>
    <t>Quantity</t>
  </si>
  <si>
    <t>Formula / Construction</t>
  </si>
  <si>
    <t>Reference</t>
  </si>
  <si>
    <t>H1 power precompute</t>
  </si>
  <si>
    <t>Design-based, y-free: SE and Satterthwaite df of the pp_mid contrast precomputed from X = [1, pp_mid], V and the FIXED variance components; delta enters as a noncentral shift of one B = 5,000 stream; power(delta) on the 9-point grid delta = 0.00..0.08</t>
  </si>
  <si>
    <t>[DEC-045/H-Q14/R1] [plan A.13]</t>
  </si>
  <si>
    <t>H1 MDE definition</t>
  </si>
  <si>
    <t>MDE = smallest delta with power &gt;= .80 (resp. .90), linear interpolation on the grid; NA = above the grid ceiling 0.08 (disclosed)</t>
  </si>
  <si>
    <t>[DEC-045/H-Q14]</t>
  </si>
  <si>
    <t>H1 variance scenarios</t>
  </si>
  <si>
    <t>own x0.5/x1.0/x2.0 = T1/A2 components (0.0197455 / 1.02e-09 / 0.0118832) scaled; coe x0.5/x1.0/x2.0 = one-level lower bound tau2_COE = (0.083/3.92)^2, allocated by T1/A2 proportions [S4]; fixed VC are DESIGN INPUTS here (semantically licensed for MDE, prohibited in H3/H5 inference)</t>
  </si>
  <si>
    <t>[H-Q4] [DEC-045 S4] [project pin]</t>
  </si>
  <si>
    <t>H1 calibration</t>
  </si>
  <si>
    <t>200 full REML (optimizer ladder) + CR2/Satterthwaite refits at delta = 0.08 (primary scenario; MDE above ceiling -&gt; calibrated at the 0.08 fallback, disclosed); optimism = 0.80 - rejection rate (positive = precompute stream optimistic)</t>
  </si>
  <si>
    <t>[H-Q14] [DEC-045]</t>
  </si>
  <si>
    <t>H3 factor space</t>
  </si>
  <si>
    <t>1,260 cells = 10 Paris codings x 3 outlier treatments (none/rstudent/winsor) x 2 ES sets (full/no_starbound) x 3 df bases (dfE/k10/k20) x 7 estimator-rho variants (3LMA-RVE CR2 rho .4/.6/.8; one-per-cluster rho .4/.6/.8; UWLS3); 10-coding family frozen verbatim from committed T2 output [D1 amendment]</t>
  </si>
  <si>
    <t>[DEC-045 S2/S3] [Steegen et al. 2016; Simonsohn et al. 2020 [PK]]</t>
  </si>
  <si>
    <t>H3 core family &amp; whole-curve stats</t>
  </si>
  <si>
    <t>Core = 10 codings x 3LMA-RVE x rho .6 x dfE x outlier none x full set; statistic 1 = share of core cells with p &lt; .05, statistic 2 = median |t| over core cells</t>
  </si>
  <si>
    <t>[DEC-045 S3] [H-Q15]</t>
  </si>
  <si>
    <t>Joint permutation (H3/H4/H5)</t>
  </si>
  <si>
    <t>ONE cluster time-translation per replicate applied jointly; codings re-derived per replicate; 23 fits per replicate in ONE pass (H5 race + H4 12 breaks + 10 core cells); p = (1 + #{|stat_perm| &gt;= |stat_obs|}) / (B_eff + 1); B = 500 [S5]; identical permutation list across H3/H4/H5</t>
  </si>
  <si>
    <t>[H-Q15/H-Q16/H-Q20/R3] [DEC-045 S5]</t>
  </si>
  <si>
    <t>H4/H5 observed anchors</t>
  </si>
  <si>
    <t>H4: sup |t| over the 12-year admissible set fixed at the observed design (read from TH_a_results.csv, membership-verified); H5: |t_race| of the pp_mid coefficient in the T8 race model (F65 anchor gates passed at 1e-9/1e-6)</t>
  </si>
  <si>
    <t>[H-Q20] [F65] [DEC-045]</t>
  </si>
  <si>
    <t>Outlier treatments</t>
  </si>
  <si>
    <t>rstudent mask: |standardized marginal residual| &gt; 3 from the full-set intercept spine (mu = -0.058647, sum sigma2 = 0.031629), computed ONCE, fixed across cells and replicates (13 ES); winsor: zi at empirical P1/P99 of the full set [-0.380770; 0.184715], computed once</t>
  </si>
  <si>
    <t>[DEC-045 amendment] [Aguinis &amp; Joo 2013; Leys et al. 2013 [PK]]</t>
  </si>
  <si>
    <t>df bases</t>
  </si>
  <si>
    <t>dfE = F21 base vi = 1/(n-3); k10/k20 via identity vi_k = 1/(1/vi - k) on PCC rows (= 1/(n-13), 1/(n-23)); bivariate rows carry base vi; k20 basis excludes 1 tiny-n row (disclosed)</t>
  </si>
  <si>
    <t>[DEC-028] [F21] [DEC-045 amendment]</t>
  </si>
  <si>
    <t>Determinism</t>
  </si>
  <si>
    <t>Permutation list generated FIRST under seed 20260710 (112 x 500, output/TH_c_perms.rds, md5-pinned); workers receive indices (scheduling-invariant); reference BLAS single-threaded + per-worker OMP/OPENBLAS/MKL guards; execution order pinned: PERMS -&gt; masks -&gt; H1 stream -&gt; H1 calibration -&gt; permutation pass -&gt; H3 curve</t>
  </si>
  <si>
    <t>[DEC-045] [TH_design rows]</t>
  </si>
  <si>
    <t>TH-c (simulation &amp; permutation family) · Interpretation Guide</t>
  </si>
  <si>
    <t>How to read each reported quantity; thresholds with citations</t>
  </si>
  <si>
    <t>Meaning</t>
  </si>
  <si>
    <t>Decision rule</t>
  </si>
  <si>
    <t>p_perm</t>
  </si>
  <si>
    <t>(1 + exceedances) / (B_eff + 1); minimum attainable value 1/(B_eff+1) ~ 0.002</t>
  </si>
  <si>
    <t>Compare to alpha mechanically; p_perm(share) = 1.000 means NO replicate produced a smaller/equal-extreme share statistic than observed - tabulated without verdict language</t>
  </si>
  <si>
    <t>MDE80 / MDE90 = NA</t>
  </si>
  <si>
    <t>Smallest detectable contrast lies above the pre-registered grid ceiling 0.08 [§6(i)]</t>
  </si>
  <si>
    <t>Disclose the ceiling and the power at 0.08 (table rows); never extrapolate beyond the grid</t>
  </si>
  <si>
    <t>optimism (calibration)</t>
  </si>
  <si>
    <t>0.80 - full-REML rejection rate at the calibration point</t>
  </si>
  <si>
    <t>Positive = analytic precompute stream optimistic relative to full REML at the 0.80 target</t>
  </si>
  <si>
    <t>eff_B</t>
  </si>
  <si>
    <t>Effective replicates with finite statistic; failed replicates dropped from the denominator</t>
  </si>
  <si>
    <t>Fail share &lt;= 0.01 enforced; here 500/500/500 (zero drops)</t>
  </si>
  <si>
    <t>UWLS3 rows (df ~ 2,703)</t>
  </si>
  <si>
    <t>Unrestricted WLS with k+3 convention; ES-level df by construction</t>
  </si>
  <si>
    <t>Different estimand family; included as the estimator-structure axis of the multiverse [S2], not as a spine alternative</t>
  </si>
  <si>
    <t>one_per_cluster rows (df = 111)</t>
  </si>
  <si>
    <t>Cluster-aggregated two-level check</t>
  </si>
  <si>
    <t>Assumption-lean second opinion; rho enters via the aggregation working correlation</t>
  </si>
  <si>
    <t>core vs. full curve</t>
  </si>
  <si>
    <t>Core = pre-registered 10-cell family; full curve = all 1,260 cells</t>
  </si>
  <si>
    <t>Inference on the core (joint permutation); the full curve is descriptive breadth</t>
  </si>
  <si>
    <t>[DEC-044]</t>
  </si>
  <si>
    <t>TH-c (simulation &amp; permutation family) · Formula Reference</t>
  </si>
  <si>
    <t>Exact calls as implemented (from run notes / run_meta)</t>
  </si>
  <si>
    <t>R call</t>
  </si>
  <si>
    <t>Reference / script section</t>
  </si>
  <si>
    <t>Power precompute</t>
  </si>
  <si>
    <t>se_d &lt;- sqrt(crossprod(c, vcovCR2_yfree) c); df_Satt y-free; power &lt;- pt(qt(.975, df), df, ncp = delta/se_d, lower.tail = FALSE) + pt(-qt(.975, df), df, ncp = delta/se_d)</t>
  </si>
  <si>
    <t>R/09 H1 block [H-Q14/R1]</t>
  </si>
  <si>
    <t>MDE interpolation</t>
  </si>
  <si>
    <t>approx(power_grid, delta_grid, xout = 0.80)$y (resp. 0.90); NA if max(power_grid) &lt; target</t>
  </si>
  <si>
    <t>R/09 H1</t>
  </si>
  <si>
    <t>Calibration refit</t>
  </si>
  <si>
    <t>rma.mv(zi + delta*pp_mid, V, mods = ~ pp_mid, random = ~1|cluster_id/study/esid, REML, optimizer ladder) x 200; reject = |t_CR2| &gt; t_crit(df_Satt)</t>
  </si>
  <si>
    <t>R/09 H1 calibration</t>
  </si>
  <si>
    <t>Permutation pass</t>
  </si>
  <si>
    <t>for b in 1:500: translate cluster windows by perm[[b]]; re-derive all 10 codings; refit H5 race + 12 H4 breaks + 10 core cells (23 fits); collect |t| statistics</t>
  </si>
  <si>
    <t>R/09 perm pass [R3]</t>
  </si>
  <si>
    <t>Perm p</t>
  </si>
  <si>
    <t>p = (1 + sum(abs(stat_perm) &gt;= abs(stat_obs))) / (eff_B + 1)</t>
  </si>
  <si>
    <t>R/09 [S5]</t>
  </si>
  <si>
    <t>Curve stats in-workbook</t>
  </si>
  <si>
    <t>COUNTIFS / _xlfn.MINIFS / _xlfn.MAXIFS over Results_Long H3 diff rows (single formula source)</t>
  </si>
  <si>
    <t>Tab 7_H3_Spec_Curve</t>
  </si>
  <si>
    <t>rstudent mask</t>
  </si>
  <si>
    <t>abs(zi - mu_spine) / sqrt(vi + sum_sigma2) &gt; 3 on the full-set intercept spine; fixed once</t>
  </si>
  <si>
    <t>R/09 masks [DEC-045 amendment]</t>
  </si>
  <si>
    <t>Winsorization</t>
  </si>
  <si>
    <t>zi &lt;- pmin(pmax(zi, q01), q99), bounds computed once on the full estimation set</t>
  </si>
  <si>
    <t>R/09 masks</t>
  </si>
  <si>
    <t>TH-c (simulation &amp; permutation family) · Data Provenance</t>
  </si>
  <si>
    <t>Estimation set, anchors, counters, environment, disclosures</t>
  </si>
  <si>
    <t>Source</t>
  </si>
  <si>
    <t>Estimation set / domain</t>
  </si>
  <si>
    <t>Period domain 2,705 ES / 113 studies / 112 clusters (H3/H4/H5, H1 design); full-set spine anchors for masks</t>
  </si>
  <si>
    <t>TH_c_results.csv</t>
  </si>
  <si>
    <t>dat_prep md5</t>
  </si>
  <si>
    <t>6702ef3dc45fe0b693b13f50ebd1576b (identical to TH_a_run_meta - cross-run anchor)</t>
  </si>
  <si>
    <t>run_meta both runs</t>
  </si>
  <si>
    <t>Permutation list</t>
  </si>
  <si>
    <t>output/TH_c_perms.rds: 112 x 500 cluster permutations, generated FIRST under seed 20260710; md5 = 077d689b2dee2931467650585089888a; deliberately NOT in git (.gitignore output/*.rds); md5 triple-anchored (run_meta, design row, O13)</t>
  </si>
  <si>
    <t>TH_design perm_list; session log §1</t>
  </si>
  <si>
    <t>Run stamp / runtime</t>
  </si>
  <si>
    <t>Finished 2026-07-26 17:39:47; runtime 44.3 h vs. 13-15 h projected [§6(v)] - decomposition: single-fit benchmark 41.92 s (idle P-core) vs. ~96 CPU-s/fit under 11-worker load (measured probe); 92 ladder fallbacks; straggler scheduling; architecture externally validated via the O5 core anchors; lessons for R/07 pinned</t>
  </si>
  <si>
    <t>session log §1; [DEC-045]</t>
  </si>
  <si>
    <t>Counters</t>
  </si>
  <si>
    <t>fits/fallback/fail = 11,500/92/0 (permutation pass) · 540/3/0 (curve) · 200/2/0 (calibration); eff_B = 500/500/500; not_estimable cells = 0 [§6(ii) analogue]</t>
  </si>
  <si>
    <t>run_meta; verifier 19/19</t>
  </si>
  <si>
    <t>k20 exclusion [§6(iii)]</t>
  </si>
  <si>
    <t>Design row (verbatim): 'k20 basis excludes 1 row(s) with nonpositive/NA vi_k20 (tiny-n edge, n &lt;= 23) from all k20 cells -- disclosed [DEC-045 amendment; author ruling 2026-07-24]'; the excluded row is Chodnicka-Jaworska (2022), n = 18, vi_k20 = NA; 2,607 PCC rows pass the identity assert at 1e-9</t>
  </si>
  <si>
    <t>TH_design vi_k_identity; author ruling 2026-07-24</t>
  </si>
  <si>
    <t>Outlier constants [§6(iv)]</t>
  </si>
  <si>
    <t>rstudent mask = 13 ES at threshold 3 (full-set intercept spine, mu = -0.058647, sum sigma2 = 0.031629); winsor bounds [-0.380770; 0.184715] (empirical P1/P99, computed once)</t>
  </si>
  <si>
    <t>TH_design rstudent_mask / winsor_bounds</t>
  </si>
  <si>
    <t>H1 NA disclosure [§6(i)]</t>
  </si>
  <si>
    <t>MDE80 AND MDE90 = NA in own_x1.0 and own_x2.0 (grid ceiling 0.08); calibration rule-conformly executed at the 0.08 fallback and disclosed in the calibration note; power at 0.08 tabulated (0.7304 / 0.4476)</t>
  </si>
  <si>
    <t>TH_c_results.csv H1</t>
  </si>
  <si>
    <t>Observed anchors</t>
  </si>
  <si>
    <t>center_sample_mid = 2012.257855823 (in-script, constancy asserted); F65 gates PASSED: T8 B4/race/pp_mid_lag0 matched embedded constants at 1e-9, observed refit identity at 1e-6, |t_race_obs| = 1.052421; H4 admissible echo membership-verified against TH_a_results.csv</t>
  </si>
  <si>
    <t>TH_design rows</t>
  </si>
  <si>
    <t>Execution order / determinism</t>
  </si>
  <si>
    <t>PERMS -&gt; masks -&gt; H1 stream -&gt; H1 calibration -&gt; permutation pass (ONE pass, 23 fits/replicate) -&gt; H3 curve; Windows CRAN reference BLAS single-threaded; OMP/OPENBLAS/MKL guards per worker</t>
  </si>
  <si>
    <t>TH_design execution_order / blas_note</t>
  </si>
  <si>
    <t>Repo basis</t>
  </si>
  <si>
    <t>5a99de6 -&gt; e44fce7 (#12) -&gt; fce9d3a (#13) -&gt; dafd95e (#14); family commit lands on dafd95e (main = origin); TH-c relaunch executed on dafd95e (post ERROR_LOG #13/#14 fixes)</t>
  </si>
  <si>
    <t>session log §1</t>
  </si>
  <si>
    <t>Environment</t>
  </si>
  <si>
    <t>R 4.6.1 ucrt · Windows 11 x64 (26200) · German_Austria.utf8 / LC_NUMERIC = C · TZ Europe/Vienna · metafor 5.0-1, clubSandwich 0.7.0, Matrix 1.7-5 (sessionInfo identical to TH-a)</t>
  </si>
  <si>
    <t>TH_c_run_meta sessionInfo</t>
  </si>
  <si>
    <t>TH-c (simulation &amp; permutation family) · H1 - design-based MDE / power battery (6 scenarios) + full-REML calibration</t>
  </si>
  <si>
    <t>Fixed variance components are DESIGN INPUTS here [H-Q4]; y-free precompute, noncentral-t power; MDE by grid interpolation, NA = above the 0.08 ceiling.</t>
  </si>
  <si>
    <t>Panel row</t>
  </si>
  <si>
    <t>analysis_id</t>
  </si>
  <si>
    <t>spec</t>
  </si>
  <si>
    <t>subset</t>
  </si>
  <si>
    <t>term</t>
  </si>
  <si>
    <t>RL row</t>
  </si>
  <si>
    <t>k_es</t>
  </si>
  <si>
    <t>k_cl</t>
  </si>
  <si>
    <t>value</t>
  </si>
  <si>
    <t>note (verbatim)</t>
  </si>
  <si>
    <t>calibration: rejection rate (200 REML @ delta 0.08)</t>
  </si>
  <si>
    <t>H1</t>
  </si>
  <si>
    <t>calibration</t>
  </si>
  <si>
    <t>defined</t>
  </si>
  <si>
    <t>rejection_rate</t>
  </si>
  <si>
    <t>calibration: optimism (0.80 - rejection)</t>
  </si>
  <si>
    <t>optimism_diff</t>
  </si>
  <si>
    <t>df_Satt</t>
  </si>
  <si>
    <t>own_x0.5 · power_delta_0.00</t>
  </si>
  <si>
    <t>own_x0.5</t>
  </si>
  <si>
    <t>power_delta_0.00</t>
  </si>
  <si>
    <t>own_x0.5 · power_delta_0.01</t>
  </si>
  <si>
    <t>power_delta_0.01</t>
  </si>
  <si>
    <t>own_x0.5 · power_delta_0.02</t>
  </si>
  <si>
    <t>power_delta_0.02</t>
  </si>
  <si>
    <t>own_x0.5 · power_delta_0.03</t>
  </si>
  <si>
    <t>power_delta_0.03</t>
  </si>
  <si>
    <t>own_x0.5 · power_delta_0.04</t>
  </si>
  <si>
    <t>power_delta_0.04</t>
  </si>
  <si>
    <t>own_x0.5 · power_delta_0.05</t>
  </si>
  <si>
    <t>power_delta_0.05</t>
  </si>
  <si>
    <t>own_x0.5 · power_delta_0.06</t>
  </si>
  <si>
    <t>power_delta_0.06</t>
  </si>
  <si>
    <t>own_x0.5 · power_delta_0.07</t>
  </si>
  <si>
    <t>power_delta_0.07</t>
  </si>
  <si>
    <t>own_x0.5 · power_delta_0.08</t>
  </si>
  <si>
    <t>power_delta_0.08</t>
  </si>
  <si>
    <t>own_x0.5 · mde_power80</t>
  </si>
  <si>
    <t>mde_power80</t>
  </si>
  <si>
    <t>own_x0.5 · mde_power90</t>
  </si>
  <si>
    <t>mde_power90</t>
  </si>
  <si>
    <t>own_x1.0 · power_delta_0.00</t>
  </si>
  <si>
    <t>own_x1.0</t>
  </si>
  <si>
    <t>own_x1.0 · power_delta_0.01</t>
  </si>
  <si>
    <t>own_x1.0 · power_delta_0.02</t>
  </si>
  <si>
    <t>own_x1.0 · power_delta_0.03</t>
  </si>
  <si>
    <t>own_x1.0 · power_delta_0.04</t>
  </si>
  <si>
    <t>own_x1.0 · power_delta_0.05</t>
  </si>
  <si>
    <t>own_x1.0 · power_delta_0.06</t>
  </si>
  <si>
    <t>own_x1.0 · power_delta_0.07</t>
  </si>
  <si>
    <t>own_x1.0 · power_delta_0.08</t>
  </si>
  <si>
    <t>own_x1.0 · mde_power80</t>
  </si>
  <si>
    <t>own_x1.0 · mde_power90</t>
  </si>
  <si>
    <t>own_x2.0 · power_delta_0.00</t>
  </si>
  <si>
    <t>own_x2.0</t>
  </si>
  <si>
    <t>own_x2.0 · power_delta_0.01</t>
  </si>
  <si>
    <t>own_x2.0 · power_delta_0.02</t>
  </si>
  <si>
    <t>own_x2.0 · power_delta_0.03</t>
  </si>
  <si>
    <t>own_x2.0 · power_delta_0.04</t>
  </si>
  <si>
    <t>own_x2.0 · power_delta_0.05</t>
  </si>
  <si>
    <t>own_x2.0 · power_delta_0.06</t>
  </si>
  <si>
    <t>own_x2.0 · power_delta_0.07</t>
  </si>
  <si>
    <t>own_x2.0 · power_delta_0.08</t>
  </si>
  <si>
    <t>own_x2.0 · mde_power80</t>
  </si>
  <si>
    <t>own_x2.0 · mde_power90</t>
  </si>
  <si>
    <t>coe_x0.5 · power_delta_0.00</t>
  </si>
  <si>
    <t>coe_x0.5</t>
  </si>
  <si>
    <t>coe_x0.5 · power_delta_0.01</t>
  </si>
  <si>
    <t>coe_x0.5 · power_delta_0.02</t>
  </si>
  <si>
    <t>coe_x0.5 · power_delta_0.03</t>
  </si>
  <si>
    <t>coe_x0.5 · power_delta_0.04</t>
  </si>
  <si>
    <t>coe_x0.5 · power_delta_0.05</t>
  </si>
  <si>
    <t>coe_x0.5 · power_delta_0.06</t>
  </si>
  <si>
    <t>coe_x0.5 · power_delta_0.07</t>
  </si>
  <si>
    <t>coe_x0.5 · power_delta_0.08</t>
  </si>
  <si>
    <t>coe_x0.5 · mde_power80</t>
  </si>
  <si>
    <t>coe_x0.5 · mde_power90</t>
  </si>
  <si>
    <t>coe_x1.0 · power_delta_0.00</t>
  </si>
  <si>
    <t>coe_x1.0</t>
  </si>
  <si>
    <t>coe_x1.0 · power_delta_0.01</t>
  </si>
  <si>
    <t>coe_x1.0 · power_delta_0.02</t>
  </si>
  <si>
    <t>coe_x1.0 · power_delta_0.03</t>
  </si>
  <si>
    <t>coe_x1.0 · power_delta_0.04</t>
  </si>
  <si>
    <t>coe_x1.0 · power_delta_0.05</t>
  </si>
  <si>
    <t>coe_x1.0 · power_delta_0.06</t>
  </si>
  <si>
    <t>coe_x1.0 · power_delta_0.07</t>
  </si>
  <si>
    <t>coe_x1.0 · power_delta_0.08</t>
  </si>
  <si>
    <t>coe_x1.0 · mde_power80</t>
  </si>
  <si>
    <t>coe_x1.0 · mde_power90</t>
  </si>
  <si>
    <t>coe_x2.0 · power_delta_0.00</t>
  </si>
  <si>
    <t>coe_x2.0</t>
  </si>
  <si>
    <t>coe_x2.0 · power_delta_0.01</t>
  </si>
  <si>
    <t>coe_x2.0 · power_delta_0.02</t>
  </si>
  <si>
    <t>coe_x2.0 · power_delta_0.03</t>
  </si>
  <si>
    <t>coe_x2.0 · power_delta_0.04</t>
  </si>
  <si>
    <t>coe_x2.0 · power_delta_0.05</t>
  </si>
  <si>
    <t>coe_x2.0 · power_delta_0.06</t>
  </si>
  <si>
    <t>coe_x2.0 · power_delta_0.07</t>
  </si>
  <si>
    <t>coe_x2.0 · power_delta_0.08</t>
  </si>
  <si>
    <t>coe_x2.0 · mde_power80</t>
  </si>
  <si>
    <t>coe_x2.0 · mde_power90</t>
  </si>
  <si>
    <t>Interpretation</t>
  </si>
  <si>
    <t>§6(i) disclosure: MDE80 AND MDE90 are NA in own_x1.0 and own_x2.0 - the smallest detectable contrast lies above the pre-registered delta-grid ceiling of 0.08; the power at the ceiling is tabulated in the power_delta_0.08 rows. The calibration therefore ran rule-conformly at the 0.08 fallback (disclosed in its row note).</t>
  </si>
  <si>
    <t>Scenario provenance: own streams scale the observed T1/A2 variance components; coe streams map the equity-companion between-study variance as a one-level LOWER BOUND [S4] - the companion caveat (variance factor ~65, MDE factor ~8) applies to any cross-channel reading.</t>
  </si>
  <si>
    <t>df_Satt is precomputed y-free per stream (df column); the value column carries power (power rows) or the MDE in z units (mde rows).</t>
  </si>
  <si>
    <t>Question</t>
  </si>
  <si>
    <t>Answer</t>
  </si>
  <si>
    <t>Why fixed variance components - is that not prohibited?</t>
  </si>
  <si>
    <t>Fixed VC are prohibited where the ACTUAL test-statistic distribution must be replicated (H3 permutation, H5); in the MDE context they are semantically correct design inputs [H-Q4] - the question answered is 'what was detectable under the observed design'.</t>
  </si>
  <si>
    <t>Why is the calibration run at 0.08 and not at the MDE?</t>
  </si>
  <si>
    <t>The primary-scenario MDE is above the grid ceiling; extrapolating beyond the pinned grid is not licensed, so the calibration anchors at the ceiling fallback and discloses it [H-Q14].</t>
  </si>
  <si>
    <t>Why does the coe mapping matter?</t>
  </si>
  <si>
    <t>It bounds the best case: if the debt literature were as homogeneous as the equity companion's study level, contrasts of ~0.01-0.02 z would have been detectable - the observed heterogeneity is the binding constraint, not k.</t>
  </si>
  <si>
    <t>Verdict: Mechanical outcome: 6-scenario power grid, MDE rows (with rule-conform NA above the ceiling) and 200-replicate calibration tabulated; adjudication deferred to the documented gate-resolution step [DEC-044].</t>
  </si>
  <si>
    <t>TH-c (simulation &amp; permutation family) · H3 - specification curve: whole-curve statistics + joint permutation</t>
  </si>
  <si>
    <t>Core = pre-registered 10-cell family [S3]; full curve = 1,260 cells; joint permutation re-derives codings per replicate [H-Q15/R3].</t>
  </si>
  <si>
    <t>observed share p &lt; .05 (core, of 10)</t>
  </si>
  <si>
    <t>H3</t>
  </si>
  <si>
    <t>core_curve</t>
  </si>
  <si>
    <t>observed_share_sig</t>
  </si>
  <si>
    <t>observed median |t| (core)</t>
  </si>
  <si>
    <t>observed_median_t</t>
  </si>
  <si>
    <t>p_perm - share statistic</t>
  </si>
  <si>
    <t>p_perm_share_sig</t>
  </si>
  <si>
    <t>p_perm - median-|t| statistic</t>
  </si>
  <si>
    <t>p_perm_median_t</t>
  </si>
  <si>
    <t>effective replicates</t>
  </si>
  <si>
    <t>Full-curve descriptives (formula-derived from Results_Long; single formula source)</t>
  </si>
  <si>
    <t>Restriction</t>
  </si>
  <si>
    <t>Value (formula)</t>
  </si>
  <si>
    <t>n multiverse cells (diff rows)</t>
  </si>
  <si>
    <t>analysis H3, term diff</t>
  </si>
  <si>
    <t>n cells with p &lt; .05</t>
  </si>
  <si>
    <t>same</t>
  </si>
  <si>
    <t>share p &lt; .05 (full curve)</t>
  </si>
  <si>
    <t>n sig | 3LMA-RVE_CR2</t>
  </si>
  <si>
    <t>estimator restriction</t>
  </si>
  <si>
    <t>n sig | one_per_cluster</t>
  </si>
  <si>
    <t>n sig | UWLS3</t>
  </si>
  <si>
    <t>min diff_z over full curve</t>
  </si>
  <si>
    <t>all 1,260 cells</t>
  </si>
  <si>
    <t>max diff_z over full curve</t>
  </si>
  <si>
    <t>min p over full curve</t>
  </si>
  <si>
    <t>The per-cell core |t| listing is carried verbatim in the observed_share_sig row note.</t>
  </si>
  <si>
    <t>Inference lives on the core family via the joint permutation; the full-curve descriptives display robustness breadth without multiplicity claims.</t>
  </si>
  <si>
    <t>The full curve contains exactly one cell below .05 (locatable via the estimator-restricted counts and the min-p row) - a descriptive observation against ~63 cells expected under a global null at alpha = .05 (5% of 1,260).</t>
  </si>
  <si>
    <t>p_perm(share) at its boundary value means no replicate reached a share as small as/equal to the observed one under the null translation - a mechanical statement.</t>
  </si>
  <si>
    <t>Why permute time-translations instead of cluster labels?</t>
  </si>
  <si>
    <t>The estimand is a TIME moderation; translating cluster windows preserves the within-cluster dependence structure while breaking the calendar alignment - the label-permutation variant would destroy the wrong structure [H-Q15/H-Q20 supersession of Annex-H N7].</t>
  </si>
  <si>
    <t>Why re-derive the codings per replicate?</t>
  </si>
  <si>
    <t>All 10 codings are deterministic functions of the (translated) windows; holding them fixed would leak observed-design information into the null [R3].</t>
  </si>
  <si>
    <t>Verdict: Mechanical outcome: whole-curve statistics and joint-permutation p-values tabulated; full-curve descriptives formula-derived above; adjudication deferred to the documented gate-resolution step [DEC-044].</t>
  </si>
  <si>
    <t>TH-c (simulation &amp; permutation family) · H3 - core cell family (10 codings; 3LMA-RVE CR2, rho .6, dfE, outlier none, full set)</t>
  </si>
  <si>
    <t>Family frozen verbatim from committed T2 output [D1 amendment]; diff rows z-only.</t>
  </si>
  <si>
    <t>k_st</t>
  </si>
  <si>
    <t>est_z</t>
  </si>
  <si>
    <t>ci_lb_z</t>
  </si>
  <si>
    <t>ci_ub_z</t>
  </si>
  <si>
    <t>est_r</t>
  </si>
  <si>
    <t>ci_lb_r</t>
  </si>
  <si>
    <t>ci_ub_r</t>
  </si>
  <si>
    <t>se_z</t>
  </si>
  <si>
    <t>t</t>
  </si>
  <si>
    <t>df</t>
  </si>
  <si>
    <t>p</t>
  </si>
  <si>
    <t>core: paris_mid</t>
  </si>
  <si>
    <t>paris_mid|none|full|dfE</t>
  </si>
  <si>
    <t>3LMA-RVE_CR2|r0.6</t>
  </si>
  <si>
    <t>diff</t>
  </si>
  <si>
    <t>core: tie_break_median</t>
  </si>
  <si>
    <t>tie_break_median|none|full|dfE</t>
  </si>
  <si>
    <t>core: end_any_exposure</t>
  </si>
  <si>
    <t>end_any_exposure|none|full|dfE</t>
  </si>
  <si>
    <t>core: share_recut_2017</t>
  </si>
  <si>
    <t>share_recut_2017|none|full|dfE</t>
  </si>
  <si>
    <t>core: share_recut_2018</t>
  </si>
  <si>
    <t>share_recut_2018|none|full|dfE</t>
  </si>
  <si>
    <t>core: share_recut_2019</t>
  </si>
  <si>
    <t>share_recut_2019|none|full|dfE</t>
  </si>
  <si>
    <t>core: end_lag1</t>
  </si>
  <si>
    <t>end_lag1|none|full|dfE</t>
  </si>
  <si>
    <t>core: end_lag2</t>
  </si>
  <si>
    <t>end_lag2|none|full|dfE</t>
  </si>
  <si>
    <t>core: end_lag3</t>
  </si>
  <si>
    <t>end_lag3|none|full|dfE</t>
  </si>
  <si>
    <t>core: clean_window</t>
  </si>
  <si>
    <t>clean_window|none|full|dfE</t>
  </si>
  <si>
    <t>core cell keys (design)</t>
  </si>
  <si>
    <t>TH_design</t>
  </si>
  <si>
    <t>design</t>
  </si>
  <si>
    <t>core_cells</t>
  </si>
  <si>
    <t>clean_window is the pre-registered subset coding (929 ES / 40 clusters) - its smaller base is a design feature, not attrition.</t>
  </si>
  <si>
    <t>The end_lag2 cell carries the largest absolute contrast of the family; its p-value is tabulated in the panel (no verdict language attached).</t>
  </si>
  <si>
    <t>These 10 cells are exactly the ms_input core rows; the joint permutation over the family lives on Tab '7_H3_Spec_Curve'.</t>
  </si>
  <si>
    <t>Why 10 codings rather than the 6 of Annex H?</t>
  </si>
  <si>
    <t>Author ruling H-Q3 superseded Annex H: the factor space follows the committed T2/B3 coding family (10 codings, extracted verbatim from output/T2_results.csv before any H estimate existed) [DEC-045 D1 amendment].</t>
  </si>
  <si>
    <t>Why is dfE/none/full the core cell?</t>
  </si>
  <si>
    <t>It mirrors the pre-registered headline spine (D31.1); outlier treatments, ES-set and df-base variations are robustness axes, not co-equal estimands [S3].</t>
  </si>
  <si>
    <t>Verdict: Mechanical outcome: 10 core contrasts tabulated with CR2/Satterthwaite columns; adjudication deferred to the documented gate-resolution step [DEC-044].</t>
  </si>
  <si>
    <t>TH-c (simulation &amp; permutation family) · H4 - permutation reference for the sup-break statistic</t>
  </si>
  <si>
    <t>Identical permutation list as H5 [H-Q16]; admissible year set fixed at the observed design [H-Q20]; observed sup single-homed in the TH-a workbook Tab 7.</t>
  </si>
  <si>
    <t>p_perm (sup |t|)</t>
  </si>
  <si>
    <t>H4</t>
  </si>
  <si>
    <t>perm_sup</t>
  </si>
  <si>
    <t>admissible-set echo (design)</t>
  </si>
  <si>
    <t>h4_admissible_echo</t>
  </si>
  <si>
    <t>The observed statistic (sup |t| = value in TH_a_results.csv, tabulated in the TH-a workbook Tab '7_H4_Break_Grid') is carried verbatim in the p_perm row note here; this tab reports the reference distribution only (single-home rule).</t>
  </si>
  <si>
    <t>Each replicate recomputes the full 12-year grid on translated windows and takes its supremum - the multiplicity of the year search is thus inside the null distribution.</t>
  </si>
  <si>
    <t>Why B = 500 rather than the Annex-H 2,000?</t>
  </si>
  <si>
    <t>DEC-045 S5 (benchmark-derived): B = 500 with eff_B enforcement (fail share &lt;= 1%) bounds the minimum attainable p at ~0.002 - sufficient for the pre-registered alpha ladder at a quarter of the runtime.</t>
  </si>
  <si>
    <t>Verdict: Mechanical outcome: sup-statistic permutation p and effective replicates tabulated; observed sup single-homed in TH-a; adjudication deferred to the documented gate-resolution step [DEC-044].</t>
  </si>
  <si>
    <t>TH-c (simulation &amp; permutation family) · H5 - permutation inference for the trend-vs-break race statistic</t>
  </si>
  <si>
    <t>Time-translation permutation [H-Q20]; observed |t_race| anchored via F65 gates; point estimate and p_CR2 single-homed in T8 [4a].</t>
  </si>
  <si>
    <t>p_perm (race |t|)</t>
  </si>
  <si>
    <t>H5</t>
  </si>
  <si>
    <t>perm_race</t>
  </si>
  <si>
    <t>T8 race anchor (design)</t>
  </si>
  <si>
    <t>t8_race_anchor</t>
  </si>
  <si>
    <t>The race point estimate and its CR2 p-value have ONE reporting home (T8 workbook) [single-home rule 4a]; this tab adds only the permutation reference; the observed |t_race| is carried verbatim in the row notes.</t>
  </si>
  <si>
    <t>Fixed variance components are prohibited here: each replicate refits the full REML race model so the null distribution replicates the actual test statistic [project pin].</t>
  </si>
  <si>
    <t>Why does H5 permute rather than bootstrap?</t>
  </si>
  <si>
    <t>The estimand is exchangeability of calendar alignment under the null of no time structure; the cluster time-translation design targets exactly that, keeping within-cluster dependence intact [H-Q20].</t>
  </si>
  <si>
    <t>Verdict: Mechanical outcome: race-statistic permutation p and effective replicates tabulated; point estimate single-homed in T8; adjudication deferred to the documented gate-resolution step [DEC-044].</t>
  </si>
  <si>
    <t>metric</t>
  </si>
  <si>
    <t>estimator</t>
  </si>
  <si>
    <t>rho</t>
  </si>
  <si>
    <t>k_study</t>
  </si>
  <si>
    <t>k_cluster</t>
  </si>
  <si>
    <t>t_stat</t>
  </si>
  <si>
    <t>pi_lb_z</t>
  </si>
  <si>
    <t>pi_ub_z</t>
  </si>
  <si>
    <t>pi_lb_r</t>
  </si>
  <si>
    <t>pi_ub_r</t>
  </si>
  <si>
    <t>sigma2_cluster</t>
  </si>
  <si>
    <t>sigma2_study</t>
  </si>
  <si>
    <t>sigma2_esid</t>
  </si>
  <si>
    <t>pct_cluster</t>
  </si>
  <si>
    <t>pct_study</t>
  </si>
  <si>
    <t>pct_esid</t>
  </si>
  <si>
    <t>pct_sampling</t>
  </si>
  <si>
    <t>typical_v</t>
  </si>
  <si>
    <t>ms_input</t>
  </si>
  <si>
    <t>ms_label</t>
  </si>
  <si>
    <t>note</t>
  </si>
  <si>
    <t>count</t>
  </si>
  <si>
    <t>3LMA-RVE_CR2</t>
  </si>
  <si>
    <t>FALSE</t>
  </si>
  <si>
    <t>H1 scenario own_x0.5: fixed VC (cluster/study/esid) = 0.00987277/5.10461e-10/0.00594159 (= T1/A2 components x 0.5); design X = [1, pp_mid] on 2,705/112; CR2/Satterthwaite two-sided alpha=.05, df precomputed y-free; delta enters as noncentral shift of one B=5000 stream [DEC-045/H-Q14/R1]</t>
  </si>
  <si>
    <t>Fisher_z</t>
  </si>
  <si>
    <t>H1 scenario own_x0.5: fixed VC (cluster/study/esid) = 0.00987277/5.10461e-10/0.00594159 (= T1/A2 components x 0.5); design X = [1, pp_mid] on 2,705/112; CR2/Satterthwaite two-sided alpha=.05, df precomputed y-free; delta enters as noncentral shift of one B=5000 stream [DEC-045/H-Q14/R1]; MDE = smallest delta with power &gt;= .80, linear interpolation on the 9-point grid; NA = above grid ceiling 0.08</t>
  </si>
  <si>
    <t>H1 scenario own_x0.5: fixed VC (cluster/study/esid) = 0.00987277/5.10461e-10/0.00594159 (= T1/A2 components x 0.5); design X = [1, pp_mid] on 2,705/112; CR2/Satterthwaite two-sided alpha=.05, df precomputed y-free; delta enters as noncentral shift of one B=5000 stream [DEC-045/H-Q14/R1]; co-reported 90% criterion</t>
  </si>
  <si>
    <t>H1 scenario own_x1.0: fixed VC (cluster/study/esid) = 0.0197455/1.02092e-09/0.0118832 (= T1/A2 components x 1.0); design X = [1, pp_mid] on 2,705/112; CR2/Satterthwaite two-sided alpha=.05, df precomputed y-free; delta enters as noncentral shift of one B=5000 stream [DEC-045/H-Q14/R1]</t>
  </si>
  <si>
    <t>TRUE</t>
  </si>
  <si>
    <t>h1_mde_primary</t>
  </si>
  <si>
    <t>H1 scenario own_x1.0: fixed VC (cluster/study/esid) = 0.0197455/1.02092e-09/0.0118832 (= T1/A2 components x 1.0); design X = [1, pp_mid] on 2,705/112; CR2/Satterthwaite two-sided alpha=.05, df precomputed y-free; delta enters as noncentral shift of one B=5000 stream [DEC-045/H-Q14/R1]; MDE = smallest delta with power &gt;= .80, linear interpolation on the 9-point grid; NA = above grid ceiling 0.08</t>
  </si>
  <si>
    <t>H1 scenario own_x1.0: fixed VC (cluster/study/esid) = 0.0197455/1.02092e-09/0.0118832 (= T1/A2 components x 1.0); design X = [1, pp_mid] on 2,705/112; CR2/Satterthwaite two-sided alpha=.05, df precomputed y-free; delta enters as noncentral shift of one B=5000 stream [DEC-045/H-Q14/R1]; co-reported 90% criterion</t>
  </si>
  <si>
    <t>H1 scenario own_x2.0: fixed VC (cluster/study/esid) = 0.0394911/2.04184e-09/0.0237664 (= T1/A2 components x 2.0); design X = [1, pp_mid] on 2,705/112; CR2/Satterthwaite two-sided alpha=.05, df precomputed y-free; delta enters as noncentral shift of one B=5000 stream [DEC-045/H-Q14/R1]</t>
  </si>
  <si>
    <t>H1 scenario own_x2.0: fixed VC (cluster/study/esid) = 0.0394911/2.04184e-09/0.0237664 (= T1/A2 components x 2.0); design X = [1, pp_mid] on 2,705/112; CR2/Satterthwaite two-sided alpha=.05, df precomputed y-free; delta enters as noncentral shift of one B=5000 stream [DEC-045/H-Q14/R1]; MDE = smallest delta with power &gt;= .80, linear interpolation on the 9-point grid; NA = above grid ceiling 0.08</t>
  </si>
  <si>
    <t>H1 scenario own_x2.0: fixed VC (cluster/study/esid) = 0.0394911/2.04184e-09/0.0237664 (= T1/A2 components x 2.0); design X = [1, pp_mid] on 2,705/112; CR2/Satterthwaite two-sided alpha=.05, df precomputed y-free; delta enters as noncentral shift of one B=5000 stream [DEC-045/H-Q14/R1]; co-reported 90% criterion</t>
  </si>
  <si>
    <t>H1 scenario coe_x0.5: fixed VC (cluster/study/esid) = 0.00013994/7.23543e-12/8.4218e-05 (one-level lower bound: tau2_COE = (0.083/3.92)^2 x 0.5, allocated by T1/A2 proportions [S4]); design X = [1, pp_mid] on 2,705/112; CR2/Satterthwaite two-sided alpha=.05, df precomputed y-free; delta enters as noncentral shift of one B=5000 stream [DEC-045/H-Q14/R1]</t>
  </si>
  <si>
    <t>H1 scenario coe_x0.5: fixed VC (cluster/study/esid) = 0.00013994/7.23543e-12/8.4218e-05 (one-level lower bound: tau2_COE = (0.083/3.92)^2 x 0.5, allocated by T1/A2 proportions [S4]); design X = [1, pp_mid] on 2,705/112; CR2/Satterthwaite two-sided alpha=.05, df precomputed y-free; delta enters as noncentral shift of one B=5000 stream [DEC-045/H-Q14/R1]; MDE = smallest delta with power &gt;= .80, linear interpolation on the 9-point grid; NA = above grid ceiling 0.08</t>
  </si>
  <si>
    <t>H1 scenario coe_x0.5: fixed VC (cluster/study/esid) = 0.00013994/7.23543e-12/8.4218e-05 (one-level lower bound: tau2_COE = (0.083/3.92)^2 x 0.5, allocated by T1/A2 proportions [S4]); design X = [1, pp_mid] on 2,705/112; CR2/Satterthwaite two-sided alpha=.05, df precomputed y-free; delta enters as noncentral shift of one B=5000 stream [DEC-045/H-Q14/R1]; co-reported 90% criterion</t>
  </si>
  <si>
    <t>H1 scenario coe_x1.0: fixed VC (cluster/study/esid) = 0.00027988/1.44709e-11/0.000168436 (one-level lower bound: tau2_COE = (0.083/3.92)^2 x 1.0, allocated by T1/A2 proportions [S4]); design X = [1, pp_mid] on 2,705/112; CR2/Satterthwaite two-sided alpha=.05, df precomputed y-free; delta enters as noncentral shift of one B=5000 stream [DEC-045/H-Q14/R1]</t>
  </si>
  <si>
    <t>H1 scenario coe_x1.0: fixed VC (cluster/study/esid) = 0.00027988/1.44709e-11/0.000168436 (one-level lower bound: tau2_COE = (0.083/3.92)^2 x 1.0, allocated by T1/A2 proportions [S4]); design X = [1, pp_mid] on 2,705/112; CR2/Satterthwaite two-sided alpha=.05, df precomputed y-free; delta enters as noncentral shift of one B=5000 stream [DEC-045/H-Q14/R1]; MDE = smallest delta with power &gt;= .80, linear interpolation on the 9-point grid; NA = above grid ceiling 0.08</t>
  </si>
  <si>
    <t>H1 scenario coe_x1.0: fixed VC (cluster/study/esid) = 0.00027988/1.44709e-11/0.000168436 (one-level lower bound: tau2_COE = (0.083/3.92)^2 x 1.0, allocated by T1/A2 proportions [S4]); design X = [1, pp_mid] on 2,705/112; CR2/Satterthwaite two-sided alpha=.05, df precomputed y-free; delta enters as noncentral shift of one B=5000 stream [DEC-045/H-Q14/R1]; co-reported 90% criterion</t>
  </si>
  <si>
    <t>H1 scenario coe_x2.0: fixed VC (cluster/study/esid) = 0.00055976/2.89417e-11/0.000336872 (one-level lower bound: tau2_COE = (0.083/3.92)^2 x 2.0, allocated by T1/A2 proportions [S4]); design X = [1, pp_mid] on 2,705/112; CR2/Satterthwaite two-sided alpha=.05, df precomputed y-free; delta enters as noncentral shift of one B=5000 stream [DEC-045/H-Q14/R1]</t>
  </si>
  <si>
    <t>H1 scenario coe_x2.0: fixed VC (cluster/study/esid) = 0.00055976/2.89417e-11/0.000336872 (one-level lower bound: tau2_COE = (0.083/3.92)^2 x 2.0, allocated by T1/A2 proportions [S4]); design X = [1, pp_mid] on 2,705/112; CR2/Satterthwaite two-sided alpha=.05, df precomputed y-free; delta enters as noncentral shift of one B=5000 stream [DEC-045/H-Q14/R1]; MDE = smallest delta with power &gt;= .80, linear interpolation on the 9-point grid; NA = above grid ceiling 0.08</t>
  </si>
  <si>
    <t>H1 scenario coe_x2.0: fixed VC (cluster/study/esid) = 0.00055976/2.89417e-11/0.000336872 (one-level lower bound: tau2_COE = (0.083/3.92)^2 x 2.0, allocated by T1/A2 proportions [S4]); design X = [1, pp_mid] on 2,705/112; CR2/Satterthwaite two-sided alpha=.05, df precomputed y-free; delta enters as noncentral shift of one B=5000 stream [DEC-045/H-Q14/R1]; co-reported 90% criterion</t>
  </si>
  <si>
    <t>calibration subset [H-Q14]: 200 full REML (ladder) + CR2/Satt refits at delta = 0.080000 (primary scenario; MDE above grid ceiling -&gt; calibrated at 0.08 (disclosed)); optimism = 0.80 - rejection rate (positive = stream optimistic); n effective = 200/200</t>
  </si>
  <si>
    <t>calibration subset [H-Q14]: 200 full REML (ladder) + CR2/Satt refits at delta = 0.080000 (primary scenario; MDE above grid ceiling -&gt; calibrated at 0.08 (disclosed)); optimism = 0.80 - rejection rate (positive = stream optimistic); reported as a design row [DEC-045]</t>
  </si>
  <si>
    <t>h5_p_perm</t>
  </si>
  <si>
    <t>time-translation permutation [H-Q20]: p = (1 + 200) / (500 + 1); observed |t_race| = 1.052421 (pp_mid coefficient of the T8 race model; point estimate/p_CR2 live in T8 — single-home [4a]); B = 500, exceed count = 200 of 500 effective</t>
  </si>
  <si>
    <t>effective replicates (finite race statistic) of 500; failed replicates dropped from the denominator, share &lt;= 0.01 enforced</t>
  </si>
  <si>
    <t>h4_p_perm</t>
  </si>
  <si>
    <t>time-translation permutation, identical list as H5 [H-Q16/H-Q20]: p = (1 + 170) / (500 + 1); observed sup |t| = 2.122533 (from TH_a_results.csv observed_sup); admissible years fixed at the observed design: 2008, 2009, 2010, 2011, 2012, 2013, 2014, 2015, 2016, 2017, 2018, 2019; exceed count = 170 of 500 effective</t>
  </si>
  <si>
    <t>effective replicates (finite sup statistic) of 500</t>
  </si>
  <si>
    <t>Simonsohn whole-curve statistic 1: share of the 10 core cells with p &lt; .05 (observed); core = B3 coding family x 3LMA-RVE x rho .6 x dfE x outlier none x full set [S3]; per-cell |t|: paris_mid=0.5620, tie_break_median=0.5525, end_any_exposure=0.9270, share_recut_2017=0.4463, share_recut_2018=0.1404, share_recut_2019=0.1846, end_lag1=0.3087, end_lag2=1.5221, end_lag3=0.9796, clean_window=0.7455</t>
  </si>
  <si>
    <t>Simonsohn whole-curve statistic 2: median |t| over the 10 core cells (observed)</t>
  </si>
  <si>
    <t>h3_p_perm_share</t>
  </si>
  <si>
    <t>joint permutation [H-Q15/R3]: ONE cluster time-translation per replicate applied to all 10 core cells (codings re-derived); p = (1 + 500)/(500 + 1)</t>
  </si>
  <si>
    <t>joint permutation, statistic 2; p = (1 + 427)/(500 + 1)</t>
  </si>
  <si>
    <t>effective replicates of 500; mean estimable core cells per replicate = 10.00</t>
  </si>
  <si>
    <t>3LMA-RVE_CR2|r0.4</t>
  </si>
  <si>
    <t>multiverse cell 1/1260: coding=paris_mid, outlier=none, es_set=full, df_basis=dfE, estimator=3LMA-RVE_CR2, rho=0.4 [DEC-045 S2]; descriptive curve cell</t>
  </si>
  <si>
    <t>multiverse cell 2/1260: coding=tie_break_median, outlier=none, es_set=full, df_basis=dfE, estimator=3LMA-RVE_CR2, rho=0.4 [DEC-045 S2]; descriptive curve cell</t>
  </si>
  <si>
    <t>multiverse cell 3/1260: coding=end_any_exposure, outlier=none, es_set=full, df_basis=dfE, estimator=3LMA-RVE_CR2, rho=0.4 [DEC-045 S2]; descriptive curve cell</t>
  </si>
  <si>
    <t>multiverse cell 4/1260: coding=share_recut_2017, outlier=none, es_set=full, df_basis=dfE, estimator=3LMA-RVE_CR2, rho=0.4 [DEC-045 S2]; descriptive curve cell</t>
  </si>
  <si>
    <t>multiverse cell 5/1260: coding=share_recut_2018, outlier=none, es_set=full, df_basis=dfE, estimator=3LMA-RVE_CR2, rho=0.4 [DEC-045 S2]; descriptive curve cell</t>
  </si>
  <si>
    <t>multiverse cell 6/1260: coding=share_recut_2019, outlier=none, es_set=full, df_basis=dfE, estimator=3LMA-RVE_CR2, rho=0.4 [DEC-045 S2]; descriptive curve cell</t>
  </si>
  <si>
    <t>multiverse cell 7/1260: coding=end_lag1, outlier=none, es_set=full, df_basis=dfE, estimator=3LMA-RVE_CR2, rho=0.4 [DEC-045 S2]; descriptive curve cell</t>
  </si>
  <si>
    <t>multiverse cell 8/1260: coding=end_lag2, outlier=none, es_set=full, df_basis=dfE, estimator=3LMA-RVE_CR2, rho=0.4 [DEC-045 S2]; descriptive curve cell</t>
  </si>
  <si>
    <t>multiverse cell 9/1260: coding=end_lag3, outlier=none, es_set=full, df_basis=dfE, estimator=3LMA-RVE_CR2, rho=0.4 [DEC-045 S2]; descriptive curve cell</t>
  </si>
  <si>
    <t>multiverse cell 10/1260: coding=clean_window, outlier=none, es_set=full, df_basis=dfE, estimator=3LMA-RVE_CR2, rho=0.4 [DEC-045 S2]; descriptive curve cell</t>
  </si>
  <si>
    <t>paris_mid|rstudent|full|dfE</t>
  </si>
  <si>
    <t>multiverse cell 11/1260: coding=paris_mid, outlier=rstudent, es_set=full, df_basis=dfE, estimator=3LMA-RVE_CR2, rho=0.4 [DEC-045 S2]; descriptive curve cell</t>
  </si>
  <si>
    <t>tie_break_median|rstudent|full|dfE</t>
  </si>
  <si>
    <t>multiverse cell 12/1260: coding=tie_break_median, outlier=rstudent, es_set=full, df_basis=dfE, estimator=3LMA-RVE_CR2, rho=0.4 [DEC-045 S2]; descriptive curve cell</t>
  </si>
  <si>
    <t>end_any_exposure|rstudent|full|dfE</t>
  </si>
  <si>
    <t>multiverse cell 13/1260: coding=end_any_exposure, outlier=rstudent, es_set=full, df_basis=dfE, estimator=3LMA-RVE_CR2, rho=0.4 [DEC-045 S2]; descriptive curve cell</t>
  </si>
  <si>
    <t>share_recut_2017|rstudent|full|dfE</t>
  </si>
  <si>
    <t>multiverse cell 14/1260: coding=share_recut_2017, outlier=rstudent, es_set=full, df_basis=dfE, estimator=3LMA-RVE_CR2, rho=0.4 [DEC-045 S2]; descriptive curve cell</t>
  </si>
  <si>
    <t>share_recut_2018|rstudent|full|dfE</t>
  </si>
  <si>
    <t>multiverse cell 15/1260: coding=share_recut_2018, outlier=rstudent, es_set=full, df_basis=dfE, estimator=3LMA-RVE_CR2, rho=0.4 [DEC-045 S2]; descriptive curve cell</t>
  </si>
  <si>
    <t>share_recut_2019|rstudent|full|dfE</t>
  </si>
  <si>
    <t>multiverse cell 16/1260: coding=share_recut_2019, outlier=rstudent, es_set=full, df_basis=dfE, estimator=3LMA-RVE_CR2, rho=0.4 [DEC-045 S2]; descriptive curve cell</t>
  </si>
  <si>
    <t>end_lag1|rstudent|full|dfE</t>
  </si>
  <si>
    <t>multiverse cell 17/1260: coding=end_lag1, outlier=rstudent, es_set=full, df_basis=dfE, estimator=3LMA-RVE_CR2, rho=0.4 [DEC-045 S2]; descriptive curve cell</t>
  </si>
  <si>
    <t>end_lag2|rstudent|full|dfE</t>
  </si>
  <si>
    <t>multiverse cell 18/1260: coding=end_lag2, outlier=rstudent, es_set=full, df_basis=dfE, estimator=3LMA-RVE_CR2, rho=0.4 [DEC-045 S2]; descriptive curve cell</t>
  </si>
  <si>
    <t>end_lag3|rstudent|full|dfE</t>
  </si>
  <si>
    <t>multiverse cell 19/1260: coding=end_lag3, outlier=rstudent, es_set=full, df_basis=dfE, estimator=3LMA-RVE_CR2, rho=0.4 [DEC-045 S2]; descriptive curve cell</t>
  </si>
  <si>
    <t>clean_window|rstudent|full|dfE</t>
  </si>
  <si>
    <t>multiverse cell 20/1260: coding=clean_window, outlier=rstudent, es_set=full, df_basis=dfE, estimator=3LMA-RVE_CR2, rho=0.4 [DEC-045 S2]; descriptive curve cell</t>
  </si>
  <si>
    <t>paris_mid|winsor|full|dfE</t>
  </si>
  <si>
    <t>multiverse cell 21/1260: coding=paris_mid, outlier=winsor, es_set=full, df_basis=dfE, estimator=3LMA-RVE_CR2, rho=0.4 [DEC-045 S2]; descriptive curve cell</t>
  </si>
  <si>
    <t>tie_break_median|winsor|full|dfE</t>
  </si>
  <si>
    <t>multiverse cell 22/1260: coding=tie_break_median, outlier=winsor, es_set=full, df_basis=dfE, estimator=3LMA-RVE_CR2, rho=0.4 [DEC-045 S2]; descriptive curve cell</t>
  </si>
  <si>
    <t>end_any_exposure|winsor|full|dfE</t>
  </si>
  <si>
    <t>multiverse cell 23/1260: coding=end_any_exposure, outlier=winsor, es_set=full, df_basis=dfE, estimator=3LMA-RVE_CR2, rho=0.4 [DEC-045 S2]; descriptive curve cell</t>
  </si>
  <si>
    <t>share_recut_2017|winsor|full|dfE</t>
  </si>
  <si>
    <t>multiverse cell 24/1260: coding=share_recut_2017, outlier=winsor, es_set=full, df_basis=dfE, estimator=3LMA-RVE_CR2, rho=0.4 [DEC-045 S2]; descriptive curve cell</t>
  </si>
  <si>
    <t>share_recut_2018|winsor|full|dfE</t>
  </si>
  <si>
    <t>multiverse cell 25/1260: coding=share_recut_2018, outlier=winsor, es_set=full, df_basis=dfE, estimator=3LMA-RVE_CR2, rho=0.4 [DEC-045 S2]; descriptive curve cell</t>
  </si>
  <si>
    <t>share_recut_2019|winsor|full|dfE</t>
  </si>
  <si>
    <t>multiverse cell 26/1260: coding=share_recut_2019, outlier=winsor, es_set=full, df_basis=dfE, estimator=3LMA-RVE_CR2, rho=0.4 [DEC-045 S2]; descriptive curve cell</t>
  </si>
  <si>
    <t>end_lag1|winsor|full|dfE</t>
  </si>
  <si>
    <t>multiverse cell 27/1260: coding=end_lag1, outlier=winsor, es_set=full, df_basis=dfE, estimator=3LMA-RVE_CR2, rho=0.4 [DEC-045 S2]; descriptive curve cell</t>
  </si>
  <si>
    <t>end_lag2|winsor|full|dfE</t>
  </si>
  <si>
    <t>multiverse cell 28/1260: coding=end_lag2, outlier=winsor, es_set=full, df_basis=dfE, estimator=3LMA-RVE_CR2, rho=0.4 [DEC-045 S2]; descriptive curve cell</t>
  </si>
  <si>
    <t>end_lag3|winsor|full|dfE</t>
  </si>
  <si>
    <t>multiverse cell 29/1260: coding=end_lag3, outlier=winsor, es_set=full, df_basis=dfE, estimator=3LMA-RVE_CR2, rho=0.4 [DEC-045 S2]; descriptive curve cell</t>
  </si>
  <si>
    <t>clean_window|winsor|full|dfE</t>
  </si>
  <si>
    <t>multiverse cell 30/1260: coding=clean_window, outlier=winsor, es_set=full, df_basis=dfE, estimator=3LMA-RVE_CR2, rho=0.4 [DEC-045 S2]; descriptive curve cell</t>
  </si>
  <si>
    <t>paris_mid|none|no_starbound|dfE</t>
  </si>
  <si>
    <t>multiverse cell 31/1260: coding=paris_mid, outlier=none, es_set=no_starbound, df_basis=dfE, estimator=3LMA-RVE_CR2, rho=0.4 [DEC-045 S2]; descriptive curve cell</t>
  </si>
  <si>
    <t>tie_break_median|none|no_starbound|dfE</t>
  </si>
  <si>
    <t>multiverse cell 32/1260: coding=tie_break_median, outlier=none, es_set=no_starbound, df_basis=dfE, estimator=3LMA-RVE_CR2, rho=0.4 [DEC-045 S2]; descriptive curve cell</t>
  </si>
  <si>
    <t>end_any_exposure|none|no_starbound|dfE</t>
  </si>
  <si>
    <t>multiverse cell 33/1260: coding=end_any_exposure, outlier=none, es_set=no_starbound, df_basis=dfE, estimator=3LMA-RVE_CR2, rho=0.4 [DEC-045 S2]; descriptive curve cell</t>
  </si>
  <si>
    <t>share_recut_2017|none|no_starbound|dfE</t>
  </si>
  <si>
    <t>multiverse cell 34/1260: coding=share_recut_2017, outlier=none, es_set=no_starbound, df_basis=dfE, estimator=3LMA-RVE_CR2, rho=0.4 [DEC-045 S2]; descriptive curve cell</t>
  </si>
  <si>
    <t>share_recut_2018|none|no_starbound|dfE</t>
  </si>
  <si>
    <t>multiverse cell 35/1260: coding=share_recut_2018, outlier=none, es_set=no_starbound, df_basis=dfE, estimator=3LMA-RVE_CR2, rho=0.4 [DEC-045 S2]; descriptive curve cell</t>
  </si>
  <si>
    <t>share_recut_2019|none|no_starbound|dfE</t>
  </si>
  <si>
    <t>multiverse cell 36/1260: coding=share_recut_2019, outlier=none, es_set=no_starbound, df_basis=dfE, estimator=3LMA-RVE_CR2, rho=0.4 [DEC-045 S2]; descriptive curve cell</t>
  </si>
  <si>
    <t>end_lag1|none|no_starbound|dfE</t>
  </si>
  <si>
    <t>multiverse cell 37/1260: coding=end_lag1, outlier=none, es_set=no_starbound, df_basis=dfE, estimator=3LMA-RVE_CR2, rho=0.4 [DEC-045 S2]; descriptive curve cell</t>
  </si>
  <si>
    <t>end_lag2|none|no_starbound|dfE</t>
  </si>
  <si>
    <t>multiverse cell 38/1260: coding=end_lag2, outlier=none, es_set=no_starbound, df_basis=dfE, estimator=3LMA-RVE_CR2, rho=0.4 [DEC-045 S2]; descriptive curve cell</t>
  </si>
  <si>
    <t>end_lag3|none|no_starbound|dfE</t>
  </si>
  <si>
    <t>multiverse cell 39/1260: coding=end_lag3, outlier=none, es_set=no_starbound, df_basis=dfE, estimator=3LMA-RVE_CR2, rho=0.4 [DEC-045 S2]; descriptive curve cell</t>
  </si>
  <si>
    <t>clean_window|none|no_starbound|dfE</t>
  </si>
  <si>
    <t>multiverse cell 40/1260: coding=clean_window, outlier=none, es_set=no_starbound, df_basis=dfE, estimator=3LMA-RVE_CR2, rho=0.4 [DEC-045 S2]; descriptive curve cell</t>
  </si>
  <si>
    <t>paris_mid|rstudent|no_starbound|dfE</t>
  </si>
  <si>
    <t>multiverse cell 41/1260: coding=paris_mid, outlier=rstudent, es_set=no_starbound, df_basis=dfE, estimator=3LMA-RVE_CR2, rho=0.4 [DEC-045 S2]; descriptive curve cell</t>
  </si>
  <si>
    <t>tie_break_median|rstudent|no_starbound|dfE</t>
  </si>
  <si>
    <t>multiverse cell 42/1260: coding=tie_break_median, outlier=rstudent, es_set=no_starbound, df_basis=dfE, estimator=3LMA-RVE_CR2, rho=0.4 [DEC-045 S2]; descriptive curve cell</t>
  </si>
  <si>
    <t>end_any_exposure|rstudent|no_starbound|dfE</t>
  </si>
  <si>
    <t>multiverse cell 43/1260: coding=end_any_exposure, outlier=rstudent, es_set=no_starbound, df_basis=dfE, estimator=3LMA-RVE_CR2, rho=0.4 [DEC-045 S2]; descriptive curve cell</t>
  </si>
  <si>
    <t>share_recut_2017|rstudent|no_starbound|dfE</t>
  </si>
  <si>
    <t>multiverse cell 44/1260: coding=share_recut_2017, outlier=rstudent, es_set=no_starbound, df_basis=dfE, estimator=3LMA-RVE_CR2, rho=0.4 [DEC-045 S2]; descriptive curve cell</t>
  </si>
  <si>
    <t>share_recut_2018|rstudent|no_starbound|dfE</t>
  </si>
  <si>
    <t>multiverse cell 45/1260: coding=share_recut_2018, outlier=rstudent, es_set=no_starbound, df_basis=dfE, estimator=3LMA-RVE_CR2, rho=0.4 [DEC-045 S2]; descriptive curve cell</t>
  </si>
  <si>
    <t>share_recut_2019|rstudent|no_starbound|dfE</t>
  </si>
  <si>
    <t>multiverse cell 46/1260: coding=share_recut_2019, outlier=rstudent, es_set=no_starbound, df_basis=dfE, estimator=3LMA-RVE_CR2, rho=0.4 [DEC-045 S2]; descriptive curve cell</t>
  </si>
  <si>
    <t>end_lag1|rstudent|no_starbound|dfE</t>
  </si>
  <si>
    <t>multiverse cell 47/1260: coding=end_lag1, outlier=rstudent, es_set=no_starbound, df_basis=dfE, estimator=3LMA-RVE_CR2, rho=0.4 [DEC-045 S2]; descriptive curve cell</t>
  </si>
  <si>
    <t>end_lag2|rstudent|no_starbound|dfE</t>
  </si>
  <si>
    <t>multiverse cell 48/1260: coding=end_lag2, outlier=rstudent, es_set=no_starbound, df_basis=dfE, estimator=3LMA-RVE_CR2, rho=0.4 [DEC-045 S2]; descriptive curve cell</t>
  </si>
  <si>
    <t>end_lag3|rstudent|no_starbound|dfE</t>
  </si>
  <si>
    <t>multiverse cell 49/1260: coding=end_lag3, outlier=rstudent, es_set=no_starbound, df_basis=dfE, estimator=3LMA-RVE_CR2, rho=0.4 [DEC-045 S2]; descriptive curve cell</t>
  </si>
  <si>
    <t>clean_window|rstudent|no_starbound|dfE</t>
  </si>
  <si>
    <t>multiverse cell 50/1260: coding=clean_window, outlier=rstudent, es_set=no_starbound, df_basis=dfE, estimator=3LMA-RVE_CR2, rho=0.4 [DEC-045 S2]; descriptive curve cell</t>
  </si>
  <si>
    <t>paris_mid|winsor|no_starbound|dfE</t>
  </si>
  <si>
    <t>multiverse cell 51/1260: coding=paris_mid, outlier=winsor, es_set=no_starbound, df_basis=dfE, estimator=3LMA-RVE_CR2, rho=0.4 [DEC-045 S2]; descriptive curve cell</t>
  </si>
  <si>
    <t>tie_break_median|winsor|no_starbound|dfE</t>
  </si>
  <si>
    <t>multiverse cell 52/1260: coding=tie_break_median, outlier=winsor, es_set=no_starbound, df_basis=dfE, estimator=3LMA-RVE_CR2, rho=0.4 [DEC-045 S2]; descriptive curve cell</t>
  </si>
  <si>
    <t>end_any_exposure|winsor|no_starbound|dfE</t>
  </si>
  <si>
    <t>multiverse cell 53/1260: coding=end_any_exposure, outlier=winsor, es_set=no_starbound, df_basis=dfE, estimator=3LMA-RVE_CR2, rho=0.4 [DEC-045 S2]; descriptive curve cell</t>
  </si>
  <si>
    <t>share_recut_2017|winsor|no_starbound|dfE</t>
  </si>
  <si>
    <t>multiverse cell 54/1260: coding=share_recut_2017, outlier=winsor, es_set=no_starbound, df_basis=dfE, estimator=3LMA-RVE_CR2, rho=0.4 [DEC-045 S2]; descriptive curve cell</t>
  </si>
  <si>
    <t>share_recut_2018|winsor|no_starbound|dfE</t>
  </si>
  <si>
    <t>multiverse cell 55/1260: coding=share_recut_2018, outlier=winsor, es_set=no_starbound, df_basis=dfE, estimator=3LMA-RVE_CR2, rho=0.4 [DEC-045 S2]; descriptive curve cell</t>
  </si>
  <si>
    <t>share_recut_2019|winsor|no_starbound|dfE</t>
  </si>
  <si>
    <t>multiverse cell 56/1260: coding=share_recut_2019, outlier=winsor, es_set=no_starbound, df_basis=dfE, estimator=3LMA-RVE_CR2, rho=0.4 [DEC-045 S2]; descriptive curve cell</t>
  </si>
  <si>
    <t>end_lag1|winsor|no_starbound|dfE</t>
  </si>
  <si>
    <t>multiverse cell 57/1260: coding=end_lag1, outlier=winsor, es_set=no_starbound, df_basis=dfE, estimator=3LMA-RVE_CR2, rho=0.4 [DEC-045 S2]; descriptive curve cell</t>
  </si>
  <si>
    <t>end_lag2|winsor|no_starbound|dfE</t>
  </si>
  <si>
    <t>multiverse cell 58/1260: coding=end_lag2, outlier=winsor, es_set=no_starbound, df_basis=dfE, estimator=3LMA-RVE_CR2, rho=0.4 [DEC-045 S2]; descriptive curve cell</t>
  </si>
  <si>
    <t>end_lag3|winsor|no_starbound|dfE</t>
  </si>
  <si>
    <t>multiverse cell 59/1260: coding=end_lag3, outlier=winsor, es_set=no_starbound, df_basis=dfE, estimator=3LMA-RVE_CR2, rho=0.4 [DEC-045 S2]; descriptive curve cell</t>
  </si>
  <si>
    <t>clean_window|winsor|no_starbound|dfE</t>
  </si>
  <si>
    <t>multiverse cell 60/1260: coding=clean_window, outlier=winsor, es_set=no_starbound, df_basis=dfE, estimator=3LMA-RVE_CR2, rho=0.4 [DEC-045 S2]; descriptive curve cell</t>
  </si>
  <si>
    <t>paris_mid|none|full|k10</t>
  </si>
  <si>
    <t>multiverse cell 61/1260: coding=paris_mid, outlier=none, es_set=full, df_basis=k10, estimator=3LMA-RVE_CR2, rho=0.4 [DEC-045 S2]; descriptive curve cell</t>
  </si>
  <si>
    <t>tie_break_median|none|full|k10</t>
  </si>
  <si>
    <t>multiverse cell 62/1260: coding=tie_break_median, outlier=none, es_set=full, df_basis=k10, estimator=3LMA-RVE_CR2, rho=0.4 [DEC-045 S2]; descriptive curve cell</t>
  </si>
  <si>
    <t>end_any_exposure|none|full|k10</t>
  </si>
  <si>
    <t>multiverse cell 63/1260: coding=end_any_exposure, outlier=none, es_set=full, df_basis=k10, estimator=3LMA-RVE_CR2, rho=0.4 [DEC-045 S2]; descriptive curve cell</t>
  </si>
  <si>
    <t>share_recut_2017|none|full|k10</t>
  </si>
  <si>
    <t>multiverse cell 64/1260: coding=share_recut_2017, outlier=none, es_set=full, df_basis=k10, estimator=3LMA-RVE_CR2, rho=0.4 [DEC-045 S2]; descriptive curve cell</t>
  </si>
  <si>
    <t>share_recut_2018|none|full|k10</t>
  </si>
  <si>
    <t>multiverse cell 65/1260: coding=share_recut_2018, outlier=none, es_set=full, df_basis=k10, estimator=3LMA-RVE_CR2, rho=0.4 [DEC-045 S2]; descriptive curve cell</t>
  </si>
  <si>
    <t>share_recut_2019|none|full|k10</t>
  </si>
  <si>
    <t>multiverse cell 66/1260: coding=share_recut_2019, outlier=none, es_set=full, df_basis=k10, estimator=3LMA-RVE_CR2, rho=0.4 [DEC-045 S2]; descriptive curve cell</t>
  </si>
  <si>
    <t>end_lag1|none|full|k10</t>
  </si>
  <si>
    <t>multiverse cell 67/1260: coding=end_lag1, outlier=none, es_set=full, df_basis=k10, estimator=3LMA-RVE_CR2, rho=0.4 [DEC-045 S2]; descriptive curve cell</t>
  </si>
  <si>
    <t>end_lag2|none|full|k10</t>
  </si>
  <si>
    <t>multiverse cell 68/1260: coding=end_lag2, outlier=none, es_set=full, df_basis=k10, estimator=3LMA-RVE_CR2, rho=0.4 [DEC-045 S2]; descriptive curve cell</t>
  </si>
  <si>
    <t>end_lag3|none|full|k10</t>
  </si>
  <si>
    <t>multiverse cell 69/1260: coding=end_lag3, outlier=none, es_set=full, df_basis=k10, estimator=3LMA-RVE_CR2, rho=0.4 [DEC-045 S2]; descriptive curve cell</t>
  </si>
  <si>
    <t>clean_window|none|full|k10</t>
  </si>
  <si>
    <t>multiverse cell 70/1260: coding=clean_window, outlier=none, es_set=full, df_basis=k10, estimator=3LMA-RVE_CR2, rho=0.4 [DEC-045 S2]; descriptive curve cell</t>
  </si>
  <si>
    <t>paris_mid|rstudent|full|k10</t>
  </si>
  <si>
    <t>multiverse cell 71/1260: coding=paris_mid, outlier=rstudent, es_set=full, df_basis=k10, estimator=3LMA-RVE_CR2, rho=0.4 [DEC-045 S2]; descriptive curve cell</t>
  </si>
  <si>
    <t>tie_break_median|rstudent|full|k10</t>
  </si>
  <si>
    <t>multiverse cell 72/1260: coding=tie_break_median, outlier=rstudent, es_set=full, df_basis=k10, estimator=3LMA-RVE_CR2, rho=0.4 [DEC-045 S2]; descriptive curve cell</t>
  </si>
  <si>
    <t>end_any_exposure|rstudent|full|k10</t>
  </si>
  <si>
    <t>multiverse cell 73/1260: coding=end_any_exposure, outlier=rstudent, es_set=full, df_basis=k10, estimator=3LMA-RVE_CR2, rho=0.4 [DEC-045 S2]; descriptive curve cell</t>
  </si>
  <si>
    <t>share_recut_2017|rstudent|full|k10</t>
  </si>
  <si>
    <t>multiverse cell 74/1260: coding=share_recut_2017, outlier=rstudent, es_set=full, df_basis=k10, estimator=3LMA-RVE_CR2, rho=0.4 [DEC-045 S2]; descriptive curve cell</t>
  </si>
  <si>
    <t>share_recut_2018|rstudent|full|k10</t>
  </si>
  <si>
    <t>multiverse cell 75/1260: coding=share_recut_2018, outlier=rstudent, es_set=full, df_basis=k10, estimator=3LMA-RVE_CR2, rho=0.4 [DEC-045 S2]; descriptive curve cell</t>
  </si>
  <si>
    <t>share_recut_2019|rstudent|full|k10</t>
  </si>
  <si>
    <t>multiverse cell 76/1260: coding=share_recut_2019, outlier=rstudent, es_set=full, df_basis=k10, estimator=3LMA-RVE_CR2, rho=0.4 [DEC-045 S2]; descriptive curve cell</t>
  </si>
  <si>
    <t>end_lag1|rstudent|full|k10</t>
  </si>
  <si>
    <t>multiverse cell 77/1260: coding=end_lag1, outlier=rstudent, es_set=full, df_basis=k10, estimator=3LMA-RVE_CR2, rho=0.4 [DEC-045 S2]; descriptive curve cell</t>
  </si>
  <si>
    <t>end_lag2|rstudent|full|k10</t>
  </si>
  <si>
    <t>multiverse cell 78/1260: coding=end_lag2, outlier=rstudent, es_set=full, df_basis=k10, estimator=3LMA-RVE_CR2, rho=0.4 [DEC-045 S2]; descriptive curve cell</t>
  </si>
  <si>
    <t>end_lag3|rstudent|full|k10</t>
  </si>
  <si>
    <t>multiverse cell 79/1260: coding=end_lag3, outlier=rstudent, es_set=full, df_basis=k10, estimator=3LMA-RVE_CR2, rho=0.4 [DEC-045 S2]; descriptive curve cell</t>
  </si>
  <si>
    <t>clean_window|rstudent|full|k10</t>
  </si>
  <si>
    <t>multiverse cell 80/1260: coding=clean_window, outlier=rstudent, es_set=full, df_basis=k10, estimator=3LMA-RVE_CR2, rho=0.4 [DEC-045 S2]; descriptive curve cell</t>
  </si>
  <si>
    <t>paris_mid|winsor|full|k10</t>
  </si>
  <si>
    <t>multiverse cell 81/1260: coding=paris_mid, outlier=winsor, es_set=full, df_basis=k10, estimator=3LMA-RVE_CR2, rho=0.4 [DEC-045 S2]; descriptive curve cell</t>
  </si>
  <si>
    <t>tie_break_median|winsor|full|k10</t>
  </si>
  <si>
    <t>multiverse cell 82/1260: coding=tie_break_median, outlier=winsor, es_set=full, df_basis=k10, estimator=3LMA-RVE_CR2, rho=0.4 [DEC-045 S2]; descriptive curve cell</t>
  </si>
  <si>
    <t>end_any_exposure|winsor|full|k10</t>
  </si>
  <si>
    <t>multiverse cell 83/1260: coding=end_any_exposure, outlier=winsor, es_set=full, df_basis=k10, estimator=3LMA-RVE_CR2, rho=0.4 [DEC-045 S2]; descriptive curve cell</t>
  </si>
  <si>
    <t>share_recut_2017|winsor|full|k10</t>
  </si>
  <si>
    <t>multiverse cell 84/1260: coding=share_recut_2017, outlier=winsor, es_set=full, df_basis=k10, estimator=3LMA-RVE_CR2, rho=0.4 [DEC-045 S2]; descriptive curve cell</t>
  </si>
  <si>
    <t>share_recut_2018|winsor|full|k10</t>
  </si>
  <si>
    <t>multiverse cell 85/1260: coding=share_recut_2018, outlier=winsor, es_set=full, df_basis=k10, estimator=3LMA-RVE_CR2, rho=0.4 [DEC-045 S2]; descriptive curve cell</t>
  </si>
  <si>
    <t>share_recut_2019|winsor|full|k10</t>
  </si>
  <si>
    <t>multiverse cell 86/1260: coding=share_recut_2019, outlier=winsor, es_set=full, df_basis=k10, estimator=3LMA-RVE_CR2, rho=0.4 [DEC-045 S2]; descriptive curve cell</t>
  </si>
  <si>
    <t>end_lag1|winsor|full|k10</t>
  </si>
  <si>
    <t>multiverse cell 87/1260: coding=end_lag1, outlier=winsor, es_set=full, df_basis=k10, estimator=3LMA-RVE_CR2, rho=0.4 [DEC-045 S2]; descriptive curve cell</t>
  </si>
  <si>
    <t>end_lag2|winsor|full|k10</t>
  </si>
  <si>
    <t>multiverse cell 88/1260: coding=end_lag2, outlier=winsor, es_set=full, df_basis=k10, estimator=3LMA-RVE_CR2, rho=0.4 [DEC-045 S2]; descriptive curve cell</t>
  </si>
  <si>
    <t>end_lag3|winsor|full|k10</t>
  </si>
  <si>
    <t>multiverse cell 89/1260: coding=end_lag3, outlier=winsor, es_set=full, df_basis=k10, estimator=3LMA-RVE_CR2, rho=0.4 [DEC-045 S2]; descriptive curve cell</t>
  </si>
  <si>
    <t>clean_window|winsor|full|k10</t>
  </si>
  <si>
    <t>multiverse cell 90/1260: coding=clean_window, outlier=winsor, es_set=full, df_basis=k10, estimator=3LMA-RVE_CR2, rho=0.4 [DEC-045 S2]; descriptive curve cell</t>
  </si>
  <si>
    <t>paris_mid|none|no_starbound|k10</t>
  </si>
  <si>
    <t>multiverse cell 91/1260: coding=paris_mid, outlier=none, es_set=no_starbound, df_basis=k10, estimator=3LMA-RVE_CR2, rho=0.4 [DEC-045 S2]; descriptive curve cell</t>
  </si>
  <si>
    <t>tie_break_median|none|no_starbound|k10</t>
  </si>
  <si>
    <t>multiverse cell 92/1260: coding=tie_break_median, outlier=none, es_set=no_starbound, df_basis=k10, estimator=3LMA-RVE_CR2, rho=0.4 [DEC-045 S2]; descriptive curve cell</t>
  </si>
  <si>
    <t>end_any_exposure|none|no_starbound|k10</t>
  </si>
  <si>
    <t>multiverse cell 93/1260: coding=end_any_exposure, outlier=none, es_set=no_starbound, df_basis=k10, estimator=3LMA-RVE_CR2, rho=0.4 [DEC-045 S2]; descriptive curve cell</t>
  </si>
  <si>
    <t>share_recut_2017|none|no_starbound|k10</t>
  </si>
  <si>
    <t>multiverse cell 94/1260: coding=share_recut_2017, outlier=none, es_set=no_starbound, df_basis=k10, estimator=3LMA-RVE_CR2, rho=0.4 [DEC-045 S2]; descriptive curve cell</t>
  </si>
  <si>
    <t>share_recut_2018|none|no_starbound|k10</t>
  </si>
  <si>
    <t>multiverse cell 95/1260: coding=share_recut_2018, outlier=none, es_set=no_starbound, df_basis=k10, estimator=3LMA-RVE_CR2, rho=0.4 [DEC-045 S2]; descriptive curve cell</t>
  </si>
  <si>
    <t>share_recut_2019|none|no_starbound|k10</t>
  </si>
  <si>
    <t>multiverse cell 96/1260: coding=share_recut_2019, outlier=none, es_set=no_starbound, df_basis=k10, estimator=3LMA-RVE_CR2, rho=0.4 [DEC-045 S2]; descriptive curve cell</t>
  </si>
  <si>
    <t>end_lag1|none|no_starbound|k10</t>
  </si>
  <si>
    <t>multiverse cell 97/1260: coding=end_lag1, outlier=none, es_set=no_starbound, df_basis=k10, estimator=3LMA-RVE_CR2, rho=0.4 [DEC-045 S2]; descriptive curve cell</t>
  </si>
  <si>
    <t>end_lag2|none|no_starbound|k10</t>
  </si>
  <si>
    <t>multiverse cell 98/1260: coding=end_lag2, outlier=none, es_set=no_starbound, df_basis=k10, estimator=3LMA-RVE_CR2, rho=0.4 [DEC-045 S2]; descriptive curve cell</t>
  </si>
  <si>
    <t>end_lag3|none|no_starbound|k10</t>
  </si>
  <si>
    <t>multiverse cell 99/1260: coding=end_lag3, outlier=none, es_set=no_starbound, df_basis=k10, estimator=3LMA-RVE_CR2, rho=0.4 [DEC-045 S2]; descriptive curve cell</t>
  </si>
  <si>
    <t>clean_window|none|no_starbound|k10</t>
  </si>
  <si>
    <t>multiverse cell 100/1260: coding=clean_window, outlier=none, es_set=no_starbound, df_basis=k10, estimator=3LMA-RVE_CR2, rho=0.4 [DEC-045 S2]; descriptive curve cell</t>
  </si>
  <si>
    <t>paris_mid|rstudent|no_starbound|k10</t>
  </si>
  <si>
    <t>multiverse cell 101/1260: coding=paris_mid, outlier=rstudent, es_set=no_starbound, df_basis=k10, estimator=3LMA-RVE_CR2, rho=0.4 [DEC-045 S2]; descriptive curve cell</t>
  </si>
  <si>
    <t>tie_break_median|rstudent|no_starbound|k10</t>
  </si>
  <si>
    <t>multiverse cell 102/1260: coding=tie_break_median, outlier=rstudent, es_set=no_starbound, df_basis=k10, estimator=3LMA-RVE_CR2, rho=0.4 [DEC-045 S2]; descriptive curve cell</t>
  </si>
  <si>
    <t>end_any_exposure|rstudent|no_starbound|k10</t>
  </si>
  <si>
    <t>multiverse cell 103/1260: coding=end_any_exposure, outlier=rstudent, es_set=no_starbound, df_basis=k10, estimator=3LMA-RVE_CR2, rho=0.4 [DEC-045 S2]; descriptive curve cell</t>
  </si>
  <si>
    <t>share_recut_2017|rstudent|no_starbound|k10</t>
  </si>
  <si>
    <t>multiverse cell 104/1260: coding=share_recut_2017, outlier=rstudent, es_set=no_starbound, df_basis=k10, estimator=3LMA-RVE_CR2, rho=0.4 [DEC-045 S2]; descriptive curve cell</t>
  </si>
  <si>
    <t>share_recut_2018|rstudent|no_starbound|k10</t>
  </si>
  <si>
    <t>multiverse cell 105/1260: coding=share_recut_2018, outlier=rstudent, es_set=no_starbound, df_basis=k10, estimator=3LMA-RVE_CR2, rho=0.4 [DEC-045 S2]; descriptive curve cell</t>
  </si>
  <si>
    <t>share_recut_2019|rstudent|no_starbound|k10</t>
  </si>
  <si>
    <t>multiverse cell 106/1260: coding=share_recut_2019, outlier=rstudent, es_set=no_starbound, df_basis=k10, estimator=3LMA-RVE_CR2, rho=0.4 [DEC-045 S2]; descriptive curve cell</t>
  </si>
  <si>
    <t>end_lag1|rstudent|no_starbound|k10</t>
  </si>
  <si>
    <t>multiverse cell 107/1260: coding=end_lag1, outlier=rstudent, es_set=no_starbound, df_basis=k10, estimator=3LMA-RVE_CR2, rho=0.4 [DEC-045 S2]; descriptive curve cell</t>
  </si>
  <si>
    <t>end_lag2|rstudent|no_starbound|k10</t>
  </si>
  <si>
    <t>multiverse cell 108/1260: coding=end_lag2, outlier=rstudent, es_set=no_starbound, df_basis=k10, estimator=3LMA-RVE_CR2, rho=0.4 [DEC-045 S2]; descriptive curve cell</t>
  </si>
  <si>
    <t>end_lag3|rstudent|no_starbound|k10</t>
  </si>
  <si>
    <t>multiverse cell 109/1260: coding=end_lag3, outlier=rstudent, es_set=no_starbound, df_basis=k10, estimator=3LMA-RVE_CR2, rho=0.4 [DEC-045 S2]; descriptive curve cell</t>
  </si>
  <si>
    <t>clean_window|rstudent|no_starbound|k10</t>
  </si>
  <si>
    <t>multiverse cell 110/1260: coding=clean_window, outlier=rstudent, es_set=no_starbound, df_basis=k10, estimator=3LMA-RVE_CR2, rho=0.4 [DEC-045 S2]; descriptive curve cell</t>
  </si>
  <si>
    <t>paris_mid|winsor|no_starbound|k10</t>
  </si>
  <si>
    <t>multiverse cell 111/1260: coding=paris_mid, outlier=winsor, es_set=no_starbound, df_basis=k10, estimator=3LMA-RVE_CR2, rho=0.4 [DEC-045 S2]; descriptive curve cell</t>
  </si>
  <si>
    <t>tie_break_median|winsor|no_starbound|k10</t>
  </si>
  <si>
    <t>multiverse cell 112/1260: coding=tie_break_median, outlier=winsor, es_set=no_starbound, df_basis=k10, estimator=3LMA-RVE_CR2, rho=0.4 [DEC-045 S2]; descriptive curve cell</t>
  </si>
  <si>
    <t>end_any_exposure|winsor|no_starbound|k10</t>
  </si>
  <si>
    <t>multiverse cell 113/1260: coding=end_any_exposure, outlier=winsor, es_set=no_starbound, df_basis=k10, estimator=3LMA-RVE_CR2, rho=0.4 [DEC-045 S2]; descriptive curve cell</t>
  </si>
  <si>
    <t>share_recut_2017|winsor|no_starbound|k10</t>
  </si>
  <si>
    <t>multiverse cell 114/1260: coding=share_recut_2017, outlier=winsor, es_set=no_starbound, df_basis=k10, estimator=3LMA-RVE_CR2, rho=0.4 [DEC-045 S2]; descriptive curve cell</t>
  </si>
  <si>
    <t>share_recut_2018|winsor|no_starbound|k10</t>
  </si>
  <si>
    <t>multiverse cell 115/1260: coding=share_recut_2018, outlier=winsor, es_set=no_starbound, df_basis=k10, estimator=3LMA-RVE_CR2, rho=0.4 [DEC-045 S2]; descriptive curve cell</t>
  </si>
  <si>
    <t>share_recut_2019|winsor|no_starbound|k10</t>
  </si>
  <si>
    <t>multiverse cell 116/1260: coding=share_recut_2019, outlier=winsor, es_set=no_starbound, df_basis=k10, estimator=3LMA-RVE_CR2, rho=0.4 [DEC-045 S2]; descriptive curve cell</t>
  </si>
  <si>
    <t>end_lag1|winsor|no_starbound|k10</t>
  </si>
  <si>
    <t>multiverse cell 117/1260: coding=end_lag1, outlier=winsor, es_set=no_starbound, df_basis=k10, estimator=3LMA-RVE_CR2, rho=0.4 [DEC-045 S2]; descriptive curve cell</t>
  </si>
  <si>
    <t>end_lag2|winsor|no_starbound|k10</t>
  </si>
  <si>
    <t>multiverse cell 118/1260: coding=end_lag2, outlier=winsor, es_set=no_starbound, df_basis=k10, estimator=3LMA-RVE_CR2, rho=0.4 [DEC-045 S2]; descriptive curve cell</t>
  </si>
  <si>
    <t>end_lag3|winsor|no_starbound|k10</t>
  </si>
  <si>
    <t>multiverse cell 119/1260: coding=end_lag3, outlier=winsor, es_set=no_starbound, df_basis=k10, estimator=3LMA-RVE_CR2, rho=0.4 [DEC-045 S2]; descriptive curve cell</t>
  </si>
  <si>
    <t>clean_window|winsor|no_starbound|k10</t>
  </si>
  <si>
    <t>multiverse cell 120/1260: coding=clean_window, outlier=winsor, es_set=no_starbound, df_basis=k10, estimator=3LMA-RVE_CR2, rho=0.4 [DEC-045 S2]; descriptive curve cell</t>
  </si>
  <si>
    <t>paris_mid|none|full|k20</t>
  </si>
  <si>
    <t>multiverse cell 121/1260: coding=paris_mid, outlier=none, es_set=full, df_basis=k20, estimator=3LMA-RVE_CR2, rho=0.4 [DEC-045 S2]; descriptive curve cell</t>
  </si>
  <si>
    <t>tie_break_median|none|full|k20</t>
  </si>
  <si>
    <t>multiverse cell 122/1260: coding=tie_break_median, outlier=none, es_set=full, df_basis=k20, estimator=3LMA-RVE_CR2, rho=0.4 [DEC-045 S2]; descriptive curve cell</t>
  </si>
  <si>
    <t>end_any_exposure|none|full|k20</t>
  </si>
  <si>
    <t>multiverse cell 123/1260: coding=end_any_exposure, outlier=none, es_set=full, df_basis=k20, estimator=3LMA-RVE_CR2, rho=0.4 [DEC-045 S2]; descriptive curve cell</t>
  </si>
  <si>
    <t>share_recut_2017|none|full|k20</t>
  </si>
  <si>
    <t>multiverse cell 124/1260: coding=share_recut_2017, outlier=none, es_set=full, df_basis=k20, estimator=3LMA-RVE_CR2, rho=0.4 [DEC-045 S2]; descriptive curve cell</t>
  </si>
  <si>
    <t>share_recut_2018|none|full|k20</t>
  </si>
  <si>
    <t>multiverse cell 125/1260: coding=share_recut_2018, outlier=none, es_set=full, df_basis=k20, estimator=3LMA-RVE_CR2, rho=0.4 [DEC-045 S2]; descriptive curve cell</t>
  </si>
  <si>
    <t>share_recut_2019|none|full|k20</t>
  </si>
  <si>
    <t>multiverse cell 126/1260: coding=share_recut_2019, outlier=none, es_set=full, df_basis=k20, estimator=3LMA-RVE_CR2, rho=0.4 [DEC-045 S2]; descriptive curve cell</t>
  </si>
  <si>
    <t>end_lag1|none|full|k20</t>
  </si>
  <si>
    <t>multiverse cell 127/1260: coding=end_lag1, outlier=none, es_set=full, df_basis=k20, estimator=3LMA-RVE_CR2, rho=0.4 [DEC-045 S2]; descriptive curve cell</t>
  </si>
  <si>
    <t>end_lag2|none|full|k20</t>
  </si>
  <si>
    <t>multiverse cell 128/1260: coding=end_lag2, outlier=none, es_set=full, df_basis=k20, estimator=3LMA-RVE_CR2, rho=0.4 [DEC-045 S2]; descriptive curve cell</t>
  </si>
  <si>
    <t>end_lag3|none|full|k20</t>
  </si>
  <si>
    <t>multiverse cell 129/1260: coding=end_lag3, outlier=none, es_set=full, df_basis=k20, estimator=3LMA-RVE_CR2, rho=0.4 [DEC-045 S2]; descriptive curve cell</t>
  </si>
  <si>
    <t>clean_window|none|full|k20</t>
  </si>
  <si>
    <t>multiverse cell 130/1260: coding=clean_window, outlier=none, es_set=full, df_basis=k20, estimator=3LMA-RVE_CR2, rho=0.4 [DEC-045 S2]; descriptive curve cell</t>
  </si>
  <si>
    <t>paris_mid|rstudent|full|k20</t>
  </si>
  <si>
    <t>multiverse cell 131/1260: coding=paris_mid, outlier=rstudent, es_set=full, df_basis=k20, estimator=3LMA-RVE_CR2, rho=0.4 [DEC-045 S2]; descriptive curve cell</t>
  </si>
  <si>
    <t>tie_break_median|rstudent|full|k20</t>
  </si>
  <si>
    <t>multiverse cell 132/1260: coding=tie_break_median, outlier=rstudent, es_set=full, df_basis=k20, estimator=3LMA-RVE_CR2, rho=0.4 [DEC-045 S2]; descriptive curve cell</t>
  </si>
  <si>
    <t>end_any_exposure|rstudent|full|k20</t>
  </si>
  <si>
    <t>multiverse cell 133/1260: coding=end_any_exposure, outlier=rstudent, es_set=full, df_basis=k20, estimator=3LMA-RVE_CR2, rho=0.4 [DEC-045 S2]; descriptive curve cell</t>
  </si>
  <si>
    <t>share_recut_2017|rstudent|full|k20</t>
  </si>
  <si>
    <t>multiverse cell 134/1260: coding=share_recut_2017, outlier=rstudent, es_set=full, df_basis=k20, estimator=3LMA-RVE_CR2, rho=0.4 [DEC-045 S2]; descriptive curve cell</t>
  </si>
  <si>
    <t>share_recut_2018|rstudent|full|k20</t>
  </si>
  <si>
    <t>multiverse cell 135/1260: coding=share_recut_2018, outlier=rstudent, es_set=full, df_basis=k20, estimator=3LMA-RVE_CR2, rho=0.4 [DEC-045 S2]; descriptive curve cell</t>
  </si>
  <si>
    <t>share_recut_2019|rstudent|full|k20</t>
  </si>
  <si>
    <t>multiverse cell 136/1260: coding=share_recut_2019, outlier=rstudent, es_set=full, df_basis=k20, estimator=3LMA-RVE_CR2, rho=0.4 [DEC-045 S2]; descriptive curve cell</t>
  </si>
  <si>
    <t>end_lag1|rstudent|full|k20</t>
  </si>
  <si>
    <t>multiverse cell 137/1260: coding=end_lag1, outlier=rstudent, es_set=full, df_basis=k20, estimator=3LMA-RVE_CR2, rho=0.4 [DEC-045 S2]; descriptive curve cell</t>
  </si>
  <si>
    <t>end_lag2|rstudent|full|k20</t>
  </si>
  <si>
    <t>multiverse cell 138/1260: coding=end_lag2, outlier=rstudent, es_set=full, df_basis=k20, estimator=3LMA-RVE_CR2, rho=0.4 [DEC-045 S2]; descriptive curve cell</t>
  </si>
  <si>
    <t>end_lag3|rstudent|full|k20</t>
  </si>
  <si>
    <t>multiverse cell 139/1260: coding=end_lag3, outlier=rstudent, es_set=full, df_basis=k20, estimator=3LMA-RVE_CR2, rho=0.4 [DEC-045 S2]; descriptive curve cell</t>
  </si>
  <si>
    <t>clean_window|rstudent|full|k20</t>
  </si>
  <si>
    <t>multiverse cell 140/1260: coding=clean_window, outlier=rstudent, es_set=full, df_basis=k20, estimator=3LMA-RVE_CR2, rho=0.4 [DEC-045 S2]; descriptive curve cell</t>
  </si>
  <si>
    <t>paris_mid|winsor|full|k20</t>
  </si>
  <si>
    <t>multiverse cell 141/1260: coding=paris_mid, outlier=winsor, es_set=full, df_basis=k20, estimator=3LMA-RVE_CR2, rho=0.4 [DEC-045 S2]; descriptive curve cell</t>
  </si>
  <si>
    <t>tie_break_median|winsor|full|k20</t>
  </si>
  <si>
    <t>multiverse cell 142/1260: coding=tie_break_median, outlier=winsor, es_set=full, df_basis=k20, estimator=3LMA-RVE_CR2, rho=0.4 [DEC-045 S2]; descriptive curve cell</t>
  </si>
  <si>
    <t>end_any_exposure|winsor|full|k20</t>
  </si>
  <si>
    <t>multiverse cell 143/1260: coding=end_any_exposure, outlier=winsor, es_set=full, df_basis=k20, estimator=3LMA-RVE_CR2, rho=0.4 [DEC-045 S2]; descriptive curve cell</t>
  </si>
  <si>
    <t>share_recut_2017|winsor|full|k20</t>
  </si>
  <si>
    <t>multiverse cell 144/1260: coding=share_recut_2017, outlier=winsor, es_set=full, df_basis=k20, estimator=3LMA-RVE_CR2, rho=0.4 [DEC-045 S2]; descriptive curve cell</t>
  </si>
  <si>
    <t>share_recut_2018|winsor|full|k20</t>
  </si>
  <si>
    <t>multiverse cell 145/1260: coding=share_recut_2018, outlier=winsor, es_set=full, df_basis=k20, estimator=3LMA-RVE_CR2, rho=0.4 [DEC-045 S2]; descriptive curve cell</t>
  </si>
  <si>
    <t>share_recut_2019|winsor|full|k20</t>
  </si>
  <si>
    <t>multiverse cell 146/1260: coding=share_recut_2019, outlier=winsor, es_set=full, df_basis=k20, estimator=3LMA-RVE_CR2, rho=0.4 [DEC-045 S2]; descriptive curve cell</t>
  </si>
  <si>
    <t>end_lag1|winsor|full|k20</t>
  </si>
  <si>
    <t>multiverse cell 147/1260: coding=end_lag1, outlier=winsor, es_set=full, df_basis=k20, estimator=3LMA-RVE_CR2, rho=0.4 [DEC-045 S2]; descriptive curve cell</t>
  </si>
  <si>
    <t>end_lag2|winsor|full|k20</t>
  </si>
  <si>
    <t>multiverse cell 148/1260: coding=end_lag2, outlier=winsor, es_set=full, df_basis=k20, estimator=3LMA-RVE_CR2, rho=0.4 [DEC-045 S2]; descriptive curve cell</t>
  </si>
  <si>
    <t>end_lag3|winsor|full|k20</t>
  </si>
  <si>
    <t>multiverse cell 149/1260: coding=end_lag3, outlier=winsor, es_set=full, df_basis=k20, estimator=3LMA-RVE_CR2, rho=0.4 [DEC-045 S2]; descriptive curve cell</t>
  </si>
  <si>
    <t>clean_window|winsor|full|k20</t>
  </si>
  <si>
    <t>multiverse cell 150/1260: coding=clean_window, outlier=winsor, es_set=full, df_basis=k20, estimator=3LMA-RVE_CR2, rho=0.4 [DEC-045 S2]; descriptive curve cell</t>
  </si>
  <si>
    <t>paris_mid|none|no_starbound|k20</t>
  </si>
  <si>
    <t>multiverse cell 151/1260: coding=paris_mid, outlier=none, es_set=no_starbound, df_basis=k20, estimator=3LMA-RVE_CR2, rho=0.4 [DEC-045 S2]; descriptive curve cell</t>
  </si>
  <si>
    <t>tie_break_median|none|no_starbound|k20</t>
  </si>
  <si>
    <t>multiverse cell 152/1260: coding=tie_break_median, outlier=none, es_set=no_starbound, df_basis=k20, estimator=3LMA-RVE_CR2, rho=0.4 [DEC-045 S2]; descriptive curve cell</t>
  </si>
  <si>
    <t>end_any_exposure|none|no_starbound|k20</t>
  </si>
  <si>
    <t>multiverse cell 153/1260: coding=end_any_exposure, outlier=none, es_set=no_starbound, df_basis=k20, estimator=3LMA-RVE_CR2, rho=0.4 [DEC-045 S2]; descriptive curve cell</t>
  </si>
  <si>
    <t>share_recut_2017|none|no_starbound|k20</t>
  </si>
  <si>
    <t>multiverse cell 154/1260: coding=share_recut_2017, outlier=none, es_set=no_starbound, df_basis=k20, estimator=3LMA-RVE_CR2, rho=0.4 [DEC-045 S2]; descriptive curve cell</t>
  </si>
  <si>
    <t>share_recut_2018|none|no_starbound|k20</t>
  </si>
  <si>
    <t>multiverse cell 155/1260: coding=share_recut_2018, outlier=none, es_set=no_starbound, df_basis=k20, estimator=3LMA-RVE_CR2, rho=0.4 [DEC-045 S2]; descriptive curve cell</t>
  </si>
  <si>
    <t>share_recut_2019|none|no_starbound|k20</t>
  </si>
  <si>
    <t>multiverse cell 156/1260: coding=share_recut_2019, outlier=none, es_set=no_starbound, df_basis=k20, estimator=3LMA-RVE_CR2, rho=0.4 [DEC-045 S2]; descriptive curve cell</t>
  </si>
  <si>
    <t>end_lag1|none|no_starbound|k20</t>
  </si>
  <si>
    <t>multiverse cell 157/1260: coding=end_lag1, outlier=none, es_set=no_starbound, df_basis=k20, estimator=3LMA-RVE_CR2, rho=0.4 [DEC-045 S2]; descriptive curve cell</t>
  </si>
  <si>
    <t>end_lag2|none|no_starbound|k20</t>
  </si>
  <si>
    <t>multiverse cell 158/1260: coding=end_lag2, outlier=none, es_set=no_starbound, df_basis=k20, estimator=3LMA-RVE_CR2, rho=0.4 [DEC-045 S2]; descriptive curve cell</t>
  </si>
  <si>
    <t>end_lag3|none|no_starbound|k20</t>
  </si>
  <si>
    <t>multiverse cell 159/1260: coding=end_lag3, outlier=none, es_set=no_starbound, df_basis=k20, estimator=3LMA-RVE_CR2, rho=0.4 [DEC-045 S2]; descriptive curve cell</t>
  </si>
  <si>
    <t>clean_window|none|no_starbound|k20</t>
  </si>
  <si>
    <t>multiverse cell 160/1260: coding=clean_window, outlier=none, es_set=no_starbound, df_basis=k20, estimator=3LMA-RVE_CR2, rho=0.4 [DEC-045 S2]; descriptive curve cell</t>
  </si>
  <si>
    <t>paris_mid|rstudent|no_starbound|k20</t>
  </si>
  <si>
    <t>multiverse cell 161/1260: coding=paris_mid, outlier=rstudent, es_set=no_starbound, df_basis=k20, estimator=3LMA-RVE_CR2, rho=0.4 [DEC-045 S2]; descriptive curve cell</t>
  </si>
  <si>
    <t>tie_break_median|rstudent|no_starbound|k20</t>
  </si>
  <si>
    <t>multiverse cell 162/1260: coding=tie_break_median, outlier=rstudent, es_set=no_starbound, df_basis=k20, estimator=3LMA-RVE_CR2, rho=0.4 [DEC-045 S2]; descriptive curve cell</t>
  </si>
  <si>
    <t>end_any_exposure|rstudent|no_starbound|k20</t>
  </si>
  <si>
    <t>multiverse cell 163/1260: coding=end_any_exposure, outlier=rstudent, es_set=no_starbound, df_basis=k20, estimator=3LMA-RVE_CR2, rho=0.4 [DEC-045 S2]; descriptive curve cell</t>
  </si>
  <si>
    <t>share_recut_2017|rstudent|no_starbound|k20</t>
  </si>
  <si>
    <t>multiverse cell 164/1260: coding=share_recut_2017, outlier=rstudent, es_set=no_starbound, df_basis=k20, estimator=3LMA-RVE_CR2, rho=0.4 [DEC-045 S2]; descriptive curve cell</t>
  </si>
  <si>
    <t>share_recut_2018|rstudent|no_starbound|k20</t>
  </si>
  <si>
    <t>multiverse cell 165/1260: coding=share_recut_2018, outlier=rstudent, es_set=no_starbound, df_basis=k20, estimator=3LMA-RVE_CR2, rho=0.4 [DEC-045 S2]; descriptive curve cell</t>
  </si>
  <si>
    <t>share_recut_2019|rstudent|no_starbound|k20</t>
  </si>
  <si>
    <t>multiverse cell 166/1260: coding=share_recut_2019, outlier=rstudent, es_set=no_starbound, df_basis=k20, estimator=3LMA-RVE_CR2, rho=0.4 [DEC-045 S2]; descriptive curve cell</t>
  </si>
  <si>
    <t>end_lag1|rstudent|no_starbound|k20</t>
  </si>
  <si>
    <t>multiverse cell 167/1260: coding=end_lag1, outlier=rstudent, es_set=no_starbound, df_basis=k20, estimator=3LMA-RVE_CR2, rho=0.4 [DEC-045 S2]; descriptive curve cell</t>
  </si>
  <si>
    <t>end_lag2|rstudent|no_starbound|k20</t>
  </si>
  <si>
    <t>multiverse cell 168/1260: coding=end_lag2, outlier=rstudent, es_set=no_starbound, df_basis=k20, estimator=3LMA-RVE_CR2, rho=0.4 [DEC-045 S2]; descriptive curve cell</t>
  </si>
  <si>
    <t>end_lag3|rstudent|no_starbound|k20</t>
  </si>
  <si>
    <t>multiverse cell 169/1260: coding=end_lag3, outlier=rstudent, es_set=no_starbound, df_basis=k20, estimator=3LMA-RVE_CR2, rho=0.4 [DEC-045 S2]; descriptive curve cell</t>
  </si>
  <si>
    <t>clean_window|rstudent|no_starbound|k20</t>
  </si>
  <si>
    <t>multiverse cell 170/1260: coding=clean_window, outlier=rstudent, es_set=no_starbound, df_basis=k20, estimator=3LMA-RVE_CR2, rho=0.4 [DEC-045 S2]; descriptive curve cell</t>
  </si>
  <si>
    <t>paris_mid|winsor|no_starbound|k20</t>
  </si>
  <si>
    <t>multiverse cell 171/1260: coding=paris_mid, outlier=winsor, es_set=no_starbound, df_basis=k20, estimator=3LMA-RVE_CR2, rho=0.4 [DEC-045 S2]; descriptive curve cell</t>
  </si>
  <si>
    <t>tie_break_median|winsor|no_starbound|k20</t>
  </si>
  <si>
    <t>multiverse cell 172/1260: coding=tie_break_median, outlier=winsor, es_set=no_starbound, df_basis=k20, estimator=3LMA-RVE_CR2, rho=0.4 [DEC-045 S2]; descriptive curve cell</t>
  </si>
  <si>
    <t>end_any_exposure|winsor|no_starbound|k20</t>
  </si>
  <si>
    <t>multiverse cell 173/1260: coding=end_any_exposure, outlier=winsor, es_set=no_starbound, df_basis=k20, estimator=3LMA-RVE_CR2, rho=0.4 [DEC-045 S2]; descriptive curve cell</t>
  </si>
  <si>
    <t>share_recut_2017|winsor|no_starbound|k20</t>
  </si>
  <si>
    <t>multiverse cell 174/1260: coding=share_recut_2017, outlier=winsor, es_set=no_starbound, df_basis=k20, estimator=3LMA-RVE_CR2, rho=0.4 [DEC-045 S2]; descriptive curve cell</t>
  </si>
  <si>
    <t>share_recut_2018|winsor|no_starbound|k20</t>
  </si>
  <si>
    <t>multiverse cell 175/1260: coding=share_recut_2018, outlier=winsor, es_set=no_starbound, df_basis=k20, estimator=3LMA-RVE_CR2, rho=0.4 [DEC-045 S2]; descriptive curve cell</t>
  </si>
  <si>
    <t>share_recut_2019|winsor|no_starbound|k20</t>
  </si>
  <si>
    <t>multiverse cell 176/1260: coding=share_recut_2019, outlier=winsor, es_set=no_starbound, df_basis=k20, estimator=3LMA-RVE_CR2, rho=0.4 [DEC-045 S2]; descriptive curve cell</t>
  </si>
  <si>
    <t>end_lag1|winsor|no_starbound|k20</t>
  </si>
  <si>
    <t>multiverse cell 177/1260: coding=end_lag1, outlier=winsor, es_set=no_starbound, df_basis=k20, estimator=3LMA-RVE_CR2, rho=0.4 [DEC-045 S2]; descriptive curve cell</t>
  </si>
  <si>
    <t>end_lag2|winsor|no_starbound|k20</t>
  </si>
  <si>
    <t>multiverse cell 178/1260: coding=end_lag2, outlier=winsor, es_set=no_starbound, df_basis=k20, estimator=3LMA-RVE_CR2, rho=0.4 [DEC-045 S2]; descriptive curve cell</t>
  </si>
  <si>
    <t>end_lag3|winsor|no_starbound|k20</t>
  </si>
  <si>
    <t>multiverse cell 179/1260: coding=end_lag3, outlier=winsor, es_set=no_starbound, df_basis=k20, estimator=3LMA-RVE_CR2, rho=0.4 [DEC-045 S2]; descriptive curve cell</t>
  </si>
  <si>
    <t>clean_window|winsor|no_starbound|k20</t>
  </si>
  <si>
    <t>multiverse cell 180/1260: coding=clean_window, outlier=winsor, es_set=no_starbound, df_basis=k20, estimator=3LMA-RVE_CR2, rho=0.4 [DEC-045 S2]; descriptive curve cell</t>
  </si>
  <si>
    <t>one_per_cluster|r0.4</t>
  </si>
  <si>
    <t>one_per_cluster</t>
  </si>
  <si>
    <t>multiverse cell 181/1260: coding=paris_mid, outlier=none, es_set=full, df_basis=dfE, estimator=one_per_cluster, rho=0.4 [DEC-045 S2]; cluster x cell aggregates (D2/H2b convention)</t>
  </si>
  <si>
    <t>multiverse cell 182/1260: coding=tie_break_median, outlier=none, es_set=full, df_basis=dfE, estimator=one_per_cluster, rho=0.4 [DEC-045 S2]; cluster x cell aggregates (D2/H2b convention)</t>
  </si>
  <si>
    <t>multiverse cell 183/1260: coding=end_any_exposure, outlier=none, es_set=full, df_basis=dfE, estimator=one_per_cluster, rho=0.4 [DEC-045 S2]; cluster x cell aggregates (D2/H2b convention)</t>
  </si>
  <si>
    <t>multiverse cell 184/1260: coding=share_recut_2017, outlier=none, es_set=full, df_basis=dfE, estimator=one_per_cluster, rho=0.4 [DEC-045 S2]; cluster x cell aggregates (D2/H2b convention)</t>
  </si>
  <si>
    <t>multiverse cell 185/1260: coding=share_recut_2018, outlier=none, es_set=full, df_basis=dfE, estimator=one_per_cluster, rho=0.4 [DEC-045 S2]; cluster x cell aggregates (D2/H2b convention)</t>
  </si>
  <si>
    <t>multiverse cell 186/1260: coding=share_recut_2019, outlier=none, es_set=full, df_basis=dfE, estimator=one_per_cluster, rho=0.4 [DEC-045 S2]; cluster x cell aggregates (D2/H2b convention)</t>
  </si>
  <si>
    <t>multiverse cell 187/1260: coding=end_lag1, outlier=none, es_set=full, df_basis=dfE, estimator=one_per_cluster, rho=0.4 [DEC-045 S2]; cluster x cell aggregates (D2/H2b convention)</t>
  </si>
  <si>
    <t>multiverse cell 188/1260: coding=end_lag2, outlier=none, es_set=full, df_basis=dfE, estimator=one_per_cluster, rho=0.4 [DEC-045 S2]; cluster x cell aggregates (D2/H2b convention)</t>
  </si>
  <si>
    <t>multiverse cell 189/1260: coding=end_lag3, outlier=none, es_set=full, df_basis=dfE, estimator=one_per_cluster, rho=0.4 [DEC-045 S2]; cluster x cell aggregates (D2/H2b convention)</t>
  </si>
  <si>
    <t>multiverse cell 190/1260: coding=clean_window, outlier=none, es_set=full, df_basis=dfE, estimator=one_per_cluster, rho=0.4 [DEC-045 S2]; cluster x cell aggregates (D2/H2b convention)</t>
  </si>
  <si>
    <t>multiverse cell 191/1260: coding=paris_mid, outlier=rstudent, es_set=full, df_basis=dfE, estimator=one_per_cluster, rho=0.4 [DEC-045 S2]; cluster x cell aggregates (D2/H2b convention)</t>
  </si>
  <si>
    <t>multiverse cell 192/1260: coding=tie_break_median, outlier=rstudent, es_set=full, df_basis=dfE, estimator=one_per_cluster, rho=0.4 [DEC-045 S2]; cluster x cell aggregates (D2/H2b convention)</t>
  </si>
  <si>
    <t>multiverse cell 193/1260: coding=end_any_exposure, outlier=rstudent, es_set=full, df_basis=dfE, estimator=one_per_cluster, rho=0.4 [DEC-045 S2]; cluster x cell aggregates (D2/H2b convention)</t>
  </si>
  <si>
    <t>multiverse cell 194/1260: coding=share_recut_2017, outlier=rstudent, es_set=full, df_basis=dfE, estimator=one_per_cluster, rho=0.4 [DEC-045 S2]; cluster x cell aggregates (D2/H2b convention)</t>
  </si>
  <si>
    <t>multiverse cell 195/1260: coding=share_recut_2018, outlier=rstudent, es_set=full, df_basis=dfE, estimator=one_per_cluster, rho=0.4 [DEC-045 S2]; cluster x cell aggregates (D2/H2b convention)</t>
  </si>
  <si>
    <t>multiverse cell 196/1260: coding=share_recut_2019, outlier=rstudent, es_set=full, df_basis=dfE, estimator=one_per_cluster, rho=0.4 [DEC-045 S2]; cluster x cell aggregates (D2/H2b convention)</t>
  </si>
  <si>
    <t>multiverse cell 197/1260: coding=end_lag1, outlier=rstudent, es_set=full, df_basis=dfE, estimator=one_per_cluster, rho=0.4 [DEC-045 S2]; cluster x cell aggregates (D2/H2b convention)</t>
  </si>
  <si>
    <t>multiverse cell 198/1260: coding=end_lag2, outlier=rstudent, es_set=full, df_basis=dfE, estimator=one_per_cluster, rho=0.4 [DEC-045 S2]; cluster x cell aggregates (D2/H2b convention)</t>
  </si>
  <si>
    <t>multiverse cell 199/1260: coding=end_lag3, outlier=rstudent, es_set=full, df_basis=dfE, estimator=one_per_cluster, rho=0.4 [DEC-045 S2]; cluster x cell aggregates (D2/H2b convention)</t>
  </si>
  <si>
    <t>multiverse cell 200/1260: coding=clean_window, outlier=rstudent, es_set=full, df_basis=dfE, estimator=one_per_cluster, rho=0.4 [DEC-045 S2]; cluster x cell aggregates (D2/H2b convention)</t>
  </si>
  <si>
    <t>multiverse cell 201/1260: coding=paris_mid, outlier=winsor, es_set=full, df_basis=dfE, estimator=one_per_cluster, rho=0.4 [DEC-045 S2]; cluster x cell aggregates (D2/H2b convention)</t>
  </si>
  <si>
    <t>multiverse cell 202/1260: coding=tie_break_median, outlier=winsor, es_set=full, df_basis=dfE, estimator=one_per_cluster, rho=0.4 [DEC-045 S2]; cluster x cell aggregates (D2/H2b convention)</t>
  </si>
  <si>
    <t>multiverse cell 203/1260: coding=end_any_exposure, outlier=winsor, es_set=full, df_basis=dfE, estimator=one_per_cluster, rho=0.4 [DEC-045 S2]; cluster x cell aggregates (D2/H2b convention)</t>
  </si>
  <si>
    <t>multiverse cell 204/1260: coding=share_recut_2017, outlier=winsor, es_set=full, df_basis=dfE, estimator=one_per_cluster, rho=0.4 [DEC-045 S2]; cluster x cell aggregates (D2/H2b convention)</t>
  </si>
  <si>
    <t>multiverse cell 205/1260: coding=share_recut_2018, outlier=winsor, es_set=full, df_basis=dfE, estimator=one_per_cluster, rho=0.4 [DEC-045 S2]; cluster x cell aggregates (D2/H2b convention)</t>
  </si>
  <si>
    <t>multiverse cell 206/1260: coding=share_recut_2019, outlier=winsor, es_set=full, df_basis=dfE, estimator=one_per_cluster, rho=0.4 [DEC-045 S2]; cluster x cell aggregates (D2/H2b convention)</t>
  </si>
  <si>
    <t>multiverse cell 207/1260: coding=end_lag1, outlier=winsor, es_set=full, df_basis=dfE, estimator=one_per_cluster, rho=0.4 [DEC-045 S2]; cluster x cell aggregates (D2/H2b convention)</t>
  </si>
  <si>
    <t>multiverse cell 208/1260: coding=end_lag2, outlier=winsor, es_set=full, df_basis=dfE, estimator=one_per_cluster, rho=0.4 [DEC-045 S2]; cluster x cell aggregates (D2/H2b convention)</t>
  </si>
  <si>
    <t>multiverse cell 209/1260: coding=end_lag3, outlier=winsor, es_set=full, df_basis=dfE, estimator=one_per_cluster, rho=0.4 [DEC-045 S2]; cluster x cell aggregates (D2/H2b convention)</t>
  </si>
  <si>
    <t>multiverse cell 210/1260: coding=clean_window, outlier=winsor, es_set=full, df_basis=dfE, estimator=one_per_cluster, rho=0.4 [DEC-045 S2]; cluster x cell aggregates (D2/H2b convention)</t>
  </si>
  <si>
    <t>multiverse cell 211/1260: coding=paris_mid, outlier=none, es_set=no_starbound, df_basis=dfE, estimator=one_per_cluster, rho=0.4 [DEC-045 S2]; cluster x cell aggregates (D2/H2b convention)</t>
  </si>
  <si>
    <t>multiverse cell 212/1260: coding=tie_break_median, outlier=none, es_set=no_starbound, df_basis=dfE, estimator=one_per_cluster, rho=0.4 [DEC-045 S2]; cluster x cell aggregates (D2/H2b convention)</t>
  </si>
  <si>
    <t>multiverse cell 213/1260: coding=end_any_exposure, outlier=none, es_set=no_starbound, df_basis=dfE, estimator=one_per_cluster, rho=0.4 [DEC-045 S2]; cluster x cell aggregates (D2/H2b convention)</t>
  </si>
  <si>
    <t>multiverse cell 214/1260: coding=share_recut_2017, outlier=none, es_set=no_starbound, df_basis=dfE, estimator=one_per_cluster, rho=0.4 [DEC-045 S2]; cluster x cell aggregates (D2/H2b convention)</t>
  </si>
  <si>
    <t>multiverse cell 215/1260: coding=share_recut_2018, outlier=none, es_set=no_starbound, df_basis=dfE, estimator=one_per_cluster, rho=0.4 [DEC-045 S2]; cluster x cell aggregates (D2/H2b convention)</t>
  </si>
  <si>
    <t>multiverse cell 216/1260: coding=share_recut_2019, outlier=none, es_set=no_starbound, df_basis=dfE, estimator=one_per_cluster, rho=0.4 [DEC-045 S2]; cluster x cell aggregates (D2/H2b convention)</t>
  </si>
  <si>
    <t>multiverse cell 217/1260: coding=end_lag1, outlier=none, es_set=no_starbound, df_basis=dfE, estimator=one_per_cluster, rho=0.4 [DEC-045 S2]; cluster x cell aggregates (D2/H2b convention)</t>
  </si>
  <si>
    <t>multiverse cell 218/1260: coding=end_lag2, outlier=none, es_set=no_starbound, df_basis=dfE, estimator=one_per_cluster, rho=0.4 [DEC-045 S2]; cluster x cell aggregates (D2/H2b convention)</t>
  </si>
  <si>
    <t>multiverse cell 219/1260: coding=end_lag3, outlier=none, es_set=no_starbound, df_basis=dfE, estimator=one_per_cluster, rho=0.4 [DEC-045 S2]; cluster x cell aggregates (D2/H2b convention)</t>
  </si>
  <si>
    <t>multiverse cell 220/1260: coding=clean_window, outlier=none, es_set=no_starbound, df_basis=dfE, estimator=one_per_cluster, rho=0.4 [DEC-045 S2]; cluster x cell aggregates (D2/H2b convention)</t>
  </si>
  <si>
    <t>multiverse cell 221/1260: coding=paris_mid, outlier=rstudent, es_set=no_starbound, df_basis=dfE, estimator=one_per_cluster, rho=0.4 [DEC-045 S2]; cluster x cell aggregates (D2/H2b convention)</t>
  </si>
  <si>
    <t>multiverse cell 222/1260: coding=tie_break_median, outlier=rstudent, es_set=no_starbound, df_basis=dfE, estimator=one_per_cluster, rho=0.4 [DEC-045 S2]; cluster x cell aggregates (D2/H2b convention)</t>
  </si>
  <si>
    <t>multiverse cell 223/1260: coding=end_any_exposure, outlier=rstudent, es_set=no_starbound, df_basis=dfE, estimator=one_per_cluster, rho=0.4 [DEC-045 S2]; cluster x cell aggregates (D2/H2b convention)</t>
  </si>
  <si>
    <t>multiverse cell 224/1260: coding=share_recut_2017, outlier=rstudent, es_set=no_starbound, df_basis=dfE, estimator=one_per_cluster, rho=0.4 [DEC-045 S2]; cluster x cell aggregates (D2/H2b convention)</t>
  </si>
  <si>
    <t>multiverse cell 225/1260: coding=share_recut_2018, outlier=rstudent, es_set=no_starbound, df_basis=dfE, estimator=one_per_cluster, rho=0.4 [DEC-045 S2]; cluster x cell aggregates (D2/H2b convention)</t>
  </si>
  <si>
    <t>multiverse cell 226/1260: coding=share_recut_2019, outlier=rstudent, es_set=no_starbound, df_basis=dfE, estimator=one_per_cluster, rho=0.4 [DEC-045 S2]; cluster x cell aggregates (D2/H2b convention)</t>
  </si>
  <si>
    <t>multiverse cell 227/1260: coding=end_lag1, outlier=rstudent, es_set=no_starbound, df_basis=dfE, estimator=one_per_cluster, rho=0.4 [DEC-045 S2]; cluster x cell aggregates (D2/H2b convention)</t>
  </si>
  <si>
    <t>multiverse cell 228/1260: coding=end_lag2, outlier=rstudent, es_set=no_starbound, df_basis=dfE, estimator=one_per_cluster, rho=0.4 [DEC-045 S2]; cluster x cell aggregates (D2/H2b convention)</t>
  </si>
  <si>
    <t>multiverse cell 229/1260: coding=end_lag3, outlier=rstudent, es_set=no_starbound, df_basis=dfE, estimator=one_per_cluster, rho=0.4 [DEC-045 S2]; cluster x cell aggregates (D2/H2b convention)</t>
  </si>
  <si>
    <t>multiverse cell 230/1260: coding=clean_window, outlier=rstudent, es_set=no_starbound, df_basis=dfE, estimator=one_per_cluster, rho=0.4 [DEC-045 S2]; cluster x cell aggregates (D2/H2b convention)</t>
  </si>
  <si>
    <t>multiverse cell 231/1260: coding=paris_mid, outlier=winsor, es_set=no_starbound, df_basis=dfE, estimator=one_per_cluster, rho=0.4 [DEC-045 S2]; cluster x cell aggregates (D2/H2b convention)</t>
  </si>
  <si>
    <t>multiverse cell 232/1260: coding=tie_break_median, outlier=winsor, es_set=no_starbound, df_basis=dfE, estimator=one_per_cluster, rho=0.4 [DEC-045 S2]; cluster x cell aggregates (D2/H2b convention)</t>
  </si>
  <si>
    <t>multiverse cell 233/1260: coding=end_any_exposure, outlier=winsor, es_set=no_starbound, df_basis=dfE, estimator=one_per_cluster, rho=0.4 [DEC-045 S2]; cluster x cell aggregates (D2/H2b convention)</t>
  </si>
  <si>
    <t>multiverse cell 234/1260: coding=share_recut_2017, outlier=winsor, es_set=no_starbound, df_basis=dfE, estimator=one_per_cluster, rho=0.4 [DEC-045 S2]; cluster x cell aggregates (D2/H2b convention)</t>
  </si>
  <si>
    <t>multiverse cell 235/1260: coding=share_recut_2018, outlier=winsor, es_set=no_starbound, df_basis=dfE, estimator=one_per_cluster, rho=0.4 [DEC-045 S2]; cluster x cell aggregates (D2/H2b convention)</t>
  </si>
  <si>
    <t>multiverse cell 236/1260: coding=share_recut_2019, outlier=winsor, es_set=no_starbound, df_basis=dfE, estimator=one_per_cluster, rho=0.4 [DEC-045 S2]; cluster x cell aggregates (D2/H2b convention)</t>
  </si>
  <si>
    <t>multiverse cell 237/1260: coding=end_lag1, outlier=winsor, es_set=no_starbound, df_basis=dfE, estimator=one_per_cluster, rho=0.4 [DEC-045 S2]; cluster x cell aggregates (D2/H2b convention)</t>
  </si>
  <si>
    <t>multiverse cell 238/1260: coding=end_lag2, outlier=winsor, es_set=no_starbound, df_basis=dfE, estimator=one_per_cluster, rho=0.4 [DEC-045 S2]; cluster x cell aggregates (D2/H2b convention)</t>
  </si>
  <si>
    <t>multiverse cell 239/1260: coding=end_lag3, outlier=winsor, es_set=no_starbound, df_basis=dfE, estimator=one_per_cluster, rho=0.4 [DEC-045 S2]; cluster x cell aggregates (D2/H2b convention)</t>
  </si>
  <si>
    <t>multiverse cell 240/1260: coding=clean_window, outlier=winsor, es_set=no_starbound, df_basis=dfE, estimator=one_per_cluster, rho=0.4 [DEC-045 S2]; cluster x cell aggregates (D2/H2b convention)</t>
  </si>
  <si>
    <t>multiverse cell 241/1260: coding=paris_mid, outlier=none, es_set=full, df_basis=k10, estimator=one_per_cluster, rho=0.4 [DEC-045 S2]; cluster x cell aggregates (D2/H2b convention)</t>
  </si>
  <si>
    <t>multiverse cell 242/1260: coding=tie_break_median, outlier=none, es_set=full, df_basis=k10, estimator=one_per_cluster, rho=0.4 [DEC-045 S2]; cluster x cell aggregates (D2/H2b convention)</t>
  </si>
  <si>
    <t>multiverse cell 243/1260: coding=end_any_exposure, outlier=none, es_set=full, df_basis=k10, estimator=one_per_cluster, rho=0.4 [DEC-045 S2]; cluster x cell aggregates (D2/H2b convention)</t>
  </si>
  <si>
    <t>multiverse cell 244/1260: coding=share_recut_2017, outlier=none, es_set=full, df_basis=k10, estimator=one_per_cluster, rho=0.4 [DEC-045 S2]; cluster x cell aggregates (D2/H2b convention)</t>
  </si>
  <si>
    <t>multiverse cell 245/1260: coding=share_recut_2018, outlier=none, es_set=full, df_basis=k10, estimator=one_per_cluster, rho=0.4 [DEC-045 S2]; cluster x cell aggregates (D2/H2b convention)</t>
  </si>
  <si>
    <t>multiverse cell 246/1260: coding=share_recut_2019, outlier=none, es_set=full, df_basis=k10, estimator=one_per_cluster, rho=0.4 [DEC-045 S2]; cluster x cell aggregates (D2/H2b convention)</t>
  </si>
  <si>
    <t>multiverse cell 247/1260: coding=end_lag1, outlier=none, es_set=full, df_basis=k10, estimator=one_per_cluster, rho=0.4 [DEC-045 S2]; cluster x cell aggregates (D2/H2b convention)</t>
  </si>
  <si>
    <t>multiverse cell 248/1260: coding=end_lag2, outlier=none, es_set=full, df_basis=k10, estimator=one_per_cluster, rho=0.4 [DEC-045 S2]; cluster x cell aggregates (D2/H2b convention)</t>
  </si>
  <si>
    <t>multiverse cell 249/1260: coding=end_lag3, outlier=none, es_set=full, df_basis=k10, estimator=one_per_cluster, rho=0.4 [DEC-045 S2]; cluster x cell aggregates (D2/H2b convention)</t>
  </si>
  <si>
    <t>multiverse cell 250/1260: coding=clean_window, outlier=none, es_set=full, df_basis=k10, estimator=one_per_cluster, rho=0.4 [DEC-045 S2]; cluster x cell aggregates (D2/H2b convention)</t>
  </si>
  <si>
    <t>multiverse cell 251/1260: coding=paris_mid, outlier=rstudent, es_set=full, df_basis=k10, estimator=one_per_cluster, rho=0.4 [DEC-045 S2]; cluster x cell aggregates (D2/H2b convention)</t>
  </si>
  <si>
    <t>multiverse cell 252/1260: coding=tie_break_median, outlier=rstudent, es_set=full, df_basis=k10, estimator=one_per_cluster, rho=0.4 [DEC-045 S2]; cluster x cell aggregates (D2/H2b convention)</t>
  </si>
  <si>
    <t>multiverse cell 253/1260: coding=end_any_exposure, outlier=rstudent, es_set=full, df_basis=k10, estimator=one_per_cluster, rho=0.4 [DEC-045 S2]; cluster x cell aggregates (D2/H2b convention)</t>
  </si>
  <si>
    <t>multiverse cell 254/1260: coding=share_recut_2017, outlier=rstudent, es_set=full, df_basis=k10, estimator=one_per_cluster, rho=0.4 [DEC-045 S2]; cluster x cell aggregates (D2/H2b convention)</t>
  </si>
  <si>
    <t>multiverse cell 255/1260: coding=share_recut_2018, outlier=rstudent, es_set=full, df_basis=k10, estimator=one_per_cluster, rho=0.4 [DEC-045 S2]; cluster x cell aggregates (D2/H2b convention)</t>
  </si>
  <si>
    <t>multiverse cell 256/1260: coding=share_recut_2019, outlier=rstudent, es_set=full, df_basis=k10, estimator=one_per_cluster, rho=0.4 [DEC-045 S2]; cluster x cell aggregates (D2/H2b convention)</t>
  </si>
  <si>
    <t>multiverse cell 257/1260: coding=end_lag1, outlier=rstudent, es_set=full, df_basis=k10, estimator=one_per_cluster, rho=0.4 [DEC-045 S2]; cluster x cell aggregates (D2/H2b convention)</t>
  </si>
  <si>
    <t>multiverse cell 258/1260: coding=end_lag2, outlier=rstudent, es_set=full, df_basis=k10, estimator=one_per_cluster, rho=0.4 [DEC-045 S2]; cluster x cell aggregates (D2/H2b convention)</t>
  </si>
  <si>
    <t>multiverse cell 259/1260: coding=end_lag3, outlier=rstudent, es_set=full, df_basis=k10, estimator=one_per_cluster, rho=0.4 [DEC-045 S2]; cluster x cell aggregates (D2/H2b convention)</t>
  </si>
  <si>
    <t>multiverse cell 260/1260: coding=clean_window, outlier=rstudent, es_set=full, df_basis=k10, estimator=one_per_cluster, rho=0.4 [DEC-045 S2]; cluster x cell aggregates (D2/H2b convention)</t>
  </si>
  <si>
    <t>multiverse cell 261/1260: coding=paris_mid, outlier=winsor, es_set=full, df_basis=k10, estimator=one_per_cluster, rho=0.4 [DEC-045 S2]; cluster x cell aggregates (D2/H2b convention)</t>
  </si>
  <si>
    <t>multiverse cell 262/1260: coding=tie_break_median, outlier=winsor, es_set=full, df_basis=k10, estimator=one_per_cluster, rho=0.4 [DEC-045 S2]; cluster x cell aggregates (D2/H2b convention)</t>
  </si>
  <si>
    <t>multiverse cell 263/1260: coding=end_any_exposure, outlier=winsor, es_set=full, df_basis=k10, estimator=one_per_cluster, rho=0.4 [DEC-045 S2]; cluster x cell aggregates (D2/H2b convention)</t>
  </si>
  <si>
    <t>multiverse cell 264/1260: coding=share_recut_2017, outlier=winsor, es_set=full, df_basis=k10, estimator=one_per_cluster, rho=0.4 [DEC-045 S2]; cluster x cell aggregates (D2/H2b convention)</t>
  </si>
  <si>
    <t>multiverse cell 265/1260: coding=share_recut_2018, outlier=winsor, es_set=full, df_basis=k10, estimator=one_per_cluster, rho=0.4 [DEC-045 S2]; cluster x cell aggregates (D2/H2b convention)</t>
  </si>
  <si>
    <t>multiverse cell 266/1260: coding=share_recut_2019, outlier=winsor, es_set=full, df_basis=k10, estimator=one_per_cluster, rho=0.4 [DEC-045 S2]; cluster x cell aggregates (D2/H2b convention)</t>
  </si>
  <si>
    <t>multiverse cell 267/1260: coding=end_lag1, outlier=winsor, es_set=full, df_basis=k10, estimator=one_per_cluster, rho=0.4 [DEC-045 S2]; cluster x cell aggregates (D2/H2b convention)</t>
  </si>
  <si>
    <t>multiverse cell 268/1260: coding=end_lag2, outlier=winsor, es_set=full, df_basis=k10, estimator=one_per_cluster, rho=0.4 [DEC-045 S2]; cluster x cell aggregates (D2/H2b convention)</t>
  </si>
  <si>
    <t>multiverse cell 269/1260: coding=end_lag3, outlier=winsor, es_set=full, df_basis=k10, estimator=one_per_cluster, rho=0.4 [DEC-045 S2]; cluster x cell aggregates (D2/H2b convention)</t>
  </si>
  <si>
    <t>multiverse cell 270/1260: coding=clean_window, outlier=winsor, es_set=full, df_basis=k10, estimator=one_per_cluster, rho=0.4 [DEC-045 S2]; cluster x cell aggregates (D2/H2b convention)</t>
  </si>
  <si>
    <t>multiverse cell 271/1260: coding=paris_mid, outlier=none, es_set=no_starbound, df_basis=k10, estimator=one_per_cluster, rho=0.4 [DEC-045 S2]; cluster x cell aggregates (D2/H2b convention)</t>
  </si>
  <si>
    <t>multiverse cell 272/1260: coding=tie_break_median, outlier=none, es_set=no_starbound, df_basis=k10, estimator=one_per_cluster, rho=0.4 [DEC-045 S2]; cluster x cell aggregates (D2/H2b convention)</t>
  </si>
  <si>
    <t>multiverse cell 273/1260: coding=end_any_exposure, outlier=none, es_set=no_starbound, df_basis=k10, estimator=one_per_cluster, rho=0.4 [DEC-045 S2]; cluster x cell aggregates (D2/H2b convention)</t>
  </si>
  <si>
    <t>multiverse cell 274/1260: coding=share_recut_2017, outlier=none, es_set=no_starbound, df_basis=k10, estimator=one_per_cluster, rho=0.4 [DEC-045 S2]; cluster x cell aggregates (D2/H2b convention)</t>
  </si>
  <si>
    <t>multiverse cell 275/1260: coding=share_recut_2018, outlier=none, es_set=no_starbound, df_basis=k10, estimator=one_per_cluster, rho=0.4 [DEC-045 S2]; cluster x cell aggregates (D2/H2b convention)</t>
  </si>
  <si>
    <t>multiverse cell 276/1260: coding=share_recut_2019, outlier=none, es_set=no_starbound, df_basis=k10, estimator=one_per_cluster, rho=0.4 [DEC-045 S2]; cluster x cell aggregates (D2/H2b convention)</t>
  </si>
  <si>
    <t>multiverse cell 277/1260: coding=end_lag1, outlier=none, es_set=no_starbound, df_basis=k10, estimator=one_per_cluster, rho=0.4 [DEC-045 S2]; cluster x cell aggregates (D2/H2b convention)</t>
  </si>
  <si>
    <t>multiverse cell 278/1260: coding=end_lag2, outlier=none, es_set=no_starbound, df_basis=k10, estimator=one_per_cluster, rho=0.4 [DEC-045 S2]; cluster x cell aggregates (D2/H2b convention)</t>
  </si>
  <si>
    <t>multiverse cell 279/1260: coding=end_lag3, outlier=none, es_set=no_starbound, df_basis=k10, estimator=one_per_cluster, rho=0.4 [DEC-045 S2]; cluster x cell aggregates (D2/H2b convention)</t>
  </si>
  <si>
    <t>multiverse cell 280/1260: coding=clean_window, outlier=none, es_set=no_starbound, df_basis=k10, estimator=one_per_cluster, rho=0.4 [DEC-045 S2]; cluster x cell aggregates (D2/H2b convention)</t>
  </si>
  <si>
    <t>multiverse cell 281/1260: coding=paris_mid, outlier=rstudent, es_set=no_starbound, df_basis=k10, estimator=one_per_cluster, rho=0.4 [DEC-045 S2]; cluster x cell aggregates (D2/H2b convention)</t>
  </si>
  <si>
    <t>multiverse cell 282/1260: coding=tie_break_median, outlier=rstudent, es_set=no_starbound, df_basis=k10, estimator=one_per_cluster, rho=0.4 [DEC-045 S2]; cluster x cell aggregates (D2/H2b convention)</t>
  </si>
  <si>
    <t>multiverse cell 283/1260: coding=end_any_exposure, outlier=rstudent, es_set=no_starbound, df_basis=k10, estimator=one_per_cluster, rho=0.4 [DEC-045 S2]; cluster x cell aggregates (D2/H2b convention)</t>
  </si>
  <si>
    <t>multiverse cell 284/1260: coding=share_recut_2017, outlier=rstudent, es_set=no_starbound, df_basis=k10, estimator=one_per_cluster, rho=0.4 [DEC-045 S2]; cluster x cell aggregates (D2/H2b convention)</t>
  </si>
  <si>
    <t>multiverse cell 285/1260: coding=share_recut_2018, outlier=rstudent, es_set=no_starbound, df_basis=k10, estimator=one_per_cluster, rho=0.4 [DEC-045 S2]; cluster x cell aggregates (D2/H2b convention)</t>
  </si>
  <si>
    <t>multiverse cell 286/1260: coding=share_recut_2019, outlier=rstudent, es_set=no_starbound, df_basis=k10, estimator=one_per_cluster, rho=0.4 [DEC-045 S2]; cluster x cell aggregates (D2/H2b convention)</t>
  </si>
  <si>
    <t>multiverse cell 287/1260: coding=end_lag1, outlier=rstudent, es_set=no_starbound, df_basis=k10, estimator=one_per_cluster, rho=0.4 [DEC-045 S2]; cluster x cell aggregates (D2/H2b convention)</t>
  </si>
  <si>
    <t>multiverse cell 288/1260: coding=end_lag2, outlier=rstudent, es_set=no_starbound, df_basis=k10, estimator=one_per_cluster, rho=0.4 [DEC-045 S2]; cluster x cell aggregates (D2/H2b convention)</t>
  </si>
  <si>
    <t>multiverse cell 289/1260: coding=end_lag3, outlier=rstudent, es_set=no_starbound, df_basis=k10, estimator=one_per_cluster, rho=0.4 [DEC-045 S2]; cluster x cell aggregates (D2/H2b convention)</t>
  </si>
  <si>
    <t>multiverse cell 290/1260: coding=clean_window, outlier=rstudent, es_set=no_starbound, df_basis=k10, estimator=one_per_cluster, rho=0.4 [DEC-045 S2]; cluster x cell aggregates (D2/H2b convention)</t>
  </si>
  <si>
    <t>multiverse cell 291/1260: coding=paris_mid, outlier=winsor, es_set=no_starbound, df_basis=k10, estimator=one_per_cluster, rho=0.4 [DEC-045 S2]; cluster x cell aggregates (D2/H2b convention)</t>
  </si>
  <si>
    <t>multiverse cell 292/1260: coding=tie_break_median, outlier=winsor, es_set=no_starbound, df_basis=k10, estimator=one_per_cluster, rho=0.4 [DEC-045 S2]; cluster x cell aggregates (D2/H2b convention)</t>
  </si>
  <si>
    <t>multiverse cell 293/1260: coding=end_any_exposure, outlier=winsor, es_set=no_starbound, df_basis=k10, estimator=one_per_cluster, rho=0.4 [DEC-045 S2]; cluster x cell aggregates (D2/H2b convention)</t>
  </si>
  <si>
    <t>multiverse cell 294/1260: coding=share_recut_2017, outlier=winsor, es_set=no_starbound, df_basis=k10, estimator=one_per_cluster, rho=0.4 [DEC-045 S2]; cluster x cell aggregates (D2/H2b convention)</t>
  </si>
  <si>
    <t>multiverse cell 295/1260: coding=share_recut_2018, outlier=winsor, es_set=no_starbound, df_basis=k10, estimator=one_per_cluster, rho=0.4 [DEC-045 S2]; cluster x cell aggregates (D2/H2b convention)</t>
  </si>
  <si>
    <t>multiverse cell 296/1260: coding=share_recut_2019, outlier=winsor, es_set=no_starbound, df_basis=k10, estimator=one_per_cluster, rho=0.4 [DEC-045 S2]; cluster x cell aggregates (D2/H2b convention)</t>
  </si>
  <si>
    <t>multiverse cell 297/1260: coding=end_lag1, outlier=winsor, es_set=no_starbound, df_basis=k10, estimator=one_per_cluster, rho=0.4 [DEC-045 S2]; cluster x cell aggregates (D2/H2b convention)</t>
  </si>
  <si>
    <t>multiverse cell 298/1260: coding=end_lag2, outlier=winsor, es_set=no_starbound, df_basis=k10, estimator=one_per_cluster, rho=0.4 [DEC-045 S2]; cluster x cell aggregates (D2/H2b convention)</t>
  </si>
  <si>
    <t>multiverse cell 299/1260: coding=end_lag3, outlier=winsor, es_set=no_starbound, df_basis=k10, estimator=one_per_cluster, rho=0.4 [DEC-045 S2]; cluster x cell aggregates (D2/H2b convention)</t>
  </si>
  <si>
    <t>multiverse cell 300/1260: coding=clean_window, outlier=winsor, es_set=no_starbound, df_basis=k10, estimator=one_per_cluster, rho=0.4 [DEC-045 S2]; cluster x cell aggregates (D2/H2b convention)</t>
  </si>
  <si>
    <t>multiverse cell 301/1260: coding=paris_mid, outlier=none, es_set=full, df_basis=k20, estimator=one_per_cluster, rho=0.4 [DEC-045 S2]; cluster x cell aggregates (D2/H2b convention)</t>
  </si>
  <si>
    <t>multiverse cell 302/1260: coding=tie_break_median, outlier=none, es_set=full, df_basis=k20, estimator=one_per_cluster, rho=0.4 [DEC-045 S2]; cluster x cell aggregates (D2/H2b convention)</t>
  </si>
  <si>
    <t>multiverse cell 303/1260: coding=end_any_exposure, outlier=none, es_set=full, df_basis=k20, estimator=one_per_cluster, rho=0.4 [DEC-045 S2]; cluster x cell aggregates (D2/H2b convention)</t>
  </si>
  <si>
    <t>multiverse cell 304/1260: coding=share_recut_2017, outlier=none, es_set=full, df_basis=k20, estimator=one_per_cluster, rho=0.4 [DEC-045 S2]; cluster x cell aggregates (D2/H2b convention)</t>
  </si>
  <si>
    <t>multiverse cell 305/1260: coding=share_recut_2018, outlier=none, es_set=full, df_basis=k20, estimator=one_per_cluster, rho=0.4 [DEC-045 S2]; cluster x cell aggregates (D2/H2b convention)</t>
  </si>
  <si>
    <t>multiverse cell 306/1260: coding=share_recut_2019, outlier=none, es_set=full, df_basis=k20, estimator=one_per_cluster, rho=0.4 [DEC-045 S2]; cluster x cell aggregates (D2/H2b convention)</t>
  </si>
  <si>
    <t>multiverse cell 307/1260: coding=end_lag1, outlier=none, es_set=full, df_basis=k20, estimator=one_per_cluster, rho=0.4 [DEC-045 S2]; cluster x cell aggregates (D2/H2b convention)</t>
  </si>
  <si>
    <t>multiverse cell 308/1260: coding=end_lag2, outlier=none, es_set=full, df_basis=k20, estimator=one_per_cluster, rho=0.4 [DEC-045 S2]; cluster x cell aggregates (D2/H2b convention)</t>
  </si>
  <si>
    <t>multiverse cell 309/1260: coding=end_lag3, outlier=none, es_set=full, df_basis=k20, estimator=one_per_cluster, rho=0.4 [DEC-045 S2]; cluster x cell aggregates (D2/H2b convention)</t>
  </si>
  <si>
    <t>multiverse cell 310/1260: coding=clean_window, outlier=none, es_set=full, df_basis=k20, estimator=one_per_cluster, rho=0.4 [DEC-045 S2]; cluster x cell aggregates (D2/H2b convention)</t>
  </si>
  <si>
    <t>multiverse cell 311/1260: coding=paris_mid, outlier=rstudent, es_set=full, df_basis=k20, estimator=one_per_cluster, rho=0.4 [DEC-045 S2]; cluster x cell aggregates (D2/H2b convention)</t>
  </si>
  <si>
    <t>multiverse cell 312/1260: coding=tie_break_median, outlier=rstudent, es_set=full, df_basis=k20, estimator=one_per_cluster, rho=0.4 [DEC-045 S2]; cluster x cell aggregates (D2/H2b convention)</t>
  </si>
  <si>
    <t>multiverse cell 313/1260: coding=end_any_exposure, outlier=rstudent, es_set=full, df_basis=k20, estimator=one_per_cluster, rho=0.4 [DEC-045 S2]; cluster x cell aggregates (D2/H2b convention)</t>
  </si>
  <si>
    <t>multiverse cell 314/1260: coding=share_recut_2017, outlier=rstudent, es_set=full, df_basis=k20, estimator=one_per_cluster, rho=0.4 [DEC-045 S2]; cluster x cell aggregates (D2/H2b convention)</t>
  </si>
  <si>
    <t>multiverse cell 315/1260: coding=share_recut_2018, outlier=rstudent, es_set=full, df_basis=k20, estimator=one_per_cluster, rho=0.4 [DEC-045 S2]; cluster x cell aggregates (D2/H2b convention)</t>
  </si>
  <si>
    <t>multiverse cell 316/1260: coding=share_recut_2019, outlier=rstudent, es_set=full, df_basis=k20, estimator=one_per_cluster, rho=0.4 [DEC-045 S2]; cluster x cell aggregates (D2/H2b convention)</t>
  </si>
  <si>
    <t>multiverse cell 317/1260: coding=end_lag1, outlier=rstudent, es_set=full, df_basis=k20, estimator=one_per_cluster, rho=0.4 [DEC-045 S2]; cluster x cell aggregates (D2/H2b convention)</t>
  </si>
  <si>
    <t>multiverse cell 318/1260: coding=end_lag2, outlier=rstudent, es_set=full, df_basis=k20, estimator=one_per_cluster, rho=0.4 [DEC-045 S2]; cluster x cell aggregates (D2/H2b convention)</t>
  </si>
  <si>
    <t>multiverse cell 319/1260: coding=end_lag3, outlier=rstudent, es_set=full, df_basis=k20, estimator=one_per_cluster, rho=0.4 [DEC-045 S2]; cluster x cell aggregates (D2/H2b convention)</t>
  </si>
  <si>
    <t>multiverse cell 320/1260: coding=clean_window, outlier=rstudent, es_set=full, df_basis=k20, estimator=one_per_cluster, rho=0.4 [DEC-045 S2]; cluster x cell aggregates (D2/H2b convention)</t>
  </si>
  <si>
    <t>multiverse cell 321/1260: coding=paris_mid, outlier=winsor, es_set=full, df_basis=k20, estimator=one_per_cluster, rho=0.4 [DEC-045 S2]; cluster x cell aggregates (D2/H2b convention)</t>
  </si>
  <si>
    <t>multiverse cell 322/1260: coding=tie_break_median, outlier=winsor, es_set=full, df_basis=k20, estimator=one_per_cluster, rho=0.4 [DEC-045 S2]; cluster x cell aggregates (D2/H2b convention)</t>
  </si>
  <si>
    <t>multiverse cell 323/1260: coding=end_any_exposure, outlier=winsor, es_set=full, df_basis=k20, estimator=one_per_cluster, rho=0.4 [DEC-045 S2]; cluster x cell aggregates (D2/H2b convention)</t>
  </si>
  <si>
    <t>multiverse cell 324/1260: coding=share_recut_2017, outlier=winsor, es_set=full, df_basis=k20, estimator=one_per_cluster, rho=0.4 [DEC-045 S2]; cluster x cell aggregates (D2/H2b convention)</t>
  </si>
  <si>
    <t>multiverse cell 325/1260: coding=share_recut_2018, outlier=winsor, es_set=full, df_basis=k20, estimator=one_per_cluster, rho=0.4 [DEC-045 S2]; cluster x cell aggregates (D2/H2b convention)</t>
  </si>
  <si>
    <t>multiverse cell 326/1260: coding=share_recut_2019, outlier=winsor, es_set=full, df_basis=k20, estimator=one_per_cluster, rho=0.4 [DEC-045 S2]; cluster x cell aggregates (D2/H2b convention)</t>
  </si>
  <si>
    <t>multiverse cell 327/1260: coding=end_lag1, outlier=winsor, es_set=full, df_basis=k20, estimator=one_per_cluster, rho=0.4 [DEC-045 S2]; cluster x cell aggregates (D2/H2b convention)</t>
  </si>
  <si>
    <t>multiverse cell 328/1260: coding=end_lag2, outlier=winsor, es_set=full, df_basis=k20, estimator=one_per_cluster, rho=0.4 [DEC-045 S2]; cluster x cell aggregates (D2/H2b convention)</t>
  </si>
  <si>
    <t>multiverse cell 329/1260: coding=end_lag3, outlier=winsor, es_set=full, df_basis=k20, estimator=one_per_cluster, rho=0.4 [DEC-045 S2]; cluster x cell aggregates (D2/H2b convention)</t>
  </si>
  <si>
    <t>multiverse cell 330/1260: coding=clean_window, outlier=winsor, es_set=full, df_basis=k20, estimator=one_per_cluster, rho=0.4 [DEC-045 S2]; cluster x cell aggregates (D2/H2b convention)</t>
  </si>
  <si>
    <t>multiverse cell 331/1260: coding=paris_mid, outlier=none, es_set=no_starbound, df_basis=k20, estimator=one_per_cluster, rho=0.4 [DEC-045 S2]; cluster x cell aggregates (D2/H2b convention)</t>
  </si>
  <si>
    <t>multiverse cell 332/1260: coding=tie_break_median, outlier=none, es_set=no_starbound, df_basis=k20, estimator=one_per_cluster, rho=0.4 [DEC-045 S2]; cluster x cell aggregates (D2/H2b convention)</t>
  </si>
  <si>
    <t>multiverse cell 333/1260: coding=end_any_exposure, outlier=none, es_set=no_starbound, df_basis=k20, estimator=one_per_cluster, rho=0.4 [DEC-045 S2]; cluster x cell aggregates (D2/H2b convention)</t>
  </si>
  <si>
    <t>multiverse cell 334/1260: coding=share_recut_2017, outlier=none, es_set=no_starbound, df_basis=k20, estimator=one_per_cluster, rho=0.4 [DEC-045 S2]; cluster x cell aggregates (D2/H2b convention)</t>
  </si>
  <si>
    <t>multiverse cell 335/1260: coding=share_recut_2018, outlier=none, es_set=no_starbound, df_basis=k20, estimator=one_per_cluster, rho=0.4 [DEC-045 S2]; cluster x cell aggregates (D2/H2b convention)</t>
  </si>
  <si>
    <t>multiverse cell 336/1260: coding=share_recut_2019, outlier=none, es_set=no_starbound, df_basis=k20, estimator=one_per_cluster, rho=0.4 [DEC-045 S2]; cluster x cell aggregates (D2/H2b convention)</t>
  </si>
  <si>
    <t>multiverse cell 337/1260: coding=end_lag1, outlier=none, es_set=no_starbound, df_basis=k20, estimator=one_per_cluster, rho=0.4 [DEC-045 S2]; cluster x cell aggregates (D2/H2b convention)</t>
  </si>
  <si>
    <t>multiverse cell 338/1260: coding=end_lag2, outlier=none, es_set=no_starbound, df_basis=k20, estimator=one_per_cluster, rho=0.4 [DEC-045 S2]; cluster x cell aggregates (D2/H2b convention)</t>
  </si>
  <si>
    <t>multiverse cell 339/1260: coding=end_lag3, outlier=none, es_set=no_starbound, df_basis=k20, estimator=one_per_cluster, rho=0.4 [DEC-045 S2]; cluster x cell aggregates (D2/H2b convention)</t>
  </si>
  <si>
    <t>multiverse cell 340/1260: coding=clean_window, outlier=none, es_set=no_starbound, df_basis=k20, estimator=one_per_cluster, rho=0.4 [DEC-045 S2]; cluster x cell aggregates (D2/H2b convention)</t>
  </si>
  <si>
    <t>multiverse cell 341/1260: coding=paris_mid, outlier=rstudent, es_set=no_starbound, df_basis=k20, estimator=one_per_cluster, rho=0.4 [DEC-045 S2]; cluster x cell aggregates (D2/H2b convention)</t>
  </si>
  <si>
    <t>multiverse cell 342/1260: coding=tie_break_median, outlier=rstudent, es_set=no_starbound, df_basis=k20, estimator=one_per_cluster, rho=0.4 [DEC-045 S2]; cluster x cell aggregates (D2/H2b convention)</t>
  </si>
  <si>
    <t>multiverse cell 343/1260: coding=end_any_exposure, outlier=rstudent, es_set=no_starbound, df_basis=k20, estimator=one_per_cluster, rho=0.4 [DEC-045 S2]; cluster x cell aggregates (D2/H2b convention)</t>
  </si>
  <si>
    <t>multiverse cell 344/1260: coding=share_recut_2017, outlier=rstudent, es_set=no_starbound, df_basis=k20, estimator=one_per_cluster, rho=0.4 [DEC-045 S2]; cluster x cell aggregates (D2/H2b convention)</t>
  </si>
  <si>
    <t>multiverse cell 345/1260: coding=share_recut_2018, outlier=rstudent, es_set=no_starbound, df_basis=k20, estimator=one_per_cluster, rho=0.4 [DEC-045 S2]; cluster x cell aggregates (D2/H2b convention)</t>
  </si>
  <si>
    <t>multiverse cell 346/1260: coding=share_recut_2019, outlier=rstudent, es_set=no_starbound, df_basis=k20, estimator=one_per_cluster, rho=0.4 [DEC-045 S2]; cluster x cell aggregates (D2/H2b convention)</t>
  </si>
  <si>
    <t>multiverse cell 347/1260: coding=end_lag1, outlier=rstudent, es_set=no_starbound, df_basis=k20, estimator=one_per_cluster, rho=0.4 [DEC-045 S2]; cluster x cell aggregates (D2/H2b convention)</t>
  </si>
  <si>
    <t>multiverse cell 348/1260: coding=end_lag2, outlier=rstudent, es_set=no_starbound, df_basis=k20, estimator=one_per_cluster, rho=0.4 [DEC-045 S2]; cluster x cell aggregates (D2/H2b convention)</t>
  </si>
  <si>
    <t>multiverse cell 349/1260: coding=end_lag3, outlier=rstudent, es_set=no_starbound, df_basis=k20, estimator=one_per_cluster, rho=0.4 [DEC-045 S2]; cluster x cell aggregates (D2/H2b convention)</t>
  </si>
  <si>
    <t>multiverse cell 350/1260: coding=clean_window, outlier=rstudent, es_set=no_starbound, df_basis=k20, estimator=one_per_cluster, rho=0.4 [DEC-045 S2]; cluster x cell aggregates (D2/H2b convention)</t>
  </si>
  <si>
    <t>multiverse cell 351/1260: coding=paris_mid, outlier=winsor, es_set=no_starbound, df_basis=k20, estimator=one_per_cluster, rho=0.4 [DEC-045 S2]; cluster x cell aggregates (D2/H2b convention)</t>
  </si>
  <si>
    <t>multiverse cell 352/1260: coding=tie_break_median, outlier=winsor, es_set=no_starbound, df_basis=k20, estimator=one_per_cluster, rho=0.4 [DEC-045 S2]; cluster x cell aggregates (D2/H2b convention)</t>
  </si>
  <si>
    <t>multiverse cell 353/1260: coding=end_any_exposure, outlier=winsor, es_set=no_starbound, df_basis=k20, estimator=one_per_cluster, rho=0.4 [DEC-045 S2]; cluster x cell aggregates (D2/H2b convention)</t>
  </si>
  <si>
    <t>multiverse cell 354/1260: coding=share_recut_2017, outlier=winsor, es_set=no_starbound, df_basis=k20, estimator=one_per_cluster, rho=0.4 [DEC-045 S2]; cluster x cell aggregates (D2/H2b convention)</t>
  </si>
  <si>
    <t>multiverse cell 355/1260: coding=share_recut_2018, outlier=winsor, es_set=no_starbound, df_basis=k20, estimator=one_per_cluster, rho=0.4 [DEC-045 S2]; cluster x cell aggregates (D2/H2b convention)</t>
  </si>
  <si>
    <t>multiverse cell 356/1260: coding=share_recut_2019, outlier=winsor, es_set=no_starbound, df_basis=k20, estimator=one_per_cluster, rho=0.4 [DEC-045 S2]; cluster x cell aggregates (D2/H2b convention)</t>
  </si>
  <si>
    <t>multiverse cell 357/1260: coding=end_lag1, outlier=winsor, es_set=no_starbound, df_basis=k20, estimator=one_per_cluster, rho=0.4 [DEC-045 S2]; cluster x cell aggregates (D2/H2b convention)</t>
  </si>
  <si>
    <t>multiverse cell 358/1260: coding=end_lag2, outlier=winsor, es_set=no_starbound, df_basis=k20, estimator=one_per_cluster, rho=0.4 [DEC-045 S2]; cluster x cell aggregates (D2/H2b convention)</t>
  </si>
  <si>
    <t>multiverse cell 359/1260: coding=end_lag3, outlier=winsor, es_set=no_starbound, df_basis=k20, estimator=one_per_cluster, rho=0.4 [DEC-045 S2]; cluster x cell aggregates (D2/H2b convention)</t>
  </si>
  <si>
    <t>multiverse cell 360/1260: coding=clean_window, outlier=winsor, es_set=no_starbound, df_basis=k20, estimator=one_per_cluster, rho=0.4 [DEC-045 S2]; cluster x cell aggregates (D2/H2b convention)</t>
  </si>
  <si>
    <t>h3_core_paris_mid</t>
  </si>
  <si>
    <t>multiverse cell 361/1260: coding=paris_mid, outlier=none, es_set=full, df_basis=dfE, estimator=3LMA-RVE_CR2, rho=0.6 [DEC-045 S2]; descriptive curve cell; CORE cell (inference via joint permutation); verifier identity vs committed T2 diff at 1e-6</t>
  </si>
  <si>
    <t>h3_core_tie_break_median</t>
  </si>
  <si>
    <t>multiverse cell 362/1260: coding=tie_break_median, outlier=none, es_set=full, df_basis=dfE, estimator=3LMA-RVE_CR2, rho=0.6 [DEC-045 S2]; descriptive curve cell; CORE cell (inference via joint permutation); verifier identity vs committed T2 diff at 1e-6</t>
  </si>
  <si>
    <t>h3_core_end_any_exposure</t>
  </si>
  <si>
    <t>multiverse cell 363/1260: coding=end_any_exposure, outlier=none, es_set=full, df_basis=dfE, estimator=3LMA-RVE_CR2, rho=0.6 [DEC-045 S2]; descriptive curve cell; CORE cell (inference via joint permutation); verifier identity vs committed T2 diff at 1e-6</t>
  </si>
  <si>
    <t>h3_core_share_recut_2017</t>
  </si>
  <si>
    <t>multiverse cell 364/1260: coding=share_recut_2017, outlier=none, es_set=full, df_basis=dfE, estimator=3LMA-RVE_CR2, rho=0.6 [DEC-045 S2]; descriptive curve cell; CORE cell (inference via joint permutation); verifier identity vs committed T2 diff at 1e-6</t>
  </si>
  <si>
    <t>h3_core_share_recut_2018</t>
  </si>
  <si>
    <t>multiverse cell 365/1260: coding=share_recut_2018, outlier=none, es_set=full, df_basis=dfE, estimator=3LMA-RVE_CR2, rho=0.6 [DEC-045 S2]; descriptive curve cell; CORE cell (inference via joint permutation); verifier identity vs committed T2 diff at 1e-6</t>
  </si>
  <si>
    <t>h3_core_share_recut_2019</t>
  </si>
  <si>
    <t>multiverse cell 366/1260: coding=share_recut_2019, outlier=none, es_set=full, df_basis=dfE, estimator=3LMA-RVE_CR2, rho=0.6 [DEC-045 S2]; descriptive curve cell; CORE cell (inference via joint permutation); verifier identity vs committed T2 diff at 1e-6</t>
  </si>
  <si>
    <t>h3_core_end_lag1</t>
  </si>
  <si>
    <t>multiverse cell 367/1260: coding=end_lag1, outlier=none, es_set=full, df_basis=dfE, estimator=3LMA-RVE_CR2, rho=0.6 [DEC-045 S2]; descriptive curve cell; CORE cell (inference via joint permutation); verifier identity vs committed T2 diff at 1e-6</t>
  </si>
  <si>
    <t>h3_core_end_lag2</t>
  </si>
  <si>
    <t>multiverse cell 368/1260: coding=end_lag2, outlier=none, es_set=full, df_basis=dfE, estimator=3LMA-RVE_CR2, rho=0.6 [DEC-045 S2]; descriptive curve cell; CORE cell (inference via joint permutation); verifier identity vs committed T2 diff at 1e-6</t>
  </si>
  <si>
    <t>h3_core_end_lag3</t>
  </si>
  <si>
    <t>multiverse cell 369/1260: coding=end_lag3, outlier=none, es_set=full, df_basis=dfE, estimator=3LMA-RVE_CR2, rho=0.6 [DEC-045 S2]; descriptive curve cell; CORE cell (inference via joint permutation); verifier identity vs committed T2 diff at 1e-6</t>
  </si>
  <si>
    <t>h3_core_clean_window</t>
  </si>
  <si>
    <t>multiverse cell 370/1260: coding=clean_window, outlier=none, es_set=full, df_basis=dfE, estimator=3LMA-RVE_CR2, rho=0.6 [DEC-045 S2]; descriptive curve cell; CORE cell (inference via joint permutation); verifier identity vs committed T2 diff at 1e-6</t>
  </si>
  <si>
    <t>multiverse cell 371/1260: coding=paris_mid, outlier=rstudent, es_set=full, df_basis=dfE, estimator=3LMA-RVE_CR2, rho=0.6 [DEC-045 S2]; descriptive curve cell</t>
  </si>
  <si>
    <t>multiverse cell 372/1260: coding=tie_break_median, outlier=rstudent, es_set=full, df_basis=dfE, estimator=3LMA-RVE_CR2, rho=0.6 [DEC-045 S2]; descriptive curve cell</t>
  </si>
  <si>
    <t>multiverse cell 373/1260: coding=end_any_exposure, outlier=rstudent, es_set=full, df_basis=dfE, estimator=3LMA-RVE_CR2, rho=0.6 [DEC-045 S2]; descriptive curve cell</t>
  </si>
  <si>
    <t>multiverse cell 374/1260: coding=share_recut_2017, outlier=rstudent, es_set=full, df_basis=dfE, estimator=3LMA-RVE_CR2, rho=0.6 [DEC-045 S2]; descriptive curve cell</t>
  </si>
  <si>
    <t>multiverse cell 375/1260: coding=share_recut_2018, outlier=rstudent, es_set=full, df_basis=dfE, estimator=3LMA-RVE_CR2, rho=0.6 [DEC-045 S2]; descriptive curve cell</t>
  </si>
  <si>
    <t>multiverse cell 376/1260: coding=share_recut_2019, outlier=rstudent, es_set=full, df_basis=dfE, estimator=3LMA-RVE_CR2, rho=0.6 [DEC-045 S2]; descriptive curve cell</t>
  </si>
  <si>
    <t>multiverse cell 377/1260: coding=end_lag1, outlier=rstudent, es_set=full, df_basis=dfE, estimator=3LMA-RVE_CR2, rho=0.6 [DEC-045 S2]; descriptive curve cell</t>
  </si>
  <si>
    <t>multiverse cell 378/1260: coding=end_lag2, outlier=rstudent, es_set=full, df_basis=dfE, estimator=3LMA-RVE_CR2, rho=0.6 [DEC-045 S2]; descriptive curve cell</t>
  </si>
  <si>
    <t>multiverse cell 379/1260: coding=end_lag3, outlier=rstudent, es_set=full, df_basis=dfE, estimator=3LMA-RVE_CR2, rho=0.6 [DEC-045 S2]; descriptive curve cell</t>
  </si>
  <si>
    <t>multiverse cell 380/1260: coding=clean_window, outlier=rstudent, es_set=full, df_basis=dfE, estimator=3LMA-RVE_CR2, rho=0.6 [DEC-045 S2]; descriptive curve cell</t>
  </si>
  <si>
    <t>multiverse cell 381/1260: coding=paris_mid, outlier=winsor, es_set=full, df_basis=dfE, estimator=3LMA-RVE_CR2, rho=0.6 [DEC-045 S2]; descriptive curve cell</t>
  </si>
  <si>
    <t>multiverse cell 382/1260: coding=tie_break_median, outlier=winsor, es_set=full, df_basis=dfE, estimator=3LMA-RVE_CR2, rho=0.6 [DEC-045 S2]; descriptive curve cell</t>
  </si>
  <si>
    <t>multiverse cell 383/1260: coding=end_any_exposure, outlier=winsor, es_set=full, df_basis=dfE, estimator=3LMA-RVE_CR2, rho=0.6 [DEC-045 S2]; descriptive curve cell</t>
  </si>
  <si>
    <t>multiverse cell 384/1260: coding=share_recut_2017, outlier=winsor, es_set=full, df_basis=dfE, estimator=3LMA-RVE_CR2, rho=0.6 [DEC-045 S2]; descriptive curve cell</t>
  </si>
  <si>
    <t>multiverse cell 385/1260: coding=share_recut_2018, outlier=winsor, es_set=full, df_basis=dfE, estimator=3LMA-RVE_CR2, rho=0.6 [DEC-045 S2]; descriptive curve cell</t>
  </si>
  <si>
    <t>multiverse cell 386/1260: coding=share_recut_2019, outlier=winsor, es_set=full, df_basis=dfE, estimator=3LMA-RVE_CR2, rho=0.6 [DEC-045 S2]; descriptive curve cell</t>
  </si>
  <si>
    <t>multiverse cell 387/1260: coding=end_lag1, outlier=winsor, es_set=full, df_basis=dfE, estimator=3LMA-RVE_CR2, rho=0.6 [DEC-045 S2]; descriptive curve cell</t>
  </si>
  <si>
    <t>multiverse cell 388/1260: coding=end_lag2, outlier=winsor, es_set=full, df_basis=dfE, estimator=3LMA-RVE_CR2, rho=0.6 [DEC-045 S2]; descriptive curve cell</t>
  </si>
  <si>
    <t>multiverse cell 389/1260: coding=end_lag3, outlier=winsor, es_set=full, df_basis=dfE, estimator=3LMA-RVE_CR2, rho=0.6 [DEC-045 S2]; descriptive curve cell</t>
  </si>
  <si>
    <t>multiverse cell 390/1260: coding=clean_window, outlier=winsor, es_set=full, df_basis=dfE, estimator=3LMA-RVE_CR2, rho=0.6 [DEC-045 S2]; descriptive curve cell</t>
  </si>
  <si>
    <t>multiverse cell 391/1260: coding=paris_mid, outlier=none, es_set=no_starbound, df_basis=dfE, estimator=3LMA-RVE_CR2, rho=0.6 [DEC-045 S2]; descriptive curve cell</t>
  </si>
  <si>
    <t>multiverse cell 392/1260: coding=tie_break_median, outlier=none, es_set=no_starbound, df_basis=dfE, estimator=3LMA-RVE_CR2, rho=0.6 [DEC-045 S2]; descriptive curve cell</t>
  </si>
  <si>
    <t>multiverse cell 393/1260: coding=end_any_exposure, outlier=none, es_set=no_starbound, df_basis=dfE, estimator=3LMA-RVE_CR2, rho=0.6 [DEC-045 S2]; descriptive curve cell</t>
  </si>
  <si>
    <t>multiverse cell 394/1260: coding=share_recut_2017, outlier=none, es_set=no_starbound, df_basis=dfE, estimator=3LMA-RVE_CR2, rho=0.6 [DEC-045 S2]; descriptive curve cell</t>
  </si>
  <si>
    <t>multiverse cell 395/1260: coding=share_recut_2018, outlier=none, es_set=no_starbound, df_basis=dfE, estimator=3LMA-RVE_CR2, rho=0.6 [DEC-045 S2]; descriptive curve cell</t>
  </si>
  <si>
    <t>multiverse cell 396/1260: coding=share_recut_2019, outlier=none, es_set=no_starbound, df_basis=dfE, estimator=3LMA-RVE_CR2, rho=0.6 [DEC-045 S2]; descriptive curve cell</t>
  </si>
  <si>
    <t>multiverse cell 397/1260: coding=end_lag1, outlier=none, es_set=no_starbound, df_basis=dfE, estimator=3LMA-RVE_CR2, rho=0.6 [DEC-045 S2]; descriptive curve cell</t>
  </si>
  <si>
    <t>multiverse cell 398/1260: coding=end_lag2, outlier=none, es_set=no_starbound, df_basis=dfE, estimator=3LMA-RVE_CR2, rho=0.6 [DEC-045 S2]; descriptive curve cell</t>
  </si>
  <si>
    <t>multiverse cell 399/1260: coding=end_lag3, outlier=none, es_set=no_starbound, df_basis=dfE, estimator=3LMA-RVE_CR2, rho=0.6 [DEC-045 S2]; descriptive curve cell</t>
  </si>
  <si>
    <t>multiverse cell 400/1260: coding=clean_window, outlier=none, es_set=no_starbound, df_basis=dfE, estimator=3LMA-RVE_CR2, rho=0.6 [DEC-045 S2]; descriptive curve cell</t>
  </si>
  <si>
    <t>multiverse cell 401/1260: coding=paris_mid, outlier=rstudent, es_set=no_starbound, df_basis=dfE, estimator=3LMA-RVE_CR2, rho=0.6 [DEC-045 S2]; descriptive curve cell</t>
  </si>
  <si>
    <t>multiverse cell 402/1260: coding=tie_break_median, outlier=rstudent, es_set=no_starbound, df_basis=dfE, estimator=3LMA-RVE_CR2, rho=0.6 [DEC-045 S2]; descriptive curve cell</t>
  </si>
  <si>
    <t>multiverse cell 403/1260: coding=end_any_exposure, outlier=rstudent, es_set=no_starbound, df_basis=dfE, estimator=3LMA-RVE_CR2, rho=0.6 [DEC-045 S2]; descriptive curve cell</t>
  </si>
  <si>
    <t>multiverse cell 404/1260: coding=share_recut_2017, outlier=rstudent, es_set=no_starbound, df_basis=dfE, estimator=3LMA-RVE_CR2, rho=0.6 [DEC-045 S2]; descriptive curve cell</t>
  </si>
  <si>
    <t>multiverse cell 405/1260: coding=share_recut_2018, outlier=rstudent, es_set=no_starbound, df_basis=dfE, estimator=3LMA-RVE_CR2, rho=0.6 [DEC-045 S2]; descriptive curve cell</t>
  </si>
  <si>
    <t>multiverse cell 406/1260: coding=share_recut_2019, outlier=rstudent, es_set=no_starbound, df_basis=dfE, estimator=3LMA-RVE_CR2, rho=0.6 [DEC-045 S2]; descriptive curve cell</t>
  </si>
  <si>
    <t>multiverse cell 407/1260: coding=end_lag1, outlier=rstudent, es_set=no_starbound, df_basis=dfE, estimator=3LMA-RVE_CR2, rho=0.6 [DEC-045 S2]; descriptive curve cell</t>
  </si>
  <si>
    <t>multiverse cell 408/1260: coding=end_lag2, outlier=rstudent, es_set=no_starbound, df_basis=dfE, estimator=3LMA-RVE_CR2, rho=0.6 [DEC-045 S2]; descriptive curve cell</t>
  </si>
  <si>
    <t>multiverse cell 409/1260: coding=end_lag3, outlier=rstudent, es_set=no_starbound, df_basis=dfE, estimator=3LMA-RVE_CR2, rho=0.6 [DEC-045 S2]; descriptive curve cell</t>
  </si>
  <si>
    <t>multiverse cell 410/1260: coding=clean_window, outlier=rstudent, es_set=no_starbound, df_basis=dfE, estimator=3LMA-RVE_CR2, rho=0.6 [DEC-045 S2]; descriptive curve cell</t>
  </si>
  <si>
    <t>multiverse cell 411/1260: coding=paris_mid, outlier=winsor, es_set=no_starbound, df_basis=dfE, estimator=3LMA-RVE_CR2, rho=0.6 [DEC-045 S2]; descriptive curve cell</t>
  </si>
  <si>
    <t>multiverse cell 412/1260: coding=tie_break_median, outlier=winsor, es_set=no_starbound, df_basis=dfE, estimator=3LMA-RVE_CR2, rho=0.6 [DEC-045 S2]; descriptive curve cell</t>
  </si>
  <si>
    <t>multiverse cell 413/1260: coding=end_any_exposure, outlier=winsor, es_set=no_starbound, df_basis=dfE, estimator=3LMA-RVE_CR2, rho=0.6 [DEC-045 S2]; descriptive curve cell</t>
  </si>
  <si>
    <t>multiverse cell 414/1260: coding=share_recut_2017, outlier=winsor, es_set=no_starbound, df_basis=dfE, estimator=3LMA-RVE_CR2, rho=0.6 [DEC-045 S2]; descriptive curve cell</t>
  </si>
  <si>
    <t>multiverse cell 415/1260: coding=share_recut_2018, outlier=winsor, es_set=no_starbound, df_basis=dfE, estimator=3LMA-RVE_CR2, rho=0.6 [DEC-045 S2]; descriptive curve cell</t>
  </si>
  <si>
    <t>multiverse cell 416/1260: coding=share_recut_2019, outlier=winsor, es_set=no_starbound, df_basis=dfE, estimator=3LMA-RVE_CR2, rho=0.6 [DEC-045 S2]; descriptive curve cell</t>
  </si>
  <si>
    <t>multiverse cell 417/1260: coding=end_lag1, outlier=winsor, es_set=no_starbound, df_basis=dfE, estimator=3LMA-RVE_CR2, rho=0.6 [DEC-045 S2]; descriptive curve cell</t>
  </si>
  <si>
    <t>multiverse cell 418/1260: coding=end_lag2, outlier=winsor, es_set=no_starbound, df_basis=dfE, estimator=3LMA-RVE_CR2, rho=0.6 [DEC-045 S2]; descriptive curve cell</t>
  </si>
  <si>
    <t>multiverse cell 419/1260: coding=end_lag3, outlier=winsor, es_set=no_starbound, df_basis=dfE, estimator=3LMA-RVE_CR2, rho=0.6 [DEC-045 S2]; descriptive curve cell</t>
  </si>
  <si>
    <t>multiverse cell 420/1260: coding=clean_window, outlier=winsor, es_set=no_starbound, df_basis=dfE, estimator=3LMA-RVE_CR2, rho=0.6 [DEC-045 S2]; descriptive curve cell</t>
  </si>
  <si>
    <t>multiverse cell 421/1260: coding=paris_mid, outlier=none, es_set=full, df_basis=k10, estimator=3LMA-RVE_CR2, rho=0.6 [DEC-045 S2]; descriptive curve cell</t>
  </si>
  <si>
    <t>multiverse cell 422/1260: coding=tie_break_median, outlier=none, es_set=full, df_basis=k10, estimator=3LMA-RVE_CR2, rho=0.6 [DEC-045 S2]; descriptive curve cell</t>
  </si>
  <si>
    <t>multiverse cell 423/1260: coding=end_any_exposure, outlier=none, es_set=full, df_basis=k10, estimator=3LMA-RVE_CR2, rho=0.6 [DEC-045 S2]; descriptive curve cell</t>
  </si>
  <si>
    <t>multiverse cell 424/1260: coding=share_recut_2017, outlier=none, es_set=full, df_basis=k10, estimator=3LMA-RVE_CR2, rho=0.6 [DEC-045 S2]; descriptive curve cell</t>
  </si>
  <si>
    <t>multiverse cell 425/1260: coding=share_recut_2018, outlier=none, es_set=full, df_basis=k10, estimator=3LMA-RVE_CR2, rho=0.6 [DEC-045 S2]; descriptive curve cell</t>
  </si>
  <si>
    <t>multiverse cell 426/1260: coding=share_recut_2019, outlier=none, es_set=full, df_basis=k10, estimator=3LMA-RVE_CR2, rho=0.6 [DEC-045 S2]; descriptive curve cell</t>
  </si>
  <si>
    <t>multiverse cell 427/1260: coding=end_lag1, outlier=none, es_set=full, df_basis=k10, estimator=3LMA-RVE_CR2, rho=0.6 [DEC-045 S2]; descriptive curve cell</t>
  </si>
  <si>
    <t>multiverse cell 428/1260: coding=end_lag2, outlier=none, es_set=full, df_basis=k10, estimator=3LMA-RVE_CR2, rho=0.6 [DEC-045 S2]; descriptive curve cell</t>
  </si>
  <si>
    <t>multiverse cell 429/1260: coding=end_lag3, outlier=none, es_set=full, df_basis=k10, estimator=3LMA-RVE_CR2, rho=0.6 [DEC-045 S2]; descriptive curve cell</t>
  </si>
  <si>
    <t>multiverse cell 430/1260: coding=clean_window, outlier=none, es_set=full, df_basis=k10, estimator=3LMA-RVE_CR2, rho=0.6 [DEC-045 S2]; descriptive curve cell</t>
  </si>
  <si>
    <t>multiverse cell 431/1260: coding=paris_mid, outlier=rstudent, es_set=full, df_basis=k10, estimator=3LMA-RVE_CR2, rho=0.6 [DEC-045 S2]; descriptive curve cell</t>
  </si>
  <si>
    <t>multiverse cell 432/1260: coding=tie_break_median, outlier=rstudent, es_set=full, df_basis=k10, estimator=3LMA-RVE_CR2, rho=0.6 [DEC-045 S2]; descriptive curve cell</t>
  </si>
  <si>
    <t>multiverse cell 433/1260: coding=end_any_exposure, outlier=rstudent, es_set=full, df_basis=k10, estimator=3LMA-RVE_CR2, rho=0.6 [DEC-045 S2]; descriptive curve cell</t>
  </si>
  <si>
    <t>multiverse cell 434/1260: coding=share_recut_2017, outlier=rstudent, es_set=full, df_basis=k10, estimator=3LMA-RVE_CR2, rho=0.6 [DEC-045 S2]; descriptive curve cell</t>
  </si>
  <si>
    <t>multiverse cell 435/1260: coding=share_recut_2018, outlier=rstudent, es_set=full, df_basis=k10, estimator=3LMA-RVE_CR2, rho=0.6 [DEC-045 S2]; descriptive curve cell</t>
  </si>
  <si>
    <t>multiverse cell 436/1260: coding=share_recut_2019, outlier=rstudent, es_set=full, df_basis=k10, estimator=3LMA-RVE_CR2, rho=0.6 [DEC-045 S2]; descriptive curve cell</t>
  </si>
  <si>
    <t>multiverse cell 437/1260: coding=end_lag1, outlier=rstudent, es_set=full, df_basis=k10, estimator=3LMA-RVE_CR2, rho=0.6 [DEC-045 S2]; descriptive curve cell</t>
  </si>
  <si>
    <t>multiverse cell 438/1260: coding=end_lag2, outlier=rstudent, es_set=full, df_basis=k10, estimator=3LMA-RVE_CR2, rho=0.6 [DEC-045 S2]; descriptive curve cell</t>
  </si>
  <si>
    <t>multiverse cell 439/1260: coding=end_lag3, outlier=rstudent, es_set=full, df_basis=k10, estimator=3LMA-RVE_CR2, rho=0.6 [DEC-045 S2]; descriptive curve cell</t>
  </si>
  <si>
    <t>multiverse cell 440/1260: coding=clean_window, outlier=rstudent, es_set=full, df_basis=k10, estimator=3LMA-RVE_CR2, rho=0.6 [DEC-045 S2]; descriptive curve cell</t>
  </si>
  <si>
    <t>multiverse cell 441/1260: coding=paris_mid, outlier=winsor, es_set=full, df_basis=k10, estimator=3LMA-RVE_CR2, rho=0.6 [DEC-045 S2]; descriptive curve cell</t>
  </si>
  <si>
    <t>multiverse cell 442/1260: coding=tie_break_median, outlier=winsor, es_set=full, df_basis=k10, estimator=3LMA-RVE_CR2, rho=0.6 [DEC-045 S2]; descriptive curve cell</t>
  </si>
  <si>
    <t>multiverse cell 443/1260: coding=end_any_exposure, outlier=winsor, es_set=full, df_basis=k10, estimator=3LMA-RVE_CR2, rho=0.6 [DEC-045 S2]; descriptive curve cell</t>
  </si>
  <si>
    <t>multiverse cell 444/1260: coding=share_recut_2017, outlier=winsor, es_set=full, df_basis=k10, estimator=3LMA-RVE_CR2, rho=0.6 [DEC-045 S2]; descriptive curve cell</t>
  </si>
  <si>
    <t>multiverse cell 445/1260: coding=share_recut_2018, outlier=winsor, es_set=full, df_basis=k10, estimator=3LMA-RVE_CR2, rho=0.6 [DEC-045 S2]; descriptive curve cell</t>
  </si>
  <si>
    <t>multiverse cell 446/1260: coding=share_recut_2019, outlier=winsor, es_set=full, df_basis=k10, estimator=3LMA-RVE_CR2, rho=0.6 [DEC-045 S2]; descriptive curve cell</t>
  </si>
  <si>
    <t>multiverse cell 447/1260: coding=end_lag1, outlier=winsor, es_set=full, df_basis=k10, estimator=3LMA-RVE_CR2, rho=0.6 [DEC-045 S2]; descriptive curve cell</t>
  </si>
  <si>
    <t>multiverse cell 448/1260: coding=end_lag2, outlier=winsor, es_set=full, df_basis=k10, estimator=3LMA-RVE_CR2, rho=0.6 [DEC-045 S2]; descriptive curve cell</t>
  </si>
  <si>
    <t>multiverse cell 449/1260: coding=end_lag3, outlier=winsor, es_set=full, df_basis=k10, estimator=3LMA-RVE_CR2, rho=0.6 [DEC-045 S2]; descriptive curve cell</t>
  </si>
  <si>
    <t>multiverse cell 450/1260: coding=clean_window, outlier=winsor, es_set=full, df_basis=k10, estimator=3LMA-RVE_CR2, rho=0.6 [DEC-045 S2]; descriptive curve cell</t>
  </si>
  <si>
    <t>multiverse cell 451/1260: coding=paris_mid, outlier=none, es_set=no_starbound, df_basis=k10, estimator=3LMA-RVE_CR2, rho=0.6 [DEC-045 S2]; descriptive curve cell</t>
  </si>
  <si>
    <t>multiverse cell 452/1260: coding=tie_break_median, outlier=none, es_set=no_starbound, df_basis=k10, estimator=3LMA-RVE_CR2, rho=0.6 [DEC-045 S2]; descriptive curve cell</t>
  </si>
  <si>
    <t>multiverse cell 453/1260: coding=end_any_exposure, outlier=none, es_set=no_starbound, df_basis=k10, estimator=3LMA-RVE_CR2, rho=0.6 [DEC-045 S2]; descriptive curve cell</t>
  </si>
  <si>
    <t>multiverse cell 454/1260: coding=share_recut_2017, outlier=none, es_set=no_starbound, df_basis=k10, estimator=3LMA-RVE_CR2, rho=0.6 [DEC-045 S2]; descriptive curve cell</t>
  </si>
  <si>
    <t>multiverse cell 455/1260: coding=share_recut_2018, outlier=none, es_set=no_starbound, df_basis=k10, estimator=3LMA-RVE_CR2, rho=0.6 [DEC-045 S2]; descriptive curve cell</t>
  </si>
  <si>
    <t>multiverse cell 456/1260: coding=share_recut_2019, outlier=none, es_set=no_starbound, df_basis=k10, estimator=3LMA-RVE_CR2, rho=0.6 [DEC-045 S2]; descriptive curve cell</t>
  </si>
  <si>
    <t>multiverse cell 457/1260: coding=end_lag1, outlier=none, es_set=no_starbound, df_basis=k10, estimator=3LMA-RVE_CR2, rho=0.6 [DEC-045 S2]; descriptive curve cell</t>
  </si>
  <si>
    <t>multiverse cell 458/1260: coding=end_lag2, outlier=none, es_set=no_starbound, df_basis=k10, estimator=3LMA-RVE_CR2, rho=0.6 [DEC-045 S2]; descriptive curve cell</t>
  </si>
  <si>
    <t>multiverse cell 459/1260: coding=end_lag3, outlier=none, es_set=no_starbound, df_basis=k10, estimator=3LMA-RVE_CR2, rho=0.6 [DEC-045 S2]; descriptive curve cell</t>
  </si>
  <si>
    <t>multiverse cell 460/1260: coding=clean_window, outlier=none, es_set=no_starbound, df_basis=k10, estimator=3LMA-RVE_CR2, rho=0.6 [DEC-045 S2]; descriptive curve cell</t>
  </si>
  <si>
    <t>multiverse cell 461/1260: coding=paris_mid, outlier=rstudent, es_set=no_starbound, df_basis=k10, estimator=3LMA-RVE_CR2, rho=0.6 [DEC-045 S2]; descriptive curve cell</t>
  </si>
  <si>
    <t>multiverse cell 462/1260: coding=tie_break_median, outlier=rstudent, es_set=no_starbound, df_basis=k10, estimator=3LMA-RVE_CR2, rho=0.6 [DEC-045 S2]; descriptive curve cell</t>
  </si>
  <si>
    <t>multiverse cell 463/1260: coding=end_any_exposure, outlier=rstudent, es_set=no_starbound, df_basis=k10, estimator=3LMA-RVE_CR2, rho=0.6 [DEC-045 S2]; descriptive curve cell</t>
  </si>
  <si>
    <t>multiverse cell 464/1260: coding=share_recut_2017, outlier=rstudent, es_set=no_starbound, df_basis=k10, estimator=3LMA-RVE_CR2, rho=0.6 [DEC-045 S2]; descriptive curve cell</t>
  </si>
  <si>
    <t>multiverse cell 465/1260: coding=share_recut_2018, outlier=rstudent, es_set=no_starbound, df_basis=k10, estimator=3LMA-RVE_CR2, rho=0.6 [DEC-045 S2]; descriptive curve cell</t>
  </si>
  <si>
    <t>multiverse cell 466/1260: coding=share_recut_2019, outlier=rstudent, es_set=no_starbound, df_basis=k10, estimator=3LMA-RVE_CR2, rho=0.6 [DEC-045 S2]; descriptive curve cell</t>
  </si>
  <si>
    <t>multiverse cell 467/1260: coding=end_lag1, outlier=rstudent, es_set=no_starbound, df_basis=k10, estimator=3LMA-RVE_CR2, rho=0.6 [DEC-045 S2]; descriptive curve cell</t>
  </si>
  <si>
    <t>multiverse cell 468/1260: coding=end_lag2, outlier=rstudent, es_set=no_starbound, df_basis=k10, estimator=3LMA-RVE_CR2, rho=0.6 [DEC-045 S2]; descriptive curve cell</t>
  </si>
  <si>
    <t>multiverse cell 469/1260: coding=end_lag3, outlier=rstudent, es_set=no_starbound, df_basis=k10, estimator=3LMA-RVE_CR2, rho=0.6 [DEC-045 S2]; descriptive curve cell</t>
  </si>
  <si>
    <t>multiverse cell 470/1260: coding=clean_window, outlier=rstudent, es_set=no_starbound, df_basis=k10, estimator=3LMA-RVE_CR2, rho=0.6 [DEC-045 S2]; descriptive curve cell</t>
  </si>
  <si>
    <t>multiverse cell 471/1260: coding=paris_mid, outlier=winsor, es_set=no_starbound, df_basis=k10, estimator=3LMA-RVE_CR2, rho=0.6 [DEC-045 S2]; descriptive curve cell</t>
  </si>
  <si>
    <t>multiverse cell 472/1260: coding=tie_break_median, outlier=winsor, es_set=no_starbound, df_basis=k10, estimator=3LMA-RVE_CR2, rho=0.6 [DEC-045 S2]; descriptive curve cell</t>
  </si>
  <si>
    <t>multiverse cell 473/1260: coding=end_any_exposure, outlier=winsor, es_set=no_starbound, df_basis=k10, estimator=3LMA-RVE_CR2, rho=0.6 [DEC-045 S2]; descriptive curve cell</t>
  </si>
  <si>
    <t>multiverse cell 474/1260: coding=share_recut_2017, outlier=winsor, es_set=no_starbound, df_basis=k10, estimator=3LMA-RVE_CR2, rho=0.6 [DEC-045 S2]; descriptive curve cell</t>
  </si>
  <si>
    <t>multiverse cell 475/1260: coding=share_recut_2018, outlier=winsor, es_set=no_starbound, df_basis=k10, estimator=3LMA-RVE_CR2, rho=0.6 [DEC-045 S2]; descriptive curve cell</t>
  </si>
  <si>
    <t>multiverse cell 476/1260: coding=share_recut_2019, outlier=winsor, es_set=no_starbound, df_basis=k10, estimator=3LMA-RVE_CR2, rho=0.6 [DEC-045 S2]; descriptive curve cell</t>
  </si>
  <si>
    <t>multiverse cell 477/1260: coding=end_lag1, outlier=winsor, es_set=no_starbound, df_basis=k10, estimator=3LMA-RVE_CR2, rho=0.6 [DEC-045 S2]; descriptive curve cell</t>
  </si>
  <si>
    <t>multiverse cell 478/1260: coding=end_lag2, outlier=winsor, es_set=no_starbound, df_basis=k10, estimator=3LMA-RVE_CR2, rho=0.6 [DEC-045 S2]; descriptive curve cell</t>
  </si>
  <si>
    <t>multiverse cell 479/1260: coding=end_lag3, outlier=winsor, es_set=no_starbound, df_basis=k10, estimator=3LMA-RVE_CR2, rho=0.6 [DEC-045 S2]; descriptive curve cell</t>
  </si>
  <si>
    <t>multiverse cell 480/1260: coding=clean_window, outlier=winsor, es_set=no_starbound, df_basis=k10, estimator=3LMA-RVE_CR2, rho=0.6 [DEC-045 S2]; descriptive curve cell</t>
  </si>
  <si>
    <t>multiverse cell 481/1260: coding=paris_mid, outlier=none, es_set=full, df_basis=k20, estimator=3LMA-RVE_CR2, rho=0.6 [DEC-045 S2]; descriptive curve cell</t>
  </si>
  <si>
    <t>multiverse cell 482/1260: coding=tie_break_median, outlier=none, es_set=full, df_basis=k20, estimator=3LMA-RVE_CR2, rho=0.6 [DEC-045 S2]; descriptive curve cell</t>
  </si>
  <si>
    <t>multiverse cell 483/1260: coding=end_any_exposure, outlier=none, es_set=full, df_basis=k20, estimator=3LMA-RVE_CR2, rho=0.6 [DEC-045 S2]; descriptive curve cell</t>
  </si>
  <si>
    <t>multiverse cell 484/1260: coding=share_recut_2017, outlier=none, es_set=full, df_basis=k20, estimator=3LMA-RVE_CR2, rho=0.6 [DEC-045 S2]; descriptive curve cell</t>
  </si>
  <si>
    <t>multiverse cell 485/1260: coding=share_recut_2018, outlier=none, es_set=full, df_basis=k20, estimator=3LMA-RVE_CR2, rho=0.6 [DEC-045 S2]; descriptive curve cell</t>
  </si>
  <si>
    <t>multiverse cell 486/1260: coding=share_recut_2019, outlier=none, es_set=full, df_basis=k20, estimator=3LMA-RVE_CR2, rho=0.6 [DEC-045 S2]; descriptive curve cell</t>
  </si>
  <si>
    <t>multiverse cell 487/1260: coding=end_lag1, outlier=none, es_set=full, df_basis=k20, estimator=3LMA-RVE_CR2, rho=0.6 [DEC-045 S2]; descriptive curve cell</t>
  </si>
  <si>
    <t>multiverse cell 488/1260: coding=end_lag2, outlier=none, es_set=full, df_basis=k20, estimator=3LMA-RVE_CR2, rho=0.6 [DEC-045 S2]; descriptive curve cell</t>
  </si>
  <si>
    <t>multiverse cell 489/1260: coding=end_lag3, outlier=none, es_set=full, df_basis=k20, estimator=3LMA-RVE_CR2, rho=0.6 [DEC-045 S2]; descriptive curve cell</t>
  </si>
  <si>
    <t>multiverse cell 490/1260: coding=clean_window, outlier=none, es_set=full, df_basis=k20, estimator=3LMA-RVE_CR2, rho=0.6 [DEC-045 S2]; descriptive curve cell</t>
  </si>
  <si>
    <t>multiverse cell 491/1260: coding=paris_mid, outlier=rstudent, es_set=full, df_basis=k20, estimator=3LMA-RVE_CR2, rho=0.6 [DEC-045 S2]; descriptive curve cell</t>
  </si>
  <si>
    <t>multiverse cell 492/1260: coding=tie_break_median, outlier=rstudent, es_set=full, df_basis=k20, estimator=3LMA-RVE_CR2, rho=0.6 [DEC-045 S2]; descriptive curve cell</t>
  </si>
  <si>
    <t>multiverse cell 493/1260: coding=end_any_exposure, outlier=rstudent, es_set=full, df_basis=k20, estimator=3LMA-RVE_CR2, rho=0.6 [DEC-045 S2]; descriptive curve cell</t>
  </si>
  <si>
    <t>multiverse cell 494/1260: coding=share_recut_2017, outlier=rstudent, es_set=full, df_basis=k20, estimator=3LMA-RVE_CR2, rho=0.6 [DEC-045 S2]; descriptive curve cell</t>
  </si>
  <si>
    <t>multiverse cell 495/1260: coding=share_recut_2018, outlier=rstudent, es_set=full, df_basis=k20, estimator=3LMA-RVE_CR2, rho=0.6 [DEC-045 S2]; descriptive curve cell</t>
  </si>
  <si>
    <t>multiverse cell 496/1260: coding=share_recut_2019, outlier=rstudent, es_set=full, df_basis=k20, estimator=3LMA-RVE_CR2, rho=0.6 [DEC-045 S2]; descriptive curve cell</t>
  </si>
  <si>
    <t>multiverse cell 497/1260: coding=end_lag1, outlier=rstudent, es_set=full, df_basis=k20, estimator=3LMA-RVE_CR2, rho=0.6 [DEC-045 S2]; descriptive curve cell</t>
  </si>
  <si>
    <t>multiverse cell 498/1260: coding=end_lag2, outlier=rstudent, es_set=full, df_basis=k20, estimator=3LMA-RVE_CR2, rho=0.6 [DEC-045 S2]; descriptive curve cell</t>
  </si>
  <si>
    <t>multiverse cell 499/1260: coding=end_lag3, outlier=rstudent, es_set=full, df_basis=k20, estimator=3LMA-RVE_CR2, rho=0.6 [DEC-045 S2]; descriptive curve cell</t>
  </si>
  <si>
    <t>multiverse cell 500/1260: coding=clean_window, outlier=rstudent, es_set=full, df_basis=k20, estimator=3LMA-RVE_CR2, rho=0.6 [DEC-045 S2]; descriptive curve cell</t>
  </si>
  <si>
    <t>multiverse cell 501/1260: coding=paris_mid, outlier=winsor, es_set=full, df_basis=k20, estimator=3LMA-RVE_CR2, rho=0.6 [DEC-045 S2]; descriptive curve cell</t>
  </si>
  <si>
    <t>multiverse cell 502/1260: coding=tie_break_median, outlier=winsor, es_set=full, df_basis=k20, estimator=3LMA-RVE_CR2, rho=0.6 [DEC-045 S2]; descriptive curve cell</t>
  </si>
  <si>
    <t>multiverse cell 503/1260: coding=end_any_exposure, outlier=winsor, es_set=full, df_basis=k20, estimator=3LMA-RVE_CR2, rho=0.6 [DEC-045 S2]; descriptive curve cell</t>
  </si>
  <si>
    <t>multiverse cell 504/1260: coding=share_recut_2017, outlier=winsor, es_set=full, df_basis=k20, estimator=3LMA-RVE_CR2, rho=0.6 [DEC-045 S2]; descriptive curve cell</t>
  </si>
  <si>
    <t>multiverse cell 505/1260: coding=share_recut_2018, outlier=winsor, es_set=full, df_basis=k20, estimator=3LMA-RVE_CR2, rho=0.6 [DEC-045 S2]; descriptive curve cell</t>
  </si>
  <si>
    <t>multiverse cell 506/1260: coding=share_recut_2019, outlier=winsor, es_set=full, df_basis=k20, estimator=3LMA-RVE_CR2, rho=0.6 [DEC-045 S2]; descriptive curve cell</t>
  </si>
  <si>
    <t>multiverse cell 507/1260: coding=end_lag1, outlier=winsor, es_set=full, df_basis=k20, estimator=3LMA-RVE_CR2, rho=0.6 [DEC-045 S2]; descriptive curve cell</t>
  </si>
  <si>
    <t>multiverse cell 508/1260: coding=end_lag2, outlier=winsor, es_set=full, df_basis=k20, estimator=3LMA-RVE_CR2, rho=0.6 [DEC-045 S2]; descriptive curve cell</t>
  </si>
  <si>
    <t>multiverse cell 509/1260: coding=end_lag3, outlier=winsor, es_set=full, df_basis=k20, estimator=3LMA-RVE_CR2, rho=0.6 [DEC-045 S2]; descriptive curve cell</t>
  </si>
  <si>
    <t>multiverse cell 510/1260: coding=clean_window, outlier=winsor, es_set=full, df_basis=k20, estimator=3LMA-RVE_CR2, rho=0.6 [DEC-045 S2]; descriptive curve cell</t>
  </si>
  <si>
    <t>multiverse cell 511/1260: coding=paris_mid, outlier=none, es_set=no_starbound, df_basis=k20, estimator=3LMA-RVE_CR2, rho=0.6 [DEC-045 S2]; descriptive curve cell</t>
  </si>
  <si>
    <t>multiverse cell 512/1260: coding=tie_break_median, outlier=none, es_set=no_starbound, df_basis=k20, estimator=3LMA-RVE_CR2, rho=0.6 [DEC-045 S2]; descriptive curve cell</t>
  </si>
  <si>
    <t>multiverse cell 513/1260: coding=end_any_exposure, outlier=none, es_set=no_starbound, df_basis=k20, estimator=3LMA-RVE_CR2, rho=0.6 [DEC-045 S2]; descriptive curve cell</t>
  </si>
  <si>
    <t>multiverse cell 514/1260: coding=share_recut_2017, outlier=none, es_set=no_starbound, df_basis=k20, estimator=3LMA-RVE_CR2, rho=0.6 [DEC-045 S2]; descriptive curve cell</t>
  </si>
  <si>
    <t>multiverse cell 515/1260: coding=share_recut_2018, outlier=none, es_set=no_starbound, df_basis=k20, estimator=3LMA-RVE_CR2, rho=0.6 [DEC-045 S2]; descriptive curve cell</t>
  </si>
  <si>
    <t>multiverse cell 516/1260: coding=share_recut_2019, outlier=none, es_set=no_starbound, df_basis=k20, estimator=3LMA-RVE_CR2, rho=0.6 [DEC-045 S2]; descriptive curve cell</t>
  </si>
  <si>
    <t>multiverse cell 517/1260: coding=end_lag1, outlier=none, es_set=no_starbound, df_basis=k20, estimator=3LMA-RVE_CR2, rho=0.6 [DEC-045 S2]; descriptive curve cell</t>
  </si>
  <si>
    <t>multiverse cell 518/1260: coding=end_lag2, outlier=none, es_set=no_starbound, df_basis=k20, estimator=3LMA-RVE_CR2, rho=0.6 [DEC-045 S2]; descriptive curve cell</t>
  </si>
  <si>
    <t>multiverse cell 519/1260: coding=end_lag3, outlier=none, es_set=no_starbound, df_basis=k20, estimator=3LMA-RVE_CR2, rho=0.6 [DEC-045 S2]; descriptive curve cell</t>
  </si>
  <si>
    <t>multiverse cell 520/1260: coding=clean_window, outlier=none, es_set=no_starbound, df_basis=k20, estimator=3LMA-RVE_CR2, rho=0.6 [DEC-045 S2]; descriptive curve cell</t>
  </si>
  <si>
    <t>multiverse cell 521/1260: coding=paris_mid, outlier=rstudent, es_set=no_starbound, df_basis=k20, estimator=3LMA-RVE_CR2, rho=0.6 [DEC-045 S2]; descriptive curve cell</t>
  </si>
  <si>
    <t>multiverse cell 522/1260: coding=tie_break_median, outlier=rstudent, es_set=no_starbound, df_basis=k20, estimator=3LMA-RVE_CR2, rho=0.6 [DEC-045 S2]; descriptive curve cell</t>
  </si>
  <si>
    <t>multiverse cell 523/1260: coding=end_any_exposure, outlier=rstudent, es_set=no_starbound, df_basis=k20, estimator=3LMA-RVE_CR2, rho=0.6 [DEC-045 S2]; descriptive curve cell</t>
  </si>
  <si>
    <t>multiverse cell 524/1260: coding=share_recut_2017, outlier=rstudent, es_set=no_starbound, df_basis=k20, estimator=3LMA-RVE_CR2, rho=0.6 [DEC-045 S2]; descriptive curve cell</t>
  </si>
  <si>
    <t>multiverse cell 525/1260: coding=share_recut_2018, outlier=rstudent, es_set=no_starbound, df_basis=k20, estimator=3LMA-RVE_CR2, rho=0.6 [DEC-045 S2]; descriptive curve cell</t>
  </si>
  <si>
    <t>multiverse cell 526/1260: coding=share_recut_2019, outlier=rstudent, es_set=no_starbound, df_basis=k20, estimator=3LMA-RVE_CR2, rho=0.6 [DEC-045 S2]; descriptive curve cell</t>
  </si>
  <si>
    <t>multiverse cell 527/1260: coding=end_lag1, outlier=rstudent, es_set=no_starbound, df_basis=k20, estimator=3LMA-RVE_CR2, rho=0.6 [DEC-045 S2]; descriptive curve cell</t>
  </si>
  <si>
    <t>multiverse cell 528/1260: coding=end_lag2, outlier=rstudent, es_set=no_starbound, df_basis=k20, estimator=3LMA-RVE_CR2, rho=0.6 [DEC-045 S2]; descriptive curve cell</t>
  </si>
  <si>
    <t>multiverse cell 529/1260: coding=end_lag3, outlier=rstudent, es_set=no_starbound, df_basis=k20, estimator=3LMA-RVE_CR2, rho=0.6 [DEC-045 S2]; descriptive curve cell</t>
  </si>
  <si>
    <t>multiverse cell 530/1260: coding=clean_window, outlier=rstudent, es_set=no_starbound, df_basis=k20, estimator=3LMA-RVE_CR2, rho=0.6 [DEC-045 S2]; descriptive curve cell</t>
  </si>
  <si>
    <t>multiverse cell 531/1260: coding=paris_mid, outlier=winsor, es_set=no_starbound, df_basis=k20, estimator=3LMA-RVE_CR2, rho=0.6 [DEC-045 S2]; descriptive curve cell</t>
  </si>
  <si>
    <t>multiverse cell 532/1260: coding=tie_break_median, outlier=winsor, es_set=no_starbound, df_basis=k20, estimator=3LMA-RVE_CR2, rho=0.6 [DEC-045 S2]; descriptive curve cell</t>
  </si>
  <si>
    <t>multiverse cell 533/1260: coding=end_any_exposure, outlier=winsor, es_set=no_starbound, df_basis=k20, estimator=3LMA-RVE_CR2, rho=0.6 [DEC-045 S2]; descriptive curve cell</t>
  </si>
  <si>
    <t>multiverse cell 534/1260: coding=share_recut_2017, outlier=winsor, es_set=no_starbound, df_basis=k20, estimator=3LMA-RVE_CR2, rho=0.6 [DEC-045 S2]; descriptive curve cell</t>
  </si>
  <si>
    <t>multiverse cell 535/1260: coding=share_recut_2018, outlier=winsor, es_set=no_starbound, df_basis=k20, estimator=3LMA-RVE_CR2, rho=0.6 [DEC-045 S2]; descriptive curve cell</t>
  </si>
  <si>
    <t>multiverse cell 536/1260: coding=share_recut_2019, outlier=winsor, es_set=no_starbound, df_basis=k20, estimator=3LMA-RVE_CR2, rho=0.6 [DEC-045 S2]; descriptive curve cell</t>
  </si>
  <si>
    <t>multiverse cell 537/1260: coding=end_lag1, outlier=winsor, es_set=no_starbound, df_basis=k20, estimator=3LMA-RVE_CR2, rho=0.6 [DEC-045 S2]; descriptive curve cell</t>
  </si>
  <si>
    <t>multiverse cell 538/1260: coding=end_lag2, outlier=winsor, es_set=no_starbound, df_basis=k20, estimator=3LMA-RVE_CR2, rho=0.6 [DEC-045 S2]; descriptive curve cell</t>
  </si>
  <si>
    <t>multiverse cell 539/1260: coding=end_lag3, outlier=winsor, es_set=no_starbound, df_basis=k20, estimator=3LMA-RVE_CR2, rho=0.6 [DEC-045 S2]; descriptive curve cell</t>
  </si>
  <si>
    <t>multiverse cell 540/1260: coding=clean_window, outlier=winsor, es_set=no_starbound, df_basis=k20, estimator=3LMA-RVE_CR2, rho=0.6 [DEC-045 S2]; descriptive curve cell</t>
  </si>
  <si>
    <t>one_per_cluster|r0.6</t>
  </si>
  <si>
    <t>multiverse cell 541/1260: coding=paris_mid, outlier=none, es_set=full, df_basis=dfE, estimator=one_per_cluster, rho=0.6 [DEC-045 S2]; cluster x cell aggregates (D2/H2b convention)</t>
  </si>
  <si>
    <t>multiverse cell 542/1260: coding=tie_break_median, outlier=none, es_set=full, df_basis=dfE, estimator=one_per_cluster, rho=0.6 [DEC-045 S2]; cluster x cell aggregates (D2/H2b convention)</t>
  </si>
  <si>
    <t>multiverse cell 543/1260: coding=end_any_exposure, outlier=none, es_set=full, df_basis=dfE, estimator=one_per_cluster, rho=0.6 [DEC-045 S2]; cluster x cell aggregates (D2/H2b convention)</t>
  </si>
  <si>
    <t>multiverse cell 544/1260: coding=share_recut_2017, outlier=none, es_set=full, df_basis=dfE, estimator=one_per_cluster, rho=0.6 [DEC-045 S2]; cluster x cell aggregates (D2/H2b convention)</t>
  </si>
  <si>
    <t>multiverse cell 545/1260: coding=share_recut_2018, outlier=none, es_set=full, df_basis=dfE, estimator=one_per_cluster, rho=0.6 [DEC-045 S2]; cluster x cell aggregates (D2/H2b convention)</t>
  </si>
  <si>
    <t>multiverse cell 546/1260: coding=share_recut_2019, outlier=none, es_set=full, df_basis=dfE, estimator=one_per_cluster, rho=0.6 [DEC-045 S2]; cluster x cell aggregates (D2/H2b convention)</t>
  </si>
  <si>
    <t>multiverse cell 547/1260: coding=end_lag1, outlier=none, es_set=full, df_basis=dfE, estimator=one_per_cluster, rho=0.6 [DEC-045 S2]; cluster x cell aggregates (D2/H2b convention)</t>
  </si>
  <si>
    <t>multiverse cell 548/1260: coding=end_lag2, outlier=none, es_set=full, df_basis=dfE, estimator=one_per_cluster, rho=0.6 [DEC-045 S2]; cluster x cell aggregates (D2/H2b convention)</t>
  </si>
  <si>
    <t>multiverse cell 549/1260: coding=end_lag3, outlier=none, es_set=full, df_basis=dfE, estimator=one_per_cluster, rho=0.6 [DEC-045 S2]; cluster x cell aggregates (D2/H2b convention)</t>
  </si>
  <si>
    <t>multiverse cell 550/1260: coding=clean_window, outlier=none, es_set=full, df_basis=dfE, estimator=one_per_cluster, rho=0.6 [DEC-045 S2]; cluster x cell aggregates (D2/H2b convention)</t>
  </si>
  <si>
    <t>multiverse cell 551/1260: coding=paris_mid, outlier=rstudent, es_set=full, df_basis=dfE, estimator=one_per_cluster, rho=0.6 [DEC-045 S2]; cluster x cell aggregates (D2/H2b convention)</t>
  </si>
  <si>
    <t>multiverse cell 552/1260: coding=tie_break_median, outlier=rstudent, es_set=full, df_basis=dfE, estimator=one_per_cluster, rho=0.6 [DEC-045 S2]; cluster x cell aggregates (D2/H2b convention)</t>
  </si>
  <si>
    <t>multiverse cell 553/1260: coding=end_any_exposure, outlier=rstudent, es_set=full, df_basis=dfE, estimator=one_per_cluster, rho=0.6 [DEC-045 S2]; cluster x cell aggregates (D2/H2b convention)</t>
  </si>
  <si>
    <t>multiverse cell 554/1260: coding=share_recut_2017, outlier=rstudent, es_set=full, df_basis=dfE, estimator=one_per_cluster, rho=0.6 [DEC-045 S2]; cluster x cell aggregates (D2/H2b convention)</t>
  </si>
  <si>
    <t>multiverse cell 555/1260: coding=share_recut_2018, outlier=rstudent, es_set=full, df_basis=dfE, estimator=one_per_cluster, rho=0.6 [DEC-045 S2]; cluster x cell aggregates (D2/H2b convention)</t>
  </si>
  <si>
    <t>multiverse cell 556/1260: coding=share_recut_2019, outlier=rstudent, es_set=full, df_basis=dfE, estimator=one_per_cluster, rho=0.6 [DEC-045 S2]; cluster x cell aggregates (D2/H2b convention)</t>
  </si>
  <si>
    <t>multiverse cell 557/1260: coding=end_lag1, outlier=rstudent, es_set=full, df_basis=dfE, estimator=one_per_cluster, rho=0.6 [DEC-045 S2]; cluster x cell aggregates (D2/H2b convention)</t>
  </si>
  <si>
    <t>multiverse cell 558/1260: coding=end_lag2, outlier=rstudent, es_set=full, df_basis=dfE, estimator=one_per_cluster, rho=0.6 [DEC-045 S2]; cluster x cell aggregates (D2/H2b convention)</t>
  </si>
  <si>
    <t>multiverse cell 559/1260: coding=end_lag3, outlier=rstudent, es_set=full, df_basis=dfE, estimator=one_per_cluster, rho=0.6 [DEC-045 S2]; cluster x cell aggregates (D2/H2b convention)</t>
  </si>
  <si>
    <t>multiverse cell 560/1260: coding=clean_window, outlier=rstudent, es_set=full, df_basis=dfE, estimator=one_per_cluster, rho=0.6 [DEC-045 S2]; cluster x cell aggregates (D2/H2b convention)</t>
  </si>
  <si>
    <t>multiverse cell 561/1260: coding=paris_mid, outlier=winsor, es_set=full, df_basis=dfE, estimator=one_per_cluster, rho=0.6 [DEC-045 S2]; cluster x cell aggregates (D2/H2b convention)</t>
  </si>
  <si>
    <t>multiverse cell 562/1260: coding=tie_break_median, outlier=winsor, es_set=full, df_basis=dfE, estimator=one_per_cluster, rho=0.6 [DEC-045 S2]; cluster x cell aggregates (D2/H2b convention)</t>
  </si>
  <si>
    <t>multiverse cell 563/1260: coding=end_any_exposure, outlier=winsor, es_set=full, df_basis=dfE, estimator=one_per_cluster, rho=0.6 [DEC-045 S2]; cluster x cell aggregates (D2/H2b convention)</t>
  </si>
  <si>
    <t>multiverse cell 564/1260: coding=share_recut_2017, outlier=winsor, es_set=full, df_basis=dfE, estimator=one_per_cluster, rho=0.6 [DEC-045 S2]; cluster x cell aggregates (D2/H2b convention)</t>
  </si>
  <si>
    <t>multiverse cell 565/1260: coding=share_recut_2018, outlier=winsor, es_set=full, df_basis=dfE, estimator=one_per_cluster, rho=0.6 [DEC-045 S2]; cluster x cell aggregates (D2/H2b convention)</t>
  </si>
  <si>
    <t>multiverse cell 566/1260: coding=share_recut_2019, outlier=winsor, es_set=full, df_basis=dfE, estimator=one_per_cluster, rho=0.6 [DEC-045 S2]; cluster x cell aggregates (D2/H2b convention)</t>
  </si>
  <si>
    <t>multiverse cell 567/1260: coding=end_lag1, outlier=winsor, es_set=full, df_basis=dfE, estimator=one_per_cluster, rho=0.6 [DEC-045 S2]; cluster x cell aggregates (D2/H2b convention)</t>
  </si>
  <si>
    <t>multiverse cell 568/1260: coding=end_lag2, outlier=winsor, es_set=full, df_basis=dfE, estimator=one_per_cluster, rho=0.6 [DEC-045 S2]; cluster x cell aggregates (D2/H2b convention)</t>
  </si>
  <si>
    <t>multiverse cell 569/1260: coding=end_lag3, outlier=winsor, es_set=full, df_basis=dfE, estimator=one_per_cluster, rho=0.6 [DEC-045 S2]; cluster x cell aggregates (D2/H2b convention)</t>
  </si>
  <si>
    <t>multiverse cell 570/1260: coding=clean_window, outlier=winsor, es_set=full, df_basis=dfE, estimator=one_per_cluster, rho=0.6 [DEC-045 S2]; cluster x cell aggregates (D2/H2b convention)</t>
  </si>
  <si>
    <t>multiverse cell 571/1260: coding=paris_mid, outlier=none, es_set=no_starbound, df_basis=dfE, estimator=one_per_cluster, rho=0.6 [DEC-045 S2]; cluster x cell aggregates (D2/H2b convention)</t>
  </si>
  <si>
    <t>multiverse cell 572/1260: coding=tie_break_median, outlier=none, es_set=no_starbound, df_basis=dfE, estimator=one_per_cluster, rho=0.6 [DEC-045 S2]; cluster x cell aggregates (D2/H2b convention)</t>
  </si>
  <si>
    <t>multiverse cell 573/1260: coding=end_any_exposure, outlier=none, es_set=no_starbound, df_basis=dfE, estimator=one_per_cluster, rho=0.6 [DEC-045 S2]; cluster x cell aggregates (D2/H2b convention)</t>
  </si>
  <si>
    <t>multiverse cell 574/1260: coding=share_recut_2017, outlier=none, es_set=no_starbound, df_basis=dfE, estimator=one_per_cluster, rho=0.6 [DEC-045 S2]; cluster x cell aggregates (D2/H2b convention)</t>
  </si>
  <si>
    <t>multiverse cell 575/1260: coding=share_recut_2018, outlier=none, es_set=no_starbound, df_basis=dfE, estimator=one_per_cluster, rho=0.6 [DEC-045 S2]; cluster x cell aggregates (D2/H2b convention)</t>
  </si>
  <si>
    <t>multiverse cell 576/1260: coding=share_recut_2019, outlier=none, es_set=no_starbound, df_basis=dfE, estimator=one_per_cluster, rho=0.6 [DEC-045 S2]; cluster x cell aggregates (D2/H2b convention)</t>
  </si>
  <si>
    <t>multiverse cell 577/1260: coding=end_lag1, outlier=none, es_set=no_starbound, df_basis=dfE, estimator=one_per_cluster, rho=0.6 [DEC-045 S2]; cluster x cell aggregates (D2/H2b convention)</t>
  </si>
  <si>
    <t>multiverse cell 578/1260: coding=end_lag2, outlier=none, es_set=no_starbound, df_basis=dfE, estimator=one_per_cluster, rho=0.6 [DEC-045 S2]; cluster x cell aggregates (D2/H2b convention)</t>
  </si>
  <si>
    <t>multiverse cell 579/1260: coding=end_lag3, outlier=none, es_set=no_starbound, df_basis=dfE, estimator=one_per_cluster, rho=0.6 [DEC-045 S2]; cluster x cell aggregates (D2/H2b convention)</t>
  </si>
  <si>
    <t>multiverse cell 580/1260: coding=clean_window, outlier=none, es_set=no_starbound, df_basis=dfE, estimator=one_per_cluster, rho=0.6 [DEC-045 S2]; cluster x cell aggregates (D2/H2b convention)</t>
  </si>
  <si>
    <t>multiverse cell 581/1260: coding=paris_mid, outlier=rstudent, es_set=no_starbound, df_basis=dfE, estimator=one_per_cluster, rho=0.6 [DEC-045 S2]; cluster x cell aggregates (D2/H2b convention)</t>
  </si>
  <si>
    <t>multiverse cell 582/1260: coding=tie_break_median, outlier=rstudent, es_set=no_starbound, df_basis=dfE, estimator=one_per_cluster, rho=0.6 [DEC-045 S2]; cluster x cell aggregates (D2/H2b convention)</t>
  </si>
  <si>
    <t>multiverse cell 583/1260: coding=end_any_exposure, outlier=rstudent, es_set=no_starbound, df_basis=dfE, estimator=one_per_cluster, rho=0.6 [DEC-045 S2]; cluster x cell aggregates (D2/H2b convention)</t>
  </si>
  <si>
    <t>multiverse cell 584/1260: coding=share_recut_2017, outlier=rstudent, es_set=no_starbound, df_basis=dfE, estimator=one_per_cluster, rho=0.6 [DEC-045 S2]; cluster x cell aggregates (D2/H2b convention)</t>
  </si>
  <si>
    <t>multiverse cell 585/1260: coding=share_recut_2018, outlier=rstudent, es_set=no_starbound, df_basis=dfE, estimator=one_per_cluster, rho=0.6 [DEC-045 S2]; cluster x cell aggregates (D2/H2b convention)</t>
  </si>
  <si>
    <t>multiverse cell 586/1260: coding=share_recut_2019, outlier=rstudent, es_set=no_starbound, df_basis=dfE, estimator=one_per_cluster, rho=0.6 [DEC-045 S2]; cluster x cell aggregates (D2/H2b convention)</t>
  </si>
  <si>
    <t>multiverse cell 587/1260: coding=end_lag1, outlier=rstudent, es_set=no_starbound, df_basis=dfE, estimator=one_per_cluster, rho=0.6 [DEC-045 S2]; cluster x cell aggregates (D2/H2b convention)</t>
  </si>
  <si>
    <t>multiverse cell 588/1260: coding=end_lag2, outlier=rstudent, es_set=no_starbound, df_basis=dfE, estimator=one_per_cluster, rho=0.6 [DEC-045 S2]; cluster x cell aggregates (D2/H2b convention)</t>
  </si>
  <si>
    <t>multiverse cell 589/1260: coding=end_lag3, outlier=rstudent, es_set=no_starbound, df_basis=dfE, estimator=one_per_cluster, rho=0.6 [DEC-045 S2]; cluster x cell aggregates (D2/H2b convention)</t>
  </si>
  <si>
    <t>multiverse cell 590/1260: coding=clean_window, outlier=rstudent, es_set=no_starbound, df_basis=dfE, estimator=one_per_cluster, rho=0.6 [DEC-045 S2]; cluster x cell aggregates (D2/H2b convention)</t>
  </si>
  <si>
    <t>multiverse cell 591/1260: coding=paris_mid, outlier=winsor, es_set=no_starbound, df_basis=dfE, estimator=one_per_cluster, rho=0.6 [DEC-045 S2]; cluster x cell aggregates (D2/H2b convention)</t>
  </si>
  <si>
    <t>multiverse cell 592/1260: coding=tie_break_median, outlier=winsor, es_set=no_starbound, df_basis=dfE, estimator=one_per_cluster, rho=0.6 [DEC-045 S2]; cluster x cell aggregates (D2/H2b convention)</t>
  </si>
  <si>
    <t>multiverse cell 593/1260: coding=end_any_exposure, outlier=winsor, es_set=no_starbound, df_basis=dfE, estimator=one_per_cluster, rho=0.6 [DEC-045 S2]; cluster x cell aggregates (D2/H2b convention)</t>
  </si>
  <si>
    <t>multiverse cell 594/1260: coding=share_recut_2017, outlier=winsor, es_set=no_starbound, df_basis=dfE, estimator=one_per_cluster, rho=0.6 [DEC-045 S2]; cluster x cell aggregates (D2/H2b convention)</t>
  </si>
  <si>
    <t>multiverse cell 595/1260: coding=share_recut_2018, outlier=winsor, es_set=no_starbound, df_basis=dfE, estimator=one_per_cluster, rho=0.6 [DEC-045 S2]; cluster x cell aggregates (D2/H2b convention)</t>
  </si>
  <si>
    <t>multiverse cell 596/1260: coding=share_recut_2019, outlier=winsor, es_set=no_starbound, df_basis=dfE, estimator=one_per_cluster, rho=0.6 [DEC-045 S2]; cluster x cell aggregates (D2/H2b convention)</t>
  </si>
  <si>
    <t>multiverse cell 597/1260: coding=end_lag1, outlier=winsor, es_set=no_starbound, df_basis=dfE, estimator=one_per_cluster, rho=0.6 [DEC-045 S2]; cluster x cell aggregates (D2/H2b convention)</t>
  </si>
  <si>
    <t>multiverse cell 598/1260: coding=end_lag2, outlier=winsor, es_set=no_starbound, df_basis=dfE, estimator=one_per_cluster, rho=0.6 [DEC-045 S2]; cluster x cell aggregates (D2/H2b convention)</t>
  </si>
  <si>
    <t>multiverse cell 599/1260: coding=end_lag3, outlier=winsor, es_set=no_starbound, df_basis=dfE, estimator=one_per_cluster, rho=0.6 [DEC-045 S2]; cluster x cell aggregates (D2/H2b convention)</t>
  </si>
  <si>
    <t>multiverse cell 600/1260: coding=clean_window, outlier=winsor, es_set=no_starbound, df_basis=dfE, estimator=one_per_cluster, rho=0.6 [DEC-045 S2]; cluster x cell aggregates (D2/H2b convention)</t>
  </si>
  <si>
    <t>multiverse cell 601/1260: coding=paris_mid, outlier=none, es_set=full, df_basis=k10, estimator=one_per_cluster, rho=0.6 [DEC-045 S2]; cluster x cell aggregates (D2/H2b convention)</t>
  </si>
  <si>
    <t>multiverse cell 602/1260: coding=tie_break_median, outlier=none, es_set=full, df_basis=k10, estimator=one_per_cluster, rho=0.6 [DEC-045 S2]; cluster x cell aggregates (D2/H2b convention)</t>
  </si>
  <si>
    <t>multiverse cell 603/1260: coding=end_any_exposure, outlier=none, es_set=full, df_basis=k10, estimator=one_per_cluster, rho=0.6 [DEC-045 S2]; cluster x cell aggregates (D2/H2b convention)</t>
  </si>
  <si>
    <t>multiverse cell 604/1260: coding=share_recut_2017, outlier=none, es_set=full, df_basis=k10, estimator=one_per_cluster, rho=0.6 [DEC-045 S2]; cluster x cell aggregates (D2/H2b convention)</t>
  </si>
  <si>
    <t>multiverse cell 605/1260: coding=share_recut_2018, outlier=none, es_set=full, df_basis=k10, estimator=one_per_cluster, rho=0.6 [DEC-045 S2]; cluster x cell aggregates (D2/H2b convention)</t>
  </si>
  <si>
    <t>multiverse cell 606/1260: coding=share_recut_2019, outlier=none, es_set=full, df_basis=k10, estimator=one_per_cluster, rho=0.6 [DEC-045 S2]; cluster x cell aggregates (D2/H2b convention)</t>
  </si>
  <si>
    <t>multiverse cell 607/1260: coding=end_lag1, outlier=none, es_set=full, df_basis=k10, estimator=one_per_cluster, rho=0.6 [DEC-045 S2]; cluster x cell aggregates (D2/H2b convention)</t>
  </si>
  <si>
    <t>multiverse cell 608/1260: coding=end_lag2, outlier=none, es_set=full, df_basis=k10, estimator=one_per_cluster, rho=0.6 [DEC-045 S2]; cluster x cell aggregates (D2/H2b convention)</t>
  </si>
  <si>
    <t>multiverse cell 609/1260: coding=end_lag3, outlier=none, es_set=full, df_basis=k10, estimator=one_per_cluster, rho=0.6 [DEC-045 S2]; cluster x cell aggregates (D2/H2b convention)</t>
  </si>
  <si>
    <t>multiverse cell 610/1260: coding=clean_window, outlier=none, es_set=full, df_basis=k10, estimator=one_per_cluster, rho=0.6 [DEC-045 S2]; cluster x cell aggregates (D2/H2b convention)</t>
  </si>
  <si>
    <t>multiverse cell 611/1260: coding=paris_mid, outlier=rstudent, es_set=full, df_basis=k10, estimator=one_per_cluster, rho=0.6 [DEC-045 S2]; cluster x cell aggregates (D2/H2b convention)</t>
  </si>
  <si>
    <t>multiverse cell 612/1260: coding=tie_break_median, outlier=rstudent, es_set=full, df_basis=k10, estimator=one_per_cluster, rho=0.6 [DEC-045 S2]; cluster x cell aggregates (D2/H2b convention)</t>
  </si>
  <si>
    <t>multiverse cell 613/1260: coding=end_any_exposure, outlier=rstudent, es_set=full, df_basis=k10, estimator=one_per_cluster, rho=0.6 [DEC-045 S2]; cluster x cell aggregates (D2/H2b convention)</t>
  </si>
  <si>
    <t>multiverse cell 614/1260: coding=share_recut_2017, outlier=rstudent, es_set=full, df_basis=k10, estimator=one_per_cluster, rho=0.6 [DEC-045 S2]; cluster x cell aggregates (D2/H2b convention)</t>
  </si>
  <si>
    <t>multiverse cell 615/1260: coding=share_recut_2018, outlier=rstudent, es_set=full, df_basis=k10, estimator=one_per_cluster, rho=0.6 [DEC-045 S2]; cluster x cell aggregates (D2/H2b convention)</t>
  </si>
  <si>
    <t>multiverse cell 616/1260: coding=share_recut_2019, outlier=rstudent, es_set=full, df_basis=k10, estimator=one_per_cluster, rho=0.6 [DEC-045 S2]; cluster x cell aggregates (D2/H2b convention)</t>
  </si>
  <si>
    <t>multiverse cell 617/1260: coding=end_lag1, outlier=rstudent, es_set=full, df_basis=k10, estimator=one_per_cluster, rho=0.6 [DEC-045 S2]; cluster x cell aggregates (D2/H2b convention)</t>
  </si>
  <si>
    <t>multiverse cell 618/1260: coding=end_lag2, outlier=rstudent, es_set=full, df_basis=k10, estimator=one_per_cluster, rho=0.6 [DEC-045 S2]; cluster x cell aggregates (D2/H2b convention)</t>
  </si>
  <si>
    <t>multiverse cell 619/1260: coding=end_lag3, outlier=rstudent, es_set=full, df_basis=k10, estimator=one_per_cluster, rho=0.6 [DEC-045 S2]; cluster x cell aggregates (D2/H2b convention)</t>
  </si>
  <si>
    <t>multiverse cell 620/1260: coding=clean_window, outlier=rstudent, es_set=full, df_basis=k10, estimator=one_per_cluster, rho=0.6 [DEC-045 S2]; cluster x cell aggregates (D2/H2b convention)</t>
  </si>
  <si>
    <t>multiverse cell 621/1260: coding=paris_mid, outlier=winsor, es_set=full, df_basis=k10, estimator=one_per_cluster, rho=0.6 [DEC-045 S2]; cluster x cell aggregates (D2/H2b convention)</t>
  </si>
  <si>
    <t>multiverse cell 622/1260: coding=tie_break_median, outlier=winsor, es_set=full, df_basis=k10, estimator=one_per_cluster, rho=0.6 [DEC-045 S2]; cluster x cell aggregates (D2/H2b convention)</t>
  </si>
  <si>
    <t>multiverse cell 623/1260: coding=end_any_exposure, outlier=winsor, es_set=full, df_basis=k10, estimator=one_per_cluster, rho=0.6 [DEC-045 S2]; cluster x cell aggregates (D2/H2b convention)</t>
  </si>
  <si>
    <t>multiverse cell 624/1260: coding=share_recut_2017, outlier=winsor, es_set=full, df_basis=k10, estimator=one_per_cluster, rho=0.6 [DEC-045 S2]; cluster x cell aggregates (D2/H2b convention)</t>
  </si>
  <si>
    <t>multiverse cell 625/1260: coding=share_recut_2018, outlier=winsor, es_set=full, df_basis=k10, estimator=one_per_cluster, rho=0.6 [DEC-045 S2]; cluster x cell aggregates (D2/H2b convention)</t>
  </si>
  <si>
    <t>multiverse cell 626/1260: coding=share_recut_2019, outlier=winsor, es_set=full, df_basis=k10, estimator=one_per_cluster, rho=0.6 [DEC-045 S2]; cluster x cell aggregates (D2/H2b convention)</t>
  </si>
  <si>
    <t>multiverse cell 627/1260: coding=end_lag1, outlier=winsor, es_set=full, df_basis=k10, estimator=one_per_cluster, rho=0.6 [DEC-045 S2]; cluster x cell aggregates (D2/H2b convention)</t>
  </si>
  <si>
    <t>multiverse cell 628/1260: coding=end_lag2, outlier=winsor, es_set=full, df_basis=k10, estimator=one_per_cluster, rho=0.6 [DEC-045 S2]; cluster x cell aggregates (D2/H2b convention)</t>
  </si>
  <si>
    <t>multiverse cell 629/1260: coding=end_lag3, outlier=winsor, es_set=full, df_basis=k10, estimator=one_per_cluster, rho=0.6 [DEC-045 S2]; cluster x cell aggregates (D2/H2b convention)</t>
  </si>
  <si>
    <t>multiverse cell 630/1260: coding=clean_window, outlier=winsor, es_set=full, df_basis=k10, estimator=one_per_cluster, rho=0.6 [DEC-045 S2]; cluster x cell aggregates (D2/H2b convention)</t>
  </si>
  <si>
    <t>multiverse cell 631/1260: coding=paris_mid, outlier=none, es_set=no_starbound, df_basis=k10, estimator=one_per_cluster, rho=0.6 [DEC-045 S2]; cluster x cell aggregates (D2/H2b convention)</t>
  </si>
  <si>
    <t>multiverse cell 632/1260: coding=tie_break_median, outlier=none, es_set=no_starbound, df_basis=k10, estimator=one_per_cluster, rho=0.6 [DEC-045 S2]; cluster x cell aggregates (D2/H2b convention)</t>
  </si>
  <si>
    <t>multiverse cell 633/1260: coding=end_any_exposure, outlier=none, es_set=no_starbound, df_basis=k10, estimator=one_per_cluster, rho=0.6 [DEC-045 S2]; cluster x cell aggregates (D2/H2b convention)</t>
  </si>
  <si>
    <t>multiverse cell 634/1260: coding=share_recut_2017, outlier=none, es_set=no_starbound, df_basis=k10, estimator=one_per_cluster, rho=0.6 [DEC-045 S2]; cluster x cell aggregates (D2/H2b convention)</t>
  </si>
  <si>
    <t>multiverse cell 635/1260: coding=share_recut_2018, outlier=none, es_set=no_starbound, df_basis=k10, estimator=one_per_cluster, rho=0.6 [DEC-045 S2]; cluster x cell aggregates (D2/H2b convention)</t>
  </si>
  <si>
    <t>multiverse cell 636/1260: coding=share_recut_2019, outlier=none, es_set=no_starbound, df_basis=k10, estimator=one_per_cluster, rho=0.6 [DEC-045 S2]; cluster x cell aggregates (D2/H2b convention)</t>
  </si>
  <si>
    <t>multiverse cell 637/1260: coding=end_lag1, outlier=none, es_set=no_starbound, df_basis=k10, estimator=one_per_cluster, rho=0.6 [DEC-045 S2]; cluster x cell aggregates (D2/H2b convention)</t>
  </si>
  <si>
    <t>multiverse cell 638/1260: coding=end_lag2, outlier=none, es_set=no_starbound, df_basis=k10, estimator=one_per_cluster, rho=0.6 [DEC-045 S2]; cluster x cell aggregates (D2/H2b convention)</t>
  </si>
  <si>
    <t>multiverse cell 639/1260: coding=end_lag3, outlier=none, es_set=no_starbound, df_basis=k10, estimator=one_per_cluster, rho=0.6 [DEC-045 S2]; cluster x cell aggregates (D2/H2b convention)</t>
  </si>
  <si>
    <t>multiverse cell 640/1260: coding=clean_window, outlier=none, es_set=no_starbound, df_basis=k10, estimator=one_per_cluster, rho=0.6 [DEC-045 S2]; cluster x cell aggregates (D2/H2b convention)</t>
  </si>
  <si>
    <t>multiverse cell 641/1260: coding=paris_mid, outlier=rstudent, es_set=no_starbound, df_basis=k10, estimator=one_per_cluster, rho=0.6 [DEC-045 S2]; cluster x cell aggregates (D2/H2b convention)</t>
  </si>
  <si>
    <t>multiverse cell 642/1260: coding=tie_break_median, outlier=rstudent, es_set=no_starbound, df_basis=k10, estimator=one_per_cluster, rho=0.6 [DEC-045 S2]; cluster x cell aggregates (D2/H2b convention)</t>
  </si>
  <si>
    <t>multiverse cell 643/1260: coding=end_any_exposure, outlier=rstudent, es_set=no_starbound, df_basis=k10, estimator=one_per_cluster, rho=0.6 [DEC-045 S2]; cluster x cell aggregates (D2/H2b convention)</t>
  </si>
  <si>
    <t>multiverse cell 644/1260: coding=share_recut_2017, outlier=rstudent, es_set=no_starbound, df_basis=k10, estimator=one_per_cluster, rho=0.6 [DEC-045 S2]; cluster x cell aggregates (D2/H2b convention)</t>
  </si>
  <si>
    <t>multiverse cell 645/1260: coding=share_recut_2018, outlier=rstudent, es_set=no_starbound, df_basis=k10, estimator=one_per_cluster, rho=0.6 [DEC-045 S2]; cluster x cell aggregates (D2/H2b convention)</t>
  </si>
  <si>
    <t>multiverse cell 646/1260: coding=share_recut_2019, outlier=rstudent, es_set=no_starbound, df_basis=k10, estimator=one_per_cluster, rho=0.6 [DEC-045 S2]; cluster x cell aggregates (D2/H2b convention)</t>
  </si>
  <si>
    <t>multiverse cell 647/1260: coding=end_lag1, outlier=rstudent, es_set=no_starbound, df_basis=k10, estimator=one_per_cluster, rho=0.6 [DEC-045 S2]; cluster x cell aggregates (D2/H2b convention)</t>
  </si>
  <si>
    <t>multiverse cell 648/1260: coding=end_lag2, outlier=rstudent, es_set=no_starbound, df_basis=k10, estimator=one_per_cluster, rho=0.6 [DEC-045 S2]; cluster x cell aggregates (D2/H2b convention)</t>
  </si>
  <si>
    <t>multiverse cell 649/1260: coding=end_lag3, outlier=rstudent, es_set=no_starbound, df_basis=k10, estimator=one_per_cluster, rho=0.6 [DEC-045 S2]; cluster x cell aggregates (D2/H2b convention)</t>
  </si>
  <si>
    <t>multiverse cell 650/1260: coding=clean_window, outlier=rstudent, es_set=no_starbound, df_basis=k10, estimator=one_per_cluster, rho=0.6 [DEC-045 S2]; cluster x cell aggregates (D2/H2b convention)</t>
  </si>
  <si>
    <t>multiverse cell 651/1260: coding=paris_mid, outlier=winsor, es_set=no_starbound, df_basis=k10, estimator=one_per_cluster, rho=0.6 [DEC-045 S2]; cluster x cell aggregates (D2/H2b convention)</t>
  </si>
  <si>
    <t>multiverse cell 652/1260: coding=tie_break_median, outlier=winsor, es_set=no_starbound, df_basis=k10, estimator=one_per_cluster, rho=0.6 [DEC-045 S2]; cluster x cell aggregates (D2/H2b convention)</t>
  </si>
  <si>
    <t>multiverse cell 653/1260: coding=end_any_exposure, outlier=winsor, es_set=no_starbound, df_basis=k10, estimator=one_per_cluster, rho=0.6 [DEC-045 S2]; cluster x cell aggregates (D2/H2b convention)</t>
  </si>
  <si>
    <t>multiverse cell 654/1260: coding=share_recut_2017, outlier=winsor, es_set=no_starbound, df_basis=k10, estimator=one_per_cluster, rho=0.6 [DEC-045 S2]; cluster x cell aggregates (D2/H2b convention)</t>
  </si>
  <si>
    <t>multiverse cell 655/1260: coding=share_recut_2018, outlier=winsor, es_set=no_starbound, df_basis=k10, estimator=one_per_cluster, rho=0.6 [DEC-045 S2]; cluster x cell aggregates (D2/H2b convention)</t>
  </si>
  <si>
    <t>multiverse cell 656/1260: coding=share_recut_2019, outlier=winsor, es_set=no_starbound, df_basis=k10, estimator=one_per_cluster, rho=0.6 [DEC-045 S2]; cluster x cell aggregates (D2/H2b convention)</t>
  </si>
  <si>
    <t>multiverse cell 657/1260: coding=end_lag1, outlier=winsor, es_set=no_starbound, df_basis=k10, estimator=one_per_cluster, rho=0.6 [DEC-045 S2]; cluster x cell aggregates (D2/H2b convention)</t>
  </si>
  <si>
    <t>multiverse cell 658/1260: coding=end_lag2, outlier=winsor, es_set=no_starbound, df_basis=k10, estimator=one_per_cluster, rho=0.6 [DEC-045 S2]; cluster x cell aggregates (D2/H2b convention)</t>
  </si>
  <si>
    <t>multiverse cell 659/1260: coding=end_lag3, outlier=winsor, es_set=no_starbound, df_basis=k10, estimator=one_per_cluster, rho=0.6 [DEC-045 S2]; cluster x cell aggregates (D2/H2b convention)</t>
  </si>
  <si>
    <t>multiverse cell 660/1260: coding=clean_window, outlier=winsor, es_set=no_starbound, df_basis=k10, estimator=one_per_cluster, rho=0.6 [DEC-045 S2]; cluster x cell aggregates (D2/H2b convention)</t>
  </si>
  <si>
    <t>multiverse cell 661/1260: coding=paris_mid, outlier=none, es_set=full, df_basis=k20, estimator=one_per_cluster, rho=0.6 [DEC-045 S2]; cluster x cell aggregates (D2/H2b convention)</t>
  </si>
  <si>
    <t>multiverse cell 662/1260: coding=tie_break_median, outlier=none, es_set=full, df_basis=k20, estimator=one_per_cluster, rho=0.6 [DEC-045 S2]; cluster x cell aggregates (D2/H2b convention)</t>
  </si>
  <si>
    <t>multiverse cell 663/1260: coding=end_any_exposure, outlier=none, es_set=full, df_basis=k20, estimator=one_per_cluster, rho=0.6 [DEC-045 S2]; cluster x cell aggregates (D2/H2b convention)</t>
  </si>
  <si>
    <t>multiverse cell 664/1260: coding=share_recut_2017, outlier=none, es_set=full, df_basis=k20, estimator=one_per_cluster, rho=0.6 [DEC-045 S2]; cluster x cell aggregates (D2/H2b convention)</t>
  </si>
  <si>
    <t>multiverse cell 665/1260: coding=share_recut_2018, outlier=none, es_set=full, df_basis=k20, estimator=one_per_cluster, rho=0.6 [DEC-045 S2]; cluster x cell aggregates (D2/H2b convention)</t>
  </si>
  <si>
    <t>multiverse cell 666/1260: coding=share_recut_2019, outlier=none, es_set=full, df_basis=k20, estimator=one_per_cluster, rho=0.6 [DEC-045 S2]; cluster x cell aggregates (D2/H2b convention)</t>
  </si>
  <si>
    <t>multiverse cell 667/1260: coding=end_lag1, outlier=none, es_set=full, df_basis=k20, estimator=one_per_cluster, rho=0.6 [DEC-045 S2]; cluster x cell aggregates (D2/H2b convention)</t>
  </si>
  <si>
    <t>multiverse cell 668/1260: coding=end_lag2, outlier=none, es_set=full, df_basis=k20, estimator=one_per_cluster, rho=0.6 [DEC-045 S2]; cluster x cell aggregates (D2/H2b convention)</t>
  </si>
  <si>
    <t>multiverse cell 669/1260: coding=end_lag3, outlier=none, es_set=full, df_basis=k20, estimator=one_per_cluster, rho=0.6 [DEC-045 S2]; cluster x cell aggregates (D2/H2b convention)</t>
  </si>
  <si>
    <t>multiverse cell 670/1260: coding=clean_window, outlier=none, es_set=full, df_basis=k20, estimator=one_per_cluster, rho=0.6 [DEC-045 S2]; cluster x cell aggregates (D2/H2b convention)</t>
  </si>
  <si>
    <t>multiverse cell 671/1260: coding=paris_mid, outlier=rstudent, es_set=full, df_basis=k20, estimator=one_per_cluster, rho=0.6 [DEC-045 S2]; cluster x cell aggregates (D2/H2b convention)</t>
  </si>
  <si>
    <t>multiverse cell 672/1260: coding=tie_break_median, outlier=rstudent, es_set=full, df_basis=k20, estimator=one_per_cluster, rho=0.6 [DEC-045 S2]; cluster x cell aggregates (D2/H2b convention)</t>
  </si>
  <si>
    <t>multiverse cell 673/1260: coding=end_any_exposure, outlier=rstudent, es_set=full, df_basis=k20, estimator=one_per_cluster, rho=0.6 [DEC-045 S2]; cluster x cell aggregates (D2/H2b convention)</t>
  </si>
  <si>
    <t>multiverse cell 674/1260: coding=share_recut_2017, outlier=rstudent, es_set=full, df_basis=k20, estimator=one_per_cluster, rho=0.6 [DEC-045 S2]; cluster x cell aggregates (D2/H2b convention)</t>
  </si>
  <si>
    <t>multiverse cell 675/1260: coding=share_recut_2018, outlier=rstudent, es_set=full, df_basis=k20, estimator=one_per_cluster, rho=0.6 [DEC-045 S2]; cluster x cell aggregates (D2/H2b convention)</t>
  </si>
  <si>
    <t>multiverse cell 676/1260: coding=share_recut_2019, outlier=rstudent, es_set=full, df_basis=k20, estimator=one_per_cluster, rho=0.6 [DEC-045 S2]; cluster x cell aggregates (D2/H2b convention)</t>
  </si>
  <si>
    <t>multiverse cell 677/1260: coding=end_lag1, outlier=rstudent, es_set=full, df_basis=k20, estimator=one_per_cluster, rho=0.6 [DEC-045 S2]; cluster x cell aggregates (D2/H2b convention)</t>
  </si>
  <si>
    <t>multiverse cell 678/1260: coding=end_lag2, outlier=rstudent, es_set=full, df_basis=k20, estimator=one_per_cluster, rho=0.6 [DEC-045 S2]; cluster x cell aggregates (D2/H2b convention)</t>
  </si>
  <si>
    <t>multiverse cell 679/1260: coding=end_lag3, outlier=rstudent, es_set=full, df_basis=k20, estimator=one_per_cluster, rho=0.6 [DEC-045 S2]; cluster x cell aggregates (D2/H2b convention)</t>
  </si>
  <si>
    <t>multiverse cell 680/1260: coding=clean_window, outlier=rstudent, es_set=full, df_basis=k20, estimator=one_per_cluster, rho=0.6 [DEC-045 S2]; cluster x cell aggregates (D2/H2b convention)</t>
  </si>
  <si>
    <t>multiverse cell 681/1260: coding=paris_mid, outlier=winsor, es_set=full, df_basis=k20, estimator=one_per_cluster, rho=0.6 [DEC-045 S2]; cluster x cell aggregates (D2/H2b convention)</t>
  </si>
  <si>
    <t>multiverse cell 682/1260: coding=tie_break_median, outlier=winsor, es_set=full, df_basis=k20, estimator=one_per_cluster, rho=0.6 [DEC-045 S2]; cluster x cell aggregates (D2/H2b convention)</t>
  </si>
  <si>
    <t>multiverse cell 683/1260: coding=end_any_exposure, outlier=winsor, es_set=full, df_basis=k20, estimator=one_per_cluster, rho=0.6 [DEC-045 S2]; cluster x cell aggregates (D2/H2b convention)</t>
  </si>
  <si>
    <t>multiverse cell 684/1260: coding=share_recut_2017, outlier=winsor, es_set=full, df_basis=k20, estimator=one_per_cluster, rho=0.6 [DEC-045 S2]; cluster x cell aggregates (D2/H2b convention)</t>
  </si>
  <si>
    <t>multiverse cell 685/1260: coding=share_recut_2018, outlier=winsor, es_set=full, df_basis=k20, estimator=one_per_cluster, rho=0.6 [DEC-045 S2]; cluster x cell aggregates (D2/H2b convention)</t>
  </si>
  <si>
    <t>multiverse cell 686/1260: coding=share_recut_2019, outlier=winsor, es_set=full, df_basis=k20, estimator=one_per_cluster, rho=0.6 [DEC-045 S2]; cluster x cell aggregates (D2/H2b convention)</t>
  </si>
  <si>
    <t>multiverse cell 687/1260: coding=end_lag1, outlier=winsor, es_set=full, df_basis=k20, estimator=one_per_cluster, rho=0.6 [DEC-045 S2]; cluster x cell aggregates (D2/H2b convention)</t>
  </si>
  <si>
    <t>multiverse cell 688/1260: coding=end_lag2, outlier=winsor, es_set=full, df_basis=k20, estimator=one_per_cluster, rho=0.6 [DEC-045 S2]; cluster x cell aggregates (D2/H2b convention)</t>
  </si>
  <si>
    <t>multiverse cell 689/1260: coding=end_lag3, outlier=winsor, es_set=full, df_basis=k20, estimator=one_per_cluster, rho=0.6 [DEC-045 S2]; cluster x cell aggregates (D2/H2b convention)</t>
  </si>
  <si>
    <t>multiverse cell 690/1260: coding=clean_window, outlier=winsor, es_set=full, df_basis=k20, estimator=one_per_cluster, rho=0.6 [DEC-045 S2]; cluster x cell aggregates (D2/H2b convention)</t>
  </si>
  <si>
    <t>multiverse cell 691/1260: coding=paris_mid, outlier=none, es_set=no_starbound, df_basis=k20, estimator=one_per_cluster, rho=0.6 [DEC-045 S2]; cluster x cell aggregates (D2/H2b convention)</t>
  </si>
  <si>
    <t>multiverse cell 692/1260: coding=tie_break_median, outlier=none, es_set=no_starbound, df_basis=k20, estimator=one_per_cluster, rho=0.6 [DEC-045 S2]; cluster x cell aggregates (D2/H2b convention)</t>
  </si>
  <si>
    <t>multiverse cell 693/1260: coding=end_any_exposure, outlier=none, es_set=no_starbound, df_basis=k20, estimator=one_per_cluster, rho=0.6 [DEC-045 S2]; cluster x cell aggregates (D2/H2b convention)</t>
  </si>
  <si>
    <t>multiverse cell 694/1260: coding=share_recut_2017, outlier=none, es_set=no_starbound, df_basis=k20, estimator=one_per_cluster, rho=0.6 [DEC-045 S2]; cluster x cell aggregates (D2/H2b convention)</t>
  </si>
  <si>
    <t>multiverse cell 695/1260: coding=share_recut_2018, outlier=none, es_set=no_starbound, df_basis=k20, estimator=one_per_cluster, rho=0.6 [DEC-045 S2]; cluster x cell aggregates (D2/H2b convention)</t>
  </si>
  <si>
    <t>multiverse cell 696/1260: coding=share_recut_2019, outlier=none, es_set=no_starbound, df_basis=k20, estimator=one_per_cluster, rho=0.6 [DEC-045 S2]; cluster x cell aggregates (D2/H2b convention)</t>
  </si>
  <si>
    <t>multiverse cell 697/1260: coding=end_lag1, outlier=none, es_set=no_starbound, df_basis=k20, estimator=one_per_cluster, rho=0.6 [DEC-045 S2]; cluster x cell aggregates (D2/H2b convention)</t>
  </si>
  <si>
    <t>multiverse cell 698/1260: coding=end_lag2, outlier=none, es_set=no_starbound, df_basis=k20, estimator=one_per_cluster, rho=0.6 [DEC-045 S2]; cluster x cell aggregates (D2/H2b convention)</t>
  </si>
  <si>
    <t>multiverse cell 699/1260: coding=end_lag3, outlier=none, es_set=no_starbound, df_basis=k20, estimator=one_per_cluster, rho=0.6 [DEC-045 S2]; cluster x cell aggregates (D2/H2b convention)</t>
  </si>
  <si>
    <t>multiverse cell 700/1260: coding=clean_window, outlier=none, es_set=no_starbound, df_basis=k20, estimator=one_per_cluster, rho=0.6 [DEC-045 S2]; cluster x cell aggregates (D2/H2b convention)</t>
  </si>
  <si>
    <t>multiverse cell 701/1260: coding=paris_mid, outlier=rstudent, es_set=no_starbound, df_basis=k20, estimator=one_per_cluster, rho=0.6 [DEC-045 S2]; cluster x cell aggregates (D2/H2b convention)</t>
  </si>
  <si>
    <t>multiverse cell 702/1260: coding=tie_break_median, outlier=rstudent, es_set=no_starbound, df_basis=k20, estimator=one_per_cluster, rho=0.6 [DEC-045 S2]; cluster x cell aggregates (D2/H2b convention)</t>
  </si>
  <si>
    <t>multiverse cell 703/1260: coding=end_any_exposure, outlier=rstudent, es_set=no_starbound, df_basis=k20, estimator=one_per_cluster, rho=0.6 [DEC-045 S2]; cluster x cell aggregates (D2/H2b convention)</t>
  </si>
  <si>
    <t>multiverse cell 704/1260: coding=share_recut_2017, outlier=rstudent, es_set=no_starbound, df_basis=k20, estimator=one_per_cluster, rho=0.6 [DEC-045 S2]; cluster x cell aggregates (D2/H2b convention)</t>
  </si>
  <si>
    <t>multiverse cell 705/1260: coding=share_recut_2018, outlier=rstudent, es_set=no_starbound, df_basis=k20, estimator=one_per_cluster, rho=0.6 [DEC-045 S2]; cluster x cell aggregates (D2/H2b convention)</t>
  </si>
  <si>
    <t>multiverse cell 706/1260: coding=share_recut_2019, outlier=rstudent, es_set=no_starbound, df_basis=k20, estimator=one_per_cluster, rho=0.6 [DEC-045 S2]; cluster x cell aggregates (D2/H2b convention)</t>
  </si>
  <si>
    <t>multiverse cell 707/1260: coding=end_lag1, outlier=rstudent, es_set=no_starbound, df_basis=k20, estimator=one_per_cluster, rho=0.6 [DEC-045 S2]; cluster x cell aggregates (D2/H2b convention)</t>
  </si>
  <si>
    <t>multiverse cell 708/1260: coding=end_lag2, outlier=rstudent, es_set=no_starbound, df_basis=k20, estimator=one_per_cluster, rho=0.6 [DEC-045 S2]; cluster x cell aggregates (D2/H2b convention)</t>
  </si>
  <si>
    <t>multiverse cell 709/1260: coding=end_lag3, outlier=rstudent, es_set=no_starbound, df_basis=k20, estimator=one_per_cluster, rho=0.6 [DEC-045 S2]; cluster x cell aggregates (D2/H2b convention)</t>
  </si>
  <si>
    <t>multiverse cell 710/1260: coding=clean_window, outlier=rstudent, es_set=no_starbound, df_basis=k20, estimator=one_per_cluster, rho=0.6 [DEC-045 S2]; cluster x cell aggregates (D2/H2b convention)</t>
  </si>
  <si>
    <t>multiverse cell 711/1260: coding=paris_mid, outlier=winsor, es_set=no_starbound, df_basis=k20, estimator=one_per_cluster, rho=0.6 [DEC-045 S2]; cluster x cell aggregates (D2/H2b convention)</t>
  </si>
  <si>
    <t>multiverse cell 712/1260: coding=tie_break_median, outlier=winsor, es_set=no_starbound, df_basis=k20, estimator=one_per_cluster, rho=0.6 [DEC-045 S2]; cluster x cell aggregates (D2/H2b convention)</t>
  </si>
  <si>
    <t>multiverse cell 713/1260: coding=end_any_exposure, outlier=winsor, es_set=no_starbound, df_basis=k20, estimator=one_per_cluster, rho=0.6 [DEC-045 S2]; cluster x cell aggregates (D2/H2b convention)</t>
  </si>
  <si>
    <t>multiverse cell 714/1260: coding=share_recut_2017, outlier=winsor, es_set=no_starbound, df_basis=k20, estimator=one_per_cluster, rho=0.6 [DEC-045 S2]; cluster x cell aggregates (D2/H2b convention)</t>
  </si>
  <si>
    <t>multiverse cell 715/1260: coding=share_recut_2018, outlier=winsor, es_set=no_starbound, df_basis=k20, estimator=one_per_cluster, rho=0.6 [DEC-045 S2]; cluster x cell aggregates (D2/H2b convention)</t>
  </si>
  <si>
    <t>multiverse cell 716/1260: coding=share_recut_2019, outlier=winsor, es_set=no_starbound, df_basis=k20, estimator=one_per_cluster, rho=0.6 [DEC-045 S2]; cluster x cell aggregates (D2/H2b convention)</t>
  </si>
  <si>
    <t>multiverse cell 717/1260: coding=end_lag1, outlier=winsor, es_set=no_starbound, df_basis=k20, estimator=one_per_cluster, rho=0.6 [DEC-045 S2]; cluster x cell aggregates (D2/H2b convention)</t>
  </si>
  <si>
    <t>multiverse cell 718/1260: coding=end_lag2, outlier=winsor, es_set=no_starbound, df_basis=k20, estimator=one_per_cluster, rho=0.6 [DEC-045 S2]; cluster x cell aggregates (D2/H2b convention)</t>
  </si>
  <si>
    <t>multiverse cell 719/1260: coding=end_lag3, outlier=winsor, es_set=no_starbound, df_basis=k20, estimator=one_per_cluster, rho=0.6 [DEC-045 S2]; cluster x cell aggregates (D2/H2b convention)</t>
  </si>
  <si>
    <t>multiverse cell 720/1260: coding=clean_window, outlier=winsor, es_set=no_starbound, df_basis=k20, estimator=one_per_cluster, rho=0.6 [DEC-045 S2]; cluster x cell aggregates (D2/H2b convention)</t>
  </si>
  <si>
    <t>UWLS3|r0.6</t>
  </si>
  <si>
    <t>UWLS3</t>
  </si>
  <si>
    <t>multiverse cell 721/1260: coding=paris_mid, outlier=none, es_set=full, df_basis=dfE, estimator=UWLS3, rho=0.6 [DEC-045 S2]; weighted LS cell means (1/vi); descriptive curve only</t>
  </si>
  <si>
    <t>multiverse cell 722/1260: coding=tie_break_median, outlier=none, es_set=full, df_basis=dfE, estimator=UWLS3, rho=0.6 [DEC-045 S2]; weighted LS cell means (1/vi); descriptive curve only</t>
  </si>
  <si>
    <t>multiverse cell 723/1260: coding=end_any_exposure, outlier=none, es_set=full, df_basis=dfE, estimator=UWLS3, rho=0.6 [DEC-045 S2]; weighted LS cell means (1/vi); descriptive curve only</t>
  </si>
  <si>
    <t>multiverse cell 724/1260: coding=share_recut_2017, outlier=none, es_set=full, df_basis=dfE, estimator=UWLS3, rho=0.6 [DEC-045 S2]; weighted LS cell means (1/vi); descriptive curve only</t>
  </si>
  <si>
    <t>multiverse cell 725/1260: coding=share_recut_2018, outlier=none, es_set=full, df_basis=dfE, estimator=UWLS3, rho=0.6 [DEC-045 S2]; weighted LS cell means (1/vi); descriptive curve only</t>
  </si>
  <si>
    <t>multiverse cell 726/1260: coding=share_recut_2019, outlier=none, es_set=full, df_basis=dfE, estimator=UWLS3, rho=0.6 [DEC-045 S2]; weighted LS cell means (1/vi); descriptive curve only</t>
  </si>
  <si>
    <t>multiverse cell 727/1260: coding=end_lag1, outlier=none, es_set=full, df_basis=dfE, estimator=UWLS3, rho=0.6 [DEC-045 S2]; weighted LS cell means (1/vi); descriptive curve only</t>
  </si>
  <si>
    <t>multiverse cell 728/1260: coding=end_lag2, outlier=none, es_set=full, df_basis=dfE, estimator=UWLS3, rho=0.6 [DEC-045 S2]; weighted LS cell means (1/vi); descriptive curve only</t>
  </si>
  <si>
    <t>multiverse cell 729/1260: coding=end_lag3, outlier=none, es_set=full, df_basis=dfE, estimator=UWLS3, rho=0.6 [DEC-045 S2]; weighted LS cell means (1/vi); descriptive curve only</t>
  </si>
  <si>
    <t>multiverse cell 730/1260: coding=clean_window, outlier=none, es_set=full, df_basis=dfE, estimator=UWLS3, rho=0.6 [DEC-045 S2]; weighted LS cell means (1/vi); descriptive curve only</t>
  </si>
  <si>
    <t>multiverse cell 731/1260: coding=paris_mid, outlier=rstudent, es_set=full, df_basis=dfE, estimator=UWLS3, rho=0.6 [DEC-045 S2]; weighted LS cell means (1/vi); descriptive curve only</t>
  </si>
  <si>
    <t>multiverse cell 732/1260: coding=tie_break_median, outlier=rstudent, es_set=full, df_basis=dfE, estimator=UWLS3, rho=0.6 [DEC-045 S2]; weighted LS cell means (1/vi); descriptive curve only</t>
  </si>
  <si>
    <t>multiverse cell 733/1260: coding=end_any_exposure, outlier=rstudent, es_set=full, df_basis=dfE, estimator=UWLS3, rho=0.6 [DEC-045 S2]; weighted LS cell means (1/vi); descriptive curve only</t>
  </si>
  <si>
    <t>multiverse cell 734/1260: coding=share_recut_2017, outlier=rstudent, es_set=full, df_basis=dfE, estimator=UWLS3, rho=0.6 [DEC-045 S2]; weighted LS cell means (1/vi); descriptive curve only</t>
  </si>
  <si>
    <t>multiverse cell 735/1260: coding=share_recut_2018, outlier=rstudent, es_set=full, df_basis=dfE, estimator=UWLS3, rho=0.6 [DEC-045 S2]; weighted LS cell means (1/vi); descriptive curve only</t>
  </si>
  <si>
    <t>multiverse cell 736/1260: coding=share_recut_2019, outlier=rstudent, es_set=full, df_basis=dfE, estimator=UWLS3, rho=0.6 [DEC-045 S2]; weighted LS cell means (1/vi); descriptive curve only</t>
  </si>
  <si>
    <t>multiverse cell 737/1260: coding=end_lag1, outlier=rstudent, es_set=full, df_basis=dfE, estimator=UWLS3, rho=0.6 [DEC-045 S2]; weighted LS cell means (1/vi); descriptive curve only</t>
  </si>
  <si>
    <t>multiverse cell 738/1260: coding=end_lag2, outlier=rstudent, es_set=full, df_basis=dfE, estimator=UWLS3, rho=0.6 [DEC-045 S2]; weighted LS cell means (1/vi); descriptive curve only</t>
  </si>
  <si>
    <t>multiverse cell 739/1260: coding=end_lag3, outlier=rstudent, es_set=full, df_basis=dfE, estimator=UWLS3, rho=0.6 [DEC-045 S2]; weighted LS cell means (1/vi); descriptive curve only</t>
  </si>
  <si>
    <t>multiverse cell 740/1260: coding=clean_window, outlier=rstudent, es_set=full, df_basis=dfE, estimator=UWLS3, rho=0.6 [DEC-045 S2]; weighted LS cell means (1/vi); descriptive curve only</t>
  </si>
  <si>
    <t>multiverse cell 741/1260: coding=paris_mid, outlier=winsor, es_set=full, df_basis=dfE, estimator=UWLS3, rho=0.6 [DEC-045 S2]; weighted LS cell means (1/vi); descriptive curve only</t>
  </si>
  <si>
    <t>multiverse cell 742/1260: coding=tie_break_median, outlier=winsor, es_set=full, df_basis=dfE, estimator=UWLS3, rho=0.6 [DEC-045 S2]; weighted LS cell means (1/vi); descriptive curve only</t>
  </si>
  <si>
    <t>multiverse cell 743/1260: coding=end_any_exposure, outlier=winsor, es_set=full, df_basis=dfE, estimator=UWLS3, rho=0.6 [DEC-045 S2]; weighted LS cell means (1/vi); descriptive curve only</t>
  </si>
  <si>
    <t>multiverse cell 744/1260: coding=share_recut_2017, outlier=winsor, es_set=full, df_basis=dfE, estimator=UWLS3, rho=0.6 [DEC-045 S2]; weighted LS cell means (1/vi); descriptive curve only</t>
  </si>
  <si>
    <t>multiverse cell 745/1260: coding=share_recut_2018, outlier=winsor, es_set=full, df_basis=dfE, estimator=UWLS3, rho=0.6 [DEC-045 S2]; weighted LS cell means (1/vi); descriptive curve only</t>
  </si>
  <si>
    <t>multiverse cell 746/1260: coding=share_recut_2019, outlier=winsor, es_set=full, df_basis=dfE, estimator=UWLS3, rho=0.6 [DEC-045 S2]; weighted LS cell means (1/vi); descriptive curve only</t>
  </si>
  <si>
    <t>multiverse cell 747/1260: coding=end_lag1, outlier=winsor, es_set=full, df_basis=dfE, estimator=UWLS3, rho=0.6 [DEC-045 S2]; weighted LS cell means (1/vi); descriptive curve only</t>
  </si>
  <si>
    <t>multiverse cell 748/1260: coding=end_lag2, outlier=winsor, es_set=full, df_basis=dfE, estimator=UWLS3, rho=0.6 [DEC-045 S2]; weighted LS cell means (1/vi); descriptive curve only</t>
  </si>
  <si>
    <t>multiverse cell 749/1260: coding=end_lag3, outlier=winsor, es_set=full, df_basis=dfE, estimator=UWLS3, rho=0.6 [DEC-045 S2]; weighted LS cell means (1/vi); descriptive curve only</t>
  </si>
  <si>
    <t>multiverse cell 750/1260: coding=clean_window, outlier=winsor, es_set=full, df_basis=dfE, estimator=UWLS3, rho=0.6 [DEC-045 S2]; weighted LS cell means (1/vi); descriptive curve only</t>
  </si>
  <si>
    <t>multiverse cell 751/1260: coding=paris_mid, outlier=none, es_set=no_starbound, df_basis=dfE, estimator=UWLS3, rho=0.6 [DEC-045 S2]; weighted LS cell means (1/vi); descriptive curve only</t>
  </si>
  <si>
    <t>multiverse cell 752/1260: coding=tie_break_median, outlier=none, es_set=no_starbound, df_basis=dfE, estimator=UWLS3, rho=0.6 [DEC-045 S2]; weighted LS cell means (1/vi); descriptive curve only</t>
  </si>
  <si>
    <t>multiverse cell 753/1260: coding=end_any_exposure, outlier=none, es_set=no_starbound, df_basis=dfE, estimator=UWLS3, rho=0.6 [DEC-045 S2]; weighted LS cell means (1/vi); descriptive curve only</t>
  </si>
  <si>
    <t>multiverse cell 754/1260: coding=share_recut_2017, outlier=none, es_set=no_starbound, df_basis=dfE, estimator=UWLS3, rho=0.6 [DEC-045 S2]; weighted LS cell means (1/vi); descriptive curve only</t>
  </si>
  <si>
    <t>multiverse cell 755/1260: coding=share_recut_2018, outlier=none, es_set=no_starbound, df_basis=dfE, estimator=UWLS3, rho=0.6 [DEC-045 S2]; weighted LS cell means (1/vi); descriptive curve only</t>
  </si>
  <si>
    <t>multiverse cell 756/1260: coding=share_recut_2019, outlier=none, es_set=no_starbound, df_basis=dfE, estimator=UWLS3, rho=0.6 [DEC-045 S2]; weighted LS cell means (1/vi); descriptive curve only</t>
  </si>
  <si>
    <t>multiverse cell 757/1260: coding=end_lag1, outlier=none, es_set=no_starbound, df_basis=dfE, estimator=UWLS3, rho=0.6 [DEC-045 S2]; weighted LS cell means (1/vi); descriptive curve only</t>
  </si>
  <si>
    <t>multiverse cell 758/1260: coding=end_lag2, outlier=none, es_set=no_starbound, df_basis=dfE, estimator=UWLS3, rho=0.6 [DEC-045 S2]; weighted LS cell means (1/vi); descriptive curve only</t>
  </si>
  <si>
    <t>multiverse cell 759/1260: coding=end_lag3, outlier=none, es_set=no_starbound, df_basis=dfE, estimator=UWLS3, rho=0.6 [DEC-045 S2]; weighted LS cell means (1/vi); descriptive curve only</t>
  </si>
  <si>
    <t>multiverse cell 760/1260: coding=clean_window, outlier=none, es_set=no_starbound, df_basis=dfE, estimator=UWLS3, rho=0.6 [DEC-045 S2]; weighted LS cell means (1/vi); descriptive curve only</t>
  </si>
  <si>
    <t>multiverse cell 761/1260: coding=paris_mid, outlier=rstudent, es_set=no_starbound, df_basis=dfE, estimator=UWLS3, rho=0.6 [DEC-045 S2]; weighted LS cell means (1/vi); descriptive curve only</t>
  </si>
  <si>
    <t>multiverse cell 762/1260: coding=tie_break_median, outlier=rstudent, es_set=no_starbound, df_basis=dfE, estimator=UWLS3, rho=0.6 [DEC-045 S2]; weighted LS cell means (1/vi); descriptive curve only</t>
  </si>
  <si>
    <t>multiverse cell 763/1260: coding=end_any_exposure, outlier=rstudent, es_set=no_starbound, df_basis=dfE, estimator=UWLS3, rho=0.6 [DEC-045 S2]; weighted LS cell means (1/vi); descriptive curve only</t>
  </si>
  <si>
    <t>multiverse cell 764/1260: coding=share_recut_2017, outlier=rstudent, es_set=no_starbound, df_basis=dfE, estimator=UWLS3, rho=0.6 [DEC-045 S2]; weighted LS cell means (1/vi); descriptive curve only</t>
  </si>
  <si>
    <t>multiverse cell 765/1260: coding=share_recut_2018, outlier=rstudent, es_set=no_starbound, df_basis=dfE, estimator=UWLS3, rho=0.6 [DEC-045 S2]; weighted LS cell means (1/vi); descriptive curve only</t>
  </si>
  <si>
    <t>multiverse cell 766/1260: coding=share_recut_2019, outlier=rstudent, es_set=no_starbound, df_basis=dfE, estimator=UWLS3, rho=0.6 [DEC-045 S2]; weighted LS cell means (1/vi); descriptive curve only</t>
  </si>
  <si>
    <t>multiverse cell 767/1260: coding=end_lag1, outlier=rstudent, es_set=no_starbound, df_basis=dfE, estimator=UWLS3, rho=0.6 [DEC-045 S2]; weighted LS cell means (1/vi); descriptive curve only</t>
  </si>
  <si>
    <t>multiverse cell 768/1260: coding=end_lag2, outlier=rstudent, es_set=no_starbound, df_basis=dfE, estimator=UWLS3, rho=0.6 [DEC-045 S2]; weighted LS cell means (1/vi); descriptive curve only</t>
  </si>
  <si>
    <t>multiverse cell 769/1260: coding=end_lag3, outlier=rstudent, es_set=no_starbound, df_basis=dfE, estimator=UWLS3, rho=0.6 [DEC-045 S2]; weighted LS cell means (1/vi); descriptive curve only</t>
  </si>
  <si>
    <t>multiverse cell 770/1260: coding=clean_window, outlier=rstudent, es_set=no_starbound, df_basis=dfE, estimator=UWLS3, rho=0.6 [DEC-045 S2]; weighted LS cell means (1/vi); descriptive curve only</t>
  </si>
  <si>
    <t>multiverse cell 771/1260: coding=paris_mid, outlier=winsor, es_set=no_starbound, df_basis=dfE, estimator=UWLS3, rho=0.6 [DEC-045 S2]; weighted LS cell means (1/vi); descriptive curve only</t>
  </si>
  <si>
    <t>multiverse cell 772/1260: coding=tie_break_median, outlier=winsor, es_set=no_starbound, df_basis=dfE, estimator=UWLS3, rho=0.6 [DEC-045 S2]; weighted LS cell means (1/vi); descriptive curve only</t>
  </si>
  <si>
    <t>multiverse cell 773/1260: coding=end_any_exposure, outlier=winsor, es_set=no_starbound, df_basis=dfE, estimator=UWLS3, rho=0.6 [DEC-045 S2]; weighted LS cell means (1/vi); descriptive curve only</t>
  </si>
  <si>
    <t>multiverse cell 774/1260: coding=share_recut_2017, outlier=winsor, es_set=no_starbound, df_basis=dfE, estimator=UWLS3, rho=0.6 [DEC-045 S2]; weighted LS cell means (1/vi); descriptive curve only</t>
  </si>
  <si>
    <t>multiverse cell 775/1260: coding=share_recut_2018, outlier=winsor, es_set=no_starbound, df_basis=dfE, estimator=UWLS3, rho=0.6 [DEC-045 S2]; weighted LS cell means (1/vi); descriptive curve only</t>
  </si>
  <si>
    <t>multiverse cell 776/1260: coding=share_recut_2019, outlier=winsor, es_set=no_starbound, df_basis=dfE, estimator=UWLS3, rho=0.6 [DEC-045 S2]; weighted LS cell means (1/vi); descriptive curve only</t>
  </si>
  <si>
    <t>multiverse cell 777/1260: coding=end_lag1, outlier=winsor, es_set=no_starbound, df_basis=dfE, estimator=UWLS3, rho=0.6 [DEC-045 S2]; weighted LS cell means (1/vi); descriptive curve only</t>
  </si>
  <si>
    <t>multiverse cell 778/1260: coding=end_lag2, outlier=winsor, es_set=no_starbound, df_basis=dfE, estimator=UWLS3, rho=0.6 [DEC-045 S2]; weighted LS cell means (1/vi); descriptive curve only</t>
  </si>
  <si>
    <t>multiverse cell 779/1260: coding=end_lag3, outlier=winsor, es_set=no_starbound, df_basis=dfE, estimator=UWLS3, rho=0.6 [DEC-045 S2]; weighted LS cell means (1/vi); descriptive curve only</t>
  </si>
  <si>
    <t>multiverse cell 780/1260: coding=clean_window, outlier=winsor, es_set=no_starbound, df_basis=dfE, estimator=UWLS3, rho=0.6 [DEC-045 S2]; weighted LS cell means (1/vi); descriptive curve only</t>
  </si>
  <si>
    <t>multiverse cell 781/1260: coding=paris_mid, outlier=none, es_set=full, df_basis=k10, estimator=UWLS3, rho=0.6 [DEC-045 S2]; weighted LS cell means (1/vi); descriptive curve only</t>
  </si>
  <si>
    <t>multiverse cell 782/1260: coding=tie_break_median, outlier=none, es_set=full, df_basis=k10, estimator=UWLS3, rho=0.6 [DEC-045 S2]; weighted LS cell means (1/vi); descriptive curve only</t>
  </si>
  <si>
    <t>multiverse cell 783/1260: coding=end_any_exposure, outlier=none, es_set=full, df_basis=k10, estimator=UWLS3, rho=0.6 [DEC-045 S2]; weighted LS cell means (1/vi); descriptive curve only</t>
  </si>
  <si>
    <t>multiverse cell 784/1260: coding=share_recut_2017, outlier=none, es_set=full, df_basis=k10, estimator=UWLS3, rho=0.6 [DEC-045 S2]; weighted LS cell means (1/vi); descriptive curve only</t>
  </si>
  <si>
    <t>multiverse cell 785/1260: coding=share_recut_2018, outlier=none, es_set=full, df_basis=k10, estimator=UWLS3, rho=0.6 [DEC-045 S2]; weighted LS cell means (1/vi); descriptive curve only</t>
  </si>
  <si>
    <t>multiverse cell 786/1260: coding=share_recut_2019, outlier=none, es_set=full, df_basis=k10, estimator=UWLS3, rho=0.6 [DEC-045 S2]; weighted LS cell means (1/vi); descriptive curve only</t>
  </si>
  <si>
    <t>multiverse cell 787/1260: coding=end_lag1, outlier=none, es_set=full, df_basis=k10, estimator=UWLS3, rho=0.6 [DEC-045 S2]; weighted LS cell means (1/vi); descriptive curve only</t>
  </si>
  <si>
    <t>multiverse cell 788/1260: coding=end_lag2, outlier=none, es_set=full, df_basis=k10, estimator=UWLS3, rho=0.6 [DEC-045 S2]; weighted LS cell means (1/vi); descriptive curve only</t>
  </si>
  <si>
    <t>multiverse cell 789/1260: coding=end_lag3, outlier=none, es_set=full, df_basis=k10, estimator=UWLS3, rho=0.6 [DEC-045 S2]; weighted LS cell means (1/vi); descriptive curve only</t>
  </si>
  <si>
    <t>multiverse cell 790/1260: coding=clean_window, outlier=none, es_set=full, df_basis=k10, estimator=UWLS3, rho=0.6 [DEC-045 S2]; weighted LS cell means (1/vi); descriptive curve only</t>
  </si>
  <si>
    <t>multiverse cell 791/1260: coding=paris_mid, outlier=rstudent, es_set=full, df_basis=k10, estimator=UWLS3, rho=0.6 [DEC-045 S2]; weighted LS cell means (1/vi); descriptive curve only</t>
  </si>
  <si>
    <t>multiverse cell 792/1260: coding=tie_break_median, outlier=rstudent, es_set=full, df_basis=k10, estimator=UWLS3, rho=0.6 [DEC-045 S2]; weighted LS cell means (1/vi); descriptive curve only</t>
  </si>
  <si>
    <t>multiverse cell 793/1260: coding=end_any_exposure, outlier=rstudent, es_set=full, df_basis=k10, estimator=UWLS3, rho=0.6 [DEC-045 S2]; weighted LS cell means (1/vi); descriptive curve only</t>
  </si>
  <si>
    <t>multiverse cell 794/1260: coding=share_recut_2017, outlier=rstudent, es_set=full, df_basis=k10, estimator=UWLS3, rho=0.6 [DEC-045 S2]; weighted LS cell means (1/vi); descriptive curve only</t>
  </si>
  <si>
    <t>multiverse cell 795/1260: coding=share_recut_2018, outlier=rstudent, es_set=full, df_basis=k10, estimator=UWLS3, rho=0.6 [DEC-045 S2]; weighted LS cell means (1/vi); descriptive curve only</t>
  </si>
  <si>
    <t>multiverse cell 796/1260: coding=share_recut_2019, outlier=rstudent, es_set=full, df_basis=k10, estimator=UWLS3, rho=0.6 [DEC-045 S2]; weighted LS cell means (1/vi); descriptive curve only</t>
  </si>
  <si>
    <t>multiverse cell 797/1260: coding=end_lag1, outlier=rstudent, es_set=full, df_basis=k10, estimator=UWLS3, rho=0.6 [DEC-045 S2]; weighted LS cell means (1/vi); descriptive curve only</t>
  </si>
  <si>
    <t>multiverse cell 798/1260: coding=end_lag2, outlier=rstudent, es_set=full, df_basis=k10, estimator=UWLS3, rho=0.6 [DEC-045 S2]; weighted LS cell means (1/vi); descriptive curve only</t>
  </si>
  <si>
    <t>multiverse cell 799/1260: coding=end_lag3, outlier=rstudent, es_set=full, df_basis=k10, estimator=UWLS3, rho=0.6 [DEC-045 S2]; weighted LS cell means (1/vi); descriptive curve only</t>
  </si>
  <si>
    <t>multiverse cell 800/1260: coding=clean_window, outlier=rstudent, es_set=full, df_basis=k10, estimator=UWLS3, rho=0.6 [DEC-045 S2]; weighted LS cell means (1/vi); descriptive curve only</t>
  </si>
  <si>
    <t>multiverse cell 801/1260: coding=paris_mid, outlier=winsor, es_set=full, df_basis=k10, estimator=UWLS3, rho=0.6 [DEC-045 S2]; weighted LS cell means (1/vi); descriptive curve only</t>
  </si>
  <si>
    <t>multiverse cell 802/1260: coding=tie_break_median, outlier=winsor, es_set=full, df_basis=k10, estimator=UWLS3, rho=0.6 [DEC-045 S2]; weighted LS cell means (1/vi); descriptive curve only</t>
  </si>
  <si>
    <t>multiverse cell 803/1260: coding=end_any_exposure, outlier=winsor, es_set=full, df_basis=k10, estimator=UWLS3, rho=0.6 [DEC-045 S2]; weighted LS cell means (1/vi); descriptive curve only</t>
  </si>
  <si>
    <t>multiverse cell 804/1260: coding=share_recut_2017, outlier=winsor, es_set=full, df_basis=k10, estimator=UWLS3, rho=0.6 [DEC-045 S2]; weighted LS cell means (1/vi); descriptive curve only</t>
  </si>
  <si>
    <t>multiverse cell 805/1260: coding=share_recut_2018, outlier=winsor, es_set=full, df_basis=k10, estimator=UWLS3, rho=0.6 [DEC-045 S2]; weighted LS cell means (1/vi); descriptive curve only</t>
  </si>
  <si>
    <t>multiverse cell 806/1260: coding=share_recut_2019, outlier=winsor, es_set=full, df_basis=k10, estimator=UWLS3, rho=0.6 [DEC-045 S2]; weighted LS cell means (1/vi); descriptive curve only</t>
  </si>
  <si>
    <t>multiverse cell 807/1260: coding=end_lag1, outlier=winsor, es_set=full, df_basis=k10, estimator=UWLS3, rho=0.6 [DEC-045 S2]; weighted LS cell means (1/vi); descriptive curve only</t>
  </si>
  <si>
    <t>multiverse cell 808/1260: coding=end_lag2, outlier=winsor, es_set=full, df_basis=k10, estimator=UWLS3, rho=0.6 [DEC-045 S2]; weighted LS cell means (1/vi); descriptive curve only</t>
  </si>
  <si>
    <t>multiverse cell 809/1260: coding=end_lag3, outlier=winsor, es_set=full, df_basis=k10, estimator=UWLS3, rho=0.6 [DEC-045 S2]; weighted LS cell means (1/vi); descriptive curve only</t>
  </si>
  <si>
    <t>multiverse cell 810/1260: coding=clean_window, outlier=winsor, es_set=full, df_basis=k10, estimator=UWLS3, rho=0.6 [DEC-045 S2]; weighted LS cell means (1/vi); descriptive curve only</t>
  </si>
  <si>
    <t>multiverse cell 811/1260: coding=paris_mid, outlier=none, es_set=no_starbound, df_basis=k10, estimator=UWLS3, rho=0.6 [DEC-045 S2]; weighted LS cell means (1/vi); descriptive curve only</t>
  </si>
  <si>
    <t>multiverse cell 812/1260: coding=tie_break_median, outlier=none, es_set=no_starbound, df_basis=k10, estimator=UWLS3, rho=0.6 [DEC-045 S2]; weighted LS cell means (1/vi); descriptive curve only</t>
  </si>
  <si>
    <t>multiverse cell 813/1260: coding=end_any_exposure, outlier=none, es_set=no_starbound, df_basis=k10, estimator=UWLS3, rho=0.6 [DEC-045 S2]; weighted LS cell means (1/vi); descriptive curve only</t>
  </si>
  <si>
    <t>multiverse cell 814/1260: coding=share_recut_2017, outlier=none, es_set=no_starbound, df_basis=k10, estimator=UWLS3, rho=0.6 [DEC-045 S2]; weighted LS cell means (1/vi); descriptive curve only</t>
  </si>
  <si>
    <t>multiverse cell 815/1260: coding=share_recut_2018, outlier=none, es_set=no_starbound, df_basis=k10, estimator=UWLS3, rho=0.6 [DEC-045 S2]; weighted LS cell means (1/vi); descriptive curve only</t>
  </si>
  <si>
    <t>multiverse cell 816/1260: coding=share_recut_2019, outlier=none, es_set=no_starbound, df_basis=k10, estimator=UWLS3, rho=0.6 [DEC-045 S2]; weighted LS cell means (1/vi); descriptive curve only</t>
  </si>
  <si>
    <t>multiverse cell 817/1260: coding=end_lag1, outlier=none, es_set=no_starbound, df_basis=k10, estimator=UWLS3, rho=0.6 [DEC-045 S2]; weighted LS cell means (1/vi); descriptive curve only</t>
  </si>
  <si>
    <t>multiverse cell 818/1260: coding=end_lag2, outlier=none, es_set=no_starbound, df_basis=k10, estimator=UWLS3, rho=0.6 [DEC-045 S2]; weighted LS cell means (1/vi); descriptive curve only</t>
  </si>
  <si>
    <t>multiverse cell 819/1260: coding=end_lag3, outlier=none, es_set=no_starbound, df_basis=k10, estimator=UWLS3, rho=0.6 [DEC-045 S2]; weighted LS cell means (1/vi); descriptive curve only</t>
  </si>
  <si>
    <t>multiverse cell 820/1260: coding=clean_window, outlier=none, es_set=no_starbound, df_basis=k10, estimator=UWLS3, rho=0.6 [DEC-045 S2]; weighted LS cell means (1/vi); descriptive curve only</t>
  </si>
  <si>
    <t>multiverse cell 821/1260: coding=paris_mid, outlier=rstudent, es_set=no_starbound, df_basis=k10, estimator=UWLS3, rho=0.6 [DEC-045 S2]; weighted LS cell means (1/vi); descriptive curve only</t>
  </si>
  <si>
    <t>multiverse cell 822/1260: coding=tie_break_median, outlier=rstudent, es_set=no_starbound, df_basis=k10, estimator=UWLS3, rho=0.6 [DEC-045 S2]; weighted LS cell means (1/vi); descriptive curve only</t>
  </si>
  <si>
    <t>multiverse cell 823/1260: coding=end_any_exposure, outlier=rstudent, es_set=no_starbound, df_basis=k10, estimator=UWLS3, rho=0.6 [DEC-045 S2]; weighted LS cell means (1/vi); descriptive curve only</t>
  </si>
  <si>
    <t>multiverse cell 824/1260: coding=share_recut_2017, outlier=rstudent, es_set=no_starbound, df_basis=k10, estimator=UWLS3, rho=0.6 [DEC-045 S2]; weighted LS cell means (1/vi); descriptive curve only</t>
  </si>
  <si>
    <t>multiverse cell 825/1260: coding=share_recut_2018, outlier=rstudent, es_set=no_starbound, df_basis=k10, estimator=UWLS3, rho=0.6 [DEC-045 S2]; weighted LS cell means (1/vi); descriptive curve only</t>
  </si>
  <si>
    <t>multiverse cell 826/1260: coding=share_recut_2019, outlier=rstudent, es_set=no_starbound, df_basis=k10, estimator=UWLS3, rho=0.6 [DEC-045 S2]; weighted LS cell means (1/vi); descriptive curve only</t>
  </si>
  <si>
    <t>multiverse cell 827/1260: coding=end_lag1, outlier=rstudent, es_set=no_starbound, df_basis=k10, estimator=UWLS3, rho=0.6 [DEC-045 S2]; weighted LS cell means (1/vi); descriptive curve only</t>
  </si>
  <si>
    <t>multiverse cell 828/1260: coding=end_lag2, outlier=rstudent, es_set=no_starbound, df_basis=k10, estimator=UWLS3, rho=0.6 [DEC-045 S2]; weighted LS cell means (1/vi); descriptive curve only</t>
  </si>
  <si>
    <t>multiverse cell 829/1260: coding=end_lag3, outlier=rstudent, es_set=no_starbound, df_basis=k10, estimator=UWLS3, rho=0.6 [DEC-045 S2]; weighted LS cell means (1/vi); descriptive curve only</t>
  </si>
  <si>
    <t>multiverse cell 830/1260: coding=clean_window, outlier=rstudent, es_set=no_starbound, df_basis=k10, estimator=UWLS3, rho=0.6 [DEC-045 S2]; weighted LS cell means (1/vi); descriptive curve only</t>
  </si>
  <si>
    <t>multiverse cell 831/1260: coding=paris_mid, outlier=winsor, es_set=no_starbound, df_basis=k10, estimator=UWLS3, rho=0.6 [DEC-045 S2]; weighted LS cell means (1/vi); descriptive curve only</t>
  </si>
  <si>
    <t>multiverse cell 832/1260: coding=tie_break_median, outlier=winsor, es_set=no_starbound, df_basis=k10, estimator=UWLS3, rho=0.6 [DEC-045 S2]; weighted LS cell means (1/vi); descriptive curve only</t>
  </si>
  <si>
    <t>multiverse cell 833/1260: coding=end_any_exposure, outlier=winsor, es_set=no_starbound, df_basis=k10, estimator=UWLS3, rho=0.6 [DEC-045 S2]; weighted LS cell means (1/vi); descriptive curve only</t>
  </si>
  <si>
    <t>multiverse cell 834/1260: coding=share_recut_2017, outlier=winsor, es_set=no_starbound, df_basis=k10, estimator=UWLS3, rho=0.6 [DEC-045 S2]; weighted LS cell means (1/vi); descriptive curve only</t>
  </si>
  <si>
    <t>multiverse cell 835/1260: coding=share_recut_2018, outlier=winsor, es_set=no_starbound, df_basis=k10, estimator=UWLS3, rho=0.6 [DEC-045 S2]; weighted LS cell means (1/vi); descriptive curve only</t>
  </si>
  <si>
    <t>multiverse cell 836/1260: coding=share_recut_2019, outlier=winsor, es_set=no_starbound, df_basis=k10, estimator=UWLS3, rho=0.6 [DEC-045 S2]; weighted LS cell means (1/vi); descriptive curve only</t>
  </si>
  <si>
    <t>multiverse cell 837/1260: coding=end_lag1, outlier=winsor, es_set=no_starbound, df_basis=k10, estimator=UWLS3, rho=0.6 [DEC-045 S2]; weighted LS cell means (1/vi); descriptive curve only</t>
  </si>
  <si>
    <t>multiverse cell 838/1260: coding=end_lag2, outlier=winsor, es_set=no_starbound, df_basis=k10, estimator=UWLS3, rho=0.6 [DEC-045 S2]; weighted LS cell means (1/vi); descriptive curve only</t>
  </si>
  <si>
    <t>multiverse cell 839/1260: coding=end_lag3, outlier=winsor, es_set=no_starbound, df_basis=k10, estimator=UWLS3, rho=0.6 [DEC-045 S2]; weighted LS cell means (1/vi); descriptive curve only</t>
  </si>
  <si>
    <t>multiverse cell 840/1260: coding=clean_window, outlier=winsor, es_set=no_starbound, df_basis=k10, estimator=UWLS3, rho=0.6 [DEC-045 S2]; weighted LS cell means (1/vi); descriptive curve only</t>
  </si>
  <si>
    <t>multiverse cell 841/1260: coding=paris_mid, outlier=none, es_set=full, df_basis=k20, estimator=UWLS3, rho=0.6 [DEC-045 S2]; weighted LS cell means (1/vi); descriptive curve only</t>
  </si>
  <si>
    <t>multiverse cell 842/1260: coding=tie_break_median, outlier=none, es_set=full, df_basis=k20, estimator=UWLS3, rho=0.6 [DEC-045 S2]; weighted LS cell means (1/vi); descriptive curve only</t>
  </si>
  <si>
    <t>multiverse cell 843/1260: coding=end_any_exposure, outlier=none, es_set=full, df_basis=k20, estimator=UWLS3, rho=0.6 [DEC-045 S2]; weighted LS cell means (1/vi); descriptive curve only</t>
  </si>
  <si>
    <t>multiverse cell 844/1260: coding=share_recut_2017, outlier=none, es_set=full, df_basis=k20, estimator=UWLS3, rho=0.6 [DEC-045 S2]; weighted LS cell means (1/vi); descriptive curve only</t>
  </si>
  <si>
    <t>multiverse cell 845/1260: coding=share_recut_2018, outlier=none, es_set=full, df_basis=k20, estimator=UWLS3, rho=0.6 [DEC-045 S2]; weighted LS cell means (1/vi); descriptive curve only</t>
  </si>
  <si>
    <t>multiverse cell 846/1260: coding=share_recut_2019, outlier=none, es_set=full, df_basis=k20, estimator=UWLS3, rho=0.6 [DEC-045 S2]; weighted LS cell means (1/vi); descriptive curve only</t>
  </si>
  <si>
    <t>multiverse cell 847/1260: coding=end_lag1, outlier=none, es_set=full, df_basis=k20, estimator=UWLS3, rho=0.6 [DEC-045 S2]; weighted LS cell means (1/vi); descriptive curve only</t>
  </si>
  <si>
    <t>multiverse cell 848/1260: coding=end_lag2, outlier=none, es_set=full, df_basis=k20, estimator=UWLS3, rho=0.6 [DEC-045 S2]; weighted LS cell means (1/vi); descriptive curve only</t>
  </si>
  <si>
    <t>multiverse cell 849/1260: coding=end_lag3, outlier=none, es_set=full, df_basis=k20, estimator=UWLS3, rho=0.6 [DEC-045 S2]; weighted LS cell means (1/vi); descriptive curve only</t>
  </si>
  <si>
    <t>multiverse cell 850/1260: coding=clean_window, outlier=none, es_set=full, df_basis=k20, estimator=UWLS3, rho=0.6 [DEC-045 S2]; weighted LS cell means (1/vi); descriptive curve only</t>
  </si>
  <si>
    <t>multiverse cell 851/1260: coding=paris_mid, outlier=rstudent, es_set=full, df_basis=k20, estimator=UWLS3, rho=0.6 [DEC-045 S2]; weighted LS cell means (1/vi); descriptive curve only</t>
  </si>
  <si>
    <t>multiverse cell 852/1260: coding=tie_break_median, outlier=rstudent, es_set=full, df_basis=k20, estimator=UWLS3, rho=0.6 [DEC-045 S2]; weighted LS cell means (1/vi); descriptive curve only</t>
  </si>
  <si>
    <t>multiverse cell 853/1260: coding=end_any_exposure, outlier=rstudent, es_set=full, df_basis=k20, estimator=UWLS3, rho=0.6 [DEC-045 S2]; weighted LS cell means (1/vi); descriptive curve only</t>
  </si>
  <si>
    <t>multiverse cell 854/1260: coding=share_recut_2017, outlier=rstudent, es_set=full, df_basis=k20, estimator=UWLS3, rho=0.6 [DEC-045 S2]; weighted LS cell means (1/vi); descriptive curve only</t>
  </si>
  <si>
    <t>multiverse cell 855/1260: coding=share_recut_2018, outlier=rstudent, es_set=full, df_basis=k20, estimator=UWLS3, rho=0.6 [DEC-045 S2]; weighted LS cell means (1/vi); descriptive curve only</t>
  </si>
  <si>
    <t>multiverse cell 856/1260: coding=share_recut_2019, outlier=rstudent, es_set=full, df_basis=k20, estimator=UWLS3, rho=0.6 [DEC-045 S2]; weighted LS cell means (1/vi); descriptive curve only</t>
  </si>
  <si>
    <t>multiverse cell 857/1260: coding=end_lag1, outlier=rstudent, es_set=full, df_basis=k20, estimator=UWLS3, rho=0.6 [DEC-045 S2]; weighted LS cell means (1/vi); descriptive curve only</t>
  </si>
  <si>
    <t>multiverse cell 858/1260: coding=end_lag2, outlier=rstudent, es_set=full, df_basis=k20, estimator=UWLS3, rho=0.6 [DEC-045 S2]; weighted LS cell means (1/vi); descriptive curve only</t>
  </si>
  <si>
    <t>multiverse cell 859/1260: coding=end_lag3, outlier=rstudent, es_set=full, df_basis=k20, estimator=UWLS3, rho=0.6 [DEC-045 S2]; weighted LS cell means (1/vi); descriptive curve only</t>
  </si>
  <si>
    <t>multiverse cell 860/1260: coding=clean_window, outlier=rstudent, es_set=full, df_basis=k20, estimator=UWLS3, rho=0.6 [DEC-045 S2]; weighted LS cell means (1/vi); descriptive curve only</t>
  </si>
  <si>
    <t>multiverse cell 861/1260: coding=paris_mid, outlier=winsor, es_set=full, df_basis=k20, estimator=UWLS3, rho=0.6 [DEC-045 S2]; weighted LS cell means (1/vi); descriptive curve only</t>
  </si>
  <si>
    <t>multiverse cell 862/1260: coding=tie_break_median, outlier=winsor, es_set=full, df_basis=k20, estimator=UWLS3, rho=0.6 [DEC-045 S2]; weighted LS cell means (1/vi); descriptive curve only</t>
  </si>
  <si>
    <t>multiverse cell 863/1260: coding=end_any_exposure, outlier=winsor, es_set=full, df_basis=k20, estimator=UWLS3, rho=0.6 [DEC-045 S2]; weighted LS cell means (1/vi); descriptive curve only</t>
  </si>
  <si>
    <t>multiverse cell 864/1260: coding=share_recut_2017, outlier=winsor, es_set=full, df_basis=k20, estimator=UWLS3, rho=0.6 [DEC-045 S2]; weighted LS cell means (1/vi); descriptive curve only</t>
  </si>
  <si>
    <t>multiverse cell 865/1260: coding=share_recut_2018, outlier=winsor, es_set=full, df_basis=k20, estimator=UWLS3, rho=0.6 [DEC-045 S2]; weighted LS cell means (1/vi); descriptive curve only</t>
  </si>
  <si>
    <t>multiverse cell 866/1260: coding=share_recut_2019, outlier=winsor, es_set=full, df_basis=k20, estimator=UWLS3, rho=0.6 [DEC-045 S2]; weighted LS cell means (1/vi); descriptive curve only</t>
  </si>
  <si>
    <t>multiverse cell 867/1260: coding=end_lag1, outlier=winsor, es_set=full, df_basis=k20, estimator=UWLS3, rho=0.6 [DEC-045 S2]; weighted LS cell means (1/vi); descriptive curve only</t>
  </si>
  <si>
    <t>multiverse cell 868/1260: coding=end_lag2, outlier=winsor, es_set=full, df_basis=k20, estimator=UWLS3, rho=0.6 [DEC-045 S2]; weighted LS cell means (1/vi); descriptive curve only</t>
  </si>
  <si>
    <t>multiverse cell 869/1260: coding=end_lag3, outlier=winsor, es_set=full, df_basis=k20, estimator=UWLS3, rho=0.6 [DEC-045 S2]; weighted LS cell means (1/vi); descriptive curve only</t>
  </si>
  <si>
    <t>multiverse cell 870/1260: coding=clean_window, outlier=winsor, es_set=full, df_basis=k20, estimator=UWLS3, rho=0.6 [DEC-045 S2]; weighted LS cell means (1/vi); descriptive curve only</t>
  </si>
  <si>
    <t>multiverse cell 871/1260: coding=paris_mid, outlier=none, es_set=no_starbound, df_basis=k20, estimator=UWLS3, rho=0.6 [DEC-045 S2]; weighted LS cell means (1/vi); descriptive curve only</t>
  </si>
  <si>
    <t>multiverse cell 872/1260: coding=tie_break_median, outlier=none, es_set=no_starbound, df_basis=k20, estimator=UWLS3, rho=0.6 [DEC-045 S2]; weighted LS cell means (1/vi); descriptive curve only</t>
  </si>
  <si>
    <t>multiverse cell 873/1260: coding=end_any_exposure, outlier=none, es_set=no_starbound, df_basis=k20, estimator=UWLS3, rho=0.6 [DEC-045 S2]; weighted LS cell means (1/vi); descriptive curve only</t>
  </si>
  <si>
    <t>multiverse cell 874/1260: coding=share_recut_2017, outlier=none, es_set=no_starbound, df_basis=k20, estimator=UWLS3, rho=0.6 [DEC-045 S2]; weighted LS cell means (1/vi); descriptive curve only</t>
  </si>
  <si>
    <t>multiverse cell 875/1260: coding=share_recut_2018, outlier=none, es_set=no_starbound, df_basis=k20, estimator=UWLS3, rho=0.6 [DEC-045 S2]; weighted LS cell means (1/vi); descriptive curve only</t>
  </si>
  <si>
    <t>multiverse cell 876/1260: coding=share_recut_2019, outlier=none, es_set=no_starbound, df_basis=k20, estimator=UWLS3, rho=0.6 [DEC-045 S2]; weighted LS cell means (1/vi); descriptive curve only</t>
  </si>
  <si>
    <t>multiverse cell 877/1260: coding=end_lag1, outlier=none, es_set=no_starbound, df_basis=k20, estimator=UWLS3, rho=0.6 [DEC-045 S2]; weighted LS cell means (1/vi); descriptive curve only</t>
  </si>
  <si>
    <t>multiverse cell 878/1260: coding=end_lag2, outlier=none, es_set=no_starbound, df_basis=k20, estimator=UWLS3, rho=0.6 [DEC-045 S2]; weighted LS cell means (1/vi); descriptive curve only</t>
  </si>
  <si>
    <t>multiverse cell 879/1260: coding=end_lag3, outlier=none, es_set=no_starbound, df_basis=k20, estimator=UWLS3, rho=0.6 [DEC-045 S2]; weighted LS cell means (1/vi); descriptive curve only</t>
  </si>
  <si>
    <t>multiverse cell 880/1260: coding=clean_window, outlier=none, es_set=no_starbound, df_basis=k20, estimator=UWLS3, rho=0.6 [DEC-045 S2]; weighted LS cell means (1/vi); descriptive curve only</t>
  </si>
  <si>
    <t>multiverse cell 881/1260: coding=paris_mid, outlier=rstudent, es_set=no_starbound, df_basis=k20, estimator=UWLS3, rho=0.6 [DEC-045 S2]; weighted LS cell means (1/vi); descriptive curve only</t>
  </si>
  <si>
    <t>multiverse cell 882/1260: coding=tie_break_median, outlier=rstudent, es_set=no_starbound, df_basis=k20, estimator=UWLS3, rho=0.6 [DEC-045 S2]; weighted LS cell means (1/vi); descriptive curve only</t>
  </si>
  <si>
    <t>multiverse cell 883/1260: coding=end_any_exposure, outlier=rstudent, es_set=no_starbound, df_basis=k20, estimator=UWLS3, rho=0.6 [DEC-045 S2]; weighted LS cell means (1/vi); descriptive curve only</t>
  </si>
  <si>
    <t>multiverse cell 884/1260: coding=share_recut_2017, outlier=rstudent, es_set=no_starbound, df_basis=k20, estimator=UWLS3, rho=0.6 [DEC-045 S2]; weighted LS cell means (1/vi); descriptive curve only</t>
  </si>
  <si>
    <t>multiverse cell 885/1260: coding=share_recut_2018, outlier=rstudent, es_set=no_starbound, df_basis=k20, estimator=UWLS3, rho=0.6 [DEC-045 S2]; weighted LS cell means (1/vi); descriptive curve only</t>
  </si>
  <si>
    <t>multiverse cell 886/1260: coding=share_recut_2019, outlier=rstudent, es_set=no_starbound, df_basis=k20, estimator=UWLS3, rho=0.6 [DEC-045 S2]; weighted LS cell means (1/vi); descriptive curve only</t>
  </si>
  <si>
    <t>multiverse cell 887/1260: coding=end_lag1, outlier=rstudent, es_set=no_starbound, df_basis=k20, estimator=UWLS3, rho=0.6 [DEC-045 S2]; weighted LS cell means (1/vi); descriptive curve only</t>
  </si>
  <si>
    <t>multiverse cell 888/1260: coding=end_lag2, outlier=rstudent, es_set=no_starbound, df_basis=k20, estimator=UWLS3, rho=0.6 [DEC-045 S2]; weighted LS cell means (1/vi); descriptive curve only</t>
  </si>
  <si>
    <t>multiverse cell 889/1260: coding=end_lag3, outlier=rstudent, es_set=no_starbound, df_basis=k20, estimator=UWLS3, rho=0.6 [DEC-045 S2]; weighted LS cell means (1/vi); descriptive curve only</t>
  </si>
  <si>
    <t>multiverse cell 890/1260: coding=clean_window, outlier=rstudent, es_set=no_starbound, df_basis=k20, estimator=UWLS3, rho=0.6 [DEC-045 S2]; weighted LS cell means (1/vi); descriptive curve only</t>
  </si>
  <si>
    <t>multiverse cell 891/1260: coding=paris_mid, outlier=winsor, es_set=no_starbound, df_basis=k20, estimator=UWLS3, rho=0.6 [DEC-045 S2]; weighted LS cell means (1/vi); descriptive curve only</t>
  </si>
  <si>
    <t>multiverse cell 892/1260: coding=tie_break_median, outlier=winsor, es_set=no_starbound, df_basis=k20, estimator=UWLS3, rho=0.6 [DEC-045 S2]; weighted LS cell means (1/vi); descriptive curve only</t>
  </si>
  <si>
    <t>multiverse cell 893/1260: coding=end_any_exposure, outlier=winsor, es_set=no_starbound, df_basis=k20, estimator=UWLS3, rho=0.6 [DEC-045 S2]; weighted LS cell means (1/vi); descriptive curve only</t>
  </si>
  <si>
    <t>multiverse cell 894/1260: coding=share_recut_2017, outlier=winsor, es_set=no_starbound, df_basis=k20, estimator=UWLS3, rho=0.6 [DEC-045 S2]; weighted LS cell means (1/vi); descriptive curve only</t>
  </si>
  <si>
    <t>multiverse cell 895/1260: coding=share_recut_2018, outlier=winsor, es_set=no_starbound, df_basis=k20, estimator=UWLS3, rho=0.6 [DEC-045 S2]; weighted LS cell means (1/vi); descriptive curve only</t>
  </si>
  <si>
    <t>multiverse cell 896/1260: coding=share_recut_2019, outlier=winsor, es_set=no_starbound, df_basis=k20, estimator=UWLS3, rho=0.6 [DEC-045 S2]; weighted LS cell means (1/vi); descriptive curve only</t>
  </si>
  <si>
    <t>multiverse cell 897/1260: coding=end_lag1, outlier=winsor, es_set=no_starbound, df_basis=k20, estimator=UWLS3, rho=0.6 [DEC-045 S2]; weighted LS cell means (1/vi); descriptive curve only</t>
  </si>
  <si>
    <t>multiverse cell 898/1260: coding=end_lag2, outlier=winsor, es_set=no_starbound, df_basis=k20, estimator=UWLS3, rho=0.6 [DEC-045 S2]; weighted LS cell means (1/vi); descriptive curve only</t>
  </si>
  <si>
    <t>multiverse cell 899/1260: coding=end_lag3, outlier=winsor, es_set=no_starbound, df_basis=k20, estimator=UWLS3, rho=0.6 [DEC-045 S2]; weighted LS cell means (1/vi); descriptive curve only</t>
  </si>
  <si>
    <t>multiverse cell 900/1260: coding=clean_window, outlier=winsor, es_set=no_starbound, df_basis=k20, estimator=UWLS3, rho=0.6 [DEC-045 S2]; weighted LS cell means (1/vi); descriptive curve only</t>
  </si>
  <si>
    <t>3LMA-RVE_CR2|r0.8</t>
  </si>
  <si>
    <t>multiverse cell 901/1260: coding=paris_mid, outlier=none, es_set=full, df_basis=dfE, estimator=3LMA-RVE_CR2, rho=0.8 [DEC-045 S2]; descriptive curve cell</t>
  </si>
  <si>
    <t>multiverse cell 902/1260: coding=tie_break_median, outlier=none, es_set=full, df_basis=dfE, estimator=3LMA-RVE_CR2, rho=0.8 [DEC-045 S2]; descriptive curve cell</t>
  </si>
  <si>
    <t>multiverse cell 903/1260: coding=end_any_exposure, outlier=none, es_set=full, df_basis=dfE, estimator=3LMA-RVE_CR2, rho=0.8 [DEC-045 S2]; descriptive curve cell</t>
  </si>
  <si>
    <t>multiverse cell 904/1260: coding=share_recut_2017, outlier=none, es_set=full, df_basis=dfE, estimator=3LMA-RVE_CR2, rho=0.8 [DEC-045 S2]; descriptive curve cell</t>
  </si>
  <si>
    <t>multiverse cell 905/1260: coding=share_recut_2018, outlier=none, es_set=full, df_basis=dfE, estimator=3LMA-RVE_CR2, rho=0.8 [DEC-045 S2]; descriptive curve cell</t>
  </si>
  <si>
    <t>multiverse cell 906/1260: coding=share_recut_2019, outlier=none, es_set=full, df_basis=dfE, estimator=3LMA-RVE_CR2, rho=0.8 [DEC-045 S2]; descriptive curve cell</t>
  </si>
  <si>
    <t>multiverse cell 907/1260: coding=end_lag1, outlier=none, es_set=full, df_basis=dfE, estimator=3LMA-RVE_CR2, rho=0.8 [DEC-045 S2]; descriptive curve cell</t>
  </si>
  <si>
    <t>multiverse cell 908/1260: coding=end_lag2, outlier=none, es_set=full, df_basis=dfE, estimator=3LMA-RVE_CR2, rho=0.8 [DEC-045 S2]; descriptive curve cell</t>
  </si>
  <si>
    <t>multiverse cell 909/1260: coding=end_lag3, outlier=none, es_set=full, df_basis=dfE, estimator=3LMA-RVE_CR2, rho=0.8 [DEC-045 S2]; descriptive curve cell</t>
  </si>
  <si>
    <t>multiverse cell 910/1260: coding=clean_window, outlier=none, es_set=full, df_basis=dfE, estimator=3LMA-RVE_CR2, rho=0.8 [DEC-045 S2]; descriptive curve cell</t>
  </si>
  <si>
    <t>multiverse cell 911/1260: coding=paris_mid, outlier=rstudent, es_set=full, df_basis=dfE, estimator=3LMA-RVE_CR2, rho=0.8 [DEC-045 S2]; descriptive curve cell</t>
  </si>
  <si>
    <t>multiverse cell 912/1260: coding=tie_break_median, outlier=rstudent, es_set=full, df_basis=dfE, estimator=3LMA-RVE_CR2, rho=0.8 [DEC-045 S2]; descriptive curve cell</t>
  </si>
  <si>
    <t>multiverse cell 913/1260: coding=end_any_exposure, outlier=rstudent, es_set=full, df_basis=dfE, estimator=3LMA-RVE_CR2, rho=0.8 [DEC-045 S2]; descriptive curve cell</t>
  </si>
  <si>
    <t>multiverse cell 914/1260: coding=share_recut_2017, outlier=rstudent, es_set=full, df_basis=dfE, estimator=3LMA-RVE_CR2, rho=0.8 [DEC-045 S2]; descriptive curve cell</t>
  </si>
  <si>
    <t>multiverse cell 915/1260: coding=share_recut_2018, outlier=rstudent, es_set=full, df_basis=dfE, estimator=3LMA-RVE_CR2, rho=0.8 [DEC-045 S2]; descriptive curve cell</t>
  </si>
  <si>
    <t>multiverse cell 916/1260: coding=share_recut_2019, outlier=rstudent, es_set=full, df_basis=dfE, estimator=3LMA-RVE_CR2, rho=0.8 [DEC-045 S2]; descriptive curve cell</t>
  </si>
  <si>
    <t>multiverse cell 917/1260: coding=end_lag1, outlier=rstudent, es_set=full, df_basis=dfE, estimator=3LMA-RVE_CR2, rho=0.8 [DEC-045 S2]; descriptive curve cell</t>
  </si>
  <si>
    <t>multiverse cell 918/1260: coding=end_lag2, outlier=rstudent, es_set=full, df_basis=dfE, estimator=3LMA-RVE_CR2, rho=0.8 [DEC-045 S2]; descriptive curve cell</t>
  </si>
  <si>
    <t>multiverse cell 919/1260: coding=end_lag3, outlier=rstudent, es_set=full, df_basis=dfE, estimator=3LMA-RVE_CR2, rho=0.8 [DEC-045 S2]; descriptive curve cell</t>
  </si>
  <si>
    <t>multiverse cell 920/1260: coding=clean_window, outlier=rstudent, es_set=full, df_basis=dfE, estimator=3LMA-RVE_CR2, rho=0.8 [DEC-045 S2]; descriptive curve cell</t>
  </si>
  <si>
    <t>multiverse cell 921/1260: coding=paris_mid, outlier=winsor, es_set=full, df_basis=dfE, estimator=3LMA-RVE_CR2, rho=0.8 [DEC-045 S2]; descriptive curve cell</t>
  </si>
  <si>
    <t>multiverse cell 922/1260: coding=tie_break_median, outlier=winsor, es_set=full, df_basis=dfE, estimator=3LMA-RVE_CR2, rho=0.8 [DEC-045 S2]; descriptive curve cell</t>
  </si>
  <si>
    <t>multiverse cell 923/1260: coding=end_any_exposure, outlier=winsor, es_set=full, df_basis=dfE, estimator=3LMA-RVE_CR2, rho=0.8 [DEC-045 S2]; descriptive curve cell</t>
  </si>
  <si>
    <t>multiverse cell 924/1260: coding=share_recut_2017, outlier=winsor, es_set=full, df_basis=dfE, estimator=3LMA-RVE_CR2, rho=0.8 [DEC-045 S2]; descriptive curve cell</t>
  </si>
  <si>
    <t>multiverse cell 925/1260: coding=share_recut_2018, outlier=winsor, es_set=full, df_basis=dfE, estimator=3LMA-RVE_CR2, rho=0.8 [DEC-045 S2]; descriptive curve cell</t>
  </si>
  <si>
    <t>multiverse cell 926/1260: coding=share_recut_2019, outlier=winsor, es_set=full, df_basis=dfE, estimator=3LMA-RVE_CR2, rho=0.8 [DEC-045 S2]; descriptive curve cell</t>
  </si>
  <si>
    <t>multiverse cell 927/1260: coding=end_lag1, outlier=winsor, es_set=full, df_basis=dfE, estimator=3LMA-RVE_CR2, rho=0.8 [DEC-045 S2]; descriptive curve cell</t>
  </si>
  <si>
    <t>multiverse cell 928/1260: coding=end_lag2, outlier=winsor, es_set=full, df_basis=dfE, estimator=3LMA-RVE_CR2, rho=0.8 [DEC-045 S2]; descriptive curve cell</t>
  </si>
  <si>
    <t>multiverse cell 929/1260: coding=end_lag3, outlier=winsor, es_set=full, df_basis=dfE, estimator=3LMA-RVE_CR2, rho=0.8 [DEC-045 S2]; descriptive curve cell</t>
  </si>
  <si>
    <t>multiverse cell 930/1260: coding=clean_window, outlier=winsor, es_set=full, df_basis=dfE, estimator=3LMA-RVE_CR2, rho=0.8 [DEC-045 S2]; descriptive curve cell</t>
  </si>
  <si>
    <t>multiverse cell 931/1260: coding=paris_mid, outlier=none, es_set=no_starbound, df_basis=dfE, estimator=3LMA-RVE_CR2, rho=0.8 [DEC-045 S2]; descriptive curve cell</t>
  </si>
  <si>
    <t>multiverse cell 932/1260: coding=tie_break_median, outlier=none, es_set=no_starbound, df_basis=dfE, estimator=3LMA-RVE_CR2, rho=0.8 [DEC-045 S2]; descriptive curve cell</t>
  </si>
  <si>
    <t>multiverse cell 933/1260: coding=end_any_exposure, outlier=none, es_set=no_starbound, df_basis=dfE, estimator=3LMA-RVE_CR2, rho=0.8 [DEC-045 S2]; descriptive curve cell</t>
  </si>
  <si>
    <t>multiverse cell 934/1260: coding=share_recut_2017, outlier=none, es_set=no_starbound, df_basis=dfE, estimator=3LMA-RVE_CR2, rho=0.8 [DEC-045 S2]; descriptive curve cell</t>
  </si>
  <si>
    <t>multiverse cell 935/1260: coding=share_recut_2018, outlier=none, es_set=no_starbound, df_basis=dfE, estimator=3LMA-RVE_CR2, rho=0.8 [DEC-045 S2]; descriptive curve cell</t>
  </si>
  <si>
    <t>multiverse cell 936/1260: coding=share_recut_2019, outlier=none, es_set=no_starbound, df_basis=dfE, estimator=3LMA-RVE_CR2, rho=0.8 [DEC-045 S2]; descriptive curve cell</t>
  </si>
  <si>
    <t>multiverse cell 937/1260: coding=end_lag1, outlier=none, es_set=no_starbound, df_basis=dfE, estimator=3LMA-RVE_CR2, rho=0.8 [DEC-045 S2]; descriptive curve cell</t>
  </si>
  <si>
    <t>multiverse cell 938/1260: coding=end_lag2, outlier=none, es_set=no_starbound, df_basis=dfE, estimator=3LMA-RVE_CR2, rho=0.8 [DEC-045 S2]; descriptive curve cell</t>
  </si>
  <si>
    <t>multiverse cell 939/1260: coding=end_lag3, outlier=none, es_set=no_starbound, df_basis=dfE, estimator=3LMA-RVE_CR2, rho=0.8 [DEC-045 S2]; descriptive curve cell</t>
  </si>
  <si>
    <t>multiverse cell 940/1260: coding=clean_window, outlier=none, es_set=no_starbound, df_basis=dfE, estimator=3LMA-RVE_CR2, rho=0.8 [DEC-045 S2]; descriptive curve cell</t>
  </si>
  <si>
    <t>multiverse cell 941/1260: coding=paris_mid, outlier=rstudent, es_set=no_starbound, df_basis=dfE, estimator=3LMA-RVE_CR2, rho=0.8 [DEC-045 S2]; descriptive curve cell</t>
  </si>
  <si>
    <t>multiverse cell 942/1260: coding=tie_break_median, outlier=rstudent, es_set=no_starbound, df_basis=dfE, estimator=3LMA-RVE_CR2, rho=0.8 [DEC-045 S2]; descriptive curve cell</t>
  </si>
  <si>
    <t>multiverse cell 943/1260: coding=end_any_exposure, outlier=rstudent, es_set=no_starbound, df_basis=dfE, estimator=3LMA-RVE_CR2, rho=0.8 [DEC-045 S2]; descriptive curve cell</t>
  </si>
  <si>
    <t>multiverse cell 944/1260: coding=share_recut_2017, outlier=rstudent, es_set=no_starbound, df_basis=dfE, estimator=3LMA-RVE_CR2, rho=0.8 [DEC-045 S2]; descriptive curve cell</t>
  </si>
  <si>
    <t>multiverse cell 945/1260: coding=share_recut_2018, outlier=rstudent, es_set=no_starbound, df_basis=dfE, estimator=3LMA-RVE_CR2, rho=0.8 [DEC-045 S2]; descriptive curve cell</t>
  </si>
  <si>
    <t>multiverse cell 946/1260: coding=share_recut_2019, outlier=rstudent, es_set=no_starbound, df_basis=dfE, estimator=3LMA-RVE_CR2, rho=0.8 [DEC-045 S2]; descriptive curve cell</t>
  </si>
  <si>
    <t>multiverse cell 947/1260: coding=end_lag1, outlier=rstudent, es_set=no_starbound, df_basis=dfE, estimator=3LMA-RVE_CR2, rho=0.8 [DEC-045 S2]; descriptive curve cell</t>
  </si>
  <si>
    <t>multiverse cell 948/1260: coding=end_lag2, outlier=rstudent, es_set=no_starbound, df_basis=dfE, estimator=3LMA-RVE_CR2, rho=0.8 [DEC-045 S2]; descriptive curve cell</t>
  </si>
  <si>
    <t>multiverse cell 949/1260: coding=end_lag3, outlier=rstudent, es_set=no_starbound, df_basis=dfE, estimator=3LMA-RVE_CR2, rho=0.8 [DEC-045 S2]; descriptive curve cell</t>
  </si>
  <si>
    <t>multiverse cell 950/1260: coding=clean_window, outlier=rstudent, es_set=no_starbound, df_basis=dfE, estimator=3LMA-RVE_CR2, rho=0.8 [DEC-045 S2]; descriptive curve cell</t>
  </si>
  <si>
    <t>multiverse cell 951/1260: coding=paris_mid, outlier=winsor, es_set=no_starbound, df_basis=dfE, estimator=3LMA-RVE_CR2, rho=0.8 [DEC-045 S2]; descriptive curve cell</t>
  </si>
  <si>
    <t>multiverse cell 952/1260: coding=tie_break_median, outlier=winsor, es_set=no_starbound, df_basis=dfE, estimator=3LMA-RVE_CR2, rho=0.8 [DEC-045 S2]; descriptive curve cell</t>
  </si>
  <si>
    <t>multiverse cell 953/1260: coding=end_any_exposure, outlier=winsor, es_set=no_starbound, df_basis=dfE, estimator=3LMA-RVE_CR2, rho=0.8 [DEC-045 S2]; descriptive curve cell</t>
  </si>
  <si>
    <t>multiverse cell 954/1260: coding=share_recut_2017, outlier=winsor, es_set=no_starbound, df_basis=dfE, estimator=3LMA-RVE_CR2, rho=0.8 [DEC-045 S2]; descriptive curve cell</t>
  </si>
  <si>
    <t>multiverse cell 955/1260: coding=share_recut_2018, outlier=winsor, es_set=no_starbound, df_basis=dfE, estimator=3LMA-RVE_CR2, rho=0.8 [DEC-045 S2]; descriptive curve cell</t>
  </si>
  <si>
    <t>multiverse cell 956/1260: coding=share_recut_2019, outlier=winsor, es_set=no_starbound, df_basis=dfE, estimator=3LMA-RVE_CR2, rho=0.8 [DEC-045 S2]; descriptive curve cell</t>
  </si>
  <si>
    <t>multiverse cell 957/1260: coding=end_lag1, outlier=winsor, es_set=no_starbound, df_basis=dfE, estimator=3LMA-RVE_CR2, rho=0.8 [DEC-045 S2]; descriptive curve cell</t>
  </si>
  <si>
    <t>multiverse cell 958/1260: coding=end_lag2, outlier=winsor, es_set=no_starbound, df_basis=dfE, estimator=3LMA-RVE_CR2, rho=0.8 [DEC-045 S2]; descriptive curve cell</t>
  </si>
  <si>
    <t>multiverse cell 959/1260: coding=end_lag3, outlier=winsor, es_set=no_starbound, df_basis=dfE, estimator=3LMA-RVE_CR2, rho=0.8 [DEC-045 S2]; descriptive curve cell</t>
  </si>
  <si>
    <t>multiverse cell 960/1260: coding=clean_window, outlier=winsor, es_set=no_starbound, df_basis=dfE, estimator=3LMA-RVE_CR2, rho=0.8 [DEC-045 S2]; descriptive curve cell</t>
  </si>
  <si>
    <t>multiverse cell 961/1260: coding=paris_mid, outlier=none, es_set=full, df_basis=k10, estimator=3LMA-RVE_CR2, rho=0.8 [DEC-045 S2]; descriptive curve cell</t>
  </si>
  <si>
    <t>multiverse cell 962/1260: coding=tie_break_median, outlier=none, es_set=full, df_basis=k10, estimator=3LMA-RVE_CR2, rho=0.8 [DEC-045 S2]; descriptive curve cell</t>
  </si>
  <si>
    <t>multiverse cell 963/1260: coding=end_any_exposure, outlier=none, es_set=full, df_basis=k10, estimator=3LMA-RVE_CR2, rho=0.8 [DEC-045 S2]; descriptive curve cell</t>
  </si>
  <si>
    <t>multiverse cell 964/1260: coding=share_recut_2017, outlier=none, es_set=full, df_basis=k10, estimator=3LMA-RVE_CR2, rho=0.8 [DEC-045 S2]; descriptive curve cell</t>
  </si>
  <si>
    <t>multiverse cell 965/1260: coding=share_recut_2018, outlier=none, es_set=full, df_basis=k10, estimator=3LMA-RVE_CR2, rho=0.8 [DEC-045 S2]; descriptive curve cell</t>
  </si>
  <si>
    <t>multiverse cell 966/1260: coding=share_recut_2019, outlier=none, es_set=full, df_basis=k10, estimator=3LMA-RVE_CR2, rho=0.8 [DEC-045 S2]; descriptive curve cell</t>
  </si>
  <si>
    <t>multiverse cell 967/1260: coding=end_lag1, outlier=none, es_set=full, df_basis=k10, estimator=3LMA-RVE_CR2, rho=0.8 [DEC-045 S2]; descriptive curve cell</t>
  </si>
  <si>
    <t>multiverse cell 968/1260: coding=end_lag2, outlier=none, es_set=full, df_basis=k10, estimator=3LMA-RVE_CR2, rho=0.8 [DEC-045 S2]; descriptive curve cell</t>
  </si>
  <si>
    <t>multiverse cell 969/1260: coding=end_lag3, outlier=none, es_set=full, df_basis=k10, estimator=3LMA-RVE_CR2, rho=0.8 [DEC-045 S2]; descriptive curve cell</t>
  </si>
  <si>
    <t>multiverse cell 970/1260: coding=clean_window, outlier=none, es_set=full, df_basis=k10, estimator=3LMA-RVE_CR2, rho=0.8 [DEC-045 S2]; descriptive curve cell</t>
  </si>
  <si>
    <t>multiverse cell 971/1260: coding=paris_mid, outlier=rstudent, es_set=full, df_basis=k10, estimator=3LMA-RVE_CR2, rho=0.8 [DEC-045 S2]; descriptive curve cell</t>
  </si>
  <si>
    <t>multiverse cell 972/1260: coding=tie_break_median, outlier=rstudent, es_set=full, df_basis=k10, estimator=3LMA-RVE_CR2, rho=0.8 [DEC-045 S2]; descriptive curve cell</t>
  </si>
  <si>
    <t>multiverse cell 973/1260: coding=end_any_exposure, outlier=rstudent, es_set=full, df_basis=k10, estimator=3LMA-RVE_CR2, rho=0.8 [DEC-045 S2]; descriptive curve cell</t>
  </si>
  <si>
    <t>multiverse cell 974/1260: coding=share_recut_2017, outlier=rstudent, es_set=full, df_basis=k10, estimator=3LMA-RVE_CR2, rho=0.8 [DEC-045 S2]; descriptive curve cell</t>
  </si>
  <si>
    <t>multiverse cell 975/1260: coding=share_recut_2018, outlier=rstudent, es_set=full, df_basis=k10, estimator=3LMA-RVE_CR2, rho=0.8 [DEC-045 S2]; descriptive curve cell</t>
  </si>
  <si>
    <t>multiverse cell 976/1260: coding=share_recut_2019, outlier=rstudent, es_set=full, df_basis=k10, estimator=3LMA-RVE_CR2, rho=0.8 [DEC-045 S2]; descriptive curve cell</t>
  </si>
  <si>
    <t>multiverse cell 977/1260: coding=end_lag1, outlier=rstudent, es_set=full, df_basis=k10, estimator=3LMA-RVE_CR2, rho=0.8 [DEC-045 S2]; descriptive curve cell</t>
  </si>
  <si>
    <t>multiverse cell 978/1260: coding=end_lag2, outlier=rstudent, es_set=full, df_basis=k10, estimator=3LMA-RVE_CR2, rho=0.8 [DEC-045 S2]; descriptive curve cell</t>
  </si>
  <si>
    <t>multiverse cell 979/1260: coding=end_lag3, outlier=rstudent, es_set=full, df_basis=k10, estimator=3LMA-RVE_CR2, rho=0.8 [DEC-045 S2]; descriptive curve cell</t>
  </si>
  <si>
    <t>multiverse cell 980/1260: coding=clean_window, outlier=rstudent, es_set=full, df_basis=k10, estimator=3LMA-RVE_CR2, rho=0.8 [DEC-045 S2]; descriptive curve cell</t>
  </si>
  <si>
    <t>multiverse cell 981/1260: coding=paris_mid, outlier=winsor, es_set=full, df_basis=k10, estimator=3LMA-RVE_CR2, rho=0.8 [DEC-045 S2]; descriptive curve cell</t>
  </si>
  <si>
    <t>multiverse cell 982/1260: coding=tie_break_median, outlier=winsor, es_set=full, df_basis=k10, estimator=3LMA-RVE_CR2, rho=0.8 [DEC-045 S2]; descriptive curve cell</t>
  </si>
  <si>
    <t>multiverse cell 983/1260: coding=end_any_exposure, outlier=winsor, es_set=full, df_basis=k10, estimator=3LMA-RVE_CR2, rho=0.8 [DEC-045 S2]; descriptive curve cell</t>
  </si>
  <si>
    <t>multiverse cell 984/1260: coding=share_recut_2017, outlier=winsor, es_set=full, df_basis=k10, estimator=3LMA-RVE_CR2, rho=0.8 [DEC-045 S2]; descriptive curve cell</t>
  </si>
  <si>
    <t>multiverse cell 985/1260: coding=share_recut_2018, outlier=winsor, es_set=full, df_basis=k10, estimator=3LMA-RVE_CR2, rho=0.8 [DEC-045 S2]; descriptive curve cell</t>
  </si>
  <si>
    <t>multiverse cell 986/1260: coding=share_recut_2019, outlier=winsor, es_set=full, df_basis=k10, estimator=3LMA-RVE_CR2, rho=0.8 [DEC-045 S2]; descriptive curve cell</t>
  </si>
  <si>
    <t>multiverse cell 987/1260: coding=end_lag1, outlier=winsor, es_set=full, df_basis=k10, estimator=3LMA-RVE_CR2, rho=0.8 [DEC-045 S2]; descriptive curve cell</t>
  </si>
  <si>
    <t>multiverse cell 988/1260: coding=end_lag2, outlier=winsor, es_set=full, df_basis=k10, estimator=3LMA-RVE_CR2, rho=0.8 [DEC-045 S2]; descriptive curve cell</t>
  </si>
  <si>
    <t>multiverse cell 989/1260: coding=end_lag3, outlier=winsor, es_set=full, df_basis=k10, estimator=3LMA-RVE_CR2, rho=0.8 [DEC-045 S2]; descriptive curve cell</t>
  </si>
  <si>
    <t>multiverse cell 990/1260: coding=clean_window, outlier=winsor, es_set=full, df_basis=k10, estimator=3LMA-RVE_CR2, rho=0.8 [DEC-045 S2]; descriptive curve cell</t>
  </si>
  <si>
    <t>multiverse cell 991/1260: coding=paris_mid, outlier=none, es_set=no_starbound, df_basis=k10, estimator=3LMA-RVE_CR2, rho=0.8 [DEC-045 S2]; descriptive curve cell</t>
  </si>
  <si>
    <t>multiverse cell 992/1260: coding=tie_break_median, outlier=none, es_set=no_starbound, df_basis=k10, estimator=3LMA-RVE_CR2, rho=0.8 [DEC-045 S2]; descriptive curve cell</t>
  </si>
  <si>
    <t>multiverse cell 993/1260: coding=end_any_exposure, outlier=none, es_set=no_starbound, df_basis=k10, estimator=3LMA-RVE_CR2, rho=0.8 [DEC-045 S2]; descriptive curve cell</t>
  </si>
  <si>
    <t>multiverse cell 994/1260: coding=share_recut_2017, outlier=none, es_set=no_starbound, df_basis=k10, estimator=3LMA-RVE_CR2, rho=0.8 [DEC-045 S2]; descriptive curve cell</t>
  </si>
  <si>
    <t>multiverse cell 995/1260: coding=share_recut_2018, outlier=none, es_set=no_starbound, df_basis=k10, estimator=3LMA-RVE_CR2, rho=0.8 [DEC-045 S2]; descriptive curve cell</t>
  </si>
  <si>
    <t>multiverse cell 996/1260: coding=share_recut_2019, outlier=none, es_set=no_starbound, df_basis=k10, estimator=3LMA-RVE_CR2, rho=0.8 [DEC-045 S2]; descriptive curve cell</t>
  </si>
  <si>
    <t>multiverse cell 997/1260: coding=end_lag1, outlier=none, es_set=no_starbound, df_basis=k10, estimator=3LMA-RVE_CR2, rho=0.8 [DEC-045 S2]; descriptive curve cell</t>
  </si>
  <si>
    <t>multiverse cell 998/1260: coding=end_lag2, outlier=none, es_set=no_starbound, df_basis=k10, estimator=3LMA-RVE_CR2, rho=0.8 [DEC-045 S2]; descriptive curve cell</t>
  </si>
  <si>
    <t>multiverse cell 999/1260: coding=end_lag3, outlier=none, es_set=no_starbound, df_basis=k10, estimator=3LMA-RVE_CR2, rho=0.8 [DEC-045 S2]; descriptive curve cell</t>
  </si>
  <si>
    <t>multiverse cell 1000/1260: coding=clean_window, outlier=none, es_set=no_starbound, df_basis=k10, estimator=3LMA-RVE_CR2, rho=0.8 [DEC-045 S2]; descriptive curve cell</t>
  </si>
  <si>
    <t>multiverse cell 1001/1260: coding=paris_mid, outlier=rstudent, es_set=no_starbound, df_basis=k10, estimator=3LMA-RVE_CR2, rho=0.8 [DEC-045 S2]; descriptive curve cell</t>
  </si>
  <si>
    <t>multiverse cell 1002/1260: coding=tie_break_median, outlier=rstudent, es_set=no_starbound, df_basis=k10, estimator=3LMA-RVE_CR2, rho=0.8 [DEC-045 S2]; descriptive curve cell</t>
  </si>
  <si>
    <t>multiverse cell 1003/1260: coding=end_any_exposure, outlier=rstudent, es_set=no_starbound, df_basis=k10, estimator=3LMA-RVE_CR2, rho=0.8 [DEC-045 S2]; descriptive curve cell</t>
  </si>
  <si>
    <t>multiverse cell 1004/1260: coding=share_recut_2017, outlier=rstudent, es_set=no_starbound, df_basis=k10, estimator=3LMA-RVE_CR2, rho=0.8 [DEC-045 S2]; descriptive curve cell</t>
  </si>
  <si>
    <t>multiverse cell 1005/1260: coding=share_recut_2018, outlier=rstudent, es_set=no_starbound, df_basis=k10, estimator=3LMA-RVE_CR2, rho=0.8 [DEC-045 S2]; descriptive curve cell</t>
  </si>
  <si>
    <t>multiverse cell 1006/1260: coding=share_recut_2019, outlier=rstudent, es_set=no_starbound, df_basis=k10, estimator=3LMA-RVE_CR2, rho=0.8 [DEC-045 S2]; descriptive curve cell</t>
  </si>
  <si>
    <t>multiverse cell 1007/1260: coding=end_lag1, outlier=rstudent, es_set=no_starbound, df_basis=k10, estimator=3LMA-RVE_CR2, rho=0.8 [DEC-045 S2]; descriptive curve cell</t>
  </si>
  <si>
    <t>multiverse cell 1008/1260: coding=end_lag2, outlier=rstudent, es_set=no_starbound, df_basis=k10, estimator=3LMA-RVE_CR2, rho=0.8 [DEC-045 S2]; descriptive curve cell</t>
  </si>
  <si>
    <t>multiverse cell 1009/1260: coding=end_lag3, outlier=rstudent, es_set=no_starbound, df_basis=k10, estimator=3LMA-RVE_CR2, rho=0.8 [DEC-045 S2]; descriptive curve cell</t>
  </si>
  <si>
    <t>multiverse cell 1010/1260: coding=clean_window, outlier=rstudent, es_set=no_starbound, df_basis=k10, estimator=3LMA-RVE_CR2, rho=0.8 [DEC-045 S2]; descriptive curve cell</t>
  </si>
  <si>
    <t>multiverse cell 1011/1260: coding=paris_mid, outlier=winsor, es_set=no_starbound, df_basis=k10, estimator=3LMA-RVE_CR2, rho=0.8 [DEC-045 S2]; descriptive curve cell</t>
  </si>
  <si>
    <t>multiverse cell 1012/1260: coding=tie_break_median, outlier=winsor, es_set=no_starbound, df_basis=k10, estimator=3LMA-RVE_CR2, rho=0.8 [DEC-045 S2]; descriptive curve cell</t>
  </si>
  <si>
    <t>multiverse cell 1013/1260: coding=end_any_exposure, outlier=winsor, es_set=no_starbound, df_basis=k10, estimator=3LMA-RVE_CR2, rho=0.8 [DEC-045 S2]; descriptive curve cell</t>
  </si>
  <si>
    <t>multiverse cell 1014/1260: coding=share_recut_2017, outlier=winsor, es_set=no_starbound, df_basis=k10, estimator=3LMA-RVE_CR2, rho=0.8 [DEC-045 S2]; descriptive curve cell</t>
  </si>
  <si>
    <t>multiverse cell 1015/1260: coding=share_recut_2018, outlier=winsor, es_set=no_starbound, df_basis=k10, estimator=3LMA-RVE_CR2, rho=0.8 [DEC-045 S2]; descriptive curve cell</t>
  </si>
  <si>
    <t>multiverse cell 1016/1260: coding=share_recut_2019, outlier=winsor, es_set=no_starbound, df_basis=k10, estimator=3LMA-RVE_CR2, rho=0.8 [DEC-045 S2]; descriptive curve cell</t>
  </si>
  <si>
    <t>multiverse cell 1017/1260: coding=end_lag1, outlier=winsor, es_set=no_starbound, df_basis=k10, estimator=3LMA-RVE_CR2, rho=0.8 [DEC-045 S2]; descriptive curve cell</t>
  </si>
  <si>
    <t>multiverse cell 1018/1260: coding=end_lag2, outlier=winsor, es_set=no_starbound, df_basis=k10, estimator=3LMA-RVE_CR2, rho=0.8 [DEC-045 S2]; descriptive curve cell</t>
  </si>
  <si>
    <t>multiverse cell 1019/1260: coding=end_lag3, outlier=winsor, es_set=no_starbound, df_basis=k10, estimator=3LMA-RVE_CR2, rho=0.8 [DEC-045 S2]; descriptive curve cell</t>
  </si>
  <si>
    <t>multiverse cell 1020/1260: coding=clean_window, outlier=winsor, es_set=no_starbound, df_basis=k10, estimator=3LMA-RVE_CR2, rho=0.8 [DEC-045 S2]; descriptive curve cell</t>
  </si>
  <si>
    <t>multiverse cell 1021/1260: coding=paris_mid, outlier=none, es_set=full, df_basis=k20, estimator=3LMA-RVE_CR2, rho=0.8 [DEC-045 S2]; descriptive curve cell</t>
  </si>
  <si>
    <t>multiverse cell 1022/1260: coding=tie_break_median, outlier=none, es_set=full, df_basis=k20, estimator=3LMA-RVE_CR2, rho=0.8 [DEC-045 S2]; descriptive curve cell</t>
  </si>
  <si>
    <t>multiverse cell 1023/1260: coding=end_any_exposure, outlier=none, es_set=full, df_basis=k20, estimator=3LMA-RVE_CR2, rho=0.8 [DEC-045 S2]; descriptive curve cell</t>
  </si>
  <si>
    <t>multiverse cell 1024/1260: coding=share_recut_2017, outlier=none, es_set=full, df_basis=k20, estimator=3LMA-RVE_CR2, rho=0.8 [DEC-045 S2]; descriptive curve cell</t>
  </si>
  <si>
    <t>multiverse cell 1025/1260: coding=share_recut_2018, outlier=none, es_set=full, df_basis=k20, estimator=3LMA-RVE_CR2, rho=0.8 [DEC-045 S2]; descriptive curve cell</t>
  </si>
  <si>
    <t>multiverse cell 1026/1260: coding=share_recut_2019, outlier=none, es_set=full, df_basis=k20, estimator=3LMA-RVE_CR2, rho=0.8 [DEC-045 S2]; descriptive curve cell</t>
  </si>
  <si>
    <t>multiverse cell 1027/1260: coding=end_lag1, outlier=none, es_set=full, df_basis=k20, estimator=3LMA-RVE_CR2, rho=0.8 [DEC-045 S2]; descriptive curve cell</t>
  </si>
  <si>
    <t>multiverse cell 1028/1260: coding=end_lag2, outlier=none, es_set=full, df_basis=k20, estimator=3LMA-RVE_CR2, rho=0.8 [DEC-045 S2]; descriptive curve cell</t>
  </si>
  <si>
    <t>multiverse cell 1029/1260: coding=end_lag3, outlier=none, es_set=full, df_basis=k20, estimator=3LMA-RVE_CR2, rho=0.8 [DEC-045 S2]; descriptive curve cell</t>
  </si>
  <si>
    <t>multiverse cell 1030/1260: coding=clean_window, outlier=none, es_set=full, df_basis=k20, estimator=3LMA-RVE_CR2, rho=0.8 [DEC-045 S2]; descriptive curve cell</t>
  </si>
  <si>
    <t>multiverse cell 1031/1260: coding=paris_mid, outlier=rstudent, es_set=full, df_basis=k20, estimator=3LMA-RVE_CR2, rho=0.8 [DEC-045 S2]; descriptive curve cell</t>
  </si>
  <si>
    <t>multiverse cell 1032/1260: coding=tie_break_median, outlier=rstudent, es_set=full, df_basis=k20, estimator=3LMA-RVE_CR2, rho=0.8 [DEC-045 S2]; descriptive curve cell</t>
  </si>
  <si>
    <t>multiverse cell 1033/1260: coding=end_any_exposure, outlier=rstudent, es_set=full, df_basis=k20, estimator=3LMA-RVE_CR2, rho=0.8 [DEC-045 S2]; descriptive curve cell</t>
  </si>
  <si>
    <t>multiverse cell 1034/1260: coding=share_recut_2017, outlier=rstudent, es_set=full, df_basis=k20, estimator=3LMA-RVE_CR2, rho=0.8 [DEC-045 S2]; descriptive curve cell</t>
  </si>
  <si>
    <t>multiverse cell 1035/1260: coding=share_recut_2018, outlier=rstudent, es_set=full, df_basis=k20, estimator=3LMA-RVE_CR2, rho=0.8 [DEC-045 S2]; descriptive curve cell</t>
  </si>
  <si>
    <t>multiverse cell 1036/1260: coding=share_recut_2019, outlier=rstudent, es_set=full, df_basis=k20, estimator=3LMA-RVE_CR2, rho=0.8 [DEC-045 S2]; descriptive curve cell</t>
  </si>
  <si>
    <t>multiverse cell 1037/1260: coding=end_lag1, outlier=rstudent, es_set=full, df_basis=k20, estimator=3LMA-RVE_CR2, rho=0.8 [DEC-045 S2]; descriptive curve cell</t>
  </si>
  <si>
    <t>multiverse cell 1038/1260: coding=end_lag2, outlier=rstudent, es_set=full, df_basis=k20, estimator=3LMA-RVE_CR2, rho=0.8 [DEC-045 S2]; descriptive curve cell</t>
  </si>
  <si>
    <t>multiverse cell 1039/1260: coding=end_lag3, outlier=rstudent, es_set=full, df_basis=k20, estimator=3LMA-RVE_CR2, rho=0.8 [DEC-045 S2]; descriptive curve cell</t>
  </si>
  <si>
    <t>multiverse cell 1040/1260: coding=clean_window, outlier=rstudent, es_set=full, df_basis=k20, estimator=3LMA-RVE_CR2, rho=0.8 [DEC-045 S2]; descriptive curve cell</t>
  </si>
  <si>
    <t>multiverse cell 1041/1260: coding=paris_mid, outlier=winsor, es_set=full, df_basis=k20, estimator=3LMA-RVE_CR2, rho=0.8 [DEC-045 S2]; descriptive curve cell</t>
  </si>
  <si>
    <t>multiverse cell 1042/1260: coding=tie_break_median, outlier=winsor, es_set=full, df_basis=k20, estimator=3LMA-RVE_CR2, rho=0.8 [DEC-045 S2]; descriptive curve cell</t>
  </si>
  <si>
    <t>multiverse cell 1043/1260: coding=end_any_exposure, outlier=winsor, es_set=full, df_basis=k20, estimator=3LMA-RVE_CR2, rho=0.8 [DEC-045 S2]; descriptive curve cell</t>
  </si>
  <si>
    <t>multiverse cell 1044/1260: coding=share_recut_2017, outlier=winsor, es_set=full, df_basis=k20, estimator=3LMA-RVE_CR2, rho=0.8 [DEC-045 S2]; descriptive curve cell</t>
  </si>
  <si>
    <t>multiverse cell 1045/1260: coding=share_recut_2018, outlier=winsor, es_set=full, df_basis=k20, estimator=3LMA-RVE_CR2, rho=0.8 [DEC-045 S2]; descriptive curve cell</t>
  </si>
  <si>
    <t>multiverse cell 1046/1260: coding=share_recut_2019, outlier=winsor, es_set=full, df_basis=k20, estimator=3LMA-RVE_CR2, rho=0.8 [DEC-045 S2]; descriptive curve cell</t>
  </si>
  <si>
    <t>multiverse cell 1047/1260: coding=end_lag1, outlier=winsor, es_set=full, df_basis=k20, estimator=3LMA-RVE_CR2, rho=0.8 [DEC-045 S2]; descriptive curve cell</t>
  </si>
  <si>
    <t>multiverse cell 1048/1260: coding=end_lag2, outlier=winsor, es_set=full, df_basis=k20, estimator=3LMA-RVE_CR2, rho=0.8 [DEC-045 S2]; descriptive curve cell</t>
  </si>
  <si>
    <t>multiverse cell 1049/1260: coding=end_lag3, outlier=winsor, es_set=full, df_basis=k20, estimator=3LMA-RVE_CR2, rho=0.8 [DEC-045 S2]; descriptive curve cell</t>
  </si>
  <si>
    <t>multiverse cell 1050/1260: coding=clean_window, outlier=winsor, es_set=full, df_basis=k20, estimator=3LMA-RVE_CR2, rho=0.8 [DEC-045 S2]; descriptive curve cell</t>
  </si>
  <si>
    <t>multiverse cell 1051/1260: coding=paris_mid, outlier=none, es_set=no_starbound, df_basis=k20, estimator=3LMA-RVE_CR2, rho=0.8 [DEC-045 S2]; descriptive curve cell</t>
  </si>
  <si>
    <t>multiverse cell 1052/1260: coding=tie_break_median, outlier=none, es_set=no_starbound, df_basis=k20, estimator=3LMA-RVE_CR2, rho=0.8 [DEC-045 S2]; descriptive curve cell</t>
  </si>
  <si>
    <t>multiverse cell 1053/1260: coding=end_any_exposure, outlier=none, es_set=no_starbound, df_basis=k20, estimator=3LMA-RVE_CR2, rho=0.8 [DEC-045 S2]; descriptive curve cell</t>
  </si>
  <si>
    <t>multiverse cell 1054/1260: coding=share_recut_2017, outlier=none, es_set=no_starbound, df_basis=k20, estimator=3LMA-RVE_CR2, rho=0.8 [DEC-045 S2]; descriptive curve cell</t>
  </si>
  <si>
    <t>multiverse cell 1055/1260: coding=share_recut_2018, outlier=none, es_set=no_starbound, df_basis=k20, estimator=3LMA-RVE_CR2, rho=0.8 [DEC-045 S2]; descriptive curve cell</t>
  </si>
  <si>
    <t>multiverse cell 1056/1260: coding=share_recut_2019, outlier=none, es_set=no_starbound, df_basis=k20, estimator=3LMA-RVE_CR2, rho=0.8 [DEC-045 S2]; descriptive curve cell</t>
  </si>
  <si>
    <t>multiverse cell 1057/1260: coding=end_lag1, outlier=none, es_set=no_starbound, df_basis=k20, estimator=3LMA-RVE_CR2, rho=0.8 [DEC-045 S2]; descriptive curve cell</t>
  </si>
  <si>
    <t>multiverse cell 1058/1260: coding=end_lag2, outlier=none, es_set=no_starbound, df_basis=k20, estimator=3LMA-RVE_CR2, rho=0.8 [DEC-045 S2]; descriptive curve cell</t>
  </si>
  <si>
    <t>multiverse cell 1059/1260: coding=end_lag3, outlier=none, es_set=no_starbound, df_basis=k20, estimator=3LMA-RVE_CR2, rho=0.8 [DEC-045 S2]; descriptive curve cell</t>
  </si>
  <si>
    <t>multiverse cell 1060/1260: coding=clean_window, outlier=none, es_set=no_starbound, df_basis=k20, estimator=3LMA-RVE_CR2, rho=0.8 [DEC-045 S2]; descriptive curve cell</t>
  </si>
  <si>
    <t>multiverse cell 1061/1260: coding=paris_mid, outlier=rstudent, es_set=no_starbound, df_basis=k20, estimator=3LMA-RVE_CR2, rho=0.8 [DEC-045 S2]; descriptive curve cell</t>
  </si>
  <si>
    <t>multiverse cell 1062/1260: coding=tie_break_median, outlier=rstudent, es_set=no_starbound, df_basis=k20, estimator=3LMA-RVE_CR2, rho=0.8 [DEC-045 S2]; descriptive curve cell</t>
  </si>
  <si>
    <t>multiverse cell 1063/1260: coding=end_any_exposure, outlier=rstudent, es_set=no_starbound, df_basis=k20, estimator=3LMA-RVE_CR2, rho=0.8 [DEC-045 S2]; descriptive curve cell</t>
  </si>
  <si>
    <t>multiverse cell 1064/1260: coding=share_recut_2017, outlier=rstudent, es_set=no_starbound, df_basis=k20, estimator=3LMA-RVE_CR2, rho=0.8 [DEC-045 S2]; descriptive curve cell</t>
  </si>
  <si>
    <t>multiverse cell 1065/1260: coding=share_recut_2018, outlier=rstudent, es_set=no_starbound, df_basis=k20, estimator=3LMA-RVE_CR2, rho=0.8 [DEC-045 S2]; descriptive curve cell</t>
  </si>
  <si>
    <t>multiverse cell 1066/1260: coding=share_recut_2019, outlier=rstudent, es_set=no_starbound, df_basis=k20, estimator=3LMA-RVE_CR2, rho=0.8 [DEC-045 S2]; descriptive curve cell</t>
  </si>
  <si>
    <t>multiverse cell 1067/1260: coding=end_lag1, outlier=rstudent, es_set=no_starbound, df_basis=k20, estimator=3LMA-RVE_CR2, rho=0.8 [DEC-045 S2]; descriptive curve cell</t>
  </si>
  <si>
    <t>multiverse cell 1068/1260: coding=end_lag2, outlier=rstudent, es_set=no_starbound, df_basis=k20, estimator=3LMA-RVE_CR2, rho=0.8 [DEC-045 S2]; descriptive curve cell</t>
  </si>
  <si>
    <t>multiverse cell 1069/1260: coding=end_lag3, outlier=rstudent, es_set=no_starbound, df_basis=k20, estimator=3LMA-RVE_CR2, rho=0.8 [DEC-045 S2]; descriptive curve cell</t>
  </si>
  <si>
    <t>multiverse cell 1070/1260: coding=clean_window, outlier=rstudent, es_set=no_starbound, df_basis=k20, estimator=3LMA-RVE_CR2, rho=0.8 [DEC-045 S2]; descriptive curve cell</t>
  </si>
  <si>
    <t>multiverse cell 1071/1260: coding=paris_mid, outlier=winsor, es_set=no_starbound, df_basis=k20, estimator=3LMA-RVE_CR2, rho=0.8 [DEC-045 S2]; descriptive curve cell</t>
  </si>
  <si>
    <t>multiverse cell 1072/1260: coding=tie_break_median, outlier=winsor, es_set=no_starbound, df_basis=k20, estimator=3LMA-RVE_CR2, rho=0.8 [DEC-045 S2]; descriptive curve cell</t>
  </si>
  <si>
    <t>multiverse cell 1073/1260: coding=end_any_exposure, outlier=winsor, es_set=no_starbound, df_basis=k20, estimator=3LMA-RVE_CR2, rho=0.8 [DEC-045 S2]; descriptive curve cell</t>
  </si>
  <si>
    <t>multiverse cell 1074/1260: coding=share_recut_2017, outlier=winsor, es_set=no_starbound, df_basis=k20, estimator=3LMA-RVE_CR2, rho=0.8 [DEC-045 S2]; descriptive curve cell</t>
  </si>
  <si>
    <t>multiverse cell 1075/1260: coding=share_recut_2018, outlier=winsor, es_set=no_starbound, df_basis=k20, estimator=3LMA-RVE_CR2, rho=0.8 [DEC-045 S2]; descriptive curve cell</t>
  </si>
  <si>
    <t>multiverse cell 1076/1260: coding=share_recut_2019, outlier=winsor, es_set=no_starbound, df_basis=k20, estimator=3LMA-RVE_CR2, rho=0.8 [DEC-045 S2]; descriptive curve cell</t>
  </si>
  <si>
    <t>multiverse cell 1077/1260: coding=end_lag1, outlier=winsor, es_set=no_starbound, df_basis=k20, estimator=3LMA-RVE_CR2, rho=0.8 [DEC-045 S2]; descriptive curve cell</t>
  </si>
  <si>
    <t>multiverse cell 1078/1260: coding=end_lag2, outlier=winsor, es_set=no_starbound, df_basis=k20, estimator=3LMA-RVE_CR2, rho=0.8 [DEC-045 S2]; descriptive curve cell</t>
  </si>
  <si>
    <t>multiverse cell 1079/1260: coding=end_lag3, outlier=winsor, es_set=no_starbound, df_basis=k20, estimator=3LMA-RVE_CR2, rho=0.8 [DEC-045 S2]; descriptive curve cell</t>
  </si>
  <si>
    <t>multiverse cell 1080/1260: coding=clean_window, outlier=winsor, es_set=no_starbound, df_basis=k20, estimator=3LMA-RVE_CR2, rho=0.8 [DEC-045 S2]; descriptive curve cell</t>
  </si>
  <si>
    <t>one_per_cluster|r0.8</t>
  </si>
  <si>
    <t>multiverse cell 1081/1260: coding=paris_mid, outlier=none, es_set=full, df_basis=dfE, estimator=one_per_cluster, rho=0.8 [DEC-045 S2]; cluster x cell aggregates (D2/H2b convention)</t>
  </si>
  <si>
    <t>multiverse cell 1082/1260: coding=tie_break_median, outlier=none, es_set=full, df_basis=dfE, estimator=one_per_cluster, rho=0.8 [DEC-045 S2]; cluster x cell aggregates (D2/H2b convention)</t>
  </si>
  <si>
    <t>multiverse cell 1083/1260: coding=end_any_exposure, outlier=none, es_set=full, df_basis=dfE, estimator=one_per_cluster, rho=0.8 [DEC-045 S2]; cluster x cell aggregates (D2/H2b convention)</t>
  </si>
  <si>
    <t>multiverse cell 1084/1260: coding=share_recut_2017, outlier=none, es_set=full, df_basis=dfE, estimator=one_per_cluster, rho=0.8 [DEC-045 S2]; cluster x cell aggregates (D2/H2b convention)</t>
  </si>
  <si>
    <t>multiverse cell 1085/1260: coding=share_recut_2018, outlier=none, es_set=full, df_basis=dfE, estimator=one_per_cluster, rho=0.8 [DEC-045 S2]; cluster x cell aggregates (D2/H2b convention)</t>
  </si>
  <si>
    <t>multiverse cell 1086/1260: coding=share_recut_2019, outlier=none, es_set=full, df_basis=dfE, estimator=one_per_cluster, rho=0.8 [DEC-045 S2]; cluster x cell aggregates (D2/H2b convention)</t>
  </si>
  <si>
    <t>multiverse cell 1087/1260: coding=end_lag1, outlier=none, es_set=full, df_basis=dfE, estimator=one_per_cluster, rho=0.8 [DEC-045 S2]; cluster x cell aggregates (D2/H2b convention)</t>
  </si>
  <si>
    <t>multiverse cell 1088/1260: coding=end_lag2, outlier=none, es_set=full, df_basis=dfE, estimator=one_per_cluster, rho=0.8 [DEC-045 S2]; cluster x cell aggregates (D2/H2b convention)</t>
  </si>
  <si>
    <t>multiverse cell 1089/1260: coding=end_lag3, outlier=none, es_set=full, df_basis=dfE, estimator=one_per_cluster, rho=0.8 [DEC-045 S2]; cluster x cell aggregates (D2/H2b convention)</t>
  </si>
  <si>
    <t>multiverse cell 1090/1260: coding=clean_window, outlier=none, es_set=full, df_basis=dfE, estimator=one_per_cluster, rho=0.8 [DEC-045 S2]; cluster x cell aggregates (D2/H2b convention)</t>
  </si>
  <si>
    <t>multiverse cell 1091/1260: coding=paris_mid, outlier=rstudent, es_set=full, df_basis=dfE, estimator=one_per_cluster, rho=0.8 [DEC-045 S2]; cluster x cell aggregates (D2/H2b convention)</t>
  </si>
  <si>
    <t>multiverse cell 1092/1260: coding=tie_break_median, outlier=rstudent, es_set=full, df_basis=dfE, estimator=one_per_cluster, rho=0.8 [DEC-045 S2]; cluster x cell aggregates (D2/H2b convention)</t>
  </si>
  <si>
    <t>multiverse cell 1093/1260: coding=end_any_exposure, outlier=rstudent, es_set=full, df_basis=dfE, estimator=one_per_cluster, rho=0.8 [DEC-045 S2]; cluster x cell aggregates (D2/H2b convention)</t>
  </si>
  <si>
    <t>multiverse cell 1094/1260: coding=share_recut_2017, outlier=rstudent, es_set=full, df_basis=dfE, estimator=one_per_cluster, rho=0.8 [DEC-045 S2]; cluster x cell aggregates (D2/H2b convention)</t>
  </si>
  <si>
    <t>multiverse cell 1095/1260: coding=share_recut_2018, outlier=rstudent, es_set=full, df_basis=dfE, estimator=one_per_cluster, rho=0.8 [DEC-045 S2]; cluster x cell aggregates (D2/H2b convention)</t>
  </si>
  <si>
    <t>multiverse cell 1096/1260: coding=share_recut_2019, outlier=rstudent, es_set=full, df_basis=dfE, estimator=one_per_cluster, rho=0.8 [DEC-045 S2]; cluster x cell aggregates (D2/H2b convention)</t>
  </si>
  <si>
    <t>multiverse cell 1097/1260: coding=end_lag1, outlier=rstudent, es_set=full, df_basis=dfE, estimator=one_per_cluster, rho=0.8 [DEC-045 S2]; cluster x cell aggregates (D2/H2b convention)</t>
  </si>
  <si>
    <t>multiverse cell 1098/1260: coding=end_lag2, outlier=rstudent, es_set=full, df_basis=dfE, estimator=one_per_cluster, rho=0.8 [DEC-045 S2]; cluster x cell aggregates (D2/H2b convention)</t>
  </si>
  <si>
    <t>multiverse cell 1099/1260: coding=end_lag3, outlier=rstudent, es_set=full, df_basis=dfE, estimator=one_per_cluster, rho=0.8 [DEC-045 S2]; cluster x cell aggregates (D2/H2b convention)</t>
  </si>
  <si>
    <t>multiverse cell 1100/1260: coding=clean_window, outlier=rstudent, es_set=full, df_basis=dfE, estimator=one_per_cluster, rho=0.8 [DEC-045 S2]; cluster x cell aggregates (D2/H2b convention)</t>
  </si>
  <si>
    <t>multiverse cell 1101/1260: coding=paris_mid, outlier=winsor, es_set=full, df_basis=dfE, estimator=one_per_cluster, rho=0.8 [DEC-045 S2]; cluster x cell aggregates (D2/H2b convention)</t>
  </si>
  <si>
    <t>multiverse cell 1102/1260: coding=tie_break_median, outlier=winsor, es_set=full, df_basis=dfE, estimator=one_per_cluster, rho=0.8 [DEC-045 S2]; cluster x cell aggregates (D2/H2b convention)</t>
  </si>
  <si>
    <t>multiverse cell 1103/1260: coding=end_any_exposure, outlier=winsor, es_set=full, df_basis=dfE, estimator=one_per_cluster, rho=0.8 [DEC-045 S2]; cluster x cell aggregates (D2/H2b convention)</t>
  </si>
  <si>
    <t>multiverse cell 1104/1260: coding=share_recut_2017, outlier=winsor, es_set=full, df_basis=dfE, estimator=one_per_cluster, rho=0.8 [DEC-045 S2]; cluster x cell aggregates (D2/H2b convention)</t>
  </si>
  <si>
    <t>multiverse cell 1105/1260: coding=share_recut_2018, outlier=winsor, es_set=full, df_basis=dfE, estimator=one_per_cluster, rho=0.8 [DEC-045 S2]; cluster x cell aggregates (D2/H2b convention)</t>
  </si>
  <si>
    <t>multiverse cell 1106/1260: coding=share_recut_2019, outlier=winsor, es_set=full, df_basis=dfE, estimator=one_per_cluster, rho=0.8 [DEC-045 S2]; cluster x cell aggregates (D2/H2b convention)</t>
  </si>
  <si>
    <t>multiverse cell 1107/1260: coding=end_lag1, outlier=winsor, es_set=full, df_basis=dfE, estimator=one_per_cluster, rho=0.8 [DEC-045 S2]; cluster x cell aggregates (D2/H2b convention)</t>
  </si>
  <si>
    <t>multiverse cell 1108/1260: coding=end_lag2, outlier=winsor, es_set=full, df_basis=dfE, estimator=one_per_cluster, rho=0.8 [DEC-045 S2]; cluster x cell aggregates (D2/H2b convention)</t>
  </si>
  <si>
    <t>multiverse cell 1109/1260: coding=end_lag3, outlier=winsor, es_set=full, df_basis=dfE, estimator=one_per_cluster, rho=0.8 [DEC-045 S2]; cluster x cell aggregates (D2/H2b convention)</t>
  </si>
  <si>
    <t>multiverse cell 1110/1260: coding=clean_window, outlier=winsor, es_set=full, df_basis=dfE, estimator=one_per_cluster, rho=0.8 [DEC-045 S2]; cluster x cell aggregates (D2/H2b convention)</t>
  </si>
  <si>
    <t>multiverse cell 1111/1260: coding=paris_mid, outlier=none, es_set=no_starbound, df_basis=dfE, estimator=one_per_cluster, rho=0.8 [DEC-045 S2]; cluster x cell aggregates (D2/H2b convention)</t>
  </si>
  <si>
    <t>multiverse cell 1112/1260: coding=tie_break_median, outlier=none, es_set=no_starbound, df_basis=dfE, estimator=one_per_cluster, rho=0.8 [DEC-045 S2]; cluster x cell aggregates (D2/H2b convention)</t>
  </si>
  <si>
    <t>multiverse cell 1113/1260: coding=end_any_exposure, outlier=none, es_set=no_starbound, df_basis=dfE, estimator=one_per_cluster, rho=0.8 [DEC-045 S2]; cluster x cell aggregates (D2/H2b convention)</t>
  </si>
  <si>
    <t>multiverse cell 1114/1260: coding=share_recut_2017, outlier=none, es_set=no_starbound, df_basis=dfE, estimator=one_per_cluster, rho=0.8 [DEC-045 S2]; cluster x cell aggregates (D2/H2b convention)</t>
  </si>
  <si>
    <t>multiverse cell 1115/1260: coding=share_recut_2018, outlier=none, es_set=no_starbound, df_basis=dfE, estimator=one_per_cluster, rho=0.8 [DEC-045 S2]; cluster x cell aggregates (D2/H2b convention)</t>
  </si>
  <si>
    <t>multiverse cell 1116/1260: coding=share_recut_2019, outlier=none, es_set=no_starbound, df_basis=dfE, estimator=one_per_cluster, rho=0.8 [DEC-045 S2]; cluster x cell aggregates (D2/H2b convention)</t>
  </si>
  <si>
    <t>multiverse cell 1117/1260: coding=end_lag1, outlier=none, es_set=no_starbound, df_basis=dfE, estimator=one_per_cluster, rho=0.8 [DEC-045 S2]; cluster x cell aggregates (D2/H2b convention)</t>
  </si>
  <si>
    <t>multiverse cell 1118/1260: coding=end_lag2, outlier=none, es_set=no_starbound, df_basis=dfE, estimator=one_per_cluster, rho=0.8 [DEC-045 S2]; cluster x cell aggregates (D2/H2b convention)</t>
  </si>
  <si>
    <t>multiverse cell 1119/1260: coding=end_lag3, outlier=none, es_set=no_starbound, df_basis=dfE, estimator=one_per_cluster, rho=0.8 [DEC-045 S2]; cluster x cell aggregates (D2/H2b convention)</t>
  </si>
  <si>
    <t>multiverse cell 1120/1260: coding=clean_window, outlier=none, es_set=no_starbound, df_basis=dfE, estimator=one_per_cluster, rho=0.8 [DEC-045 S2]; cluster x cell aggregates (D2/H2b convention)</t>
  </si>
  <si>
    <t>multiverse cell 1121/1260: coding=paris_mid, outlier=rstudent, es_set=no_starbound, df_basis=dfE, estimator=one_per_cluster, rho=0.8 [DEC-045 S2]; cluster x cell aggregates (D2/H2b convention)</t>
  </si>
  <si>
    <t>multiverse cell 1122/1260: coding=tie_break_median, outlier=rstudent, es_set=no_starbound, df_basis=dfE, estimator=one_per_cluster, rho=0.8 [DEC-045 S2]; cluster x cell aggregates (D2/H2b convention)</t>
  </si>
  <si>
    <t>multiverse cell 1123/1260: coding=end_any_exposure, outlier=rstudent, es_set=no_starbound, df_basis=dfE, estimator=one_per_cluster, rho=0.8 [DEC-045 S2]; cluster x cell aggregates (D2/H2b convention)</t>
  </si>
  <si>
    <t>multiverse cell 1124/1260: coding=share_recut_2017, outlier=rstudent, es_set=no_starbound, df_basis=dfE, estimator=one_per_cluster, rho=0.8 [DEC-045 S2]; cluster x cell aggregates (D2/H2b convention)</t>
  </si>
  <si>
    <t>multiverse cell 1125/1260: coding=share_recut_2018, outlier=rstudent, es_set=no_starbound, df_basis=dfE, estimator=one_per_cluster, rho=0.8 [DEC-045 S2]; cluster x cell aggregates (D2/H2b convention)</t>
  </si>
  <si>
    <t>multiverse cell 1126/1260: coding=share_recut_2019, outlier=rstudent, es_set=no_starbound, df_basis=dfE, estimator=one_per_cluster, rho=0.8 [DEC-045 S2]; cluster x cell aggregates (D2/H2b convention)</t>
  </si>
  <si>
    <t>multiverse cell 1127/1260: coding=end_lag1, outlier=rstudent, es_set=no_starbound, df_basis=dfE, estimator=one_per_cluster, rho=0.8 [DEC-045 S2]; cluster x cell aggregates (D2/H2b convention)</t>
  </si>
  <si>
    <t>multiverse cell 1128/1260: coding=end_lag2, outlier=rstudent, es_set=no_starbound, df_basis=dfE, estimator=one_per_cluster, rho=0.8 [DEC-045 S2]; cluster x cell aggregates (D2/H2b convention)</t>
  </si>
  <si>
    <t>multiverse cell 1129/1260: coding=end_lag3, outlier=rstudent, es_set=no_starbound, df_basis=dfE, estimator=one_per_cluster, rho=0.8 [DEC-045 S2]; cluster x cell aggregates (D2/H2b convention)</t>
  </si>
  <si>
    <t>multiverse cell 1130/1260: coding=clean_window, outlier=rstudent, es_set=no_starbound, df_basis=dfE, estimator=one_per_cluster, rho=0.8 [DEC-045 S2]; cluster x cell aggregates (D2/H2b convention)</t>
  </si>
  <si>
    <t>multiverse cell 1131/1260: coding=paris_mid, outlier=winsor, es_set=no_starbound, df_basis=dfE, estimator=one_per_cluster, rho=0.8 [DEC-045 S2]; cluster x cell aggregates (D2/H2b convention)</t>
  </si>
  <si>
    <t>multiverse cell 1132/1260: coding=tie_break_median, outlier=winsor, es_set=no_starbound, df_basis=dfE, estimator=one_per_cluster, rho=0.8 [DEC-045 S2]; cluster x cell aggregates (D2/H2b convention)</t>
  </si>
  <si>
    <t>multiverse cell 1133/1260: coding=end_any_exposure, outlier=winsor, es_set=no_starbound, df_basis=dfE, estimator=one_per_cluster, rho=0.8 [DEC-045 S2]; cluster x cell aggregates (D2/H2b convention)</t>
  </si>
  <si>
    <t>multiverse cell 1134/1260: coding=share_recut_2017, outlier=winsor, es_set=no_starbound, df_basis=dfE, estimator=one_per_cluster, rho=0.8 [DEC-045 S2]; cluster x cell aggregates (D2/H2b convention)</t>
  </si>
  <si>
    <t>multiverse cell 1135/1260: coding=share_recut_2018, outlier=winsor, es_set=no_starbound, df_basis=dfE, estimator=one_per_cluster, rho=0.8 [DEC-045 S2]; cluster x cell aggregates (D2/H2b convention)</t>
  </si>
  <si>
    <t>multiverse cell 1136/1260: coding=share_recut_2019, outlier=winsor, es_set=no_starbound, df_basis=dfE, estimator=one_per_cluster, rho=0.8 [DEC-045 S2]; cluster x cell aggregates (D2/H2b convention)</t>
  </si>
  <si>
    <t>multiverse cell 1137/1260: coding=end_lag1, outlier=winsor, es_set=no_starbound, df_basis=dfE, estimator=one_per_cluster, rho=0.8 [DEC-045 S2]; cluster x cell aggregates (D2/H2b convention)</t>
  </si>
  <si>
    <t>multiverse cell 1138/1260: coding=end_lag2, outlier=winsor, es_set=no_starbound, df_basis=dfE, estimator=one_per_cluster, rho=0.8 [DEC-045 S2]; cluster x cell aggregates (D2/H2b convention)</t>
  </si>
  <si>
    <t>multiverse cell 1139/1260: coding=end_lag3, outlier=winsor, es_set=no_starbound, df_basis=dfE, estimator=one_per_cluster, rho=0.8 [DEC-045 S2]; cluster x cell aggregates (D2/H2b convention)</t>
  </si>
  <si>
    <t>multiverse cell 1140/1260: coding=clean_window, outlier=winsor, es_set=no_starbound, df_basis=dfE, estimator=one_per_cluster, rho=0.8 [DEC-045 S2]; cluster x cell aggregates (D2/H2b convention)</t>
  </si>
  <si>
    <t>multiverse cell 1141/1260: coding=paris_mid, outlier=none, es_set=full, df_basis=k10, estimator=one_per_cluster, rho=0.8 [DEC-045 S2]; cluster x cell aggregates (D2/H2b convention)</t>
  </si>
  <si>
    <t>multiverse cell 1142/1260: coding=tie_break_median, outlier=none, es_set=full, df_basis=k10, estimator=one_per_cluster, rho=0.8 [DEC-045 S2]; cluster x cell aggregates (D2/H2b convention)</t>
  </si>
  <si>
    <t>multiverse cell 1143/1260: coding=end_any_exposure, outlier=none, es_set=full, df_basis=k10, estimator=one_per_cluster, rho=0.8 [DEC-045 S2]; cluster x cell aggregates (D2/H2b convention)</t>
  </si>
  <si>
    <t>multiverse cell 1144/1260: coding=share_recut_2017, outlier=none, es_set=full, df_basis=k10, estimator=one_per_cluster, rho=0.8 [DEC-045 S2]; cluster x cell aggregates (D2/H2b convention)</t>
  </si>
  <si>
    <t>multiverse cell 1145/1260: coding=share_recut_2018, outlier=none, es_set=full, df_basis=k10, estimator=one_per_cluster, rho=0.8 [DEC-045 S2]; cluster x cell aggregates (D2/H2b convention)</t>
  </si>
  <si>
    <t>multiverse cell 1146/1260: coding=share_recut_2019, outlier=none, es_set=full, df_basis=k10, estimator=one_per_cluster, rho=0.8 [DEC-045 S2]; cluster x cell aggregates (D2/H2b convention)</t>
  </si>
  <si>
    <t>multiverse cell 1147/1260: coding=end_lag1, outlier=none, es_set=full, df_basis=k10, estimator=one_per_cluster, rho=0.8 [DEC-045 S2]; cluster x cell aggregates (D2/H2b convention)</t>
  </si>
  <si>
    <t>multiverse cell 1148/1260: coding=end_lag2, outlier=none, es_set=full, df_basis=k10, estimator=one_per_cluster, rho=0.8 [DEC-045 S2]; cluster x cell aggregates (D2/H2b convention)</t>
  </si>
  <si>
    <t>multiverse cell 1149/1260: coding=end_lag3, outlier=none, es_set=full, df_basis=k10, estimator=one_per_cluster, rho=0.8 [DEC-045 S2]; cluster x cell aggregates (D2/H2b convention)</t>
  </si>
  <si>
    <t>multiverse cell 1150/1260: coding=clean_window, outlier=none, es_set=full, df_basis=k10, estimator=one_per_cluster, rho=0.8 [DEC-045 S2]; cluster x cell aggregates (D2/H2b convention)</t>
  </si>
  <si>
    <t>multiverse cell 1151/1260: coding=paris_mid, outlier=rstudent, es_set=full, df_basis=k10, estimator=one_per_cluster, rho=0.8 [DEC-045 S2]; cluster x cell aggregates (D2/H2b convention)</t>
  </si>
  <si>
    <t>multiverse cell 1152/1260: coding=tie_break_median, outlier=rstudent, es_set=full, df_basis=k10, estimator=one_per_cluster, rho=0.8 [DEC-045 S2]; cluster x cell aggregates (D2/H2b convention)</t>
  </si>
  <si>
    <t>multiverse cell 1153/1260: coding=end_any_exposure, outlier=rstudent, es_set=full, df_basis=k10, estimator=one_per_cluster, rho=0.8 [DEC-045 S2]; cluster x cell aggregates (D2/H2b convention)</t>
  </si>
  <si>
    <t>multiverse cell 1154/1260: coding=share_recut_2017, outlier=rstudent, es_set=full, df_basis=k10, estimator=one_per_cluster, rho=0.8 [DEC-045 S2]; cluster x cell aggregates (D2/H2b convention)</t>
  </si>
  <si>
    <t>multiverse cell 1155/1260: coding=share_recut_2018, outlier=rstudent, es_set=full, df_basis=k10, estimator=one_per_cluster, rho=0.8 [DEC-045 S2]; cluster x cell aggregates (D2/H2b convention)</t>
  </si>
  <si>
    <t>multiverse cell 1156/1260: coding=share_recut_2019, outlier=rstudent, es_set=full, df_basis=k10, estimator=one_per_cluster, rho=0.8 [DEC-045 S2]; cluster x cell aggregates (D2/H2b convention)</t>
  </si>
  <si>
    <t>multiverse cell 1157/1260: coding=end_lag1, outlier=rstudent, es_set=full, df_basis=k10, estimator=one_per_cluster, rho=0.8 [DEC-045 S2]; cluster x cell aggregates (D2/H2b convention)</t>
  </si>
  <si>
    <t>multiverse cell 1158/1260: coding=end_lag2, outlier=rstudent, es_set=full, df_basis=k10, estimator=one_per_cluster, rho=0.8 [DEC-045 S2]; cluster x cell aggregates (D2/H2b convention)</t>
  </si>
  <si>
    <t>multiverse cell 1159/1260: coding=end_lag3, outlier=rstudent, es_set=full, df_basis=k10, estimator=one_per_cluster, rho=0.8 [DEC-045 S2]; cluster x cell aggregates (D2/H2b convention)</t>
  </si>
  <si>
    <t>multiverse cell 1160/1260: coding=clean_window, outlier=rstudent, es_set=full, df_basis=k10, estimator=one_per_cluster, rho=0.8 [DEC-045 S2]; cluster x cell aggregates (D2/H2b convention)</t>
  </si>
  <si>
    <t>multiverse cell 1161/1260: coding=paris_mid, outlier=winsor, es_set=full, df_basis=k10, estimator=one_per_cluster, rho=0.8 [DEC-045 S2]; cluster x cell aggregates (D2/H2b convention)</t>
  </si>
  <si>
    <t>multiverse cell 1162/1260: coding=tie_break_median, outlier=winsor, es_set=full, df_basis=k10, estimator=one_per_cluster, rho=0.8 [DEC-045 S2]; cluster x cell aggregates (D2/H2b convention)</t>
  </si>
  <si>
    <t>multiverse cell 1163/1260: coding=end_any_exposure, outlier=winsor, es_set=full, df_basis=k10, estimator=one_per_cluster, rho=0.8 [DEC-045 S2]; cluster x cell aggregates (D2/H2b convention)</t>
  </si>
  <si>
    <t>multiverse cell 1164/1260: coding=share_recut_2017, outlier=winsor, es_set=full, df_basis=k10, estimator=one_per_cluster, rho=0.8 [DEC-045 S2]; cluster x cell aggregates (D2/H2b convention)</t>
  </si>
  <si>
    <t>multiverse cell 1165/1260: coding=share_recut_2018, outlier=winsor, es_set=full, df_basis=k10, estimator=one_per_cluster, rho=0.8 [DEC-045 S2]; cluster x cell aggregates (D2/H2b convention)</t>
  </si>
  <si>
    <t>multiverse cell 1166/1260: coding=share_recut_2019, outlier=winsor, es_set=full, df_basis=k10, estimator=one_per_cluster, rho=0.8 [DEC-045 S2]; cluster x cell aggregates (D2/H2b convention)</t>
  </si>
  <si>
    <t>multiverse cell 1167/1260: coding=end_lag1, outlier=winsor, es_set=full, df_basis=k10, estimator=one_per_cluster, rho=0.8 [DEC-045 S2]; cluster x cell aggregates (D2/H2b convention)</t>
  </si>
  <si>
    <t>multiverse cell 1168/1260: coding=end_lag2, outlier=winsor, es_set=full, df_basis=k10, estimator=one_per_cluster, rho=0.8 [DEC-045 S2]; cluster x cell aggregates (D2/H2b convention)</t>
  </si>
  <si>
    <t>multiverse cell 1169/1260: coding=end_lag3, outlier=winsor, es_set=full, df_basis=k10, estimator=one_per_cluster, rho=0.8 [DEC-045 S2]; cluster x cell aggregates (D2/H2b convention)</t>
  </si>
  <si>
    <t>multiverse cell 1170/1260: coding=clean_window, outlier=winsor, es_set=full, df_basis=k10, estimator=one_per_cluster, rho=0.8 [DEC-045 S2]; cluster x cell aggregates (D2/H2b convention)</t>
  </si>
  <si>
    <t>multiverse cell 1171/1260: coding=paris_mid, outlier=none, es_set=no_starbound, df_basis=k10, estimator=one_per_cluster, rho=0.8 [DEC-045 S2]; cluster x cell aggregates (D2/H2b convention)</t>
  </si>
  <si>
    <t>multiverse cell 1172/1260: coding=tie_break_median, outlier=none, es_set=no_starbound, df_basis=k10, estimator=one_per_cluster, rho=0.8 [DEC-045 S2]; cluster x cell aggregates (D2/H2b convention)</t>
  </si>
  <si>
    <t>multiverse cell 1173/1260: coding=end_any_exposure, outlier=none, es_set=no_starbound, df_basis=k10, estimator=one_per_cluster, rho=0.8 [DEC-045 S2]; cluster x cell aggregates (D2/H2b convention)</t>
  </si>
  <si>
    <t>multiverse cell 1174/1260: coding=share_recut_2017, outlier=none, es_set=no_starbound, df_basis=k10, estimator=one_per_cluster, rho=0.8 [DEC-045 S2]; cluster x cell aggregates (D2/H2b convention)</t>
  </si>
  <si>
    <t>multiverse cell 1175/1260: coding=share_recut_2018, outlier=none, es_set=no_starbound, df_basis=k10, estimator=one_per_cluster, rho=0.8 [DEC-045 S2]; cluster x cell aggregates (D2/H2b convention)</t>
  </si>
  <si>
    <t>multiverse cell 1176/1260: coding=share_recut_2019, outlier=none, es_set=no_starbound, df_basis=k10, estimator=one_per_cluster, rho=0.8 [DEC-045 S2]; cluster x cell aggregates (D2/H2b convention)</t>
  </si>
  <si>
    <t>multiverse cell 1177/1260: coding=end_lag1, outlier=none, es_set=no_starbound, df_basis=k10, estimator=one_per_cluster, rho=0.8 [DEC-045 S2]; cluster x cell aggregates (D2/H2b convention)</t>
  </si>
  <si>
    <t>multiverse cell 1178/1260: coding=end_lag2, outlier=none, es_set=no_starbound, df_basis=k10, estimator=one_per_cluster, rho=0.8 [DEC-045 S2]; cluster x cell aggregates (D2/H2b convention)</t>
  </si>
  <si>
    <t>multiverse cell 1179/1260: coding=end_lag3, outlier=none, es_set=no_starbound, df_basis=k10, estimator=one_per_cluster, rho=0.8 [DEC-045 S2]; cluster x cell aggregates (D2/H2b convention)</t>
  </si>
  <si>
    <t>multiverse cell 1180/1260: coding=clean_window, outlier=none, es_set=no_starbound, df_basis=k10, estimator=one_per_cluster, rho=0.8 [DEC-045 S2]; cluster x cell aggregates (D2/H2b convention)</t>
  </si>
  <si>
    <t>multiverse cell 1181/1260: coding=paris_mid, outlier=rstudent, es_set=no_starbound, df_basis=k10, estimator=one_per_cluster, rho=0.8 [DEC-045 S2]; cluster x cell aggregates (D2/H2b convention)</t>
  </si>
  <si>
    <t>multiverse cell 1182/1260: coding=tie_break_median, outlier=rstudent, es_set=no_starbound, df_basis=k10, estimator=one_per_cluster, rho=0.8 [DEC-045 S2]; cluster x cell aggregates (D2/H2b convention)</t>
  </si>
  <si>
    <t>multiverse cell 1183/1260: coding=end_any_exposure, outlier=rstudent, es_set=no_starbound, df_basis=k10, estimator=one_per_cluster, rho=0.8 [DEC-045 S2]; cluster x cell aggregates (D2/H2b convention)</t>
  </si>
  <si>
    <t>multiverse cell 1184/1260: coding=share_recut_2017, outlier=rstudent, es_set=no_starbound, df_basis=k10, estimator=one_per_cluster, rho=0.8 [DEC-045 S2]; cluster x cell aggregates (D2/H2b convention)</t>
  </si>
  <si>
    <t>multiverse cell 1185/1260: coding=share_recut_2018, outlier=rstudent, es_set=no_starbound, df_basis=k10, estimator=one_per_cluster, rho=0.8 [DEC-045 S2]; cluster x cell aggregates (D2/H2b convention)</t>
  </si>
  <si>
    <t>multiverse cell 1186/1260: coding=share_recut_2019, outlier=rstudent, es_set=no_starbound, df_basis=k10, estimator=one_per_cluster, rho=0.8 [DEC-045 S2]; cluster x cell aggregates (D2/H2b convention)</t>
  </si>
  <si>
    <t>multiverse cell 1187/1260: coding=end_lag1, outlier=rstudent, es_set=no_starbound, df_basis=k10, estimator=one_per_cluster, rho=0.8 [DEC-045 S2]; cluster x cell aggregates (D2/H2b convention)</t>
  </si>
  <si>
    <t>multiverse cell 1188/1260: coding=end_lag2, outlier=rstudent, es_set=no_starbound, df_basis=k10, estimator=one_per_cluster, rho=0.8 [DEC-045 S2]; cluster x cell aggregates (D2/H2b convention)</t>
  </si>
  <si>
    <t>multiverse cell 1189/1260: coding=end_lag3, outlier=rstudent, es_set=no_starbound, df_basis=k10, estimator=one_per_cluster, rho=0.8 [DEC-045 S2]; cluster x cell aggregates (D2/H2b convention)</t>
  </si>
  <si>
    <t>multiverse cell 1190/1260: coding=clean_window, outlier=rstudent, es_set=no_starbound, df_basis=k10, estimator=one_per_cluster, rho=0.8 [DEC-045 S2]; cluster x cell aggregates (D2/H2b convention)</t>
  </si>
  <si>
    <t>multiverse cell 1191/1260: coding=paris_mid, outlier=winsor, es_set=no_starbound, df_basis=k10, estimator=one_per_cluster, rho=0.8 [DEC-045 S2]; cluster x cell aggregates (D2/H2b convention)</t>
  </si>
  <si>
    <t>multiverse cell 1192/1260: coding=tie_break_median, outlier=winsor, es_set=no_starbound, df_basis=k10, estimator=one_per_cluster, rho=0.8 [DEC-045 S2]; cluster x cell aggregates (D2/H2b convention)</t>
  </si>
  <si>
    <t>multiverse cell 1193/1260: coding=end_any_exposure, outlier=winsor, es_set=no_starbound, df_basis=k10, estimator=one_per_cluster, rho=0.8 [DEC-045 S2]; cluster x cell aggregates (D2/H2b convention)</t>
  </si>
  <si>
    <t>multiverse cell 1194/1260: coding=share_recut_2017, outlier=winsor, es_set=no_starbound, df_basis=k10, estimator=one_per_cluster, rho=0.8 [DEC-045 S2]; cluster x cell aggregates (D2/H2b convention)</t>
  </si>
  <si>
    <t>multiverse cell 1195/1260: coding=share_recut_2018, outlier=winsor, es_set=no_starbound, df_basis=k10, estimator=one_per_cluster, rho=0.8 [DEC-045 S2]; cluster x cell aggregates (D2/H2b convention)</t>
  </si>
  <si>
    <t>multiverse cell 1196/1260: coding=share_recut_2019, outlier=winsor, es_set=no_starbound, df_basis=k10, estimator=one_per_cluster, rho=0.8 [DEC-045 S2]; cluster x cell aggregates (D2/H2b convention)</t>
  </si>
  <si>
    <t>multiverse cell 1197/1260: coding=end_lag1, outlier=winsor, es_set=no_starbound, df_basis=k10, estimator=one_per_cluster, rho=0.8 [DEC-045 S2]; cluster x cell aggregates (D2/H2b convention)</t>
  </si>
  <si>
    <t>multiverse cell 1198/1260: coding=end_lag2, outlier=winsor, es_set=no_starbound, df_basis=k10, estimator=one_per_cluster, rho=0.8 [DEC-045 S2]; cluster x cell aggregates (D2/H2b convention)</t>
  </si>
  <si>
    <t>multiverse cell 1199/1260: coding=end_lag3, outlier=winsor, es_set=no_starbound, df_basis=k10, estimator=one_per_cluster, rho=0.8 [DEC-045 S2]; cluster x cell aggregates (D2/H2b convention)</t>
  </si>
  <si>
    <t>multiverse cell 1200/1260: coding=clean_window, outlier=winsor, es_set=no_starbound, df_basis=k10, estimator=one_per_cluster, rho=0.8 [DEC-045 S2]; cluster x cell aggregates (D2/H2b convention)</t>
  </si>
  <si>
    <t>multiverse cell 1201/1260: coding=paris_mid, outlier=none, es_set=full, df_basis=k20, estimator=one_per_cluster, rho=0.8 [DEC-045 S2]; cluster x cell aggregates (D2/H2b convention)</t>
  </si>
  <si>
    <t>multiverse cell 1202/1260: coding=tie_break_median, outlier=none, es_set=full, df_basis=k20, estimator=one_per_cluster, rho=0.8 [DEC-045 S2]; cluster x cell aggregates (D2/H2b convention)</t>
  </si>
  <si>
    <t>multiverse cell 1203/1260: coding=end_any_exposure, outlier=none, es_set=full, df_basis=k20, estimator=one_per_cluster, rho=0.8 [DEC-045 S2]; cluster x cell aggregates (D2/H2b convention)</t>
  </si>
  <si>
    <t>multiverse cell 1204/1260: coding=share_recut_2017, outlier=none, es_set=full, df_basis=k20, estimator=one_per_cluster, rho=0.8 [DEC-045 S2]; cluster x cell aggregates (D2/H2b convention)</t>
  </si>
  <si>
    <t>multiverse cell 1205/1260: coding=share_recut_2018, outlier=none, es_set=full, df_basis=k20, estimator=one_per_cluster, rho=0.8 [DEC-045 S2]; cluster x cell aggregates (D2/H2b convention)</t>
  </si>
  <si>
    <t>multiverse cell 1206/1260: coding=share_recut_2019, outlier=none, es_set=full, df_basis=k20, estimator=one_per_cluster, rho=0.8 [DEC-045 S2]; cluster x cell aggregates (D2/H2b convention)</t>
  </si>
  <si>
    <t>multiverse cell 1207/1260: coding=end_lag1, outlier=none, es_set=full, df_basis=k20, estimator=one_per_cluster, rho=0.8 [DEC-045 S2]; cluster x cell aggregates (D2/H2b convention)</t>
  </si>
  <si>
    <t>multiverse cell 1208/1260: coding=end_lag2, outlier=none, es_set=full, df_basis=k20, estimator=one_per_cluster, rho=0.8 [DEC-045 S2]; cluster x cell aggregates (D2/H2b convention)</t>
  </si>
  <si>
    <t>multiverse cell 1209/1260: coding=end_lag3, outlier=none, es_set=full, df_basis=k20, estimator=one_per_cluster, rho=0.8 [DEC-045 S2]; cluster x cell aggregates (D2/H2b convention)</t>
  </si>
  <si>
    <t>multiverse cell 1210/1260: coding=clean_window, outlier=none, es_set=full, df_basis=k20, estimator=one_per_cluster, rho=0.8 [DEC-045 S2]; cluster x cell aggregates (D2/H2b convention)</t>
  </si>
  <si>
    <t>multiverse cell 1211/1260: coding=paris_mid, outlier=rstudent, es_set=full, df_basis=k20, estimator=one_per_cluster, rho=0.8 [DEC-045 S2]; cluster x cell aggregates (D2/H2b convention)</t>
  </si>
  <si>
    <t>multiverse cell 1212/1260: coding=tie_break_median, outlier=rstudent, es_set=full, df_basis=k20, estimator=one_per_cluster, rho=0.8 [DEC-045 S2]; cluster x cell aggregates (D2/H2b convention)</t>
  </si>
  <si>
    <t>multiverse cell 1213/1260: coding=end_any_exposure, outlier=rstudent, es_set=full, df_basis=k20, estimator=one_per_cluster, rho=0.8 [DEC-045 S2]; cluster x cell aggregates (D2/H2b convention)</t>
  </si>
  <si>
    <t>multiverse cell 1214/1260: coding=share_recut_2017, outlier=rstudent, es_set=full, df_basis=k20, estimator=one_per_cluster, rho=0.8 [DEC-045 S2]; cluster x cell aggregates (D2/H2b convention)</t>
  </si>
  <si>
    <t>multiverse cell 1215/1260: coding=share_recut_2018, outlier=rstudent, es_set=full, df_basis=k20, estimator=one_per_cluster, rho=0.8 [DEC-045 S2]; cluster x cell aggregates (D2/H2b convention)</t>
  </si>
  <si>
    <t>multiverse cell 1216/1260: coding=share_recut_2019, outlier=rstudent, es_set=full, df_basis=k20, estimator=one_per_cluster, rho=0.8 [DEC-045 S2]; cluster x cell aggregates (D2/H2b convention)</t>
  </si>
  <si>
    <t>multiverse cell 1217/1260: coding=end_lag1, outlier=rstudent, es_set=full, df_basis=k20, estimator=one_per_cluster, rho=0.8 [DEC-045 S2]; cluster x cell aggregates (D2/H2b convention)</t>
  </si>
  <si>
    <t>multiverse cell 1218/1260: coding=end_lag2, outlier=rstudent, es_set=full, df_basis=k20, estimator=one_per_cluster, rho=0.8 [DEC-045 S2]; cluster x cell aggregates (D2/H2b convention)</t>
  </si>
  <si>
    <t>multiverse cell 1219/1260: coding=end_lag3, outlier=rstudent, es_set=full, df_basis=k20, estimator=one_per_cluster, rho=0.8 [DEC-045 S2]; cluster x cell aggregates (D2/H2b convention)</t>
  </si>
  <si>
    <t>multiverse cell 1220/1260: coding=clean_window, outlier=rstudent, es_set=full, df_basis=k20, estimator=one_per_cluster, rho=0.8 [DEC-045 S2]; cluster x cell aggregates (D2/H2b convention)</t>
  </si>
  <si>
    <t>multiverse cell 1221/1260: coding=paris_mid, outlier=winsor, es_set=full, df_basis=k20, estimator=one_per_cluster, rho=0.8 [DEC-045 S2]; cluster x cell aggregates (D2/H2b convention)</t>
  </si>
  <si>
    <t>multiverse cell 1222/1260: coding=tie_break_median, outlier=winsor, es_set=full, df_basis=k20, estimator=one_per_cluster, rho=0.8 [DEC-045 S2]; cluster x cell aggregates (D2/H2b convention)</t>
  </si>
  <si>
    <t>multiverse cell 1223/1260: coding=end_any_exposure, outlier=winsor, es_set=full, df_basis=k20, estimator=one_per_cluster, rho=0.8 [DEC-045 S2]; cluster x cell aggregates (D2/H2b convention)</t>
  </si>
  <si>
    <t>multiverse cell 1224/1260: coding=share_recut_2017, outlier=winsor, es_set=full, df_basis=k20, estimator=one_per_cluster, rho=0.8 [DEC-045 S2]; cluster x cell aggregates (D2/H2b convention)</t>
  </si>
  <si>
    <t>multiverse cell 1225/1260: coding=share_recut_2018, outlier=winsor, es_set=full, df_basis=k20, estimator=one_per_cluster, rho=0.8 [DEC-045 S2]; cluster x cell aggregates (D2/H2b convention)</t>
  </si>
  <si>
    <t>multiverse cell 1226/1260: coding=share_recut_2019, outlier=winsor, es_set=full, df_basis=k20, estimator=one_per_cluster, rho=0.8 [DEC-045 S2]; cluster x cell aggregates (D2/H2b convention)</t>
  </si>
  <si>
    <t>multiverse cell 1227/1260: coding=end_lag1, outlier=winsor, es_set=full, df_basis=k20, estimator=one_per_cluster, rho=0.8 [DEC-045 S2]; cluster x cell aggregates (D2/H2b convention)</t>
  </si>
  <si>
    <t>multiverse cell 1228/1260: coding=end_lag2, outlier=winsor, es_set=full, df_basis=k20, estimator=one_per_cluster, rho=0.8 [DEC-045 S2]; cluster x cell aggregates (D2/H2b convention)</t>
  </si>
  <si>
    <t>multiverse cell 1229/1260: coding=end_lag3, outlier=winsor, es_set=full, df_basis=k20, estimator=one_per_cluster, rho=0.8 [DEC-045 S2]; cluster x cell aggregates (D2/H2b convention)</t>
  </si>
  <si>
    <t>multiverse cell 1230/1260: coding=clean_window, outlier=winsor, es_set=full, df_basis=k20, estimator=one_per_cluster, rho=0.8 [DEC-045 S2]; cluster x cell aggregates (D2/H2b convention)</t>
  </si>
  <si>
    <t>multiverse cell 1231/1260: coding=paris_mid, outlier=none, es_set=no_starbound, df_basis=k20, estimator=one_per_cluster, rho=0.8 [DEC-045 S2]; cluster x cell aggregates (D2/H2b convention)</t>
  </si>
  <si>
    <t>multiverse cell 1232/1260: coding=tie_break_median, outlier=none, es_set=no_starbound, df_basis=k20, estimator=one_per_cluster, rho=0.8 [DEC-045 S2]; cluster x cell aggregates (D2/H2b convention)</t>
  </si>
  <si>
    <t>multiverse cell 1233/1260: coding=end_any_exposure, outlier=none, es_set=no_starbound, df_basis=k20, estimator=one_per_cluster, rho=0.8 [DEC-045 S2]; cluster x cell aggregates (D2/H2b convention)</t>
  </si>
  <si>
    <t>multiverse cell 1234/1260: coding=share_recut_2017, outlier=none, es_set=no_starbound, df_basis=k20, estimator=one_per_cluster, rho=0.8 [DEC-045 S2]; cluster x cell aggregates (D2/H2b convention)</t>
  </si>
  <si>
    <t>multiverse cell 1235/1260: coding=share_recut_2018, outlier=none, es_set=no_starbound, df_basis=k20, estimator=one_per_cluster, rho=0.8 [DEC-045 S2]; cluster x cell aggregates (D2/H2b convention)</t>
  </si>
  <si>
    <t>multiverse cell 1236/1260: coding=share_recut_2019, outlier=none, es_set=no_starbound, df_basis=k20, estimator=one_per_cluster, rho=0.8 [DEC-045 S2]; cluster x cell aggregates (D2/H2b convention)</t>
  </si>
  <si>
    <t>multiverse cell 1237/1260: coding=end_lag1, outlier=none, es_set=no_starbound, df_basis=k20, estimator=one_per_cluster, rho=0.8 [DEC-045 S2]; cluster x cell aggregates (D2/H2b convention)</t>
  </si>
  <si>
    <t>multiverse cell 1238/1260: coding=end_lag2, outlier=none, es_set=no_starbound, df_basis=k20, estimator=one_per_cluster, rho=0.8 [DEC-045 S2]; cluster x cell aggregates (D2/H2b convention)</t>
  </si>
  <si>
    <t>multiverse cell 1239/1260: coding=end_lag3, outlier=none, es_set=no_starbound, df_basis=k20, estimator=one_per_cluster, rho=0.8 [DEC-045 S2]; cluster x cell aggregates (D2/H2b convention)</t>
  </si>
  <si>
    <t>multiverse cell 1240/1260: coding=clean_window, outlier=none, es_set=no_starbound, df_basis=k20, estimator=one_per_cluster, rho=0.8 [DEC-045 S2]; cluster x cell aggregates (D2/H2b convention)</t>
  </si>
  <si>
    <t>multiverse cell 1241/1260: coding=paris_mid, outlier=rstudent, es_set=no_starbound, df_basis=k20, estimator=one_per_cluster, rho=0.8 [DEC-045 S2]; cluster x cell aggregates (D2/H2b convention)</t>
  </si>
  <si>
    <t>multiverse cell 1242/1260: coding=tie_break_median, outlier=rstudent, es_set=no_starbound, df_basis=k20, estimator=one_per_cluster, rho=0.8 [DEC-045 S2]; cluster x cell aggregates (D2/H2b convention)</t>
  </si>
  <si>
    <t>multiverse cell 1243/1260: coding=end_any_exposure, outlier=rstudent, es_set=no_starbound, df_basis=k20, estimator=one_per_cluster, rho=0.8 [DEC-045 S2]; cluster x cell aggregates (D2/H2b convention)</t>
  </si>
  <si>
    <t>multiverse cell 1244/1260: coding=share_recut_2017, outlier=rstudent, es_set=no_starbound, df_basis=k20, estimator=one_per_cluster, rho=0.8 [DEC-045 S2]; cluster x cell aggregates (D2/H2b convention)</t>
  </si>
  <si>
    <t>multiverse cell 1245/1260: coding=share_recut_2018, outlier=rstudent, es_set=no_starbound, df_basis=k20, estimator=one_per_cluster, rho=0.8 [DEC-045 S2]; cluster x cell aggregates (D2/H2b convention)</t>
  </si>
  <si>
    <t>multiverse cell 1246/1260: coding=share_recut_2019, outlier=rstudent, es_set=no_starbound, df_basis=k20, estimator=one_per_cluster, rho=0.8 [DEC-045 S2]; cluster x cell aggregates (D2/H2b convention)</t>
  </si>
  <si>
    <t>multiverse cell 1247/1260: coding=end_lag1, outlier=rstudent, es_set=no_starbound, df_basis=k20, estimator=one_per_cluster, rho=0.8 [DEC-045 S2]; cluster x cell aggregates (D2/H2b convention)</t>
  </si>
  <si>
    <t>multiverse cell 1248/1260: coding=end_lag2, outlier=rstudent, es_set=no_starbound, df_basis=k20, estimator=one_per_cluster, rho=0.8 [DEC-045 S2]; cluster x cell aggregates (D2/H2b convention)</t>
  </si>
  <si>
    <t>multiverse cell 1249/1260: coding=end_lag3, outlier=rstudent, es_set=no_starbound, df_basis=k20, estimator=one_per_cluster, rho=0.8 [DEC-045 S2]; cluster x cell aggregates (D2/H2b convention)</t>
  </si>
  <si>
    <t>multiverse cell 1250/1260: coding=clean_window, outlier=rstudent, es_set=no_starbound, df_basis=k20, estimator=one_per_cluster, rho=0.8 [DEC-045 S2]; cluster x cell aggregates (D2/H2b convention)</t>
  </si>
  <si>
    <t>multiverse cell 1251/1260: coding=paris_mid, outlier=winsor, es_set=no_starbound, df_basis=k20, estimator=one_per_cluster, rho=0.8 [DEC-045 S2]; cluster x cell aggregates (D2/H2b convention)</t>
  </si>
  <si>
    <t>multiverse cell 1252/1260: coding=tie_break_median, outlier=winsor, es_set=no_starbound, df_basis=k20, estimator=one_per_cluster, rho=0.8 [DEC-045 S2]; cluster x cell aggregates (D2/H2b convention)</t>
  </si>
  <si>
    <t>multiverse cell 1253/1260: coding=end_any_exposure, outlier=winsor, es_set=no_starbound, df_basis=k20, estimator=one_per_cluster, rho=0.8 [DEC-045 S2]; cluster x cell aggregates (D2/H2b convention)</t>
  </si>
  <si>
    <t>multiverse cell 1254/1260: coding=share_recut_2017, outlier=winsor, es_set=no_starbound, df_basis=k20, estimator=one_per_cluster, rho=0.8 [DEC-045 S2]; cluster x cell aggregates (D2/H2b convention)</t>
  </si>
  <si>
    <t>multiverse cell 1255/1260: coding=share_recut_2018, outlier=winsor, es_set=no_starbound, df_basis=k20, estimator=one_per_cluster, rho=0.8 [DEC-045 S2]; cluster x cell aggregates (D2/H2b convention)</t>
  </si>
  <si>
    <t>multiverse cell 1256/1260: coding=share_recut_2019, outlier=winsor, es_set=no_starbound, df_basis=k20, estimator=one_per_cluster, rho=0.8 [DEC-045 S2]; cluster x cell aggregates (D2/H2b convention)</t>
  </si>
  <si>
    <t>multiverse cell 1257/1260: coding=end_lag1, outlier=winsor, es_set=no_starbound, df_basis=k20, estimator=one_per_cluster, rho=0.8 [DEC-045 S2]; cluster x cell aggregates (D2/H2b convention)</t>
  </si>
  <si>
    <t>multiverse cell 1258/1260: coding=end_lag2, outlier=winsor, es_set=no_starbound, df_basis=k20, estimator=one_per_cluster, rho=0.8 [DEC-045 S2]; cluster x cell aggregates (D2/H2b convention)</t>
  </si>
  <si>
    <t>multiverse cell 1259/1260: coding=end_lag3, outlier=winsor, es_set=no_starbound, df_basis=k20, estimator=one_per_cluster, rho=0.8 [DEC-045 S2]; cluster x cell aggregates (D2/H2b convention)</t>
  </si>
  <si>
    <t>multiverse cell 1260/1260: coding=clean_window, outlier=winsor, es_set=no_starbound, df_basis=k20, estimator=one_per_cluster, rho=0.8 [DEC-045 S2]; cluster x cell aggregates (D2/H2b convention)</t>
  </si>
  <si>
    <t>perm_list</t>
  </si>
  <si>
    <t>descriptive</t>
  </si>
  <si>
    <t>output/TH_c_perms.rds: 112 x 500 cluster permutations, generated FIRST under seed 20260710; md5 = 077d689b2dee2931467650585089888a; workers receive indices (scheduling-invariant)</t>
  </si>
  <si>
    <t>execution_order</t>
  </si>
  <si>
    <t>pinned: PERMS -&gt; masks -&gt; H1 stream -&gt; H1 calibration -&gt; permutation pass (H5+H4+H3 core, ONE pass, 23 fits/replicate) -&gt; H3 curve [DEC-045]</t>
  </si>
  <si>
    <t>blas_note</t>
  </si>
  <si>
    <t>Windows CRAN reference BLAS is single-threaded; OMP/OPENBLAS/MKL thread env guards additionally set per worker [determinism pin]</t>
  </si>
  <si>
    <t>center_sample_mid</t>
  </si>
  <si>
    <t>year</t>
  </si>
  <si>
    <t>derived in-script (constancy asserted); race consistency with R/08</t>
  </si>
  <si>
    <t>F65 gates PASSED: committed T8 B4/race/pp_mid_lag0 matched embedded constants at 1e-9; observed refit identity at 1e-6; |t_race_obs| = 1.052421</t>
  </si>
  <si>
    <t>read from TH_a_results.csv design row and membership-verified: 2008, 2009, 2010, 2011, 2012, 2013, 2014, 2015, 2016, 2017, 2018, 2019; recomputation identity via the observed permutation-pass machinery</t>
  </si>
  <si>
    <t>rstudent_mask</t>
  </si>
  <si>
    <t>|standardized marginal residual| &gt; 3 from the full-set intercept spine (mu = -0.058647, sum sigma2 = 0.031629), computed ONCE, fixed across cells and replicates [DEC-045 amendment]</t>
  </si>
  <si>
    <t>winsor_bounds</t>
  </si>
  <si>
    <t>zi winsorized at empirical P1/P99 of the full estimation set: [-0.380770, 0.184715], computed once</t>
  </si>
  <si>
    <t>vi_k_identity</t>
  </si>
  <si>
    <t>load assert PASSED: vi_k10 = 1/(1/vi - 10) and vi_k20 = 1/(1/vi - 20) on PCC rows (1e-9; algebraically identical to 1/(n-13), 1/(n-23) under the F21 base convention vi = 1/(n-3)); bivariate rows carry base vi in the k-columns; the raw n_obs extraction column is NOT consumed; k20 basis excludes 1 row(s) with nonpositive/NA vi_k20 (tiny-n edge, n &lt;= 23) from all k20 cells -- disclosed [DEC-045 amendment; author ruling 2026-07-24]</t>
  </si>
  <si>
    <t>core cell keys: paris_mid|none|full|dfE; tie_break_median|none|full|dfE; end_any_exposure|none|full|dfE; share_recut_2017|none|full|dfE; share_recut_2018|none|full|dfE; share_recut_2019|none|full|dfE; end_lag1|none|full|dfE; end_lag2|none|full|dfE; end_lag3|none|full|dfE; clean_window|none|full|dfE</t>
  </si>
  <si>
    <t>TH-c (simulation &amp; permutation family) · Manuscript Inputs (ms_input = TRUE rows; every cell formula-derived from Results_Long)</t>
  </si>
  <si>
    <t>Paste-ready strings via locale-neutral digit arithmetic (no TEXT format codes, no CONCAT) - pinned convention</t>
  </si>
  <si>
    <t>c1</t>
  </si>
  <si>
    <t>c2</t>
  </si>
  <si>
    <t>c3</t>
  </si>
  <si>
    <t>c4</t>
  </si>
  <si>
    <t>c5</t>
  </si>
  <si>
    <t>Paste-ready string (formula-derived)</t>
  </si>
  <si>
    <t>Source pointer</t>
  </si>
  <si>
    <t>H1 primary MDE (own x1.0): MDE80 or NA + power@0.08 + df_Satt</t>
  </si>
  <si>
    <t>TH_c_results.csv H1 own_x1.0</t>
  </si>
  <si>
    <t>H3 joint permutation: share stat + both p_perm + B_eff</t>
  </si>
  <si>
    <t>TH_c_results.csv H3 core_curve</t>
  </si>
  <si>
    <t>H3 core cell paris_mid (diff, df, t, p)</t>
  </si>
  <si>
    <t>TH_c_results.csv H3 paris_mid|none|full|dfE (core)</t>
  </si>
  <si>
    <t>H3 core cell tie_break_median (diff, df, t, p)</t>
  </si>
  <si>
    <t>TH_c_results.csv H3 tie_break_median|none|full|dfE (core)</t>
  </si>
  <si>
    <t>H3 core cell end_any_exposure (diff, df, t, p)</t>
  </si>
  <si>
    <t>TH_c_results.csv H3 end_any_exposure|none|full|dfE (core)</t>
  </si>
  <si>
    <t>H3 core cell share_recut_2017 (diff, df, t, p)</t>
  </si>
  <si>
    <t>TH_c_results.csv H3 share_recut_2017|none|full|dfE (core)</t>
  </si>
  <si>
    <t>H3 core cell share_recut_2018 (diff, df, t, p)</t>
  </si>
  <si>
    <t>TH_c_results.csv H3 share_recut_2018|none|full|dfE (core)</t>
  </si>
  <si>
    <t>H3 core cell share_recut_2019 (diff, df, t, p)</t>
  </si>
  <si>
    <t>TH_c_results.csv H3 share_recut_2019|none|full|dfE (core)</t>
  </si>
  <si>
    <t>H3 core cell end_lag1 (diff, df, t, p)</t>
  </si>
  <si>
    <t>TH_c_results.csv H3 end_lag1|none|full|dfE (core)</t>
  </si>
  <si>
    <t>H3 core cell end_lag2 (diff, df, t, p)</t>
  </si>
  <si>
    <t>TH_c_results.csv H3 end_lag2|none|full|dfE (core)</t>
  </si>
  <si>
    <t>H3 core cell end_lag3 (diff, df, t, p)</t>
  </si>
  <si>
    <t>TH_c_results.csv H3 end_lag3|none|full|dfE (core)</t>
  </si>
  <si>
    <t>H3 core cell clean_window (diff, df, t, p)</t>
  </si>
  <si>
    <t>TH_c_results.csv H3 clean_window|none|full|dfE (core)</t>
  </si>
  <si>
    <t>H4 permutation p + B_eff</t>
  </si>
  <si>
    <t>TH_c_results.csv H4 perm_sup</t>
  </si>
  <si>
    <t>H5 permutation p + B_eff</t>
  </si>
  <si>
    <t>TH_c_results.csv H5 perm_race</t>
  </si>
  <si>
    <t>TH-c (simulation &amp; permutation family) · Manuscript Text Blocks (TB-nn continue across runs; T1=TB-01..12, T2=TB-13..19, ..., this run: TB-46..TB-51)</t>
  </si>
  <si>
    <t>Numbers hardcoded WITH provenance: source = output/TH_c_results.csv (this workbook's Results_Long); REGENERATE ON ANY RE-RUN. Prose framing-neutral pending DEC-044 gate resolution.</t>
  </si>
  <si>
    <t>ID</t>
  </si>
  <si>
    <t>Target section</t>
  </si>
  <si>
    <t>Status</t>
  </si>
  <si>
    <t>Text (EN)</t>
  </si>
  <si>
    <t>Source pointers</t>
  </si>
  <si>
    <t>Note</t>
  </si>
  <si>
    <t>TB-46</t>
  </si>
  <si>
    <t>Results/Discussion - design sensitivity (H1)</t>
  </si>
  <si>
    <t>READY</t>
  </si>
  <si>
    <t>A design-based power calibration qualifies what this equivalence can and cannot show: with the variance components fixed at their observed magnitudes, the minimum detectable Paris contrast at 80% power exceeds the pre-specified calibration ceiling of 0.08 on the Fisher-z scale under the observed and doubled heterogeneity scenarios (power at δ = 0.08: 0.730 and 0.448); under the half-heterogeneity scenario, MDE80 = 0.063. Only under a lower-bound scenario that substitutes the equity companion's study-level heterogeneity does MDE80 fall to 0.010–0.018 — the observed between-cluster heterogeneity, not the number of studies, is the binding constraint.</t>
  </si>
  <si>
    <t>[TH_c xlsx Tab 6]; [DEC-045/H-Q14]</t>
  </si>
  <si>
    <t>finalized M2 [R-4.2-2]; labels/T1/[S4] cleaned; home Section 4.2.1</t>
  </si>
  <si>
    <t>TB-47</t>
  </si>
  <si>
    <t>Methods/Appendix - calibration (H1)</t>
  </si>
  <si>
    <t>A 200-replicate full-REML calibration of the analytic power stream at the grid ceiling (delta = 0.08, primary scenario) yields a rejection rate of 0.765 against the 0.80 target (optimism +0.035; fits/fallback/fail = 200/2/0), supporting the y-free precompute as mildly conservative-to-accurate.</t>
  </si>
  <si>
    <t>[TH_c xlsx Tab 6]</t>
  </si>
  <si>
    <t>TB-48</t>
  </si>
  <si>
    <t>Results - specification curve (H3)</t>
  </si>
  <si>
    <t>Across all 1,260 specification cells (10 Paris codings x 3 outlier treatments x 2 effect-size sets x 3 df bases x 7 estimator/rho variants), exactly one contrast is significant at alpha = .05 (end_lag2 | winsor | full set | dfE, 3LMA-RVE rho = 0.4: diff_z = +0.018, p = .049) - against roughly 63 cells expected under a global null at this alpha. None of the 10 pre-registered core cells is significant (observed share 0/10); the joint cluster-time-translation permutation yields p_perm(share) = 1.000 and p_perm(median |t|) = 0.854 (B_eff = 500).</t>
  </si>
  <si>
    <t>[TH_c xlsx Tabs 7-8]; [DEC-045 S2/S3]</t>
  </si>
  <si>
    <t>Share hardcoded from Results_Long - regenerate on re-run.</t>
  </si>
  <si>
    <t>TB-49</t>
  </si>
  <si>
    <t>Results - core coding family (H3)</t>
  </si>
  <si>
    <t>Within the pre-registered core family, contrasts range from -0.019 (end_any_exposure) to +0.040 (end_lag2), with the smallest p-value at 0.142 (end_lag2); the clean-window cell rests on 929 effect sizes from 40 clusters by design.</t>
  </si>
  <si>
    <t>[TH_c xlsx Tab 8]</t>
  </si>
  <si>
    <t>Range/min-p hardcoded from Results_Long - regenerate on re-run.</t>
  </si>
  <si>
    <t>TB-50</t>
  </si>
  <si>
    <t>Results - structural-break inference (H4)</t>
  </si>
  <si>
    <t>The permutation reference distribution for the supremum break statistic (cluster time translation, identical permutation list as H5, admissible years fixed at the observed design) yields p_perm = 0.341 (B_eff = 500).</t>
  </si>
  <si>
    <t>[TH_c xlsx Tab 9]; [H-Q16/H-Q20]</t>
  </si>
  <si>
    <t>Pairs with TB-39 (TH-a observed grid).</t>
  </si>
  <si>
    <t>TB-51</t>
  </si>
  <si>
    <t>Results - permutation inference (H5)</t>
  </si>
  <si>
    <t>The pre-registered permutation test of the trend-vs-break race statistic yields p_perm = 0.401 (B_eff = 500; observed |t_race| = 1.052, whose point estimate and CR2 p-value are reported once in the identification battery).</t>
  </si>
  <si>
    <t>[TH_c xlsx Tab 10]; [T8 single-home 4a]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</si>
</sst>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8" x14ac:knownFonts="1">
    <font>
      <sz val="11"/>
      <color theme="1"/>
      <name val="Calibri"/>
      <family val="2"/>
      <charset val="1"/>
    </font>
    <font>
      <b/>
      <sz val="12"/>
      <color rgb="FF1F3864"/>
      <name val="Arial"/>
      <charset val="1"/>
    </font>
    <font>
      <i/>
      <sz val="10"/>
      <color rgb="FF404040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8"/>
      <color rgb="FF808080"/>
      <name val="Arial"/>
      <charset val="1"/>
    </font>
    <font>
      <b/>
      <sz val="10"/>
      <color rgb="FF1F3864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EB9C"/>
        <bgColor rgb="FFFFFFCC"/>
      </patternFill>
    </fill>
    <fill>
      <patternFill patternType="solid">
        <fgColor rgb="FFC6EFCE"/>
        <bgColor rgb="FFD9D9D9"/>
      </patternFill>
    </fill>
    <fill>
      <patternFill patternType="solid">
        <fgColor rgb="FFFFC7CE"/>
        <bgColor rgb="FFD9D9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  <xf numFmtId="0" fontId="4" fillId="0" borderId="1" xfId="0" applyFont="1" applyBorder="1"/>
    <xf numFmtId="0" fontId="5" fillId="0" borderId="1" xfId="0" applyFont="1" applyBorder="1" applyAlignment="1">
      <alignment vertical="top" wrapText="1"/>
    </xf>
    <xf numFmtId="0" fontId="5" fillId="0" borderId="1" xfId="0" applyFont="1" applyBorder="1"/>
    <xf numFmtId="0" fontId="6" fillId="0" borderId="1" xfId="0" applyFont="1" applyBorder="1"/>
    <xf numFmtId="1" fontId="6" fillId="0" borderId="1" xfId="0" applyNumberFormat="1" applyFont="1" applyBorder="1"/>
    <xf numFmtId="1" fontId="5" fillId="0" borderId="1" xfId="0" applyNumberFormat="1" applyFont="1" applyBorder="1"/>
    <xf numFmtId="164" fontId="5" fillId="0" borderId="1" xfId="0" applyNumberFormat="1" applyFont="1" applyBorder="1"/>
    <xf numFmtId="0" fontId="4" fillId="0" borderId="0" xfId="0" applyFont="1"/>
    <xf numFmtId="0" fontId="5" fillId="0" borderId="0" xfId="0" applyFont="1" applyAlignment="1">
      <alignment vertical="top" wrapText="1"/>
    </xf>
    <xf numFmtId="2" fontId="5" fillId="0" borderId="1" xfId="0" applyNumberFormat="1" applyFont="1" applyBorder="1"/>
    <xf numFmtId="165" fontId="5" fillId="0" borderId="1" xfId="0" applyNumberFormat="1" applyFont="1" applyBorder="1"/>
    <xf numFmtId="0" fontId="3" fillId="2" borderId="0" xfId="0" applyFont="1" applyFill="1"/>
    <xf numFmtId="0" fontId="5" fillId="0" borderId="0" xfId="0" applyFont="1"/>
    <xf numFmtId="0" fontId="0" fillId="0" borderId="1" xfId="0" applyBorder="1"/>
    <xf numFmtId="0" fontId="5" fillId="3" borderId="1" xfId="0" applyFont="1" applyFill="1" applyBorder="1"/>
    <xf numFmtId="0" fontId="5" fillId="4" borderId="1" xfId="0" applyFont="1" applyFill="1" applyBorder="1"/>
    <xf numFmtId="0" fontId="5" fillId="5" borderId="1" xfId="0" applyFont="1" applyFill="1" applyBorder="1"/>
    <xf numFmtId="0" fontId="5" fillId="0" borderId="0" xfId="0" applyFont="1" applyAlignment="1">
      <alignment vertical="top" wrapText="1"/>
    </xf>
    <xf numFmtId="0" fontId="0" fillId="0" borderId="0" xfId="0"/>
    <xf numFmtId="0" fontId="7" fillId="0" borderId="0" xfId="0" applyFont="1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zoomScaleNormal="100" workbookViewId="0"/>
  </sheetViews>
  <sheetFormatPr baseColWidth="10" defaultColWidth="8.6640625" defaultRowHeight="14.4" x14ac:dyDescent="0.3"/>
  <cols>
    <col min="1" max="1" width="28" customWidth="1"/>
    <col min="2" max="2" width="130" customWidth="1"/>
  </cols>
  <sheetData>
    <row r="1" spans="1:2" ht="15" customHeight="1" x14ac:dyDescent="0.3">
      <c r="A1" s="1" t="s">
        <v>0</v>
      </c>
    </row>
    <row r="2" spans="1:2" ht="15" customHeight="1" x14ac:dyDescent="0.3">
      <c r="A2" s="2" t="s">
        <v>1</v>
      </c>
    </row>
    <row r="3" spans="1:2" ht="15" customHeight="1" x14ac:dyDescent="0.3">
      <c r="A3" s="2" t="s">
        <v>2</v>
      </c>
    </row>
    <row r="5" spans="1:2" ht="15" customHeight="1" x14ac:dyDescent="0.3">
      <c r="A5" s="3" t="s">
        <v>3</v>
      </c>
      <c r="B5" s="3" t="s">
        <v>4</v>
      </c>
    </row>
    <row r="6" spans="1:2" ht="15" customHeight="1" x14ac:dyDescent="0.3">
      <c r="A6" s="4" t="s">
        <v>5</v>
      </c>
      <c r="B6" s="5" t="s">
        <v>6</v>
      </c>
    </row>
    <row r="7" spans="1:2" ht="23.25" customHeight="1" x14ac:dyDescent="0.3">
      <c r="A7" s="4" t="s">
        <v>7</v>
      </c>
      <c r="B7" s="5" t="s">
        <v>8</v>
      </c>
    </row>
    <row r="8" spans="1:2" ht="23.25" customHeight="1" x14ac:dyDescent="0.3">
      <c r="A8" s="4" t="s">
        <v>9</v>
      </c>
      <c r="B8" s="5" t="s">
        <v>10</v>
      </c>
    </row>
    <row r="9" spans="1:2" ht="15" customHeight="1" x14ac:dyDescent="0.3">
      <c r="A9" s="4" t="s">
        <v>11</v>
      </c>
      <c r="B9" s="5" t="s">
        <v>12</v>
      </c>
    </row>
    <row r="10" spans="1:2" ht="15" customHeight="1" x14ac:dyDescent="0.3">
      <c r="A10" s="4" t="s">
        <v>13</v>
      </c>
      <c r="B10" s="5" t="s">
        <v>14</v>
      </c>
    </row>
    <row r="11" spans="1:2" ht="15" customHeight="1" x14ac:dyDescent="0.3">
      <c r="A11" s="4" t="s">
        <v>15</v>
      </c>
      <c r="B11" s="5" t="s">
        <v>16</v>
      </c>
    </row>
    <row r="12" spans="1:2" ht="23.25" customHeight="1" x14ac:dyDescent="0.3">
      <c r="A12" s="4" t="s">
        <v>17</v>
      </c>
      <c r="B12" s="5" t="s">
        <v>18</v>
      </c>
    </row>
    <row r="13" spans="1:2" ht="23.25" customHeight="1" x14ac:dyDescent="0.3">
      <c r="A13" s="4" t="s">
        <v>19</v>
      </c>
      <c r="B13" s="5" t="s">
        <v>20</v>
      </c>
    </row>
    <row r="14" spans="1:2" ht="23.25" customHeight="1" x14ac:dyDescent="0.3">
      <c r="A14" s="4" t="s">
        <v>21</v>
      </c>
      <c r="B14" s="5" t="s">
        <v>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zoomScaleNormal="100" workbookViewId="0">
      <pane ySplit="5" topLeftCell="A6" activePane="bottomLeft" state="frozen"/>
      <selection pane="bottomLeft"/>
    </sheetView>
  </sheetViews>
  <sheetFormatPr baseColWidth="10" defaultColWidth="8.6640625" defaultRowHeight="14.4" x14ac:dyDescent="0.3"/>
  <cols>
    <col min="1" max="1" width="30" customWidth="1"/>
    <col min="2" max="2" width="100" customWidth="1"/>
    <col min="3" max="3" width="34" customWidth="1"/>
  </cols>
  <sheetData>
    <row r="1" spans="1:3" ht="15" customHeight="1" x14ac:dyDescent="0.3">
      <c r="A1" s="1" t="s">
        <v>23</v>
      </c>
    </row>
    <row r="2" spans="1:3" ht="15" customHeight="1" x14ac:dyDescent="0.3">
      <c r="A2" s="2" t="s">
        <v>24</v>
      </c>
    </row>
    <row r="3" spans="1:3" ht="15" customHeight="1" x14ac:dyDescent="0.3">
      <c r="A3" s="2" t="s">
        <v>2</v>
      </c>
    </row>
    <row r="5" spans="1:3" ht="15" customHeight="1" x14ac:dyDescent="0.3">
      <c r="A5" s="3" t="s">
        <v>25</v>
      </c>
      <c r="B5" s="3" t="s">
        <v>26</v>
      </c>
      <c r="C5" s="3" t="s">
        <v>27</v>
      </c>
    </row>
    <row r="6" spans="1:3" ht="34.5" customHeight="1" x14ac:dyDescent="0.3">
      <c r="A6" s="5" t="s">
        <v>28</v>
      </c>
      <c r="B6" s="5" t="s">
        <v>29</v>
      </c>
      <c r="C6" s="5" t="s">
        <v>30</v>
      </c>
    </row>
    <row r="7" spans="1:3" ht="23.25" customHeight="1" x14ac:dyDescent="0.3">
      <c r="A7" s="5" t="s">
        <v>31</v>
      </c>
      <c r="B7" s="5" t="s">
        <v>32</v>
      </c>
      <c r="C7" s="5" t="s">
        <v>33</v>
      </c>
    </row>
    <row r="8" spans="1:3" ht="34.5" customHeight="1" x14ac:dyDescent="0.3">
      <c r="A8" s="5" t="s">
        <v>34</v>
      </c>
      <c r="B8" s="5" t="s">
        <v>35</v>
      </c>
      <c r="C8" s="5" t="s">
        <v>36</v>
      </c>
    </row>
    <row r="9" spans="1:3" ht="23.25" customHeight="1" x14ac:dyDescent="0.3">
      <c r="A9" s="5" t="s">
        <v>37</v>
      </c>
      <c r="B9" s="5" t="s">
        <v>38</v>
      </c>
      <c r="C9" s="5" t="s">
        <v>39</v>
      </c>
    </row>
    <row r="10" spans="1:3" ht="34.5" customHeight="1" x14ac:dyDescent="0.3">
      <c r="A10" s="5" t="s">
        <v>40</v>
      </c>
      <c r="B10" s="5" t="s">
        <v>41</v>
      </c>
      <c r="C10" s="5" t="s">
        <v>42</v>
      </c>
    </row>
    <row r="11" spans="1:3" ht="23.25" customHeight="1" x14ac:dyDescent="0.3">
      <c r="A11" s="5" t="s">
        <v>43</v>
      </c>
      <c r="B11" s="5" t="s">
        <v>44</v>
      </c>
      <c r="C11" s="5" t="s">
        <v>45</v>
      </c>
    </row>
    <row r="12" spans="1:3" ht="34.5" customHeight="1" x14ac:dyDescent="0.3">
      <c r="A12" s="5" t="s">
        <v>46</v>
      </c>
      <c r="B12" s="5" t="s">
        <v>47</v>
      </c>
      <c r="C12" s="5" t="s">
        <v>48</v>
      </c>
    </row>
    <row r="13" spans="1:3" ht="23.25" customHeight="1" x14ac:dyDescent="0.3">
      <c r="A13" s="5" t="s">
        <v>49</v>
      </c>
      <c r="B13" s="5" t="s">
        <v>50</v>
      </c>
      <c r="C13" s="5" t="s">
        <v>51</v>
      </c>
    </row>
    <row r="14" spans="1:3" ht="34.5" customHeight="1" x14ac:dyDescent="0.3">
      <c r="A14" s="5" t="s">
        <v>52</v>
      </c>
      <c r="B14" s="5" t="s">
        <v>53</v>
      </c>
      <c r="C14" s="5" t="s">
        <v>54</v>
      </c>
    </row>
    <row r="15" spans="1:3" ht="23.25" customHeight="1" x14ac:dyDescent="0.3">
      <c r="A15" s="5" t="s">
        <v>55</v>
      </c>
      <c r="B15" s="5" t="s">
        <v>56</v>
      </c>
      <c r="C15" s="5" t="s">
        <v>57</v>
      </c>
    </row>
    <row r="16" spans="1:3" ht="34.5" customHeight="1" x14ac:dyDescent="0.3">
      <c r="A16" s="5" t="s">
        <v>58</v>
      </c>
      <c r="B16" s="5" t="s">
        <v>59</v>
      </c>
      <c r="C16" s="5" t="s">
        <v>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zoomScaleNormal="100" workbookViewId="0">
      <pane ySplit="5" topLeftCell="A6" activePane="bottomLeft" state="frozen"/>
      <selection pane="bottomLeft"/>
    </sheetView>
  </sheetViews>
  <sheetFormatPr baseColWidth="10" defaultColWidth="8.6640625" defaultRowHeight="14.4" x14ac:dyDescent="0.3"/>
  <cols>
    <col min="1" max="1" width="30" customWidth="1"/>
    <col min="2" max="2" width="80" customWidth="1"/>
    <col min="3" max="3" width="55" customWidth="1"/>
  </cols>
  <sheetData>
    <row r="1" spans="1:3" ht="15" customHeight="1" x14ac:dyDescent="0.3">
      <c r="A1" s="1" t="s">
        <v>61</v>
      </c>
    </row>
    <row r="2" spans="1:3" ht="15" customHeight="1" x14ac:dyDescent="0.3">
      <c r="A2" s="2" t="s">
        <v>62</v>
      </c>
    </row>
    <row r="3" spans="1:3" ht="15" customHeight="1" x14ac:dyDescent="0.3">
      <c r="A3" s="2" t="s">
        <v>20</v>
      </c>
    </row>
    <row r="5" spans="1:3" ht="15" customHeight="1" x14ac:dyDescent="0.3">
      <c r="A5" s="3" t="s">
        <v>25</v>
      </c>
      <c r="B5" s="3" t="s">
        <v>63</v>
      </c>
      <c r="C5" s="3" t="s">
        <v>64</v>
      </c>
    </row>
    <row r="6" spans="1:3" ht="34.5" customHeight="1" x14ac:dyDescent="0.3">
      <c r="A6" s="5" t="s">
        <v>65</v>
      </c>
      <c r="B6" s="5" t="s">
        <v>66</v>
      </c>
      <c r="C6" s="5" t="s">
        <v>67</v>
      </c>
    </row>
    <row r="7" spans="1:3" ht="23.25" customHeight="1" x14ac:dyDescent="0.3">
      <c r="A7" s="5" t="s">
        <v>68</v>
      </c>
      <c r="B7" s="5" t="s">
        <v>69</v>
      </c>
      <c r="C7" s="5" t="s">
        <v>70</v>
      </c>
    </row>
    <row r="8" spans="1:3" ht="23.25" customHeight="1" x14ac:dyDescent="0.3">
      <c r="A8" s="5" t="s">
        <v>71</v>
      </c>
      <c r="B8" s="5" t="s">
        <v>72</v>
      </c>
      <c r="C8" s="5" t="s">
        <v>73</v>
      </c>
    </row>
    <row r="9" spans="1:3" ht="15" customHeight="1" x14ac:dyDescent="0.3">
      <c r="A9" s="5" t="s">
        <v>74</v>
      </c>
      <c r="B9" s="5" t="s">
        <v>75</v>
      </c>
      <c r="C9" s="5" t="s">
        <v>76</v>
      </c>
    </row>
    <row r="10" spans="1:3" ht="23.25" customHeight="1" x14ac:dyDescent="0.3">
      <c r="A10" s="5" t="s">
        <v>77</v>
      </c>
      <c r="B10" s="5" t="s">
        <v>78</v>
      </c>
      <c r="C10" s="5" t="s">
        <v>79</v>
      </c>
    </row>
    <row r="11" spans="1:3" ht="23.25" customHeight="1" x14ac:dyDescent="0.3">
      <c r="A11" s="5" t="s">
        <v>80</v>
      </c>
      <c r="B11" s="5" t="s">
        <v>81</v>
      </c>
      <c r="C11" s="5" t="s">
        <v>82</v>
      </c>
    </row>
    <row r="12" spans="1:3" ht="23.25" customHeight="1" x14ac:dyDescent="0.3">
      <c r="A12" s="5" t="s">
        <v>83</v>
      </c>
      <c r="B12" s="5" t="s">
        <v>84</v>
      </c>
      <c r="C12" s="5" t="s">
        <v>85</v>
      </c>
    </row>
    <row r="13" spans="1:3" ht="34.5" customHeight="1" x14ac:dyDescent="0.3">
      <c r="A13" s="5" t="s">
        <v>19</v>
      </c>
      <c r="B13" s="5" t="s">
        <v>20</v>
      </c>
      <c r="C13" s="5" t="s">
        <v>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3"/>
  <sheetViews>
    <sheetView zoomScaleNormal="100" workbookViewId="0">
      <pane ySplit="5" topLeftCell="A6" activePane="bottomLeft" state="frozen"/>
      <selection pane="bottomLeft"/>
    </sheetView>
  </sheetViews>
  <sheetFormatPr baseColWidth="10" defaultColWidth="8.6640625" defaultRowHeight="14.4" x14ac:dyDescent="0.3"/>
  <cols>
    <col min="1" max="1" width="30" customWidth="1"/>
    <col min="2" max="2" width="100" customWidth="1"/>
    <col min="3" max="3" width="30" customWidth="1"/>
  </cols>
  <sheetData>
    <row r="1" spans="1:3" ht="15" customHeight="1" x14ac:dyDescent="0.3">
      <c r="A1" s="1" t="s">
        <v>87</v>
      </c>
    </row>
    <row r="2" spans="1:3" ht="15" customHeight="1" x14ac:dyDescent="0.3">
      <c r="A2" s="2" t="s">
        <v>88</v>
      </c>
    </row>
    <row r="3" spans="1:3" ht="15" customHeight="1" x14ac:dyDescent="0.3">
      <c r="A3" s="2" t="s">
        <v>2</v>
      </c>
    </row>
    <row r="5" spans="1:3" ht="15" customHeight="1" x14ac:dyDescent="0.3">
      <c r="A5" s="3" t="s">
        <v>25</v>
      </c>
      <c r="B5" s="3" t="s">
        <v>89</v>
      </c>
      <c r="C5" s="3" t="s">
        <v>90</v>
      </c>
    </row>
    <row r="6" spans="1:3" ht="23.25" customHeight="1" x14ac:dyDescent="0.3">
      <c r="A6" s="5" t="s">
        <v>91</v>
      </c>
      <c r="B6" s="5" t="s">
        <v>92</v>
      </c>
      <c r="C6" s="5" t="s">
        <v>93</v>
      </c>
    </row>
    <row r="7" spans="1:3" ht="15" customHeight="1" x14ac:dyDescent="0.3">
      <c r="A7" s="5" t="s">
        <v>94</v>
      </c>
      <c r="B7" s="5" t="s">
        <v>95</v>
      </c>
      <c r="C7" s="5" t="s">
        <v>96</v>
      </c>
    </row>
    <row r="8" spans="1:3" ht="23.25" customHeight="1" x14ac:dyDescent="0.3">
      <c r="A8" s="5" t="s">
        <v>97</v>
      </c>
      <c r="B8" s="5" t="s">
        <v>98</v>
      </c>
      <c r="C8" s="5" t="s">
        <v>99</v>
      </c>
    </row>
    <row r="9" spans="1:3" ht="23.25" customHeight="1" x14ac:dyDescent="0.3">
      <c r="A9" s="5" t="s">
        <v>100</v>
      </c>
      <c r="B9" s="5" t="s">
        <v>101</v>
      </c>
      <c r="C9" s="5" t="s">
        <v>102</v>
      </c>
    </row>
    <row r="10" spans="1:3" ht="15" customHeight="1" x14ac:dyDescent="0.3">
      <c r="A10" s="5" t="s">
        <v>103</v>
      </c>
      <c r="B10" s="5" t="s">
        <v>104</v>
      </c>
      <c r="C10" s="5" t="s">
        <v>105</v>
      </c>
    </row>
    <row r="11" spans="1:3" ht="15" customHeight="1" x14ac:dyDescent="0.3">
      <c r="A11" s="5" t="s">
        <v>106</v>
      </c>
      <c r="B11" s="5" t="s">
        <v>107</v>
      </c>
      <c r="C11" s="5" t="s">
        <v>108</v>
      </c>
    </row>
    <row r="12" spans="1:3" ht="15" customHeight="1" x14ac:dyDescent="0.3">
      <c r="A12" s="5" t="s">
        <v>109</v>
      </c>
      <c r="B12" s="5" t="s">
        <v>110</v>
      </c>
      <c r="C12" s="5" t="s">
        <v>111</v>
      </c>
    </row>
    <row r="13" spans="1:3" ht="15" customHeight="1" x14ac:dyDescent="0.3">
      <c r="A13" s="5" t="s">
        <v>112</v>
      </c>
      <c r="B13" s="5" t="s">
        <v>113</v>
      </c>
      <c r="C13" s="5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"/>
  <sheetViews>
    <sheetView zoomScaleNormal="100" workbookViewId="0">
      <pane ySplit="5" topLeftCell="A6" activePane="bottomLeft" state="frozen"/>
      <selection pane="bottomLeft"/>
    </sheetView>
  </sheetViews>
  <sheetFormatPr baseColWidth="10" defaultColWidth="8.6640625" defaultRowHeight="14.4" x14ac:dyDescent="0.3"/>
  <cols>
    <col min="1" max="1" width="32" customWidth="1"/>
    <col min="2" max="2" width="100" customWidth="1"/>
    <col min="3" max="3" width="34" customWidth="1"/>
  </cols>
  <sheetData>
    <row r="1" spans="1:3" ht="15" customHeight="1" x14ac:dyDescent="0.3">
      <c r="A1" s="1" t="s">
        <v>115</v>
      </c>
    </row>
    <row r="2" spans="1:3" ht="15" customHeight="1" x14ac:dyDescent="0.3">
      <c r="A2" s="2" t="s">
        <v>116</v>
      </c>
    </row>
    <row r="3" spans="1:3" ht="15" customHeight="1" x14ac:dyDescent="0.3">
      <c r="A3" s="2" t="s">
        <v>2</v>
      </c>
    </row>
    <row r="5" spans="1:3" ht="15" customHeight="1" x14ac:dyDescent="0.3">
      <c r="A5" s="3" t="s">
        <v>3</v>
      </c>
      <c r="B5" s="3" t="s">
        <v>4</v>
      </c>
      <c r="C5" s="3" t="s">
        <v>117</v>
      </c>
    </row>
    <row r="6" spans="1:3" ht="15" customHeight="1" x14ac:dyDescent="0.3">
      <c r="A6" s="5" t="s">
        <v>118</v>
      </c>
      <c r="B6" s="5" t="s">
        <v>119</v>
      </c>
      <c r="C6" s="5" t="s">
        <v>120</v>
      </c>
    </row>
    <row r="7" spans="1:3" ht="15" customHeight="1" x14ac:dyDescent="0.3">
      <c r="A7" s="5" t="s">
        <v>121</v>
      </c>
      <c r="B7" s="5" t="s">
        <v>122</v>
      </c>
      <c r="C7" s="5" t="s">
        <v>123</v>
      </c>
    </row>
    <row r="8" spans="1:3" ht="34.5" customHeight="1" x14ac:dyDescent="0.3">
      <c r="A8" s="5" t="s">
        <v>124</v>
      </c>
      <c r="B8" s="5" t="s">
        <v>125</v>
      </c>
      <c r="C8" s="5" t="s">
        <v>126</v>
      </c>
    </row>
    <row r="9" spans="1:3" ht="34.5" customHeight="1" x14ac:dyDescent="0.3">
      <c r="A9" s="5" t="s">
        <v>127</v>
      </c>
      <c r="B9" s="5" t="s">
        <v>128</v>
      </c>
      <c r="C9" s="5" t="s">
        <v>129</v>
      </c>
    </row>
    <row r="10" spans="1:3" ht="23.25" customHeight="1" x14ac:dyDescent="0.3">
      <c r="A10" s="5" t="s">
        <v>130</v>
      </c>
      <c r="B10" s="5" t="s">
        <v>131</v>
      </c>
      <c r="C10" s="5" t="s">
        <v>132</v>
      </c>
    </row>
    <row r="11" spans="1:3" ht="34.5" customHeight="1" x14ac:dyDescent="0.3">
      <c r="A11" s="5" t="s">
        <v>133</v>
      </c>
      <c r="B11" s="5" t="s">
        <v>134</v>
      </c>
      <c r="C11" s="5" t="s">
        <v>135</v>
      </c>
    </row>
    <row r="12" spans="1:3" ht="23.25" customHeight="1" x14ac:dyDescent="0.3">
      <c r="A12" s="5" t="s">
        <v>136</v>
      </c>
      <c r="B12" s="5" t="s">
        <v>137</v>
      </c>
      <c r="C12" s="5" t="s">
        <v>138</v>
      </c>
    </row>
    <row r="13" spans="1:3" ht="23.25" customHeight="1" x14ac:dyDescent="0.3">
      <c r="A13" s="5" t="s">
        <v>139</v>
      </c>
      <c r="B13" s="5" t="s">
        <v>140</v>
      </c>
      <c r="C13" s="5" t="s">
        <v>141</v>
      </c>
    </row>
    <row r="14" spans="1:3" ht="34.5" customHeight="1" x14ac:dyDescent="0.3">
      <c r="A14" s="5" t="s">
        <v>142</v>
      </c>
      <c r="B14" s="5" t="s">
        <v>143</v>
      </c>
      <c r="C14" s="5" t="s">
        <v>144</v>
      </c>
    </row>
    <row r="15" spans="1:3" ht="23.25" customHeight="1" x14ac:dyDescent="0.3">
      <c r="A15" s="5" t="s">
        <v>145</v>
      </c>
      <c r="B15" s="5" t="s">
        <v>146</v>
      </c>
      <c r="C15" s="5" t="s">
        <v>147</v>
      </c>
    </row>
    <row r="16" spans="1:3" ht="23.25" customHeight="1" x14ac:dyDescent="0.3">
      <c r="A16" s="5" t="s">
        <v>148</v>
      </c>
      <c r="B16" s="5" t="s">
        <v>149</v>
      </c>
      <c r="C16" s="5" t="s">
        <v>150</v>
      </c>
    </row>
    <row r="17" spans="1:3" ht="23.25" customHeight="1" x14ac:dyDescent="0.3">
      <c r="A17" s="5" t="s">
        <v>151</v>
      </c>
      <c r="B17" s="5" t="s">
        <v>152</v>
      </c>
      <c r="C17" s="5" t="s">
        <v>153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87"/>
  <sheetViews>
    <sheetView tabSelected="1" zoomScaleNormal="100" workbookViewId="0"/>
  </sheetViews>
  <sheetFormatPr baseColWidth="10" defaultColWidth="8.6640625" defaultRowHeight="14.4" x14ac:dyDescent="0.3"/>
  <cols>
    <col min="1" max="1" width="55" customWidth="1"/>
    <col min="2" max="2" width="110" customWidth="1"/>
    <col min="3" max="3" width="26" customWidth="1"/>
    <col min="4" max="4" width="22" customWidth="1"/>
    <col min="5" max="5" width="18" customWidth="1"/>
    <col min="6" max="6" width="8" customWidth="1"/>
    <col min="7" max="9" width="9" customWidth="1"/>
    <col min="10" max="10" width="60" customWidth="1"/>
  </cols>
  <sheetData>
    <row r="1" spans="1:10" ht="15" customHeight="1" x14ac:dyDescent="0.3">
      <c r="A1" s="1" t="s">
        <v>154</v>
      </c>
    </row>
    <row r="2" spans="1:10" ht="15" customHeight="1" x14ac:dyDescent="0.3">
      <c r="A2" s="2" t="s">
        <v>155</v>
      </c>
    </row>
    <row r="3" spans="1:10" ht="15" customHeight="1" x14ac:dyDescent="0.3">
      <c r="A3" s="2" t="s">
        <v>2</v>
      </c>
    </row>
    <row r="5" spans="1:10" ht="15" customHeight="1" x14ac:dyDescent="0.3">
      <c r="A5" s="3" t="s">
        <v>156</v>
      </c>
      <c r="B5" s="3" t="s">
        <v>157</v>
      </c>
      <c r="C5" s="3" t="s">
        <v>158</v>
      </c>
      <c r="D5" s="3" t="s">
        <v>159</v>
      </c>
      <c r="E5" s="3" t="s">
        <v>160</v>
      </c>
      <c r="F5" s="3" t="s">
        <v>161</v>
      </c>
      <c r="G5" s="3" t="s">
        <v>162</v>
      </c>
      <c r="H5" s="3" t="s">
        <v>163</v>
      </c>
      <c r="I5" s="3" t="s">
        <v>164</v>
      </c>
      <c r="J5" s="3" t="s">
        <v>165</v>
      </c>
    </row>
    <row r="6" spans="1:10" ht="45.75" customHeight="1" x14ac:dyDescent="0.3">
      <c r="A6" s="6" t="s">
        <v>166</v>
      </c>
      <c r="B6" s="7" t="s">
        <v>167</v>
      </c>
      <c r="C6" s="7" t="s">
        <v>168</v>
      </c>
      <c r="D6" s="7" t="s">
        <v>169</v>
      </c>
      <c r="E6" s="7" t="s">
        <v>170</v>
      </c>
      <c r="F6" s="8">
        <f>SUMPRODUCT((Results_Long!$A$2:$A$1348=$B6)*(Results_Long!$B$2:$B$1348=$C6)*(Results_Long!$C$2:$C$1348=$D6)*(Results_Long!$D$2:$D$1348=$E6)*ROW(Results_Long!$A$2:$A$1348))</f>
        <v>68</v>
      </c>
      <c r="G6" s="9">
        <f>IF(INDEX(Results_Long!$H:$H,$F6)="","NA",INDEX(Results_Long!$H:$H,$F6))</f>
        <v>2705</v>
      </c>
      <c r="H6" s="9">
        <f>IF(INDEX(Results_Long!$J:$J,$F6)="","NA",INDEX(Results_Long!$J:$J,$F6))</f>
        <v>112</v>
      </c>
      <c r="I6" s="6">
        <f>IF(INDEX(Results_Long!$AG:$AG,$F6)="","NA",INDEX(Results_Long!$AG:$AG,$F6))</f>
        <v>0.76500000000000001</v>
      </c>
      <c r="J6" s="5" t="str">
        <f>IF(INDEX(Results_Long!$AJ:$AJ,$F6)="","NA",INDEX(Results_Long!$AJ:$AJ,$F6))</f>
        <v>calibration subset [H-Q14]: 200 full REML (ladder) + CR2/Satt refits at delta = 0.080000 (primary scenario; MDE above grid ceiling -&gt; calibrated at 0.08 (disclosed)); optimism = 0.80 - rejection rate (positive = stream optimistic); n effective = 200/200</v>
      </c>
    </row>
    <row r="7" spans="1:10" ht="45.75" customHeight="1" x14ac:dyDescent="0.3">
      <c r="A7" s="6" t="s">
        <v>171</v>
      </c>
      <c r="B7" s="7" t="s">
        <v>167</v>
      </c>
      <c r="C7" s="7" t="s">
        <v>168</v>
      </c>
      <c r="D7" s="7" t="s">
        <v>169</v>
      </c>
      <c r="E7" s="7" t="s">
        <v>172</v>
      </c>
      <c r="F7" s="8">
        <f>SUMPRODUCT((Results_Long!$A$2:$A$1348=$B7)*(Results_Long!$B$2:$B$1348=$C7)*(Results_Long!$C$2:$C$1348=$D7)*(Results_Long!$D$2:$D$1348=$E7)*ROW(Results_Long!$A$2:$A$1348))</f>
        <v>69</v>
      </c>
      <c r="G7" s="9" t="str">
        <f>IF(INDEX(Results_Long!$H:$H,$F7)="","NA",INDEX(Results_Long!$H:$H,$F7))</f>
        <v>NA</v>
      </c>
      <c r="H7" s="9" t="str">
        <f>IF(INDEX(Results_Long!$J:$J,$F7)="","NA",INDEX(Results_Long!$J:$J,$F7))</f>
        <v>NA</v>
      </c>
      <c r="I7" s="6">
        <f>IF(INDEX(Results_Long!$AG:$AG,$F7)="","NA",INDEX(Results_Long!$AG:$AG,$F7))</f>
        <v>3.5000000000000003E-2</v>
      </c>
      <c r="J7" s="5" t="str">
        <f>IF(INDEX(Results_Long!$AJ:$AJ,$F7)="","NA",INDEX(Results_Long!$AJ:$AJ,$F7))</f>
        <v>calibration subset [H-Q14]: 200 full REML (ladder) + CR2/Satt refits at delta = 0.080000 (primary scenario; MDE above grid ceiling -&gt; calibrated at 0.08 (disclosed)); optimism = 0.80 - rejection rate (positive = stream optimistic); reported as a design row [DEC-045]</v>
      </c>
    </row>
    <row r="9" spans="1:10" ht="15" customHeight="1" x14ac:dyDescent="0.3">
      <c r="A9" s="3" t="s">
        <v>156</v>
      </c>
      <c r="B9" s="3" t="s">
        <v>157</v>
      </c>
      <c r="C9" s="3" t="s">
        <v>158</v>
      </c>
      <c r="D9" s="3" t="s">
        <v>159</v>
      </c>
      <c r="E9" s="3" t="s">
        <v>160</v>
      </c>
      <c r="F9" s="3" t="s">
        <v>161</v>
      </c>
      <c r="G9" s="3" t="s">
        <v>173</v>
      </c>
      <c r="H9" s="3" t="s">
        <v>164</v>
      </c>
    </row>
    <row r="10" spans="1:10" ht="15" customHeight="1" x14ac:dyDescent="0.3">
      <c r="A10" s="6" t="s">
        <v>174</v>
      </c>
      <c r="B10" s="7" t="s">
        <v>167</v>
      </c>
      <c r="C10" s="7" t="s">
        <v>175</v>
      </c>
      <c r="D10" s="7" t="s">
        <v>169</v>
      </c>
      <c r="E10" s="7" t="s">
        <v>176</v>
      </c>
      <c r="F10" s="8">
        <f>SUMPRODUCT((Results_Long!$A$2:$A$1348=$B10)*(Results_Long!$B$2:$B$1348=$C10)*(Results_Long!$C$2:$C$1348=$D10)*(Results_Long!$D$2:$D$1348=$E10)*ROW(Results_Long!$A$2:$A$1348))</f>
        <v>2</v>
      </c>
      <c r="G10" s="10">
        <f>IF(INDEX(Results_Long!$N:$N,$F10)="","NA",INDEX(Results_Long!$N:$N,$F10))</f>
        <v>11.576259399726901</v>
      </c>
      <c r="H10" s="6">
        <f>IF(INDEX(Results_Long!$AG:$AG,$F10)="","NA",INDEX(Results_Long!$AG:$AG,$F10))</f>
        <v>3.2000000000000001E-2</v>
      </c>
    </row>
    <row r="11" spans="1:10" ht="15" customHeight="1" x14ac:dyDescent="0.3">
      <c r="A11" s="6" t="s">
        <v>177</v>
      </c>
      <c r="B11" s="7" t="s">
        <v>167</v>
      </c>
      <c r="C11" s="7" t="s">
        <v>175</v>
      </c>
      <c r="D11" s="7" t="s">
        <v>169</v>
      </c>
      <c r="E11" s="7" t="s">
        <v>178</v>
      </c>
      <c r="F11" s="8">
        <f>SUMPRODUCT((Results_Long!$A$2:$A$1348=$B11)*(Results_Long!$B$2:$B$1348=$C11)*(Results_Long!$C$2:$C$1348=$D11)*(Results_Long!$D$2:$D$1348=$E11)*ROW(Results_Long!$A$2:$A$1348))</f>
        <v>3</v>
      </c>
      <c r="G11" s="10">
        <f>IF(INDEX(Results_Long!$N:$N,$F11)="","NA",INDEX(Results_Long!$N:$N,$F11))</f>
        <v>11.576259399726901</v>
      </c>
      <c r="H11" s="6">
        <f>IF(INDEX(Results_Long!$AG:$AG,$F11)="","NA",INDEX(Results_Long!$AG:$AG,$F11))</f>
        <v>5.1999999999999998E-2</v>
      </c>
    </row>
    <row r="12" spans="1:10" ht="15" customHeight="1" x14ac:dyDescent="0.3">
      <c r="A12" s="6" t="s">
        <v>179</v>
      </c>
      <c r="B12" s="7" t="s">
        <v>167</v>
      </c>
      <c r="C12" s="7" t="s">
        <v>175</v>
      </c>
      <c r="D12" s="7" t="s">
        <v>169</v>
      </c>
      <c r="E12" s="7" t="s">
        <v>180</v>
      </c>
      <c r="F12" s="8">
        <f>SUMPRODUCT((Results_Long!$A$2:$A$1348=$B12)*(Results_Long!$B$2:$B$1348=$C12)*(Results_Long!$C$2:$C$1348=$D12)*(Results_Long!$D$2:$D$1348=$E12)*ROW(Results_Long!$A$2:$A$1348))</f>
        <v>4</v>
      </c>
      <c r="G12" s="10">
        <f>IF(INDEX(Results_Long!$N:$N,$F12)="","NA",INDEX(Results_Long!$N:$N,$F12))</f>
        <v>11.576259399726901</v>
      </c>
      <c r="H12" s="6">
        <f>IF(INDEX(Results_Long!$AG:$AG,$F12)="","NA",INDEX(Results_Long!$AG:$AG,$F12))</f>
        <v>0.1142</v>
      </c>
    </row>
    <row r="13" spans="1:10" ht="15" customHeight="1" x14ac:dyDescent="0.3">
      <c r="A13" s="6" t="s">
        <v>181</v>
      </c>
      <c r="B13" s="7" t="s">
        <v>167</v>
      </c>
      <c r="C13" s="7" t="s">
        <v>175</v>
      </c>
      <c r="D13" s="7" t="s">
        <v>169</v>
      </c>
      <c r="E13" s="7" t="s">
        <v>182</v>
      </c>
      <c r="F13" s="8">
        <f>SUMPRODUCT((Results_Long!$A$2:$A$1348=$B13)*(Results_Long!$B$2:$B$1348=$C13)*(Results_Long!$C$2:$C$1348=$D13)*(Results_Long!$D$2:$D$1348=$E13)*ROW(Results_Long!$A$2:$A$1348))</f>
        <v>5</v>
      </c>
      <c r="G13" s="10">
        <f>IF(INDEX(Results_Long!$N:$N,$F13)="","NA",INDEX(Results_Long!$N:$N,$F13))</f>
        <v>11.576259399726901</v>
      </c>
      <c r="H13" s="6">
        <f>IF(INDEX(Results_Long!$AG:$AG,$F13)="","NA",INDEX(Results_Long!$AG:$AG,$F13))</f>
        <v>0.23799999999999999</v>
      </c>
    </row>
    <row r="14" spans="1:10" ht="15" customHeight="1" x14ac:dyDescent="0.3">
      <c r="A14" s="6" t="s">
        <v>183</v>
      </c>
      <c r="B14" s="7" t="s">
        <v>167</v>
      </c>
      <c r="C14" s="7" t="s">
        <v>175</v>
      </c>
      <c r="D14" s="7" t="s">
        <v>169</v>
      </c>
      <c r="E14" s="7" t="s">
        <v>184</v>
      </c>
      <c r="F14" s="8">
        <f>SUMPRODUCT((Results_Long!$A$2:$A$1348=$B14)*(Results_Long!$B$2:$B$1348=$C14)*(Results_Long!$C$2:$C$1348=$D14)*(Results_Long!$D$2:$D$1348=$E14)*ROW(Results_Long!$A$2:$A$1348))</f>
        <v>6</v>
      </c>
      <c r="G14" s="10">
        <f>IF(INDEX(Results_Long!$N:$N,$F14)="","NA",INDEX(Results_Long!$N:$N,$F14))</f>
        <v>11.576259399726901</v>
      </c>
      <c r="H14" s="6">
        <f>IF(INDEX(Results_Long!$AG:$AG,$F14)="","NA",INDEX(Results_Long!$AG:$AG,$F14))</f>
        <v>0.41320000000000001</v>
      </c>
    </row>
    <row r="15" spans="1:10" ht="15" customHeight="1" x14ac:dyDescent="0.3">
      <c r="A15" s="6" t="s">
        <v>185</v>
      </c>
      <c r="B15" s="7" t="s">
        <v>167</v>
      </c>
      <c r="C15" s="7" t="s">
        <v>175</v>
      </c>
      <c r="D15" s="7" t="s">
        <v>169</v>
      </c>
      <c r="E15" s="7" t="s">
        <v>186</v>
      </c>
      <c r="F15" s="8">
        <f>SUMPRODUCT((Results_Long!$A$2:$A$1348=$B15)*(Results_Long!$B$2:$B$1348=$C15)*(Results_Long!$C$2:$C$1348=$D15)*(Results_Long!$D$2:$D$1348=$E15)*ROW(Results_Long!$A$2:$A$1348))</f>
        <v>7</v>
      </c>
      <c r="G15" s="10">
        <f>IF(INDEX(Results_Long!$N:$N,$F15)="","NA",INDEX(Results_Long!$N:$N,$F15))</f>
        <v>11.576259399726901</v>
      </c>
      <c r="H15" s="6">
        <f>IF(INDEX(Results_Long!$AG:$AG,$F15)="","NA",INDEX(Results_Long!$AG:$AG,$F15))</f>
        <v>0.60040000000000004</v>
      </c>
    </row>
    <row r="16" spans="1:10" ht="15" customHeight="1" x14ac:dyDescent="0.3">
      <c r="A16" s="6" t="s">
        <v>187</v>
      </c>
      <c r="B16" s="7" t="s">
        <v>167</v>
      </c>
      <c r="C16" s="7" t="s">
        <v>175</v>
      </c>
      <c r="D16" s="7" t="s">
        <v>169</v>
      </c>
      <c r="E16" s="7" t="s">
        <v>188</v>
      </c>
      <c r="F16" s="8">
        <f>SUMPRODUCT((Results_Long!$A$2:$A$1348=$B16)*(Results_Long!$B$2:$B$1348=$C16)*(Results_Long!$C$2:$C$1348=$D16)*(Results_Long!$D$2:$D$1348=$E16)*ROW(Results_Long!$A$2:$A$1348))</f>
        <v>8</v>
      </c>
      <c r="G16" s="10">
        <f>IF(INDEX(Results_Long!$N:$N,$F16)="","NA",INDEX(Results_Long!$N:$N,$F16))</f>
        <v>11.576259399726901</v>
      </c>
      <c r="H16" s="6">
        <f>IF(INDEX(Results_Long!$AG:$AG,$F16)="","NA",INDEX(Results_Long!$AG:$AG,$F16))</f>
        <v>0.76839999999999997</v>
      </c>
    </row>
    <row r="17" spans="1:8" ht="15" customHeight="1" x14ac:dyDescent="0.3">
      <c r="A17" s="6" t="s">
        <v>189</v>
      </c>
      <c r="B17" s="7" t="s">
        <v>167</v>
      </c>
      <c r="C17" s="7" t="s">
        <v>175</v>
      </c>
      <c r="D17" s="7" t="s">
        <v>169</v>
      </c>
      <c r="E17" s="7" t="s">
        <v>190</v>
      </c>
      <c r="F17" s="8">
        <f>SUMPRODUCT((Results_Long!$A$2:$A$1348=$B17)*(Results_Long!$B$2:$B$1348=$C17)*(Results_Long!$C$2:$C$1348=$D17)*(Results_Long!$D$2:$D$1348=$E17)*ROW(Results_Long!$A$2:$A$1348))</f>
        <v>9</v>
      </c>
      <c r="G17" s="10">
        <f>IF(INDEX(Results_Long!$N:$N,$F17)="","NA",INDEX(Results_Long!$N:$N,$F17))</f>
        <v>11.576259399726901</v>
      </c>
      <c r="H17" s="6">
        <f>IF(INDEX(Results_Long!$AG:$AG,$F17)="","NA",INDEX(Results_Long!$AG:$AG,$F17))</f>
        <v>0.88680000000000003</v>
      </c>
    </row>
    <row r="18" spans="1:8" ht="15" customHeight="1" x14ac:dyDescent="0.3">
      <c r="A18" s="6" t="s">
        <v>191</v>
      </c>
      <c r="B18" s="7" t="s">
        <v>167</v>
      </c>
      <c r="C18" s="7" t="s">
        <v>175</v>
      </c>
      <c r="D18" s="7" t="s">
        <v>169</v>
      </c>
      <c r="E18" s="7" t="s">
        <v>192</v>
      </c>
      <c r="F18" s="8">
        <f>SUMPRODUCT((Results_Long!$A$2:$A$1348=$B18)*(Results_Long!$B$2:$B$1348=$C18)*(Results_Long!$C$2:$C$1348=$D18)*(Results_Long!$D$2:$D$1348=$E18)*ROW(Results_Long!$A$2:$A$1348))</f>
        <v>10</v>
      </c>
      <c r="G18" s="10">
        <f>IF(INDEX(Results_Long!$N:$N,$F18)="","NA",INDEX(Results_Long!$N:$N,$F18))</f>
        <v>11.576259399726901</v>
      </c>
      <c r="H18" s="6">
        <f>IF(INDEX(Results_Long!$AG:$AG,$F18)="","NA",INDEX(Results_Long!$AG:$AG,$F18))</f>
        <v>0.9526</v>
      </c>
    </row>
    <row r="19" spans="1:8" ht="15" customHeight="1" x14ac:dyDescent="0.3">
      <c r="A19" s="6" t="s">
        <v>193</v>
      </c>
      <c r="B19" s="7" t="s">
        <v>167</v>
      </c>
      <c r="C19" s="7" t="s">
        <v>175</v>
      </c>
      <c r="D19" s="7" t="s">
        <v>169</v>
      </c>
      <c r="E19" s="7" t="s">
        <v>194</v>
      </c>
      <c r="F19" s="8">
        <f>SUMPRODUCT((Results_Long!$A$2:$A$1348=$B19)*(Results_Long!$B$2:$B$1348=$C19)*(Results_Long!$C$2:$C$1348=$D19)*(Results_Long!$D$2:$D$1348=$E19)*ROW(Results_Long!$A$2:$A$1348))</f>
        <v>11</v>
      </c>
      <c r="G19" s="10">
        <f>IF(INDEX(Results_Long!$N:$N,$F19)="","NA",INDEX(Results_Long!$N:$N,$F19))</f>
        <v>11.576259399726901</v>
      </c>
      <c r="H19" s="6">
        <f>IF(INDEX(Results_Long!$AG:$AG,$F19)="","NA",INDEX(Results_Long!$AG:$AG,$F19))</f>
        <v>6.2668918918918903E-2</v>
      </c>
    </row>
    <row r="20" spans="1:8" ht="15" customHeight="1" x14ac:dyDescent="0.3">
      <c r="A20" s="6" t="s">
        <v>195</v>
      </c>
      <c r="B20" s="7" t="s">
        <v>167</v>
      </c>
      <c r="C20" s="7" t="s">
        <v>175</v>
      </c>
      <c r="D20" s="7" t="s">
        <v>169</v>
      </c>
      <c r="E20" s="7" t="s">
        <v>196</v>
      </c>
      <c r="F20" s="8">
        <f>SUMPRODUCT((Results_Long!$A$2:$A$1348=$B20)*(Results_Long!$B$2:$B$1348=$C20)*(Results_Long!$C$2:$C$1348=$D20)*(Results_Long!$D$2:$D$1348=$E20)*ROW(Results_Long!$A$2:$A$1348))</f>
        <v>12</v>
      </c>
      <c r="G20" s="10">
        <f>IF(INDEX(Results_Long!$N:$N,$F20)="","NA",INDEX(Results_Long!$N:$N,$F20))</f>
        <v>11.576259399726901</v>
      </c>
      <c r="H20" s="6">
        <f>IF(INDEX(Results_Long!$AG:$AG,$F20)="","NA",INDEX(Results_Long!$AG:$AG,$F20))</f>
        <v>7.2006079027355605E-2</v>
      </c>
    </row>
    <row r="21" spans="1:8" ht="15" customHeight="1" x14ac:dyDescent="0.3">
      <c r="A21" s="6" t="s">
        <v>197</v>
      </c>
      <c r="B21" s="7" t="s">
        <v>167</v>
      </c>
      <c r="C21" s="7" t="s">
        <v>198</v>
      </c>
      <c r="D21" s="7" t="s">
        <v>169</v>
      </c>
      <c r="E21" s="7" t="s">
        <v>176</v>
      </c>
      <c r="F21" s="8">
        <f>SUMPRODUCT((Results_Long!$A$2:$A$1348=$B21)*(Results_Long!$B$2:$B$1348=$C21)*(Results_Long!$C$2:$C$1348=$D21)*(Results_Long!$D$2:$D$1348=$E21)*ROW(Results_Long!$A$2:$A$1348))</f>
        <v>13</v>
      </c>
      <c r="G21" s="10">
        <f>IF(INDEX(Results_Long!$N:$N,$F21)="","NA",INDEX(Results_Long!$N:$N,$F21))</f>
        <v>11.819360757098201</v>
      </c>
      <c r="H21" s="6">
        <f>IF(INDEX(Results_Long!$AG:$AG,$F21)="","NA",INDEX(Results_Long!$AG:$AG,$F21))</f>
        <v>3.44E-2</v>
      </c>
    </row>
    <row r="22" spans="1:8" ht="15" customHeight="1" x14ac:dyDescent="0.3">
      <c r="A22" s="6" t="s">
        <v>199</v>
      </c>
      <c r="B22" s="7" t="s">
        <v>167</v>
      </c>
      <c r="C22" s="7" t="s">
        <v>198</v>
      </c>
      <c r="D22" s="7" t="s">
        <v>169</v>
      </c>
      <c r="E22" s="7" t="s">
        <v>178</v>
      </c>
      <c r="F22" s="8">
        <f>SUMPRODUCT((Results_Long!$A$2:$A$1348=$B22)*(Results_Long!$B$2:$B$1348=$C22)*(Results_Long!$C$2:$C$1348=$D22)*(Results_Long!$D$2:$D$1348=$E22)*ROW(Results_Long!$A$2:$A$1348))</f>
        <v>14</v>
      </c>
      <c r="G22" s="10">
        <f>IF(INDEX(Results_Long!$N:$N,$F22)="","NA",INDEX(Results_Long!$N:$N,$F22))</f>
        <v>11.819360757098201</v>
      </c>
      <c r="H22" s="6">
        <f>IF(INDEX(Results_Long!$AG:$AG,$F22)="","NA",INDEX(Results_Long!$AG:$AG,$F22))</f>
        <v>5.0200000000000002E-2</v>
      </c>
    </row>
    <row r="23" spans="1:8" ht="15" customHeight="1" x14ac:dyDescent="0.3">
      <c r="A23" s="6" t="s">
        <v>200</v>
      </c>
      <c r="B23" s="7" t="s">
        <v>167</v>
      </c>
      <c r="C23" s="7" t="s">
        <v>198</v>
      </c>
      <c r="D23" s="7" t="s">
        <v>169</v>
      </c>
      <c r="E23" s="7" t="s">
        <v>180</v>
      </c>
      <c r="F23" s="8">
        <f>SUMPRODUCT((Results_Long!$A$2:$A$1348=$B23)*(Results_Long!$B$2:$B$1348=$C23)*(Results_Long!$C$2:$C$1348=$D23)*(Results_Long!$D$2:$D$1348=$E23)*ROW(Results_Long!$A$2:$A$1348))</f>
        <v>15</v>
      </c>
      <c r="G23" s="10">
        <f>IF(INDEX(Results_Long!$N:$N,$F23)="","NA",INDEX(Results_Long!$N:$N,$F23))</f>
        <v>11.819360757098201</v>
      </c>
      <c r="H23" s="6">
        <f>IF(INDEX(Results_Long!$AG:$AG,$F23)="","NA",INDEX(Results_Long!$AG:$AG,$F23))</f>
        <v>8.5000000000000006E-2</v>
      </c>
    </row>
    <row r="24" spans="1:8" ht="15" customHeight="1" x14ac:dyDescent="0.3">
      <c r="A24" s="6" t="s">
        <v>201</v>
      </c>
      <c r="B24" s="7" t="s">
        <v>167</v>
      </c>
      <c r="C24" s="7" t="s">
        <v>198</v>
      </c>
      <c r="D24" s="7" t="s">
        <v>169</v>
      </c>
      <c r="E24" s="7" t="s">
        <v>182</v>
      </c>
      <c r="F24" s="8">
        <f>SUMPRODUCT((Results_Long!$A$2:$A$1348=$B24)*(Results_Long!$B$2:$B$1348=$C24)*(Results_Long!$C$2:$C$1348=$D24)*(Results_Long!$D$2:$D$1348=$E24)*ROW(Results_Long!$A$2:$A$1348))</f>
        <v>16</v>
      </c>
      <c r="G24" s="10">
        <f>IF(INDEX(Results_Long!$N:$N,$F24)="","NA",INDEX(Results_Long!$N:$N,$F24))</f>
        <v>11.819360757098201</v>
      </c>
      <c r="H24" s="6">
        <f>IF(INDEX(Results_Long!$AG:$AG,$F24)="","NA",INDEX(Results_Long!$AG:$AG,$F24))</f>
        <v>0.14779999999999999</v>
      </c>
    </row>
    <row r="25" spans="1:8" ht="15" customHeight="1" x14ac:dyDescent="0.3">
      <c r="A25" s="6" t="s">
        <v>202</v>
      </c>
      <c r="B25" s="7" t="s">
        <v>167</v>
      </c>
      <c r="C25" s="7" t="s">
        <v>198</v>
      </c>
      <c r="D25" s="7" t="s">
        <v>169</v>
      </c>
      <c r="E25" s="7" t="s">
        <v>184</v>
      </c>
      <c r="F25" s="8">
        <f>SUMPRODUCT((Results_Long!$A$2:$A$1348=$B25)*(Results_Long!$B$2:$B$1348=$C25)*(Results_Long!$C$2:$C$1348=$D25)*(Results_Long!$D$2:$D$1348=$E25)*ROW(Results_Long!$A$2:$A$1348))</f>
        <v>17</v>
      </c>
      <c r="G25" s="10">
        <f>IF(INDEX(Results_Long!$N:$N,$F25)="","NA",INDEX(Results_Long!$N:$N,$F25))</f>
        <v>11.819360757098201</v>
      </c>
      <c r="H25" s="6">
        <f>IF(INDEX(Results_Long!$AG:$AG,$F25)="","NA",INDEX(Results_Long!$AG:$AG,$F25))</f>
        <v>0.2384</v>
      </c>
    </row>
    <row r="26" spans="1:8" ht="15" customHeight="1" x14ac:dyDescent="0.3">
      <c r="A26" s="6" t="s">
        <v>203</v>
      </c>
      <c r="B26" s="7" t="s">
        <v>167</v>
      </c>
      <c r="C26" s="7" t="s">
        <v>198</v>
      </c>
      <c r="D26" s="7" t="s">
        <v>169</v>
      </c>
      <c r="E26" s="7" t="s">
        <v>186</v>
      </c>
      <c r="F26" s="8">
        <f>SUMPRODUCT((Results_Long!$A$2:$A$1348=$B26)*(Results_Long!$B$2:$B$1348=$C26)*(Results_Long!$C$2:$C$1348=$D26)*(Results_Long!$D$2:$D$1348=$E26)*ROW(Results_Long!$A$2:$A$1348))</f>
        <v>18</v>
      </c>
      <c r="G26" s="10">
        <f>IF(INDEX(Results_Long!$N:$N,$F26)="","NA",INDEX(Results_Long!$N:$N,$F26))</f>
        <v>11.819360757098201</v>
      </c>
      <c r="H26" s="6">
        <f>IF(INDEX(Results_Long!$AG:$AG,$F26)="","NA",INDEX(Results_Long!$AG:$AG,$F26))</f>
        <v>0.35320000000000001</v>
      </c>
    </row>
    <row r="27" spans="1:8" ht="15" customHeight="1" x14ac:dyDescent="0.3">
      <c r="A27" s="6" t="s">
        <v>204</v>
      </c>
      <c r="B27" s="7" t="s">
        <v>167</v>
      </c>
      <c r="C27" s="7" t="s">
        <v>198</v>
      </c>
      <c r="D27" s="7" t="s">
        <v>169</v>
      </c>
      <c r="E27" s="7" t="s">
        <v>188</v>
      </c>
      <c r="F27" s="8">
        <f>SUMPRODUCT((Results_Long!$A$2:$A$1348=$B27)*(Results_Long!$B$2:$B$1348=$C27)*(Results_Long!$C$2:$C$1348=$D27)*(Results_Long!$D$2:$D$1348=$E27)*ROW(Results_Long!$A$2:$A$1348))</f>
        <v>19</v>
      </c>
      <c r="G27" s="10">
        <f>IF(INDEX(Results_Long!$N:$N,$F27)="","NA",INDEX(Results_Long!$N:$N,$F27))</f>
        <v>11.819360757098201</v>
      </c>
      <c r="H27" s="6">
        <f>IF(INDEX(Results_Long!$AG:$AG,$F27)="","NA",INDEX(Results_Long!$AG:$AG,$F27))</f>
        <v>0.47920000000000001</v>
      </c>
    </row>
    <row r="28" spans="1:8" ht="15" customHeight="1" x14ac:dyDescent="0.3">
      <c r="A28" s="6" t="s">
        <v>205</v>
      </c>
      <c r="B28" s="7" t="s">
        <v>167</v>
      </c>
      <c r="C28" s="7" t="s">
        <v>198</v>
      </c>
      <c r="D28" s="7" t="s">
        <v>169</v>
      </c>
      <c r="E28" s="7" t="s">
        <v>190</v>
      </c>
      <c r="F28" s="8">
        <f>SUMPRODUCT((Results_Long!$A$2:$A$1348=$B28)*(Results_Long!$B$2:$B$1348=$C28)*(Results_Long!$C$2:$C$1348=$D28)*(Results_Long!$D$2:$D$1348=$E28)*ROW(Results_Long!$A$2:$A$1348))</f>
        <v>20</v>
      </c>
      <c r="G28" s="10">
        <f>IF(INDEX(Results_Long!$N:$N,$F28)="","NA",INDEX(Results_Long!$N:$N,$F28))</f>
        <v>11.819360757098201</v>
      </c>
      <c r="H28" s="6">
        <f>IF(INDEX(Results_Long!$AG:$AG,$F28)="","NA",INDEX(Results_Long!$AG:$AG,$F28))</f>
        <v>0.61119999999999997</v>
      </c>
    </row>
    <row r="29" spans="1:8" ht="15" customHeight="1" x14ac:dyDescent="0.3">
      <c r="A29" s="6" t="s">
        <v>206</v>
      </c>
      <c r="B29" s="7" t="s">
        <v>167</v>
      </c>
      <c r="C29" s="7" t="s">
        <v>198</v>
      </c>
      <c r="D29" s="7" t="s">
        <v>169</v>
      </c>
      <c r="E29" s="7" t="s">
        <v>192</v>
      </c>
      <c r="F29" s="8">
        <f>SUMPRODUCT((Results_Long!$A$2:$A$1348=$B29)*(Results_Long!$B$2:$B$1348=$C29)*(Results_Long!$C$2:$C$1348=$D29)*(Results_Long!$D$2:$D$1348=$E29)*ROW(Results_Long!$A$2:$A$1348))</f>
        <v>21</v>
      </c>
      <c r="G29" s="10">
        <f>IF(INDEX(Results_Long!$N:$N,$F29)="","NA",INDEX(Results_Long!$N:$N,$F29))</f>
        <v>11.819360757098201</v>
      </c>
      <c r="H29" s="6">
        <f>IF(INDEX(Results_Long!$AG:$AG,$F29)="","NA",INDEX(Results_Long!$AG:$AG,$F29))</f>
        <v>0.73040000000000005</v>
      </c>
    </row>
    <row r="30" spans="1:8" ht="15" customHeight="1" x14ac:dyDescent="0.3">
      <c r="A30" s="6" t="s">
        <v>207</v>
      </c>
      <c r="B30" s="7" t="s">
        <v>167</v>
      </c>
      <c r="C30" s="7" t="s">
        <v>198</v>
      </c>
      <c r="D30" s="7" t="s">
        <v>169</v>
      </c>
      <c r="E30" s="7" t="s">
        <v>194</v>
      </c>
      <c r="F30" s="8">
        <f>SUMPRODUCT((Results_Long!$A$2:$A$1348=$B30)*(Results_Long!$B$2:$B$1348=$C30)*(Results_Long!$C$2:$C$1348=$D30)*(Results_Long!$D$2:$D$1348=$E30)*ROW(Results_Long!$A$2:$A$1348))</f>
        <v>22</v>
      </c>
      <c r="G30" s="10">
        <f>IF(INDEX(Results_Long!$N:$N,$F30)="","NA",INDEX(Results_Long!$N:$N,$F30))</f>
        <v>11.819360757098201</v>
      </c>
      <c r="H30" s="6" t="str">
        <f>IF(INDEX(Results_Long!$AG:$AG,$F30)="","NA",INDEX(Results_Long!$AG:$AG,$F30))</f>
        <v>NA</v>
      </c>
    </row>
    <row r="31" spans="1:8" ht="15" customHeight="1" x14ac:dyDescent="0.3">
      <c r="A31" s="6" t="s">
        <v>208</v>
      </c>
      <c r="B31" s="7" t="s">
        <v>167</v>
      </c>
      <c r="C31" s="7" t="s">
        <v>198</v>
      </c>
      <c r="D31" s="7" t="s">
        <v>169</v>
      </c>
      <c r="E31" s="7" t="s">
        <v>196</v>
      </c>
      <c r="F31" s="8">
        <f>SUMPRODUCT((Results_Long!$A$2:$A$1348=$B31)*(Results_Long!$B$2:$B$1348=$C31)*(Results_Long!$C$2:$C$1348=$D31)*(Results_Long!$D$2:$D$1348=$E31)*ROW(Results_Long!$A$2:$A$1348))</f>
        <v>23</v>
      </c>
      <c r="G31" s="10">
        <f>IF(INDEX(Results_Long!$N:$N,$F31)="","NA",INDEX(Results_Long!$N:$N,$F31))</f>
        <v>11.819360757098201</v>
      </c>
      <c r="H31" s="6" t="str">
        <f>IF(INDEX(Results_Long!$AG:$AG,$F31)="","NA",INDEX(Results_Long!$AG:$AG,$F31))</f>
        <v>NA</v>
      </c>
    </row>
    <row r="32" spans="1:8" ht="15" customHeight="1" x14ac:dyDescent="0.3">
      <c r="A32" s="6" t="s">
        <v>209</v>
      </c>
      <c r="B32" s="7" t="s">
        <v>167</v>
      </c>
      <c r="C32" s="7" t="s">
        <v>210</v>
      </c>
      <c r="D32" s="7" t="s">
        <v>169</v>
      </c>
      <c r="E32" s="7" t="s">
        <v>176</v>
      </c>
      <c r="F32" s="8">
        <f>SUMPRODUCT((Results_Long!$A$2:$A$1348=$B32)*(Results_Long!$B$2:$B$1348=$C32)*(Results_Long!$C$2:$C$1348=$D32)*(Results_Long!$D$2:$D$1348=$E32)*ROW(Results_Long!$A$2:$A$1348))</f>
        <v>24</v>
      </c>
      <c r="G32" s="10">
        <f>IF(INDEX(Results_Long!$N:$N,$F32)="","NA",INDEX(Results_Long!$N:$N,$F32))</f>
        <v>11.9756277743199</v>
      </c>
      <c r="H32" s="6">
        <f>IF(INDEX(Results_Long!$AG:$AG,$F32)="","NA",INDEX(Results_Long!$AG:$AG,$F32))</f>
        <v>3.6400000000000002E-2</v>
      </c>
    </row>
    <row r="33" spans="1:8" ht="15" customHeight="1" x14ac:dyDescent="0.3">
      <c r="A33" s="6" t="s">
        <v>211</v>
      </c>
      <c r="B33" s="7" t="s">
        <v>167</v>
      </c>
      <c r="C33" s="7" t="s">
        <v>210</v>
      </c>
      <c r="D33" s="7" t="s">
        <v>169</v>
      </c>
      <c r="E33" s="7" t="s">
        <v>178</v>
      </c>
      <c r="F33" s="8">
        <f>SUMPRODUCT((Results_Long!$A$2:$A$1348=$B33)*(Results_Long!$B$2:$B$1348=$C33)*(Results_Long!$C$2:$C$1348=$D33)*(Results_Long!$D$2:$D$1348=$E33)*ROW(Results_Long!$A$2:$A$1348))</f>
        <v>25</v>
      </c>
      <c r="G33" s="10">
        <f>IF(INDEX(Results_Long!$N:$N,$F33)="","NA",INDEX(Results_Long!$N:$N,$F33))</f>
        <v>11.9756277743199</v>
      </c>
      <c r="H33" s="6">
        <f>IF(INDEX(Results_Long!$AG:$AG,$F33)="","NA",INDEX(Results_Long!$AG:$AG,$F33))</f>
        <v>4.2599999999999999E-2</v>
      </c>
    </row>
    <row r="34" spans="1:8" ht="15" customHeight="1" x14ac:dyDescent="0.3">
      <c r="A34" s="6" t="s">
        <v>212</v>
      </c>
      <c r="B34" s="7" t="s">
        <v>167</v>
      </c>
      <c r="C34" s="7" t="s">
        <v>210</v>
      </c>
      <c r="D34" s="7" t="s">
        <v>169</v>
      </c>
      <c r="E34" s="7" t="s">
        <v>180</v>
      </c>
      <c r="F34" s="8">
        <f>SUMPRODUCT((Results_Long!$A$2:$A$1348=$B34)*(Results_Long!$B$2:$B$1348=$C34)*(Results_Long!$C$2:$C$1348=$D34)*(Results_Long!$D$2:$D$1348=$E34)*ROW(Results_Long!$A$2:$A$1348))</f>
        <v>26</v>
      </c>
      <c r="G34" s="10">
        <f>IF(INDEX(Results_Long!$N:$N,$F34)="","NA",INDEX(Results_Long!$N:$N,$F34))</f>
        <v>11.9756277743199</v>
      </c>
      <c r="H34" s="6">
        <f>IF(INDEX(Results_Long!$AG:$AG,$F34)="","NA",INDEX(Results_Long!$AG:$AG,$F34))</f>
        <v>6.3799999999999996E-2</v>
      </c>
    </row>
    <row r="35" spans="1:8" ht="15" customHeight="1" x14ac:dyDescent="0.3">
      <c r="A35" s="6" t="s">
        <v>213</v>
      </c>
      <c r="B35" s="7" t="s">
        <v>167</v>
      </c>
      <c r="C35" s="7" t="s">
        <v>210</v>
      </c>
      <c r="D35" s="7" t="s">
        <v>169</v>
      </c>
      <c r="E35" s="7" t="s">
        <v>182</v>
      </c>
      <c r="F35" s="8">
        <f>SUMPRODUCT((Results_Long!$A$2:$A$1348=$B35)*(Results_Long!$B$2:$B$1348=$C35)*(Results_Long!$C$2:$C$1348=$D35)*(Results_Long!$D$2:$D$1348=$E35)*ROW(Results_Long!$A$2:$A$1348))</f>
        <v>27</v>
      </c>
      <c r="G35" s="10">
        <f>IF(INDEX(Results_Long!$N:$N,$F35)="","NA",INDEX(Results_Long!$N:$N,$F35))</f>
        <v>11.9756277743199</v>
      </c>
      <c r="H35" s="6">
        <f>IF(INDEX(Results_Long!$AG:$AG,$F35)="","NA",INDEX(Results_Long!$AG:$AG,$F35))</f>
        <v>9.3600000000000003E-2</v>
      </c>
    </row>
    <row r="36" spans="1:8" ht="15" customHeight="1" x14ac:dyDescent="0.3">
      <c r="A36" s="6" t="s">
        <v>214</v>
      </c>
      <c r="B36" s="7" t="s">
        <v>167</v>
      </c>
      <c r="C36" s="7" t="s">
        <v>210</v>
      </c>
      <c r="D36" s="7" t="s">
        <v>169</v>
      </c>
      <c r="E36" s="7" t="s">
        <v>184</v>
      </c>
      <c r="F36" s="8">
        <f>SUMPRODUCT((Results_Long!$A$2:$A$1348=$B36)*(Results_Long!$B$2:$B$1348=$C36)*(Results_Long!$C$2:$C$1348=$D36)*(Results_Long!$D$2:$D$1348=$E36)*ROW(Results_Long!$A$2:$A$1348))</f>
        <v>28</v>
      </c>
      <c r="G36" s="10">
        <f>IF(INDEX(Results_Long!$N:$N,$F36)="","NA",INDEX(Results_Long!$N:$N,$F36))</f>
        <v>11.9756277743199</v>
      </c>
      <c r="H36" s="6">
        <f>IF(INDEX(Results_Long!$AG:$AG,$F36)="","NA",INDEX(Results_Long!$AG:$AG,$F36))</f>
        <v>0.14460000000000001</v>
      </c>
    </row>
    <row r="37" spans="1:8" ht="15" customHeight="1" x14ac:dyDescent="0.3">
      <c r="A37" s="6" t="s">
        <v>215</v>
      </c>
      <c r="B37" s="7" t="s">
        <v>167</v>
      </c>
      <c r="C37" s="7" t="s">
        <v>210</v>
      </c>
      <c r="D37" s="7" t="s">
        <v>169</v>
      </c>
      <c r="E37" s="7" t="s">
        <v>186</v>
      </c>
      <c r="F37" s="8">
        <f>SUMPRODUCT((Results_Long!$A$2:$A$1348=$B37)*(Results_Long!$B$2:$B$1348=$C37)*(Results_Long!$C$2:$C$1348=$D37)*(Results_Long!$D$2:$D$1348=$E37)*ROW(Results_Long!$A$2:$A$1348))</f>
        <v>29</v>
      </c>
      <c r="G37" s="10">
        <f>IF(INDEX(Results_Long!$N:$N,$F37)="","NA",INDEX(Results_Long!$N:$N,$F37))</f>
        <v>11.9756277743199</v>
      </c>
      <c r="H37" s="6">
        <f>IF(INDEX(Results_Long!$AG:$AG,$F37)="","NA",INDEX(Results_Long!$AG:$AG,$F37))</f>
        <v>0.2014</v>
      </c>
    </row>
    <row r="38" spans="1:8" ht="15" customHeight="1" x14ac:dyDescent="0.3">
      <c r="A38" s="6" t="s">
        <v>216</v>
      </c>
      <c r="B38" s="7" t="s">
        <v>167</v>
      </c>
      <c r="C38" s="7" t="s">
        <v>210</v>
      </c>
      <c r="D38" s="7" t="s">
        <v>169</v>
      </c>
      <c r="E38" s="7" t="s">
        <v>188</v>
      </c>
      <c r="F38" s="8">
        <f>SUMPRODUCT((Results_Long!$A$2:$A$1348=$B38)*(Results_Long!$B$2:$B$1348=$C38)*(Results_Long!$C$2:$C$1348=$D38)*(Results_Long!$D$2:$D$1348=$E38)*ROW(Results_Long!$A$2:$A$1348))</f>
        <v>30</v>
      </c>
      <c r="G38" s="10">
        <f>IF(INDEX(Results_Long!$N:$N,$F38)="","NA",INDEX(Results_Long!$N:$N,$F38))</f>
        <v>11.9756277743199</v>
      </c>
      <c r="H38" s="6">
        <f>IF(INDEX(Results_Long!$AG:$AG,$F38)="","NA",INDEX(Results_Long!$AG:$AG,$F38))</f>
        <v>0.27800000000000002</v>
      </c>
    </row>
    <row r="39" spans="1:8" ht="15" customHeight="1" x14ac:dyDescent="0.3">
      <c r="A39" s="6" t="s">
        <v>217</v>
      </c>
      <c r="B39" s="7" t="s">
        <v>167</v>
      </c>
      <c r="C39" s="7" t="s">
        <v>210</v>
      </c>
      <c r="D39" s="7" t="s">
        <v>169</v>
      </c>
      <c r="E39" s="7" t="s">
        <v>190</v>
      </c>
      <c r="F39" s="8">
        <f>SUMPRODUCT((Results_Long!$A$2:$A$1348=$B39)*(Results_Long!$B$2:$B$1348=$C39)*(Results_Long!$C$2:$C$1348=$D39)*(Results_Long!$D$2:$D$1348=$E39)*ROW(Results_Long!$A$2:$A$1348))</f>
        <v>31</v>
      </c>
      <c r="G39" s="10">
        <f>IF(INDEX(Results_Long!$N:$N,$F39)="","NA",INDEX(Results_Long!$N:$N,$F39))</f>
        <v>11.9756277743199</v>
      </c>
      <c r="H39" s="6">
        <f>IF(INDEX(Results_Long!$AG:$AG,$F39)="","NA",INDEX(Results_Long!$AG:$AG,$F39))</f>
        <v>0.35799999999999998</v>
      </c>
    </row>
    <row r="40" spans="1:8" ht="15" customHeight="1" x14ac:dyDescent="0.3">
      <c r="A40" s="6" t="s">
        <v>218</v>
      </c>
      <c r="B40" s="7" t="s">
        <v>167</v>
      </c>
      <c r="C40" s="7" t="s">
        <v>210</v>
      </c>
      <c r="D40" s="7" t="s">
        <v>169</v>
      </c>
      <c r="E40" s="7" t="s">
        <v>192</v>
      </c>
      <c r="F40" s="8">
        <f>SUMPRODUCT((Results_Long!$A$2:$A$1348=$B40)*(Results_Long!$B$2:$B$1348=$C40)*(Results_Long!$C$2:$C$1348=$D40)*(Results_Long!$D$2:$D$1348=$E40)*ROW(Results_Long!$A$2:$A$1348))</f>
        <v>32</v>
      </c>
      <c r="G40" s="10">
        <f>IF(INDEX(Results_Long!$N:$N,$F40)="","NA",INDEX(Results_Long!$N:$N,$F40))</f>
        <v>11.9756277743199</v>
      </c>
      <c r="H40" s="6">
        <f>IF(INDEX(Results_Long!$AG:$AG,$F40)="","NA",INDEX(Results_Long!$AG:$AG,$F40))</f>
        <v>0.4476</v>
      </c>
    </row>
    <row r="41" spans="1:8" ht="15" customHeight="1" x14ac:dyDescent="0.3">
      <c r="A41" s="6" t="s">
        <v>219</v>
      </c>
      <c r="B41" s="7" t="s">
        <v>167</v>
      </c>
      <c r="C41" s="7" t="s">
        <v>210</v>
      </c>
      <c r="D41" s="7" t="s">
        <v>169</v>
      </c>
      <c r="E41" s="7" t="s">
        <v>194</v>
      </c>
      <c r="F41" s="8">
        <f>SUMPRODUCT((Results_Long!$A$2:$A$1348=$B41)*(Results_Long!$B$2:$B$1348=$C41)*(Results_Long!$C$2:$C$1348=$D41)*(Results_Long!$D$2:$D$1348=$E41)*ROW(Results_Long!$A$2:$A$1348))</f>
        <v>33</v>
      </c>
      <c r="G41" s="10">
        <f>IF(INDEX(Results_Long!$N:$N,$F41)="","NA",INDEX(Results_Long!$N:$N,$F41))</f>
        <v>11.9756277743199</v>
      </c>
      <c r="H41" s="6" t="str">
        <f>IF(INDEX(Results_Long!$AG:$AG,$F41)="","NA",INDEX(Results_Long!$AG:$AG,$F41))</f>
        <v>NA</v>
      </c>
    </row>
    <row r="42" spans="1:8" ht="15" customHeight="1" x14ac:dyDescent="0.3">
      <c r="A42" s="6" t="s">
        <v>220</v>
      </c>
      <c r="B42" s="7" t="s">
        <v>167</v>
      </c>
      <c r="C42" s="7" t="s">
        <v>210</v>
      </c>
      <c r="D42" s="7" t="s">
        <v>169</v>
      </c>
      <c r="E42" s="7" t="s">
        <v>196</v>
      </c>
      <c r="F42" s="8">
        <f>SUMPRODUCT((Results_Long!$A$2:$A$1348=$B42)*(Results_Long!$B$2:$B$1348=$C42)*(Results_Long!$C$2:$C$1348=$D42)*(Results_Long!$D$2:$D$1348=$E42)*ROW(Results_Long!$A$2:$A$1348))</f>
        <v>34</v>
      </c>
      <c r="G42" s="10">
        <f>IF(INDEX(Results_Long!$N:$N,$F42)="","NA",INDEX(Results_Long!$N:$N,$F42))</f>
        <v>11.9756277743199</v>
      </c>
      <c r="H42" s="6" t="str">
        <f>IF(INDEX(Results_Long!$AG:$AG,$F42)="","NA",INDEX(Results_Long!$AG:$AG,$F42))</f>
        <v>NA</v>
      </c>
    </row>
    <row r="43" spans="1:8" ht="15" customHeight="1" x14ac:dyDescent="0.3">
      <c r="A43" s="6" t="s">
        <v>221</v>
      </c>
      <c r="B43" s="7" t="s">
        <v>167</v>
      </c>
      <c r="C43" s="7" t="s">
        <v>222</v>
      </c>
      <c r="D43" s="7" t="s">
        <v>169</v>
      </c>
      <c r="E43" s="7" t="s">
        <v>176</v>
      </c>
      <c r="F43" s="8">
        <f>SUMPRODUCT((Results_Long!$A$2:$A$1348=$B43)*(Results_Long!$B$2:$B$1348=$C43)*(Results_Long!$C$2:$C$1348=$D43)*(Results_Long!$D$2:$D$1348=$E43)*ROW(Results_Long!$A$2:$A$1348))</f>
        <v>35</v>
      </c>
      <c r="G43" s="10">
        <f>IF(INDEX(Results_Long!$N:$N,$F43)="","NA",INDEX(Results_Long!$N:$N,$F43))</f>
        <v>12.7488548751876</v>
      </c>
      <c r="H43" s="6">
        <f>IF(INDEX(Results_Long!$AG:$AG,$F43)="","NA",INDEX(Results_Long!$AG:$AG,$F43))</f>
        <v>3.9E-2</v>
      </c>
    </row>
    <row r="44" spans="1:8" ht="15" customHeight="1" x14ac:dyDescent="0.3">
      <c r="A44" s="6" t="s">
        <v>223</v>
      </c>
      <c r="B44" s="7" t="s">
        <v>167</v>
      </c>
      <c r="C44" s="7" t="s">
        <v>222</v>
      </c>
      <c r="D44" s="7" t="s">
        <v>169</v>
      </c>
      <c r="E44" s="7" t="s">
        <v>178</v>
      </c>
      <c r="F44" s="8">
        <f>SUMPRODUCT((Results_Long!$A$2:$A$1348=$B44)*(Results_Long!$B$2:$B$1348=$C44)*(Results_Long!$C$2:$C$1348=$D44)*(Results_Long!$D$2:$D$1348=$E44)*ROW(Results_Long!$A$2:$A$1348))</f>
        <v>36</v>
      </c>
      <c r="G44" s="10">
        <f>IF(INDEX(Results_Long!$N:$N,$F44)="","NA",INDEX(Results_Long!$N:$N,$F44))</f>
        <v>12.7488548751876</v>
      </c>
      <c r="H44" s="6">
        <f>IF(INDEX(Results_Long!$AG:$AG,$F44)="","NA",INDEX(Results_Long!$AG:$AG,$F44))</f>
        <v>0.82440000000000002</v>
      </c>
    </row>
    <row r="45" spans="1:8" ht="15" customHeight="1" x14ac:dyDescent="0.3">
      <c r="A45" s="6" t="s">
        <v>224</v>
      </c>
      <c r="B45" s="7" t="s">
        <v>167</v>
      </c>
      <c r="C45" s="7" t="s">
        <v>222</v>
      </c>
      <c r="D45" s="7" t="s">
        <v>169</v>
      </c>
      <c r="E45" s="7" t="s">
        <v>180</v>
      </c>
      <c r="F45" s="8">
        <f>SUMPRODUCT((Results_Long!$A$2:$A$1348=$B45)*(Results_Long!$B$2:$B$1348=$C45)*(Results_Long!$C$2:$C$1348=$D45)*(Results_Long!$D$2:$D$1348=$E45)*ROW(Results_Long!$A$2:$A$1348))</f>
        <v>37</v>
      </c>
      <c r="G45" s="10">
        <f>IF(INDEX(Results_Long!$N:$N,$F45)="","NA",INDEX(Results_Long!$N:$N,$F45))</f>
        <v>12.7488548751876</v>
      </c>
      <c r="H45" s="6">
        <f>IF(INDEX(Results_Long!$AG:$AG,$F45)="","NA",INDEX(Results_Long!$AG:$AG,$F45))</f>
        <v>1</v>
      </c>
    </row>
    <row r="46" spans="1:8" ht="15" customHeight="1" x14ac:dyDescent="0.3">
      <c r="A46" s="6" t="s">
        <v>225</v>
      </c>
      <c r="B46" s="7" t="s">
        <v>167</v>
      </c>
      <c r="C46" s="7" t="s">
        <v>222</v>
      </c>
      <c r="D46" s="7" t="s">
        <v>169</v>
      </c>
      <c r="E46" s="7" t="s">
        <v>182</v>
      </c>
      <c r="F46" s="8">
        <f>SUMPRODUCT((Results_Long!$A$2:$A$1348=$B46)*(Results_Long!$B$2:$B$1348=$C46)*(Results_Long!$C$2:$C$1348=$D46)*(Results_Long!$D$2:$D$1348=$E46)*ROW(Results_Long!$A$2:$A$1348))</f>
        <v>38</v>
      </c>
      <c r="G46" s="10">
        <f>IF(INDEX(Results_Long!$N:$N,$F46)="","NA",INDEX(Results_Long!$N:$N,$F46))</f>
        <v>12.7488548751876</v>
      </c>
      <c r="H46" s="6">
        <f>IF(INDEX(Results_Long!$AG:$AG,$F46)="","NA",INDEX(Results_Long!$AG:$AG,$F46))</f>
        <v>1</v>
      </c>
    </row>
    <row r="47" spans="1:8" ht="15" customHeight="1" x14ac:dyDescent="0.3">
      <c r="A47" s="6" t="s">
        <v>226</v>
      </c>
      <c r="B47" s="7" t="s">
        <v>167</v>
      </c>
      <c r="C47" s="7" t="s">
        <v>222</v>
      </c>
      <c r="D47" s="7" t="s">
        <v>169</v>
      </c>
      <c r="E47" s="7" t="s">
        <v>184</v>
      </c>
      <c r="F47" s="8">
        <f>SUMPRODUCT((Results_Long!$A$2:$A$1348=$B47)*(Results_Long!$B$2:$B$1348=$C47)*(Results_Long!$C$2:$C$1348=$D47)*(Results_Long!$D$2:$D$1348=$E47)*ROW(Results_Long!$A$2:$A$1348))</f>
        <v>39</v>
      </c>
      <c r="G47" s="10">
        <f>IF(INDEX(Results_Long!$N:$N,$F47)="","NA",INDEX(Results_Long!$N:$N,$F47))</f>
        <v>12.7488548751876</v>
      </c>
      <c r="H47" s="6">
        <f>IF(INDEX(Results_Long!$AG:$AG,$F47)="","NA",INDEX(Results_Long!$AG:$AG,$F47))</f>
        <v>1</v>
      </c>
    </row>
    <row r="48" spans="1:8" ht="15" customHeight="1" x14ac:dyDescent="0.3">
      <c r="A48" s="6" t="s">
        <v>227</v>
      </c>
      <c r="B48" s="7" t="s">
        <v>167</v>
      </c>
      <c r="C48" s="7" t="s">
        <v>222</v>
      </c>
      <c r="D48" s="7" t="s">
        <v>169</v>
      </c>
      <c r="E48" s="7" t="s">
        <v>186</v>
      </c>
      <c r="F48" s="8">
        <f>SUMPRODUCT((Results_Long!$A$2:$A$1348=$B48)*(Results_Long!$B$2:$B$1348=$C48)*(Results_Long!$C$2:$C$1348=$D48)*(Results_Long!$D$2:$D$1348=$E48)*ROW(Results_Long!$A$2:$A$1348))</f>
        <v>40</v>
      </c>
      <c r="G48" s="10">
        <f>IF(INDEX(Results_Long!$N:$N,$F48)="","NA",INDEX(Results_Long!$N:$N,$F48))</f>
        <v>12.7488548751876</v>
      </c>
      <c r="H48" s="6">
        <f>IF(INDEX(Results_Long!$AG:$AG,$F48)="","NA",INDEX(Results_Long!$AG:$AG,$F48))</f>
        <v>1</v>
      </c>
    </row>
    <row r="49" spans="1:8" ht="15" customHeight="1" x14ac:dyDescent="0.3">
      <c r="A49" s="6" t="s">
        <v>228</v>
      </c>
      <c r="B49" s="7" t="s">
        <v>167</v>
      </c>
      <c r="C49" s="7" t="s">
        <v>222</v>
      </c>
      <c r="D49" s="7" t="s">
        <v>169</v>
      </c>
      <c r="E49" s="7" t="s">
        <v>188</v>
      </c>
      <c r="F49" s="8">
        <f>SUMPRODUCT((Results_Long!$A$2:$A$1348=$B49)*(Results_Long!$B$2:$B$1348=$C49)*(Results_Long!$C$2:$C$1348=$D49)*(Results_Long!$D$2:$D$1348=$E49)*ROW(Results_Long!$A$2:$A$1348))</f>
        <v>41</v>
      </c>
      <c r="G49" s="10">
        <f>IF(INDEX(Results_Long!$N:$N,$F49)="","NA",INDEX(Results_Long!$N:$N,$F49))</f>
        <v>12.7488548751876</v>
      </c>
      <c r="H49" s="6">
        <f>IF(INDEX(Results_Long!$AG:$AG,$F49)="","NA",INDEX(Results_Long!$AG:$AG,$F49))</f>
        <v>1</v>
      </c>
    </row>
    <row r="50" spans="1:8" ht="15" customHeight="1" x14ac:dyDescent="0.3">
      <c r="A50" s="6" t="s">
        <v>229</v>
      </c>
      <c r="B50" s="7" t="s">
        <v>167</v>
      </c>
      <c r="C50" s="7" t="s">
        <v>222</v>
      </c>
      <c r="D50" s="7" t="s">
        <v>169</v>
      </c>
      <c r="E50" s="7" t="s">
        <v>190</v>
      </c>
      <c r="F50" s="8">
        <f>SUMPRODUCT((Results_Long!$A$2:$A$1348=$B50)*(Results_Long!$B$2:$B$1348=$C50)*(Results_Long!$C$2:$C$1348=$D50)*(Results_Long!$D$2:$D$1348=$E50)*ROW(Results_Long!$A$2:$A$1348))</f>
        <v>42</v>
      </c>
      <c r="G50" s="10">
        <f>IF(INDEX(Results_Long!$N:$N,$F50)="","NA",INDEX(Results_Long!$N:$N,$F50))</f>
        <v>12.7488548751876</v>
      </c>
      <c r="H50" s="6">
        <f>IF(INDEX(Results_Long!$AG:$AG,$F50)="","NA",INDEX(Results_Long!$AG:$AG,$F50))</f>
        <v>1</v>
      </c>
    </row>
    <row r="51" spans="1:8" ht="15" customHeight="1" x14ac:dyDescent="0.3">
      <c r="A51" s="6" t="s">
        <v>230</v>
      </c>
      <c r="B51" s="7" t="s">
        <v>167</v>
      </c>
      <c r="C51" s="7" t="s">
        <v>222</v>
      </c>
      <c r="D51" s="7" t="s">
        <v>169</v>
      </c>
      <c r="E51" s="7" t="s">
        <v>192</v>
      </c>
      <c r="F51" s="8">
        <f>SUMPRODUCT((Results_Long!$A$2:$A$1348=$B51)*(Results_Long!$B$2:$B$1348=$C51)*(Results_Long!$C$2:$C$1348=$D51)*(Results_Long!$D$2:$D$1348=$E51)*ROW(Results_Long!$A$2:$A$1348))</f>
        <v>43</v>
      </c>
      <c r="G51" s="10">
        <f>IF(INDEX(Results_Long!$N:$N,$F51)="","NA",INDEX(Results_Long!$N:$N,$F51))</f>
        <v>12.7488548751876</v>
      </c>
      <c r="H51" s="6">
        <f>IF(INDEX(Results_Long!$AG:$AG,$F51)="","NA",INDEX(Results_Long!$AG:$AG,$F51))</f>
        <v>1</v>
      </c>
    </row>
    <row r="52" spans="1:8" ht="15" customHeight="1" x14ac:dyDescent="0.3">
      <c r="A52" s="6" t="s">
        <v>231</v>
      </c>
      <c r="B52" s="7" t="s">
        <v>167</v>
      </c>
      <c r="C52" s="7" t="s">
        <v>222</v>
      </c>
      <c r="D52" s="7" t="s">
        <v>169</v>
      </c>
      <c r="E52" s="7" t="s">
        <v>194</v>
      </c>
      <c r="F52" s="8">
        <f>SUMPRODUCT((Results_Long!$A$2:$A$1348=$B52)*(Results_Long!$B$2:$B$1348=$C52)*(Results_Long!$C$2:$C$1348=$D52)*(Results_Long!$D$2:$D$1348=$E52)*ROW(Results_Long!$A$2:$A$1348))</f>
        <v>44</v>
      </c>
      <c r="G52" s="10">
        <f>IF(INDEX(Results_Long!$N:$N,$F52)="","NA",INDEX(Results_Long!$N:$N,$F52))</f>
        <v>12.7488548751876</v>
      </c>
      <c r="H52" s="6">
        <f>IF(INDEX(Results_Long!$AG:$AG,$F52)="","NA",INDEX(Results_Long!$AG:$AG,$F52))</f>
        <v>9.6893302775655707E-3</v>
      </c>
    </row>
    <row r="53" spans="1:8" ht="15" customHeight="1" x14ac:dyDescent="0.3">
      <c r="A53" s="6" t="s">
        <v>232</v>
      </c>
      <c r="B53" s="7" t="s">
        <v>167</v>
      </c>
      <c r="C53" s="7" t="s">
        <v>222</v>
      </c>
      <c r="D53" s="7" t="s">
        <v>169</v>
      </c>
      <c r="E53" s="7" t="s">
        <v>196</v>
      </c>
      <c r="F53" s="8">
        <f>SUMPRODUCT((Results_Long!$A$2:$A$1348=$B53)*(Results_Long!$B$2:$B$1348=$C53)*(Results_Long!$C$2:$C$1348=$D53)*(Results_Long!$D$2:$D$1348=$E53)*ROW(Results_Long!$A$2:$A$1348))</f>
        <v>45</v>
      </c>
      <c r="G53" s="10">
        <f>IF(INDEX(Results_Long!$N:$N,$F53)="","NA",INDEX(Results_Long!$N:$N,$F53))</f>
        <v>12.7488548751876</v>
      </c>
      <c r="H53" s="6">
        <f>IF(INDEX(Results_Long!$AG:$AG,$F53)="","NA",INDEX(Results_Long!$AG:$AG,$F53))</f>
        <v>1.4305239179954399E-2</v>
      </c>
    </row>
    <row r="54" spans="1:8" ht="15" customHeight="1" x14ac:dyDescent="0.3">
      <c r="A54" s="6" t="s">
        <v>233</v>
      </c>
      <c r="B54" s="7" t="s">
        <v>167</v>
      </c>
      <c r="C54" s="7" t="s">
        <v>234</v>
      </c>
      <c r="D54" s="7" t="s">
        <v>169</v>
      </c>
      <c r="E54" s="7" t="s">
        <v>176</v>
      </c>
      <c r="F54" s="8">
        <f>SUMPRODUCT((Results_Long!$A$2:$A$1348=$B54)*(Results_Long!$B$2:$B$1348=$C54)*(Results_Long!$C$2:$C$1348=$D54)*(Results_Long!$D$2:$D$1348=$E54)*ROW(Results_Long!$A$2:$A$1348))</f>
        <v>46</v>
      </c>
      <c r="G54" s="10">
        <f>IF(INDEX(Results_Long!$N:$N,$F54)="","NA",INDEX(Results_Long!$N:$N,$F54))</f>
        <v>11.076163688948</v>
      </c>
      <c r="H54" s="6">
        <f>IF(INDEX(Results_Long!$AG:$AG,$F54)="","NA",INDEX(Results_Long!$AG:$AG,$F54))</f>
        <v>3.32E-2</v>
      </c>
    </row>
    <row r="55" spans="1:8" ht="15" customHeight="1" x14ac:dyDescent="0.3">
      <c r="A55" s="6" t="s">
        <v>235</v>
      </c>
      <c r="B55" s="7" t="s">
        <v>167</v>
      </c>
      <c r="C55" s="7" t="s">
        <v>234</v>
      </c>
      <c r="D55" s="7" t="s">
        <v>169</v>
      </c>
      <c r="E55" s="7" t="s">
        <v>178</v>
      </c>
      <c r="F55" s="8">
        <f>SUMPRODUCT((Results_Long!$A$2:$A$1348=$B55)*(Results_Long!$B$2:$B$1348=$C55)*(Results_Long!$C$2:$C$1348=$D55)*(Results_Long!$D$2:$D$1348=$E55)*ROW(Results_Long!$A$2:$A$1348))</f>
        <v>47</v>
      </c>
      <c r="G55" s="10">
        <f>IF(INDEX(Results_Long!$N:$N,$F55)="","NA",INDEX(Results_Long!$N:$N,$F55))</f>
        <v>11.076163688948</v>
      </c>
      <c r="H55" s="6">
        <f>IF(INDEX(Results_Long!$AG:$AG,$F55)="","NA",INDEX(Results_Long!$AG:$AG,$F55))</f>
        <v>0.58160000000000001</v>
      </c>
    </row>
    <row r="56" spans="1:8" ht="15" customHeight="1" x14ac:dyDescent="0.3">
      <c r="A56" s="6" t="s">
        <v>236</v>
      </c>
      <c r="B56" s="7" t="s">
        <v>167</v>
      </c>
      <c r="C56" s="7" t="s">
        <v>234</v>
      </c>
      <c r="D56" s="7" t="s">
        <v>169</v>
      </c>
      <c r="E56" s="7" t="s">
        <v>180</v>
      </c>
      <c r="F56" s="8">
        <f>SUMPRODUCT((Results_Long!$A$2:$A$1348=$B56)*(Results_Long!$B$2:$B$1348=$C56)*(Results_Long!$C$2:$C$1348=$D56)*(Results_Long!$D$2:$D$1348=$E56)*ROW(Results_Long!$A$2:$A$1348))</f>
        <v>48</v>
      </c>
      <c r="G56" s="10">
        <f>IF(INDEX(Results_Long!$N:$N,$F56)="","NA",INDEX(Results_Long!$N:$N,$F56))</f>
        <v>11.076163688948</v>
      </c>
      <c r="H56" s="6">
        <f>IF(INDEX(Results_Long!$AG:$AG,$F56)="","NA",INDEX(Results_Long!$AG:$AG,$F56))</f>
        <v>0.99060000000000004</v>
      </c>
    </row>
    <row r="57" spans="1:8" ht="15" customHeight="1" x14ac:dyDescent="0.3">
      <c r="A57" s="6" t="s">
        <v>237</v>
      </c>
      <c r="B57" s="7" t="s">
        <v>167</v>
      </c>
      <c r="C57" s="7" t="s">
        <v>234</v>
      </c>
      <c r="D57" s="7" t="s">
        <v>169</v>
      </c>
      <c r="E57" s="7" t="s">
        <v>182</v>
      </c>
      <c r="F57" s="8">
        <f>SUMPRODUCT((Results_Long!$A$2:$A$1348=$B57)*(Results_Long!$B$2:$B$1348=$C57)*(Results_Long!$C$2:$C$1348=$D57)*(Results_Long!$D$2:$D$1348=$E57)*ROW(Results_Long!$A$2:$A$1348))</f>
        <v>49</v>
      </c>
      <c r="G57" s="10">
        <f>IF(INDEX(Results_Long!$N:$N,$F57)="","NA",INDEX(Results_Long!$N:$N,$F57))</f>
        <v>11.076163688948</v>
      </c>
      <c r="H57" s="6">
        <f>IF(INDEX(Results_Long!$AG:$AG,$F57)="","NA",INDEX(Results_Long!$AG:$AG,$F57))</f>
        <v>1</v>
      </c>
    </row>
    <row r="58" spans="1:8" ht="15" customHeight="1" x14ac:dyDescent="0.3">
      <c r="A58" s="6" t="s">
        <v>238</v>
      </c>
      <c r="B58" s="7" t="s">
        <v>167</v>
      </c>
      <c r="C58" s="7" t="s">
        <v>234</v>
      </c>
      <c r="D58" s="7" t="s">
        <v>169</v>
      </c>
      <c r="E58" s="7" t="s">
        <v>184</v>
      </c>
      <c r="F58" s="8">
        <f>SUMPRODUCT((Results_Long!$A$2:$A$1348=$B58)*(Results_Long!$B$2:$B$1348=$C58)*(Results_Long!$C$2:$C$1348=$D58)*(Results_Long!$D$2:$D$1348=$E58)*ROW(Results_Long!$A$2:$A$1348))</f>
        <v>50</v>
      </c>
      <c r="G58" s="10">
        <f>IF(INDEX(Results_Long!$N:$N,$F58)="","NA",INDEX(Results_Long!$N:$N,$F58))</f>
        <v>11.076163688948</v>
      </c>
      <c r="H58" s="6">
        <f>IF(INDEX(Results_Long!$AG:$AG,$F58)="","NA",INDEX(Results_Long!$AG:$AG,$F58))</f>
        <v>1</v>
      </c>
    </row>
    <row r="59" spans="1:8" ht="15" customHeight="1" x14ac:dyDescent="0.3">
      <c r="A59" s="6" t="s">
        <v>239</v>
      </c>
      <c r="B59" s="7" t="s">
        <v>167</v>
      </c>
      <c r="C59" s="7" t="s">
        <v>234</v>
      </c>
      <c r="D59" s="7" t="s">
        <v>169</v>
      </c>
      <c r="E59" s="7" t="s">
        <v>186</v>
      </c>
      <c r="F59" s="8">
        <f>SUMPRODUCT((Results_Long!$A$2:$A$1348=$B59)*(Results_Long!$B$2:$B$1348=$C59)*(Results_Long!$C$2:$C$1348=$D59)*(Results_Long!$D$2:$D$1348=$E59)*ROW(Results_Long!$A$2:$A$1348))</f>
        <v>51</v>
      </c>
      <c r="G59" s="10">
        <f>IF(INDEX(Results_Long!$N:$N,$F59)="","NA",INDEX(Results_Long!$N:$N,$F59))</f>
        <v>11.076163688948</v>
      </c>
      <c r="H59" s="6">
        <f>IF(INDEX(Results_Long!$AG:$AG,$F59)="","NA",INDEX(Results_Long!$AG:$AG,$F59))</f>
        <v>1</v>
      </c>
    </row>
    <row r="60" spans="1:8" ht="15" customHeight="1" x14ac:dyDescent="0.3">
      <c r="A60" s="6" t="s">
        <v>240</v>
      </c>
      <c r="B60" s="7" t="s">
        <v>167</v>
      </c>
      <c r="C60" s="7" t="s">
        <v>234</v>
      </c>
      <c r="D60" s="7" t="s">
        <v>169</v>
      </c>
      <c r="E60" s="7" t="s">
        <v>188</v>
      </c>
      <c r="F60" s="8">
        <f>SUMPRODUCT((Results_Long!$A$2:$A$1348=$B60)*(Results_Long!$B$2:$B$1348=$C60)*(Results_Long!$C$2:$C$1348=$D60)*(Results_Long!$D$2:$D$1348=$E60)*ROW(Results_Long!$A$2:$A$1348))</f>
        <v>52</v>
      </c>
      <c r="G60" s="10">
        <f>IF(INDEX(Results_Long!$N:$N,$F60)="","NA",INDEX(Results_Long!$N:$N,$F60))</f>
        <v>11.076163688948</v>
      </c>
      <c r="H60" s="6">
        <f>IF(INDEX(Results_Long!$AG:$AG,$F60)="","NA",INDEX(Results_Long!$AG:$AG,$F60))</f>
        <v>1</v>
      </c>
    </row>
    <row r="61" spans="1:8" ht="15" customHeight="1" x14ac:dyDescent="0.3">
      <c r="A61" s="6" t="s">
        <v>241</v>
      </c>
      <c r="B61" s="7" t="s">
        <v>167</v>
      </c>
      <c r="C61" s="7" t="s">
        <v>234</v>
      </c>
      <c r="D61" s="7" t="s">
        <v>169</v>
      </c>
      <c r="E61" s="7" t="s">
        <v>190</v>
      </c>
      <c r="F61" s="8">
        <f>SUMPRODUCT((Results_Long!$A$2:$A$1348=$B61)*(Results_Long!$B$2:$B$1348=$C61)*(Results_Long!$C$2:$C$1348=$D61)*(Results_Long!$D$2:$D$1348=$E61)*ROW(Results_Long!$A$2:$A$1348))</f>
        <v>53</v>
      </c>
      <c r="G61" s="10">
        <f>IF(INDEX(Results_Long!$N:$N,$F61)="","NA",INDEX(Results_Long!$N:$N,$F61))</f>
        <v>11.076163688948</v>
      </c>
      <c r="H61" s="6">
        <f>IF(INDEX(Results_Long!$AG:$AG,$F61)="","NA",INDEX(Results_Long!$AG:$AG,$F61))</f>
        <v>1</v>
      </c>
    </row>
    <row r="62" spans="1:8" ht="15" customHeight="1" x14ac:dyDescent="0.3">
      <c r="A62" s="6" t="s">
        <v>242</v>
      </c>
      <c r="B62" s="7" t="s">
        <v>167</v>
      </c>
      <c r="C62" s="7" t="s">
        <v>234</v>
      </c>
      <c r="D62" s="7" t="s">
        <v>169</v>
      </c>
      <c r="E62" s="7" t="s">
        <v>192</v>
      </c>
      <c r="F62" s="8">
        <f>SUMPRODUCT((Results_Long!$A$2:$A$1348=$B62)*(Results_Long!$B$2:$B$1348=$C62)*(Results_Long!$C$2:$C$1348=$D62)*(Results_Long!$D$2:$D$1348=$E62)*ROW(Results_Long!$A$2:$A$1348))</f>
        <v>54</v>
      </c>
      <c r="G62" s="10">
        <f>IF(INDEX(Results_Long!$N:$N,$F62)="","NA",INDEX(Results_Long!$N:$N,$F62))</f>
        <v>11.076163688948</v>
      </c>
      <c r="H62" s="6">
        <f>IF(INDEX(Results_Long!$AG:$AG,$F62)="","NA",INDEX(Results_Long!$AG:$AG,$F62))</f>
        <v>1</v>
      </c>
    </row>
    <row r="63" spans="1:8" ht="15" customHeight="1" x14ac:dyDescent="0.3">
      <c r="A63" s="6" t="s">
        <v>243</v>
      </c>
      <c r="B63" s="7" t="s">
        <v>167</v>
      </c>
      <c r="C63" s="7" t="s">
        <v>234</v>
      </c>
      <c r="D63" s="7" t="s">
        <v>169</v>
      </c>
      <c r="E63" s="7" t="s">
        <v>194</v>
      </c>
      <c r="F63" s="8">
        <f>SUMPRODUCT((Results_Long!$A$2:$A$1348=$B63)*(Results_Long!$B$2:$B$1348=$C63)*(Results_Long!$C$2:$C$1348=$D63)*(Results_Long!$D$2:$D$1348=$E63)*ROW(Results_Long!$A$2:$A$1348))</f>
        <v>55</v>
      </c>
      <c r="G63" s="10">
        <f>IF(INDEX(Results_Long!$N:$N,$F63)="","NA",INDEX(Results_Long!$N:$N,$F63))</f>
        <v>11.076163688948</v>
      </c>
      <c r="H63" s="6">
        <f>IF(INDEX(Results_Long!$AG:$AG,$F63)="","NA",INDEX(Results_Long!$AG:$AG,$F63))</f>
        <v>1.5339853300733499E-2</v>
      </c>
    </row>
    <row r="64" spans="1:8" ht="15" customHeight="1" x14ac:dyDescent="0.3">
      <c r="A64" s="6" t="s">
        <v>244</v>
      </c>
      <c r="B64" s="7" t="s">
        <v>167</v>
      </c>
      <c r="C64" s="7" t="s">
        <v>234</v>
      </c>
      <c r="D64" s="7" t="s">
        <v>169</v>
      </c>
      <c r="E64" s="7" t="s">
        <v>196</v>
      </c>
      <c r="F64" s="8">
        <f>SUMPRODUCT((Results_Long!$A$2:$A$1348=$B64)*(Results_Long!$B$2:$B$1348=$C64)*(Results_Long!$C$2:$C$1348=$D64)*(Results_Long!$D$2:$D$1348=$E64)*ROW(Results_Long!$A$2:$A$1348))</f>
        <v>56</v>
      </c>
      <c r="G64" s="10">
        <f>IF(INDEX(Results_Long!$N:$N,$F64)="","NA",INDEX(Results_Long!$N:$N,$F64))</f>
        <v>11.076163688948</v>
      </c>
      <c r="H64" s="6">
        <f>IF(INDEX(Results_Long!$AG:$AG,$F64)="","NA",INDEX(Results_Long!$AG:$AG,$F64))</f>
        <v>1.7784841075794599E-2</v>
      </c>
    </row>
    <row r="65" spans="1:10" ht="15" customHeight="1" x14ac:dyDescent="0.3">
      <c r="A65" s="6" t="s">
        <v>245</v>
      </c>
      <c r="B65" s="7" t="s">
        <v>167</v>
      </c>
      <c r="C65" s="7" t="s">
        <v>246</v>
      </c>
      <c r="D65" s="7" t="s">
        <v>169</v>
      </c>
      <c r="E65" s="7" t="s">
        <v>176</v>
      </c>
      <c r="F65" s="8">
        <f>SUMPRODUCT((Results_Long!$A$2:$A$1348=$B65)*(Results_Long!$B$2:$B$1348=$C65)*(Results_Long!$C$2:$C$1348=$D65)*(Results_Long!$D$2:$D$1348=$E65)*ROW(Results_Long!$A$2:$A$1348))</f>
        <v>57</v>
      </c>
      <c r="G65" s="10">
        <f>IF(INDEX(Results_Long!$N:$N,$F65)="","NA",INDEX(Results_Long!$N:$N,$F65))</f>
        <v>10.458401840123599</v>
      </c>
      <c r="H65" s="6">
        <f>IF(INDEX(Results_Long!$AG:$AG,$F65)="","NA",INDEX(Results_Long!$AG:$AG,$F65))</f>
        <v>3.4200000000000001E-2</v>
      </c>
    </row>
    <row r="66" spans="1:10" ht="15" customHeight="1" x14ac:dyDescent="0.3">
      <c r="A66" s="6" t="s">
        <v>247</v>
      </c>
      <c r="B66" s="7" t="s">
        <v>167</v>
      </c>
      <c r="C66" s="7" t="s">
        <v>246</v>
      </c>
      <c r="D66" s="7" t="s">
        <v>169</v>
      </c>
      <c r="E66" s="7" t="s">
        <v>178</v>
      </c>
      <c r="F66" s="8">
        <f>SUMPRODUCT((Results_Long!$A$2:$A$1348=$B66)*(Results_Long!$B$2:$B$1348=$C66)*(Results_Long!$C$2:$C$1348=$D66)*(Results_Long!$D$2:$D$1348=$E66)*ROW(Results_Long!$A$2:$A$1348))</f>
        <v>58</v>
      </c>
      <c r="G66" s="10">
        <f>IF(INDEX(Results_Long!$N:$N,$F66)="","NA",INDEX(Results_Long!$N:$N,$F66))</f>
        <v>10.458401840123599</v>
      </c>
      <c r="H66" s="6">
        <f>IF(INDEX(Results_Long!$AG:$AG,$F66)="","NA",INDEX(Results_Long!$AG:$AG,$F66))</f>
        <v>0.3634</v>
      </c>
    </row>
    <row r="67" spans="1:10" ht="15" customHeight="1" x14ac:dyDescent="0.3">
      <c r="A67" s="6" t="s">
        <v>248</v>
      </c>
      <c r="B67" s="7" t="s">
        <v>167</v>
      </c>
      <c r="C67" s="7" t="s">
        <v>246</v>
      </c>
      <c r="D67" s="7" t="s">
        <v>169</v>
      </c>
      <c r="E67" s="7" t="s">
        <v>180</v>
      </c>
      <c r="F67" s="8">
        <f>SUMPRODUCT((Results_Long!$A$2:$A$1348=$B67)*(Results_Long!$B$2:$B$1348=$C67)*(Results_Long!$C$2:$C$1348=$D67)*(Results_Long!$D$2:$D$1348=$E67)*ROW(Results_Long!$A$2:$A$1348))</f>
        <v>59</v>
      </c>
      <c r="G67" s="10">
        <f>IF(INDEX(Results_Long!$N:$N,$F67)="","NA",INDEX(Results_Long!$N:$N,$F67))</f>
        <v>10.458401840123599</v>
      </c>
      <c r="H67" s="6">
        <f>IF(INDEX(Results_Long!$AG:$AG,$F67)="","NA",INDEX(Results_Long!$AG:$AG,$F67))</f>
        <v>0.91359999999999997</v>
      </c>
    </row>
    <row r="68" spans="1:10" ht="15" customHeight="1" x14ac:dyDescent="0.3">
      <c r="A68" s="6" t="s">
        <v>249</v>
      </c>
      <c r="B68" s="7" t="s">
        <v>167</v>
      </c>
      <c r="C68" s="7" t="s">
        <v>246</v>
      </c>
      <c r="D68" s="7" t="s">
        <v>169</v>
      </c>
      <c r="E68" s="7" t="s">
        <v>182</v>
      </c>
      <c r="F68" s="8">
        <f>SUMPRODUCT((Results_Long!$A$2:$A$1348=$B68)*(Results_Long!$B$2:$B$1348=$C68)*(Results_Long!$C$2:$C$1348=$D68)*(Results_Long!$D$2:$D$1348=$E68)*ROW(Results_Long!$A$2:$A$1348))</f>
        <v>60</v>
      </c>
      <c r="G68" s="10">
        <f>IF(INDEX(Results_Long!$N:$N,$F68)="","NA",INDEX(Results_Long!$N:$N,$F68))</f>
        <v>10.458401840123599</v>
      </c>
      <c r="H68" s="6">
        <f>IF(INDEX(Results_Long!$AG:$AG,$F68)="","NA",INDEX(Results_Long!$AG:$AG,$F68))</f>
        <v>0.99839999999999995</v>
      </c>
    </row>
    <row r="69" spans="1:10" ht="15" customHeight="1" x14ac:dyDescent="0.3">
      <c r="A69" s="6" t="s">
        <v>250</v>
      </c>
      <c r="B69" s="7" t="s">
        <v>167</v>
      </c>
      <c r="C69" s="7" t="s">
        <v>246</v>
      </c>
      <c r="D69" s="7" t="s">
        <v>169</v>
      </c>
      <c r="E69" s="7" t="s">
        <v>184</v>
      </c>
      <c r="F69" s="8">
        <f>SUMPRODUCT((Results_Long!$A$2:$A$1348=$B69)*(Results_Long!$B$2:$B$1348=$C69)*(Results_Long!$C$2:$C$1348=$D69)*(Results_Long!$D$2:$D$1348=$E69)*ROW(Results_Long!$A$2:$A$1348))</f>
        <v>61</v>
      </c>
      <c r="G69" s="10">
        <f>IF(INDEX(Results_Long!$N:$N,$F69)="","NA",INDEX(Results_Long!$N:$N,$F69))</f>
        <v>10.458401840123599</v>
      </c>
      <c r="H69" s="6">
        <f>IF(INDEX(Results_Long!$AG:$AG,$F69)="","NA",INDEX(Results_Long!$AG:$AG,$F69))</f>
        <v>1</v>
      </c>
    </row>
    <row r="70" spans="1:10" ht="15" customHeight="1" x14ac:dyDescent="0.3">
      <c r="A70" s="6" t="s">
        <v>251</v>
      </c>
      <c r="B70" s="7" t="s">
        <v>167</v>
      </c>
      <c r="C70" s="7" t="s">
        <v>246</v>
      </c>
      <c r="D70" s="7" t="s">
        <v>169</v>
      </c>
      <c r="E70" s="7" t="s">
        <v>186</v>
      </c>
      <c r="F70" s="8">
        <f>SUMPRODUCT((Results_Long!$A$2:$A$1348=$B70)*(Results_Long!$B$2:$B$1348=$C70)*(Results_Long!$C$2:$C$1348=$D70)*(Results_Long!$D$2:$D$1348=$E70)*ROW(Results_Long!$A$2:$A$1348))</f>
        <v>62</v>
      </c>
      <c r="G70" s="10">
        <f>IF(INDEX(Results_Long!$N:$N,$F70)="","NA",INDEX(Results_Long!$N:$N,$F70))</f>
        <v>10.458401840123599</v>
      </c>
      <c r="H70" s="6">
        <f>IF(INDEX(Results_Long!$AG:$AG,$F70)="","NA",INDEX(Results_Long!$AG:$AG,$F70))</f>
        <v>1</v>
      </c>
    </row>
    <row r="71" spans="1:10" ht="15" customHeight="1" x14ac:dyDescent="0.3">
      <c r="A71" s="6" t="s">
        <v>252</v>
      </c>
      <c r="B71" s="7" t="s">
        <v>167</v>
      </c>
      <c r="C71" s="7" t="s">
        <v>246</v>
      </c>
      <c r="D71" s="7" t="s">
        <v>169</v>
      </c>
      <c r="E71" s="7" t="s">
        <v>188</v>
      </c>
      <c r="F71" s="8">
        <f>SUMPRODUCT((Results_Long!$A$2:$A$1348=$B71)*(Results_Long!$B$2:$B$1348=$C71)*(Results_Long!$C$2:$C$1348=$D71)*(Results_Long!$D$2:$D$1348=$E71)*ROW(Results_Long!$A$2:$A$1348))</f>
        <v>63</v>
      </c>
      <c r="G71" s="10">
        <f>IF(INDEX(Results_Long!$N:$N,$F71)="","NA",INDEX(Results_Long!$N:$N,$F71))</f>
        <v>10.458401840123599</v>
      </c>
      <c r="H71" s="6">
        <f>IF(INDEX(Results_Long!$AG:$AG,$F71)="","NA",INDEX(Results_Long!$AG:$AG,$F71))</f>
        <v>1</v>
      </c>
    </row>
    <row r="72" spans="1:10" ht="15" customHeight="1" x14ac:dyDescent="0.3">
      <c r="A72" s="6" t="s">
        <v>253</v>
      </c>
      <c r="B72" s="7" t="s">
        <v>167</v>
      </c>
      <c r="C72" s="7" t="s">
        <v>246</v>
      </c>
      <c r="D72" s="7" t="s">
        <v>169</v>
      </c>
      <c r="E72" s="7" t="s">
        <v>190</v>
      </c>
      <c r="F72" s="8">
        <f>SUMPRODUCT((Results_Long!$A$2:$A$1348=$B72)*(Results_Long!$B$2:$B$1348=$C72)*(Results_Long!$C$2:$C$1348=$D72)*(Results_Long!$D$2:$D$1348=$E72)*ROW(Results_Long!$A$2:$A$1348))</f>
        <v>64</v>
      </c>
      <c r="G72" s="10">
        <f>IF(INDEX(Results_Long!$N:$N,$F72)="","NA",INDEX(Results_Long!$N:$N,$F72))</f>
        <v>10.458401840123599</v>
      </c>
      <c r="H72" s="6">
        <f>IF(INDEX(Results_Long!$AG:$AG,$F72)="","NA",INDEX(Results_Long!$AG:$AG,$F72))</f>
        <v>1</v>
      </c>
    </row>
    <row r="73" spans="1:10" ht="15" customHeight="1" x14ac:dyDescent="0.3">
      <c r="A73" s="6" t="s">
        <v>254</v>
      </c>
      <c r="B73" s="7" t="s">
        <v>167</v>
      </c>
      <c r="C73" s="7" t="s">
        <v>246</v>
      </c>
      <c r="D73" s="7" t="s">
        <v>169</v>
      </c>
      <c r="E73" s="7" t="s">
        <v>192</v>
      </c>
      <c r="F73" s="8">
        <f>SUMPRODUCT((Results_Long!$A$2:$A$1348=$B73)*(Results_Long!$B$2:$B$1348=$C73)*(Results_Long!$C$2:$C$1348=$D73)*(Results_Long!$D$2:$D$1348=$E73)*ROW(Results_Long!$A$2:$A$1348))</f>
        <v>65</v>
      </c>
      <c r="G73" s="10">
        <f>IF(INDEX(Results_Long!$N:$N,$F73)="","NA",INDEX(Results_Long!$N:$N,$F73))</f>
        <v>10.458401840123599</v>
      </c>
      <c r="H73" s="6">
        <f>IF(INDEX(Results_Long!$AG:$AG,$F73)="","NA",INDEX(Results_Long!$AG:$AG,$F73))</f>
        <v>1</v>
      </c>
    </row>
    <row r="74" spans="1:10" ht="15" customHeight="1" x14ac:dyDescent="0.3">
      <c r="A74" s="6" t="s">
        <v>255</v>
      </c>
      <c r="B74" s="7" t="s">
        <v>167</v>
      </c>
      <c r="C74" s="7" t="s">
        <v>246</v>
      </c>
      <c r="D74" s="7" t="s">
        <v>169</v>
      </c>
      <c r="E74" s="7" t="s">
        <v>194</v>
      </c>
      <c r="F74" s="8">
        <f>SUMPRODUCT((Results_Long!$A$2:$A$1348=$B74)*(Results_Long!$B$2:$B$1348=$C74)*(Results_Long!$C$2:$C$1348=$D74)*(Results_Long!$D$2:$D$1348=$E74)*ROW(Results_Long!$A$2:$A$1348))</f>
        <v>66</v>
      </c>
      <c r="G74" s="10">
        <f>IF(INDEX(Results_Long!$N:$N,$F74)="","NA",INDEX(Results_Long!$N:$N,$F74))</f>
        <v>10.458401840123599</v>
      </c>
      <c r="H74" s="6">
        <f>IF(INDEX(Results_Long!$AG:$AG,$F74)="","NA",INDEX(Results_Long!$AG:$AG,$F74))</f>
        <v>1.79352962559069E-2</v>
      </c>
    </row>
    <row r="75" spans="1:10" ht="15" customHeight="1" x14ac:dyDescent="0.3">
      <c r="A75" s="6" t="s">
        <v>256</v>
      </c>
      <c r="B75" s="7" t="s">
        <v>167</v>
      </c>
      <c r="C75" s="7" t="s">
        <v>246</v>
      </c>
      <c r="D75" s="7" t="s">
        <v>169</v>
      </c>
      <c r="E75" s="7" t="s">
        <v>196</v>
      </c>
      <c r="F75" s="8">
        <f>SUMPRODUCT((Results_Long!$A$2:$A$1348=$B75)*(Results_Long!$B$2:$B$1348=$C75)*(Results_Long!$C$2:$C$1348=$D75)*(Results_Long!$D$2:$D$1348=$E75)*ROW(Results_Long!$A$2:$A$1348))</f>
        <v>67</v>
      </c>
      <c r="G75" s="10">
        <f>IF(INDEX(Results_Long!$N:$N,$F75)="","NA",INDEX(Results_Long!$N:$N,$F75))</f>
        <v>10.458401840123599</v>
      </c>
      <c r="H75" s="6">
        <f>IF(INDEX(Results_Long!$AG:$AG,$F75)="","NA",INDEX(Results_Long!$AG:$AG,$F75))</f>
        <v>1.9752817157397299E-2</v>
      </c>
    </row>
    <row r="77" spans="1:10" ht="15" customHeight="1" x14ac:dyDescent="0.3">
      <c r="A77" s="11" t="s">
        <v>257</v>
      </c>
    </row>
    <row r="78" spans="1:10" ht="15" customHeight="1" x14ac:dyDescent="0.3">
      <c r="A78" s="21" t="s">
        <v>258</v>
      </c>
      <c r="B78" s="22"/>
      <c r="C78" s="22"/>
      <c r="D78" s="22"/>
      <c r="E78" s="22"/>
      <c r="F78" s="22"/>
      <c r="G78" s="22"/>
      <c r="H78" s="22"/>
      <c r="I78" s="22"/>
      <c r="J78" s="22"/>
    </row>
    <row r="79" spans="1:10" ht="15" customHeight="1" x14ac:dyDescent="0.3">
      <c r="A79" s="21" t="s">
        <v>259</v>
      </c>
      <c r="B79" s="22"/>
      <c r="C79" s="22"/>
      <c r="D79" s="22"/>
      <c r="E79" s="22"/>
      <c r="F79" s="22"/>
      <c r="G79" s="22"/>
      <c r="H79" s="22"/>
      <c r="I79" s="22"/>
      <c r="J79" s="22"/>
    </row>
    <row r="80" spans="1:10" ht="15" customHeight="1" x14ac:dyDescent="0.3">
      <c r="A80" s="21" t="s">
        <v>260</v>
      </c>
      <c r="B80" s="22"/>
      <c r="C80" s="22"/>
      <c r="D80" s="22"/>
      <c r="E80" s="22"/>
      <c r="F80" s="22"/>
      <c r="G80" s="22"/>
      <c r="H80" s="22"/>
      <c r="I80" s="22"/>
      <c r="J80" s="22"/>
    </row>
    <row r="82" spans="1:12" ht="15" customHeight="1" x14ac:dyDescent="0.3">
      <c r="A82" s="3" t="s">
        <v>261</v>
      </c>
      <c r="B82" s="3" t="s">
        <v>262</v>
      </c>
    </row>
    <row r="83" spans="1:12" ht="15" customHeight="1" x14ac:dyDescent="0.3">
      <c r="A83" s="12" t="s">
        <v>263</v>
      </c>
      <c r="B83" s="21" t="s">
        <v>264</v>
      </c>
      <c r="C83" s="22"/>
      <c r="D83" s="22"/>
      <c r="E83" s="22"/>
      <c r="F83" s="22"/>
      <c r="G83" s="22"/>
      <c r="H83" s="22"/>
      <c r="I83" s="22"/>
      <c r="J83" s="22"/>
    </row>
    <row r="84" spans="1:12" ht="15" customHeight="1" x14ac:dyDescent="0.3">
      <c r="A84" s="12" t="s">
        <v>265</v>
      </c>
      <c r="B84" s="21" t="s">
        <v>266</v>
      </c>
      <c r="C84" s="22"/>
      <c r="D84" s="22"/>
      <c r="E84" s="22"/>
      <c r="F84" s="22"/>
      <c r="G84" s="22"/>
      <c r="H84" s="22"/>
      <c r="I84" s="22"/>
      <c r="J84" s="22"/>
    </row>
    <row r="85" spans="1:12" ht="15" customHeight="1" x14ac:dyDescent="0.3">
      <c r="A85" s="12" t="s">
        <v>267</v>
      </c>
      <c r="B85" s="21" t="s">
        <v>268</v>
      </c>
      <c r="C85" s="22"/>
      <c r="D85" s="22"/>
      <c r="E85" s="22"/>
      <c r="F85" s="22"/>
      <c r="G85" s="22"/>
      <c r="H85" s="22"/>
      <c r="I85" s="22"/>
      <c r="J85" s="22"/>
    </row>
    <row r="87" spans="1:12" ht="15" customHeight="1" x14ac:dyDescent="0.3">
      <c r="A87" s="23" t="s">
        <v>269</v>
      </c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</row>
  </sheetData>
  <mergeCells count="7">
    <mergeCell ref="A87:L87"/>
    <mergeCell ref="A80:J80"/>
    <mergeCell ref="A79:J79"/>
    <mergeCell ref="B85:J85"/>
    <mergeCell ref="B84:J84"/>
    <mergeCell ref="A78:J78"/>
    <mergeCell ref="B83:J8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4"/>
  <sheetViews>
    <sheetView zoomScaleNormal="100" workbookViewId="0"/>
  </sheetViews>
  <sheetFormatPr baseColWidth="10" defaultColWidth="8.6640625" defaultRowHeight="14.4" x14ac:dyDescent="0.3"/>
  <cols>
    <col min="1" max="1" width="55" customWidth="1"/>
    <col min="2" max="2" width="110" customWidth="1"/>
    <col min="3" max="3" width="18" customWidth="1"/>
    <col min="4" max="4" width="22" customWidth="1"/>
    <col min="5" max="5" width="18" customWidth="1"/>
    <col min="6" max="6" width="8" customWidth="1"/>
    <col min="7" max="9" width="9" customWidth="1"/>
    <col min="10" max="10" width="60" customWidth="1"/>
  </cols>
  <sheetData>
    <row r="1" spans="1:10" ht="15" customHeight="1" x14ac:dyDescent="0.3">
      <c r="A1" s="1" t="s">
        <v>270</v>
      </c>
    </row>
    <row r="2" spans="1:10" ht="15" customHeight="1" x14ac:dyDescent="0.3">
      <c r="A2" s="2" t="s">
        <v>271</v>
      </c>
    </row>
    <row r="3" spans="1:10" ht="15" customHeight="1" x14ac:dyDescent="0.3">
      <c r="A3" s="2" t="s">
        <v>2</v>
      </c>
    </row>
    <row r="5" spans="1:10" ht="15" customHeight="1" x14ac:dyDescent="0.3">
      <c r="A5" s="3" t="s">
        <v>156</v>
      </c>
      <c r="B5" s="3" t="s">
        <v>157</v>
      </c>
      <c r="C5" s="3" t="s">
        <v>158</v>
      </c>
      <c r="D5" s="3" t="s">
        <v>159</v>
      </c>
      <c r="E5" s="3" t="s">
        <v>160</v>
      </c>
      <c r="F5" s="3" t="s">
        <v>161</v>
      </c>
      <c r="G5" s="3" t="s">
        <v>162</v>
      </c>
      <c r="H5" s="3" t="s">
        <v>163</v>
      </c>
      <c r="I5" s="3" t="s">
        <v>164</v>
      </c>
      <c r="J5" s="3" t="s">
        <v>165</v>
      </c>
    </row>
    <row r="6" spans="1:10" ht="79.5" customHeight="1" x14ac:dyDescent="0.3">
      <c r="A6" s="6" t="s">
        <v>272</v>
      </c>
      <c r="B6" s="7" t="s">
        <v>273</v>
      </c>
      <c r="C6" s="7" t="s">
        <v>274</v>
      </c>
      <c r="D6" s="7" t="s">
        <v>169</v>
      </c>
      <c r="E6" s="7" t="s">
        <v>275</v>
      </c>
      <c r="F6" s="8">
        <f>SUMPRODUCT((Results_Long!$A$2:$A$1348=$B6)*(Results_Long!$B$2:$B$1348=$C6)*(Results_Long!$C$2:$C$1348=$D6)*(Results_Long!$D$2:$D$1348=$E6)*ROW(Results_Long!$A$2:$A$1348))</f>
        <v>74</v>
      </c>
      <c r="G6" s="9">
        <f>IF(INDEX(Results_Long!$H:$H,$F6)="","NA",INDEX(Results_Long!$H:$H,$F6))</f>
        <v>2705</v>
      </c>
      <c r="H6" s="9">
        <f>IF(INDEX(Results_Long!$J:$J,$F6)="","NA",INDEX(Results_Long!$J:$J,$F6))</f>
        <v>112</v>
      </c>
      <c r="I6" s="6">
        <f>IF(INDEX(Results_Long!$AG:$AG,$F6)="","NA",INDEX(Results_Long!$AG:$AG,$F6))</f>
        <v>0</v>
      </c>
      <c r="J6" s="5" t="str">
        <f>IF(INDEX(Results_Long!$AJ:$AJ,$F6)="","NA",INDEX(Results_Long!$AJ:$AJ,$F6))</f>
        <v>Simonsohn whole-curve statistic 1: share of the 10 core cells with p &lt; .05 (observed); core = B3 coding family x 3LMA-RVE x rho .6 x dfE x outlier none x full set [S3]; per-cell |t|: paris_mid=0.5620, tie_break_median=0.5525, end_any_exposure=0.9270, share_recut_2017=0.4463, share_recut_2018=0.1404, share_recut_2019=0.1846, end_lag1=0.3087, end_lag2=1.5221, end_lag3=0.9796, clean_window=0.7455</v>
      </c>
    </row>
    <row r="7" spans="1:10" ht="23.25" customHeight="1" x14ac:dyDescent="0.3">
      <c r="A7" s="6" t="s">
        <v>276</v>
      </c>
      <c r="B7" s="7" t="s">
        <v>273</v>
      </c>
      <c r="C7" s="7" t="s">
        <v>274</v>
      </c>
      <c r="D7" s="7" t="s">
        <v>169</v>
      </c>
      <c r="E7" s="7" t="s">
        <v>277</v>
      </c>
      <c r="F7" s="8">
        <f>SUMPRODUCT((Results_Long!$A$2:$A$1348=$B7)*(Results_Long!$B$2:$B$1348=$C7)*(Results_Long!$C$2:$C$1348=$D7)*(Results_Long!$D$2:$D$1348=$E7)*ROW(Results_Long!$A$2:$A$1348))</f>
        <v>75</v>
      </c>
      <c r="G7" s="9">
        <f>IF(INDEX(Results_Long!$H:$H,$F7)="","NA",INDEX(Results_Long!$H:$H,$F7))</f>
        <v>2705</v>
      </c>
      <c r="H7" s="9">
        <f>IF(INDEX(Results_Long!$J:$J,$F7)="","NA",INDEX(Results_Long!$J:$J,$F7))</f>
        <v>112</v>
      </c>
      <c r="I7" s="6">
        <f>IF(INDEX(Results_Long!$AG:$AG,$F7)="","NA",INDEX(Results_Long!$AG:$AG,$F7))</f>
        <v>0.557232458949382</v>
      </c>
      <c r="J7" s="5" t="str">
        <f>IF(INDEX(Results_Long!$AJ:$AJ,$F7)="","NA",INDEX(Results_Long!$AJ:$AJ,$F7))</f>
        <v>Simonsohn whole-curve statistic 2: median |t| over the 10 core cells (observed)</v>
      </c>
    </row>
    <row r="8" spans="1:10" ht="23.25" customHeight="1" x14ac:dyDescent="0.3">
      <c r="A8" s="6" t="s">
        <v>278</v>
      </c>
      <c r="B8" s="7" t="s">
        <v>273</v>
      </c>
      <c r="C8" s="7" t="s">
        <v>274</v>
      </c>
      <c r="D8" s="7" t="s">
        <v>169</v>
      </c>
      <c r="E8" s="7" t="s">
        <v>279</v>
      </c>
      <c r="F8" s="8">
        <f>SUMPRODUCT((Results_Long!$A$2:$A$1348=$B8)*(Results_Long!$B$2:$B$1348=$C8)*(Results_Long!$C$2:$C$1348=$D8)*(Results_Long!$D$2:$D$1348=$E8)*ROW(Results_Long!$A$2:$A$1348))</f>
        <v>76</v>
      </c>
      <c r="G8" s="9" t="str">
        <f>IF(INDEX(Results_Long!$H:$H,$F8)="","NA",INDEX(Results_Long!$H:$H,$F8))</f>
        <v>NA</v>
      </c>
      <c r="H8" s="9" t="str">
        <f>IF(INDEX(Results_Long!$J:$J,$F8)="","NA",INDEX(Results_Long!$J:$J,$F8))</f>
        <v>NA</v>
      </c>
      <c r="I8" s="6">
        <f>IF(INDEX(Results_Long!$AG:$AG,$F8)="","NA",INDEX(Results_Long!$AG:$AG,$F8))</f>
        <v>1</v>
      </c>
      <c r="J8" s="5" t="str">
        <f>IF(INDEX(Results_Long!$AJ:$AJ,$F8)="","NA",INDEX(Results_Long!$AJ:$AJ,$F8))</f>
        <v>joint permutation [H-Q15/R3]: ONE cluster time-translation per replicate applied to all 10 core cells (codings re-derived); p = (1 + 500)/(500 + 1)</v>
      </c>
    </row>
    <row r="9" spans="1:10" ht="15" customHeight="1" x14ac:dyDescent="0.3">
      <c r="A9" s="6" t="s">
        <v>280</v>
      </c>
      <c r="B9" s="7" t="s">
        <v>273</v>
      </c>
      <c r="C9" s="7" t="s">
        <v>274</v>
      </c>
      <c r="D9" s="7" t="s">
        <v>169</v>
      </c>
      <c r="E9" s="7" t="s">
        <v>281</v>
      </c>
      <c r="F9" s="8">
        <f>SUMPRODUCT((Results_Long!$A$2:$A$1348=$B9)*(Results_Long!$B$2:$B$1348=$C9)*(Results_Long!$C$2:$C$1348=$D9)*(Results_Long!$D$2:$D$1348=$E9)*ROW(Results_Long!$A$2:$A$1348))</f>
        <v>77</v>
      </c>
      <c r="G9" s="9" t="str">
        <f>IF(INDEX(Results_Long!$H:$H,$F9)="","NA",INDEX(Results_Long!$H:$H,$F9))</f>
        <v>NA</v>
      </c>
      <c r="H9" s="9" t="str">
        <f>IF(INDEX(Results_Long!$J:$J,$F9)="","NA",INDEX(Results_Long!$J:$J,$F9))</f>
        <v>NA</v>
      </c>
      <c r="I9" s="6">
        <f>IF(INDEX(Results_Long!$AG:$AG,$F9)="","NA",INDEX(Results_Long!$AG:$AG,$F9))</f>
        <v>0.85429141716566903</v>
      </c>
      <c r="J9" s="5" t="str">
        <f>IF(INDEX(Results_Long!$AJ:$AJ,$F9)="","NA",INDEX(Results_Long!$AJ:$AJ,$F9))</f>
        <v>joint permutation, statistic 2; p = (1 + 427)/(500 + 1)</v>
      </c>
    </row>
    <row r="10" spans="1:10" ht="15" customHeight="1" x14ac:dyDescent="0.3">
      <c r="A10" s="6" t="s">
        <v>282</v>
      </c>
      <c r="B10" s="7" t="s">
        <v>273</v>
      </c>
      <c r="C10" s="7" t="s">
        <v>274</v>
      </c>
      <c r="D10" s="7" t="s">
        <v>169</v>
      </c>
      <c r="E10" s="7" t="s">
        <v>74</v>
      </c>
      <c r="F10" s="8">
        <f>SUMPRODUCT((Results_Long!$A$2:$A$1348=$B10)*(Results_Long!$B$2:$B$1348=$C10)*(Results_Long!$C$2:$C$1348=$D10)*(Results_Long!$D$2:$D$1348=$E10)*ROW(Results_Long!$A$2:$A$1348))</f>
        <v>78</v>
      </c>
      <c r="G10" s="9" t="str">
        <f>IF(INDEX(Results_Long!$H:$H,$F10)="","NA",INDEX(Results_Long!$H:$H,$F10))</f>
        <v>NA</v>
      </c>
      <c r="H10" s="9" t="str">
        <f>IF(INDEX(Results_Long!$J:$J,$F10)="","NA",INDEX(Results_Long!$J:$J,$F10))</f>
        <v>NA</v>
      </c>
      <c r="I10" s="6">
        <f>IF(INDEX(Results_Long!$AG:$AG,$F10)="","NA",INDEX(Results_Long!$AG:$AG,$F10))</f>
        <v>500</v>
      </c>
      <c r="J10" s="5" t="str">
        <f>IF(INDEX(Results_Long!$AJ:$AJ,$F10)="","NA",INDEX(Results_Long!$AJ:$AJ,$F10))</f>
        <v>effective replicates of 500; mean estimable core cells per replicate = 10.00</v>
      </c>
    </row>
    <row r="12" spans="1:10" ht="15" customHeight="1" x14ac:dyDescent="0.3">
      <c r="A12" s="11" t="s">
        <v>283</v>
      </c>
    </row>
    <row r="13" spans="1:10" ht="15" customHeight="1" x14ac:dyDescent="0.3">
      <c r="A13" s="3" t="s">
        <v>25</v>
      </c>
      <c r="B13" s="3" t="s">
        <v>284</v>
      </c>
      <c r="C13" s="3" t="s">
        <v>285</v>
      </c>
    </row>
    <row r="14" spans="1:10" ht="15" customHeight="1" x14ac:dyDescent="0.3">
      <c r="A14" s="6" t="s">
        <v>286</v>
      </c>
      <c r="B14" s="7" t="s">
        <v>287</v>
      </c>
      <c r="C14" s="9">
        <f>COUNTIFS(Results_Long!$A:$A,"H3",Results_Long!$D:$D,"diff")</f>
        <v>1260</v>
      </c>
    </row>
    <row r="15" spans="1:10" ht="15" customHeight="1" x14ac:dyDescent="0.3">
      <c r="A15" s="6" t="s">
        <v>288</v>
      </c>
      <c r="B15" s="7" t="s">
        <v>289</v>
      </c>
      <c r="C15" s="9">
        <f>COUNTIFS(Results_Long!$A:$A,"H3",Results_Long!$D:$D,"diff",Results_Long!$O:$O,"&lt;0.05")</f>
        <v>0</v>
      </c>
    </row>
    <row r="16" spans="1:10" ht="15" customHeight="1" x14ac:dyDescent="0.3">
      <c r="A16" s="6" t="s">
        <v>290</v>
      </c>
      <c r="B16" s="7" t="s">
        <v>289</v>
      </c>
      <c r="C16" s="10">
        <f>$C$15/$C$14</f>
        <v>0</v>
      </c>
    </row>
    <row r="17" spans="1:10" ht="15" customHeight="1" x14ac:dyDescent="0.3">
      <c r="A17" s="6" t="s">
        <v>291</v>
      </c>
      <c r="B17" s="7" t="s">
        <v>292</v>
      </c>
      <c r="C17" s="9">
        <f>COUNTIFS(Results_Long!$A:$A,"H3",Results_Long!$D:$D,"diff",Results_Long!$F:$F,"3LMA-RVE_CR2",Results_Long!$O:$O,"&lt;0.05")</f>
        <v>0</v>
      </c>
    </row>
    <row r="18" spans="1:10" ht="15" customHeight="1" x14ac:dyDescent="0.3">
      <c r="A18" s="6" t="s">
        <v>293</v>
      </c>
      <c r="B18" s="7" t="s">
        <v>292</v>
      </c>
      <c r="C18" s="9">
        <f>COUNTIFS(Results_Long!$A:$A,"H3",Results_Long!$D:$D,"diff",Results_Long!$F:$F,"one_per_cluster",Results_Long!$O:$O,"&lt;0.05")</f>
        <v>0</v>
      </c>
    </row>
    <row r="19" spans="1:10" ht="15" customHeight="1" x14ac:dyDescent="0.3">
      <c r="A19" s="6" t="s">
        <v>294</v>
      </c>
      <c r="B19" s="7" t="s">
        <v>292</v>
      </c>
      <c r="C19" s="9">
        <f>COUNTIFS(Results_Long!$A:$A,"H3",Results_Long!$D:$D,"diff",Results_Long!$F:$F,"UWLS3",Results_Long!$O:$O,"&lt;0.05")</f>
        <v>0</v>
      </c>
    </row>
    <row r="20" spans="1:10" ht="15" customHeight="1" x14ac:dyDescent="0.3">
      <c r="A20" s="6" t="s">
        <v>295</v>
      </c>
      <c r="B20" s="7" t="s">
        <v>296</v>
      </c>
      <c r="C20" s="10">
        <f>_xlfn.MINIFS(Results_Long!$K:$K,Results_Long!$A:$A,"H3",Results_Long!$D:$D,"diff")</f>
        <v>-7.7030270734765302E-2</v>
      </c>
    </row>
    <row r="21" spans="1:10" ht="15" customHeight="1" x14ac:dyDescent="0.3">
      <c r="A21" s="6" t="s">
        <v>297</v>
      </c>
      <c r="B21" s="7" t="s">
        <v>296</v>
      </c>
      <c r="C21" s="10">
        <f>_xlfn.MAXIFS(Results_Long!$K:$K,Results_Long!$A:$A,"H3",Results_Long!$D:$D,"diff")</f>
        <v>4.05016200298794E-2</v>
      </c>
    </row>
    <row r="22" spans="1:10" ht="15" customHeight="1" x14ac:dyDescent="0.3">
      <c r="A22" s="6" t="s">
        <v>298</v>
      </c>
      <c r="B22" s="7" t="s">
        <v>296</v>
      </c>
      <c r="C22" s="10">
        <f>_xlfn.MINIFS(Results_Long!$O:$O,Results_Long!$A:$A,"H3",Results_Long!$D:$D,"diff")</f>
        <v>4.8903456442932501E-2</v>
      </c>
    </row>
    <row r="24" spans="1:10" ht="15" customHeight="1" x14ac:dyDescent="0.3">
      <c r="A24" s="11" t="s">
        <v>257</v>
      </c>
    </row>
    <row r="25" spans="1:10" ht="15" customHeight="1" x14ac:dyDescent="0.3">
      <c r="A25" s="21" t="s">
        <v>299</v>
      </c>
      <c r="B25" s="22"/>
      <c r="C25" s="22"/>
      <c r="D25" s="22"/>
      <c r="E25" s="22"/>
      <c r="F25" s="22"/>
      <c r="G25" s="22"/>
      <c r="H25" s="22"/>
      <c r="I25" s="22"/>
      <c r="J25" s="22"/>
    </row>
    <row r="26" spans="1:10" ht="15" customHeight="1" x14ac:dyDescent="0.3">
      <c r="A26" s="21" t="s">
        <v>300</v>
      </c>
      <c r="B26" s="22"/>
      <c r="C26" s="22"/>
      <c r="D26" s="22"/>
      <c r="E26" s="22"/>
      <c r="F26" s="22"/>
      <c r="G26" s="22"/>
      <c r="H26" s="22"/>
      <c r="I26" s="22"/>
      <c r="J26" s="22"/>
    </row>
    <row r="27" spans="1:10" ht="15" customHeight="1" x14ac:dyDescent="0.3">
      <c r="A27" s="21" t="s">
        <v>301</v>
      </c>
      <c r="B27" s="22"/>
      <c r="C27" s="22"/>
      <c r="D27" s="22"/>
      <c r="E27" s="22"/>
      <c r="F27" s="22"/>
      <c r="G27" s="22"/>
      <c r="H27" s="22"/>
      <c r="I27" s="22"/>
      <c r="J27" s="22"/>
    </row>
    <row r="28" spans="1:10" ht="15" customHeight="1" x14ac:dyDescent="0.3">
      <c r="A28" s="21" t="s">
        <v>302</v>
      </c>
      <c r="B28" s="22"/>
      <c r="C28" s="22"/>
      <c r="D28" s="22"/>
      <c r="E28" s="22"/>
      <c r="F28" s="22"/>
      <c r="G28" s="22"/>
      <c r="H28" s="22"/>
      <c r="I28" s="22"/>
      <c r="J28" s="22"/>
    </row>
    <row r="30" spans="1:10" ht="15" customHeight="1" x14ac:dyDescent="0.3">
      <c r="A30" s="3" t="s">
        <v>261</v>
      </c>
      <c r="B30" s="3" t="s">
        <v>262</v>
      </c>
    </row>
    <row r="31" spans="1:10" ht="15" customHeight="1" x14ac:dyDescent="0.3">
      <c r="A31" s="12" t="s">
        <v>303</v>
      </c>
      <c r="B31" s="21" t="s">
        <v>304</v>
      </c>
      <c r="C31" s="22"/>
      <c r="D31" s="22"/>
      <c r="E31" s="22"/>
      <c r="F31" s="22"/>
      <c r="G31" s="22"/>
      <c r="H31" s="22"/>
      <c r="I31" s="22"/>
      <c r="J31" s="22"/>
    </row>
    <row r="32" spans="1:10" ht="15" customHeight="1" x14ac:dyDescent="0.3">
      <c r="A32" s="12" t="s">
        <v>305</v>
      </c>
      <c r="B32" s="21" t="s">
        <v>306</v>
      </c>
      <c r="C32" s="22"/>
      <c r="D32" s="22"/>
      <c r="E32" s="22"/>
      <c r="F32" s="22"/>
      <c r="G32" s="22"/>
      <c r="H32" s="22"/>
      <c r="I32" s="22"/>
      <c r="J32" s="22"/>
    </row>
    <row r="34" spans="1:12" ht="15" customHeight="1" x14ac:dyDescent="0.3">
      <c r="A34" s="23" t="s">
        <v>307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</row>
  </sheetData>
  <mergeCells count="7">
    <mergeCell ref="A34:L34"/>
    <mergeCell ref="A25:J25"/>
    <mergeCell ref="A27:J27"/>
    <mergeCell ref="B32:J32"/>
    <mergeCell ref="B31:J31"/>
    <mergeCell ref="A26:J26"/>
    <mergeCell ref="A28:J2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29"/>
  <sheetViews>
    <sheetView zoomScaleNormal="100" workbookViewId="0"/>
  </sheetViews>
  <sheetFormatPr baseColWidth="10" defaultColWidth="8.6640625" defaultRowHeight="14.4" x14ac:dyDescent="0.3"/>
  <cols>
    <col min="1" max="1" width="55" customWidth="1"/>
    <col min="2" max="2" width="110" customWidth="1"/>
    <col min="3" max="3" width="26" customWidth="1"/>
    <col min="4" max="4" width="22" customWidth="1"/>
    <col min="5" max="5" width="18" customWidth="1"/>
    <col min="6" max="6" width="8" customWidth="1"/>
    <col min="7" max="8" width="9" customWidth="1"/>
    <col min="9" max="9" width="60" customWidth="1"/>
    <col min="10" max="20" width="9" customWidth="1"/>
  </cols>
  <sheetData>
    <row r="1" spans="1:20" ht="15" customHeight="1" x14ac:dyDescent="0.3">
      <c r="A1" s="1" t="s">
        <v>308</v>
      </c>
    </row>
    <row r="2" spans="1:20" ht="15" customHeight="1" x14ac:dyDescent="0.3">
      <c r="A2" s="2" t="s">
        <v>309</v>
      </c>
    </row>
    <row r="3" spans="1:20" ht="15" customHeight="1" x14ac:dyDescent="0.3">
      <c r="A3" s="2" t="s">
        <v>2</v>
      </c>
    </row>
    <row r="5" spans="1:20" ht="15" customHeight="1" x14ac:dyDescent="0.3">
      <c r="A5" s="3" t="s">
        <v>156</v>
      </c>
      <c r="B5" s="3" t="s">
        <v>157</v>
      </c>
      <c r="C5" s="3" t="s">
        <v>158</v>
      </c>
      <c r="D5" s="3" t="s">
        <v>159</v>
      </c>
      <c r="E5" s="3" t="s">
        <v>160</v>
      </c>
      <c r="F5" s="3" t="s">
        <v>161</v>
      </c>
      <c r="G5" s="3" t="s">
        <v>162</v>
      </c>
      <c r="H5" s="3" t="s">
        <v>310</v>
      </c>
      <c r="I5" s="3" t="s">
        <v>163</v>
      </c>
      <c r="J5" s="3" t="s">
        <v>311</v>
      </c>
      <c r="K5" s="3" t="s">
        <v>312</v>
      </c>
      <c r="L5" s="3" t="s">
        <v>313</v>
      </c>
      <c r="M5" s="3" t="s">
        <v>314</v>
      </c>
      <c r="N5" s="3" t="s">
        <v>315</v>
      </c>
      <c r="O5" s="3" t="s">
        <v>316</v>
      </c>
      <c r="P5" s="3" t="s">
        <v>317</v>
      </c>
      <c r="Q5" s="3" t="s">
        <v>318</v>
      </c>
      <c r="R5" s="3" t="s">
        <v>319</v>
      </c>
      <c r="S5" s="3" t="s">
        <v>320</v>
      </c>
      <c r="T5" s="3" t="s">
        <v>164</v>
      </c>
    </row>
    <row r="6" spans="1:20" ht="15" customHeight="1" x14ac:dyDescent="0.3">
      <c r="A6" s="6" t="s">
        <v>321</v>
      </c>
      <c r="B6" s="7" t="s">
        <v>273</v>
      </c>
      <c r="C6" s="7" t="s">
        <v>322</v>
      </c>
      <c r="D6" s="7" t="s">
        <v>323</v>
      </c>
      <c r="E6" s="7" t="s">
        <v>324</v>
      </c>
      <c r="F6" s="8">
        <f>SUMPRODUCT((Results_Long!$A$2:$A$1348=$B6)*(Results_Long!$B$2:$B$1348=$C6)*(Results_Long!$C$2:$C$1348=$D6)*(Results_Long!$D$2:$D$1348=$E6)*ROW(Results_Long!$A$2:$A$1348))</f>
        <v>439</v>
      </c>
      <c r="G6" s="9">
        <f>IF(INDEX(Results_Long!$H:$H,$F6)="","NA",INDEX(Results_Long!$H:$H,$F6))</f>
        <v>2705</v>
      </c>
      <c r="H6" s="9">
        <f>IF(INDEX(Results_Long!$I:$I,$F6)="","NA",INDEX(Results_Long!$I:$I,$F6))</f>
        <v>113</v>
      </c>
      <c r="I6" s="9">
        <f>IF(INDEX(Results_Long!$J:$J,$F6)="","NA",INDEX(Results_Long!$J:$J,$F6))</f>
        <v>112</v>
      </c>
      <c r="J6" s="10">
        <f>IF(INDEX(Results_Long!$K:$K,$F6)="","NA",INDEX(Results_Long!$K:$K,$F6))</f>
        <v>1.01759067104026E-2</v>
      </c>
      <c r="K6" s="10" t="str">
        <f>IF(INDEX(Results_Long!$P:$P,$F6)="","NA",INDEX(Results_Long!$P:$P,$F6))</f>
        <v>NA</v>
      </c>
      <c r="L6" s="10" t="str">
        <f>IF(INDEX(Results_Long!$Q:$Q,$F6)="","NA",INDEX(Results_Long!$Q:$Q,$F6))</f>
        <v>NA</v>
      </c>
      <c r="M6" s="10" t="str">
        <f>IF(INDEX(Results_Long!$T:$T,$F6)="","NA",INDEX(Results_Long!$T:$T,$F6))</f>
        <v>NA</v>
      </c>
      <c r="N6" s="10" t="str">
        <f>IF(INDEX(Results_Long!$U:$U,$F6)="","NA",INDEX(Results_Long!$U:$U,$F6))</f>
        <v>NA</v>
      </c>
      <c r="O6" s="10" t="str">
        <f>IF(INDEX(Results_Long!$V:$V,$F6)="","NA",INDEX(Results_Long!$V:$V,$F6))</f>
        <v>NA</v>
      </c>
      <c r="P6" s="10">
        <f>IF(INDEX(Results_Long!$L:$L,$F6)="","NA",INDEX(Results_Long!$L:$L,$F6))</f>
        <v>1.81072824212575E-2</v>
      </c>
      <c r="Q6" s="13">
        <f>IF(INDEX(Results_Long!$M:$M,$F6)="","NA",INDEX(Results_Long!$M:$M,$F6))</f>
        <v>0.56197868203879797</v>
      </c>
      <c r="R6" s="14">
        <f>IF(INDEX(Results_Long!$N:$N,$F6)="","NA",INDEX(Results_Long!$N:$N,$F6))</f>
        <v>14.9920663728925</v>
      </c>
      <c r="S6" s="10">
        <f>IF(INDEX(Results_Long!$O:$O,$F6)="","NA",INDEX(Results_Long!$O:$O,$F6))</f>
        <v>0.58243572563051604</v>
      </c>
      <c r="T6" s="6" t="str">
        <f>IF(INDEX(Results_Long!$AG:$AG,$F6)="","NA",INDEX(Results_Long!$AG:$AG,$F6))</f>
        <v>NA</v>
      </c>
    </row>
    <row r="7" spans="1:20" ht="15" customHeight="1" x14ac:dyDescent="0.3">
      <c r="A7" s="6" t="s">
        <v>325</v>
      </c>
      <c r="B7" s="7" t="s">
        <v>273</v>
      </c>
      <c r="C7" s="7" t="s">
        <v>326</v>
      </c>
      <c r="D7" s="7" t="s">
        <v>323</v>
      </c>
      <c r="E7" s="7" t="s">
        <v>324</v>
      </c>
      <c r="F7" s="8">
        <f>SUMPRODUCT((Results_Long!$A$2:$A$1348=$B7)*(Results_Long!$B$2:$B$1348=$C7)*(Results_Long!$C$2:$C$1348=$D7)*(Results_Long!$D$2:$D$1348=$E7)*ROW(Results_Long!$A$2:$A$1348))</f>
        <v>440</v>
      </c>
      <c r="G7" s="9">
        <f>IF(INDEX(Results_Long!$H:$H,$F7)="","NA",INDEX(Results_Long!$H:$H,$F7))</f>
        <v>2705</v>
      </c>
      <c r="H7" s="9">
        <f>IF(INDEX(Results_Long!$I:$I,$F7)="","NA",INDEX(Results_Long!$I:$I,$F7))</f>
        <v>113</v>
      </c>
      <c r="I7" s="9">
        <f>IF(INDEX(Results_Long!$J:$J,$F7)="","NA",INDEX(Results_Long!$J:$J,$F7))</f>
        <v>112</v>
      </c>
      <c r="J7" s="10">
        <f>IF(INDEX(Results_Long!$K:$K,$F7)="","NA",INDEX(Results_Long!$K:$K,$F7))</f>
        <v>9.8055409007067607E-3</v>
      </c>
      <c r="K7" s="10" t="str">
        <f>IF(INDEX(Results_Long!$P:$P,$F7)="","NA",INDEX(Results_Long!$P:$P,$F7))</f>
        <v>NA</v>
      </c>
      <c r="L7" s="10" t="str">
        <f>IF(INDEX(Results_Long!$Q:$Q,$F7)="","NA",INDEX(Results_Long!$Q:$Q,$F7))</f>
        <v>NA</v>
      </c>
      <c r="M7" s="10" t="str">
        <f>IF(INDEX(Results_Long!$T:$T,$F7)="","NA",INDEX(Results_Long!$T:$T,$F7))</f>
        <v>NA</v>
      </c>
      <c r="N7" s="10" t="str">
        <f>IF(INDEX(Results_Long!$U:$U,$F7)="","NA",INDEX(Results_Long!$U:$U,$F7))</f>
        <v>NA</v>
      </c>
      <c r="O7" s="10" t="str">
        <f>IF(INDEX(Results_Long!$V:$V,$F7)="","NA",INDEX(Results_Long!$V:$V,$F7))</f>
        <v>NA</v>
      </c>
      <c r="P7" s="10">
        <f>IF(INDEX(Results_Long!$L:$L,$F7)="","NA",INDEX(Results_Long!$L:$L,$F7))</f>
        <v>1.7748027487859599E-2</v>
      </c>
      <c r="Q7" s="13">
        <f>IF(INDEX(Results_Long!$M:$M,$F7)="","NA",INDEX(Results_Long!$M:$M,$F7))</f>
        <v>0.55248623585996703</v>
      </c>
      <c r="R7" s="14">
        <f>IF(INDEX(Results_Long!$N:$N,$F7)="","NA",INDEX(Results_Long!$N:$N,$F7))</f>
        <v>12.263709778995601</v>
      </c>
      <c r="S7" s="10">
        <f>IF(INDEX(Results_Long!$O:$O,$F7)="","NA",INDEX(Results_Long!$O:$O,$F7))</f>
        <v>0.59054305378376004</v>
      </c>
      <c r="T7" s="6" t="str">
        <f>IF(INDEX(Results_Long!$AG:$AG,$F7)="","NA",INDEX(Results_Long!$AG:$AG,$F7))</f>
        <v>NA</v>
      </c>
    </row>
    <row r="8" spans="1:20" ht="15" customHeight="1" x14ac:dyDescent="0.3">
      <c r="A8" s="6" t="s">
        <v>327</v>
      </c>
      <c r="B8" s="7" t="s">
        <v>273</v>
      </c>
      <c r="C8" s="7" t="s">
        <v>328</v>
      </c>
      <c r="D8" s="7" t="s">
        <v>323</v>
      </c>
      <c r="E8" s="7" t="s">
        <v>324</v>
      </c>
      <c r="F8" s="8">
        <f>SUMPRODUCT((Results_Long!$A$2:$A$1348=$B8)*(Results_Long!$B$2:$B$1348=$C8)*(Results_Long!$C$2:$C$1348=$D8)*(Results_Long!$D$2:$D$1348=$E8)*ROW(Results_Long!$A$2:$A$1348))</f>
        <v>441</v>
      </c>
      <c r="G8" s="9">
        <f>IF(INDEX(Results_Long!$H:$H,$F8)="","NA",INDEX(Results_Long!$H:$H,$F8))</f>
        <v>2705</v>
      </c>
      <c r="H8" s="9">
        <f>IF(INDEX(Results_Long!$I:$I,$F8)="","NA",INDEX(Results_Long!$I:$I,$F8))</f>
        <v>113</v>
      </c>
      <c r="I8" s="9">
        <f>IF(INDEX(Results_Long!$J:$J,$F8)="","NA",INDEX(Results_Long!$J:$J,$F8))</f>
        <v>112</v>
      </c>
      <c r="J8" s="10">
        <f>IF(INDEX(Results_Long!$K:$K,$F8)="","NA",INDEX(Results_Long!$K:$K,$F8))</f>
        <v>-1.9403455244936401E-2</v>
      </c>
      <c r="K8" s="10" t="str">
        <f>IF(INDEX(Results_Long!$P:$P,$F8)="","NA",INDEX(Results_Long!$P:$P,$F8))</f>
        <v>NA</v>
      </c>
      <c r="L8" s="10" t="str">
        <f>IF(INDEX(Results_Long!$Q:$Q,$F8)="","NA",INDEX(Results_Long!$Q:$Q,$F8))</f>
        <v>NA</v>
      </c>
      <c r="M8" s="10" t="str">
        <f>IF(INDEX(Results_Long!$T:$T,$F8)="","NA",INDEX(Results_Long!$T:$T,$F8))</f>
        <v>NA</v>
      </c>
      <c r="N8" s="10" t="str">
        <f>IF(INDEX(Results_Long!$U:$U,$F8)="","NA",INDEX(Results_Long!$U:$U,$F8))</f>
        <v>NA</v>
      </c>
      <c r="O8" s="10" t="str">
        <f>IF(INDEX(Results_Long!$V:$V,$F8)="","NA",INDEX(Results_Long!$V:$V,$F8))</f>
        <v>NA</v>
      </c>
      <c r="P8" s="10">
        <f>IF(INDEX(Results_Long!$L:$L,$F8)="","NA",INDEX(Results_Long!$L:$L,$F8))</f>
        <v>2.09317506949428E-2</v>
      </c>
      <c r="Q8" s="13">
        <f>IF(INDEX(Results_Long!$M:$M,$F8)="","NA",INDEX(Results_Long!$M:$M,$F8))</f>
        <v>-0.92698673549672805</v>
      </c>
      <c r="R8" s="14">
        <f>IF(INDEX(Results_Long!$N:$N,$F8)="","NA",INDEX(Results_Long!$N:$N,$F8))</f>
        <v>41.602909518717901</v>
      </c>
      <c r="S8" s="10">
        <f>IF(INDEX(Results_Long!$O:$O,$F8)="","NA",INDEX(Results_Long!$O:$O,$F8))</f>
        <v>0.35928021253577103</v>
      </c>
      <c r="T8" s="6" t="str">
        <f>IF(INDEX(Results_Long!$AG:$AG,$F8)="","NA",INDEX(Results_Long!$AG:$AG,$F8))</f>
        <v>NA</v>
      </c>
    </row>
    <row r="9" spans="1:20" ht="15" customHeight="1" x14ac:dyDescent="0.3">
      <c r="A9" s="6" t="s">
        <v>329</v>
      </c>
      <c r="B9" s="7" t="s">
        <v>273</v>
      </c>
      <c r="C9" s="7" t="s">
        <v>330</v>
      </c>
      <c r="D9" s="7" t="s">
        <v>323</v>
      </c>
      <c r="E9" s="7" t="s">
        <v>324</v>
      </c>
      <c r="F9" s="8">
        <f>SUMPRODUCT((Results_Long!$A$2:$A$1348=$B9)*(Results_Long!$B$2:$B$1348=$C9)*(Results_Long!$C$2:$C$1348=$D9)*(Results_Long!$D$2:$D$1348=$E9)*ROW(Results_Long!$A$2:$A$1348))</f>
        <v>442</v>
      </c>
      <c r="G9" s="9">
        <f>IF(INDEX(Results_Long!$H:$H,$F9)="","NA",INDEX(Results_Long!$H:$H,$F9))</f>
        <v>2705</v>
      </c>
      <c r="H9" s="9">
        <f>IF(INDEX(Results_Long!$I:$I,$F9)="","NA",INDEX(Results_Long!$I:$I,$F9))</f>
        <v>113</v>
      </c>
      <c r="I9" s="9">
        <f>IF(INDEX(Results_Long!$J:$J,$F9)="","NA",INDEX(Results_Long!$J:$J,$F9))</f>
        <v>112</v>
      </c>
      <c r="J9" s="10">
        <f>IF(INDEX(Results_Long!$K:$K,$F9)="","NA",INDEX(Results_Long!$K:$K,$F9))</f>
        <v>8.0340693802523292E-3</v>
      </c>
      <c r="K9" s="10" t="str">
        <f>IF(INDEX(Results_Long!$P:$P,$F9)="","NA",INDEX(Results_Long!$P:$P,$F9))</f>
        <v>NA</v>
      </c>
      <c r="L9" s="10" t="str">
        <f>IF(INDEX(Results_Long!$Q:$Q,$F9)="","NA",INDEX(Results_Long!$Q:$Q,$F9))</f>
        <v>NA</v>
      </c>
      <c r="M9" s="10" t="str">
        <f>IF(INDEX(Results_Long!$T:$T,$F9)="","NA",INDEX(Results_Long!$T:$T,$F9))</f>
        <v>NA</v>
      </c>
      <c r="N9" s="10" t="str">
        <f>IF(INDEX(Results_Long!$U:$U,$F9)="","NA",INDEX(Results_Long!$U:$U,$F9))</f>
        <v>NA</v>
      </c>
      <c r="O9" s="10" t="str">
        <f>IF(INDEX(Results_Long!$V:$V,$F9)="","NA",INDEX(Results_Long!$V:$V,$F9))</f>
        <v>NA</v>
      </c>
      <c r="P9" s="10">
        <f>IF(INDEX(Results_Long!$L:$L,$F9)="","NA",INDEX(Results_Long!$L:$L,$F9))</f>
        <v>1.800013275341E-2</v>
      </c>
      <c r="Q9" s="13">
        <f>IF(INDEX(Results_Long!$M:$M,$F9)="","NA",INDEX(Results_Long!$M:$M,$F9))</f>
        <v>0.44633389599475698</v>
      </c>
      <c r="R9" s="14">
        <f>IF(INDEX(Results_Long!$N:$N,$F9)="","NA",INDEX(Results_Long!$N:$N,$F9))</f>
        <v>10.8521828308988</v>
      </c>
      <c r="S9" s="10">
        <f>IF(INDEX(Results_Long!$O:$O,$F9)="","NA",INDEX(Results_Long!$O:$O,$F9))</f>
        <v>0.66413079969344402</v>
      </c>
      <c r="T9" s="6" t="str">
        <f>IF(INDEX(Results_Long!$AG:$AG,$F9)="","NA",INDEX(Results_Long!$AG:$AG,$F9))</f>
        <v>NA</v>
      </c>
    </row>
    <row r="10" spans="1:20" ht="15" customHeight="1" x14ac:dyDescent="0.3">
      <c r="A10" s="6" t="s">
        <v>331</v>
      </c>
      <c r="B10" s="7" t="s">
        <v>273</v>
      </c>
      <c r="C10" s="7" t="s">
        <v>332</v>
      </c>
      <c r="D10" s="7" t="s">
        <v>323</v>
      </c>
      <c r="E10" s="7" t="s">
        <v>324</v>
      </c>
      <c r="F10" s="8">
        <f>SUMPRODUCT((Results_Long!$A$2:$A$1348=$B10)*(Results_Long!$B$2:$B$1348=$C10)*(Results_Long!$C$2:$C$1348=$D10)*(Results_Long!$D$2:$D$1348=$E10)*ROW(Results_Long!$A$2:$A$1348))</f>
        <v>443</v>
      </c>
      <c r="G10" s="9">
        <f>IF(INDEX(Results_Long!$H:$H,$F10)="","NA",INDEX(Results_Long!$H:$H,$F10))</f>
        <v>2705</v>
      </c>
      <c r="H10" s="9">
        <f>IF(INDEX(Results_Long!$I:$I,$F10)="","NA",INDEX(Results_Long!$I:$I,$F10))</f>
        <v>113</v>
      </c>
      <c r="I10" s="9">
        <f>IF(INDEX(Results_Long!$J:$J,$F10)="","NA",INDEX(Results_Long!$J:$J,$F10))</f>
        <v>112</v>
      </c>
      <c r="J10" s="10">
        <f>IF(INDEX(Results_Long!$K:$K,$F10)="","NA",INDEX(Results_Long!$K:$K,$F10))</f>
        <v>3.1230425951205699E-3</v>
      </c>
      <c r="K10" s="10" t="str">
        <f>IF(INDEX(Results_Long!$P:$P,$F10)="","NA",INDEX(Results_Long!$P:$P,$F10))</f>
        <v>NA</v>
      </c>
      <c r="L10" s="10" t="str">
        <f>IF(INDEX(Results_Long!$Q:$Q,$F10)="","NA",INDEX(Results_Long!$Q:$Q,$F10))</f>
        <v>NA</v>
      </c>
      <c r="M10" s="10" t="str">
        <f>IF(INDEX(Results_Long!$T:$T,$F10)="","NA",INDEX(Results_Long!$T:$T,$F10))</f>
        <v>NA</v>
      </c>
      <c r="N10" s="10" t="str">
        <f>IF(INDEX(Results_Long!$U:$U,$F10)="","NA",INDEX(Results_Long!$U:$U,$F10))</f>
        <v>NA</v>
      </c>
      <c r="O10" s="10" t="str">
        <f>IF(INDEX(Results_Long!$V:$V,$F10)="","NA",INDEX(Results_Long!$V:$V,$F10))</f>
        <v>NA</v>
      </c>
      <c r="P10" s="10">
        <f>IF(INDEX(Results_Long!$L:$L,$F10)="","NA",INDEX(Results_Long!$L:$L,$F10))</f>
        <v>2.22382657452244E-2</v>
      </c>
      <c r="Q10" s="13">
        <f>IF(INDEX(Results_Long!$M:$M,$F10)="","NA",INDEX(Results_Long!$M:$M,$F10))</f>
        <v>0.140435528152245</v>
      </c>
      <c r="R10" s="14">
        <f>IF(INDEX(Results_Long!$N:$N,$F10)="","NA",INDEX(Results_Long!$N:$N,$F10))</f>
        <v>18.7761441211637</v>
      </c>
      <c r="S10" s="10">
        <f>IF(INDEX(Results_Long!$O:$O,$F10)="","NA",INDEX(Results_Long!$O:$O,$F10))</f>
        <v>0.88981150913840201</v>
      </c>
      <c r="T10" s="6" t="str">
        <f>IF(INDEX(Results_Long!$AG:$AG,$F10)="","NA",INDEX(Results_Long!$AG:$AG,$F10))</f>
        <v>NA</v>
      </c>
    </row>
    <row r="11" spans="1:20" ht="15" customHeight="1" x14ac:dyDescent="0.3">
      <c r="A11" s="6" t="s">
        <v>333</v>
      </c>
      <c r="B11" s="7" t="s">
        <v>273</v>
      </c>
      <c r="C11" s="7" t="s">
        <v>334</v>
      </c>
      <c r="D11" s="7" t="s">
        <v>323</v>
      </c>
      <c r="E11" s="7" t="s">
        <v>324</v>
      </c>
      <c r="F11" s="8">
        <f>SUMPRODUCT((Results_Long!$A$2:$A$1348=$B11)*(Results_Long!$B$2:$B$1348=$C11)*(Results_Long!$C$2:$C$1348=$D11)*(Results_Long!$D$2:$D$1348=$E11)*ROW(Results_Long!$A$2:$A$1348))</f>
        <v>444</v>
      </c>
      <c r="G11" s="9">
        <f>IF(INDEX(Results_Long!$H:$H,$F11)="","NA",INDEX(Results_Long!$H:$H,$F11))</f>
        <v>2705</v>
      </c>
      <c r="H11" s="9">
        <f>IF(INDEX(Results_Long!$I:$I,$F11)="","NA",INDEX(Results_Long!$I:$I,$F11))</f>
        <v>113</v>
      </c>
      <c r="I11" s="9">
        <f>IF(INDEX(Results_Long!$J:$J,$F11)="","NA",INDEX(Results_Long!$J:$J,$F11))</f>
        <v>112</v>
      </c>
      <c r="J11" s="10">
        <f>IF(INDEX(Results_Long!$K:$K,$F11)="","NA",INDEX(Results_Long!$K:$K,$F11))</f>
        <v>4.2056665621964997E-3</v>
      </c>
      <c r="K11" s="10" t="str">
        <f>IF(INDEX(Results_Long!$P:$P,$F11)="","NA",INDEX(Results_Long!$P:$P,$F11))</f>
        <v>NA</v>
      </c>
      <c r="L11" s="10" t="str">
        <f>IF(INDEX(Results_Long!$Q:$Q,$F11)="","NA",INDEX(Results_Long!$Q:$Q,$F11))</f>
        <v>NA</v>
      </c>
      <c r="M11" s="10" t="str">
        <f>IF(INDEX(Results_Long!$T:$T,$F11)="","NA",INDEX(Results_Long!$T:$T,$F11))</f>
        <v>NA</v>
      </c>
      <c r="N11" s="10" t="str">
        <f>IF(INDEX(Results_Long!$U:$U,$F11)="","NA",INDEX(Results_Long!$U:$U,$F11))</f>
        <v>NA</v>
      </c>
      <c r="O11" s="10" t="str">
        <f>IF(INDEX(Results_Long!$V:$V,$F11)="","NA",INDEX(Results_Long!$V:$V,$F11))</f>
        <v>NA</v>
      </c>
      <c r="P11" s="10">
        <f>IF(INDEX(Results_Long!$L:$L,$F11)="","NA",INDEX(Results_Long!$L:$L,$F11))</f>
        <v>2.2784454357159801E-2</v>
      </c>
      <c r="Q11" s="13">
        <f>IF(INDEX(Results_Long!$M:$M,$F11)="","NA",INDEX(Results_Long!$M:$M,$F11))</f>
        <v>0.184584914620741</v>
      </c>
      <c r="R11" s="14">
        <f>IF(INDEX(Results_Long!$N:$N,$F11)="","NA",INDEX(Results_Long!$N:$N,$F11))</f>
        <v>15.443904167078101</v>
      </c>
      <c r="S11" s="10">
        <f>IF(INDEX(Results_Long!$O:$O,$F11)="","NA",INDEX(Results_Long!$O:$O,$F11))</f>
        <v>0.85595666796786096</v>
      </c>
      <c r="T11" s="6" t="str">
        <f>IF(INDEX(Results_Long!$AG:$AG,$F11)="","NA",INDEX(Results_Long!$AG:$AG,$F11))</f>
        <v>NA</v>
      </c>
    </row>
    <row r="12" spans="1:20" ht="15" customHeight="1" x14ac:dyDescent="0.3">
      <c r="A12" s="6" t="s">
        <v>335</v>
      </c>
      <c r="B12" s="7" t="s">
        <v>273</v>
      </c>
      <c r="C12" s="7" t="s">
        <v>336</v>
      </c>
      <c r="D12" s="7" t="s">
        <v>323</v>
      </c>
      <c r="E12" s="7" t="s">
        <v>324</v>
      </c>
      <c r="F12" s="8">
        <f>SUMPRODUCT((Results_Long!$A$2:$A$1348=$B12)*(Results_Long!$B$2:$B$1348=$C12)*(Results_Long!$C$2:$C$1348=$D12)*(Results_Long!$D$2:$D$1348=$E12)*ROW(Results_Long!$A$2:$A$1348))</f>
        <v>445</v>
      </c>
      <c r="G12" s="9">
        <f>IF(INDEX(Results_Long!$H:$H,$F12)="","NA",INDEX(Results_Long!$H:$H,$F12))</f>
        <v>2705</v>
      </c>
      <c r="H12" s="9">
        <f>IF(INDEX(Results_Long!$I:$I,$F12)="","NA",INDEX(Results_Long!$I:$I,$F12))</f>
        <v>113</v>
      </c>
      <c r="I12" s="9">
        <f>IF(INDEX(Results_Long!$J:$J,$F12)="","NA",INDEX(Results_Long!$J:$J,$F12))</f>
        <v>112</v>
      </c>
      <c r="J12" s="10">
        <f>IF(INDEX(Results_Long!$K:$K,$F12)="","NA",INDEX(Results_Long!$K:$K,$F12))</f>
        <v>-6.3644566569005696E-3</v>
      </c>
      <c r="K12" s="10" t="str">
        <f>IF(INDEX(Results_Long!$P:$P,$F12)="","NA",INDEX(Results_Long!$P:$P,$F12))</f>
        <v>NA</v>
      </c>
      <c r="L12" s="10" t="str">
        <f>IF(INDEX(Results_Long!$Q:$Q,$F12)="","NA",INDEX(Results_Long!$Q:$Q,$F12))</f>
        <v>NA</v>
      </c>
      <c r="M12" s="10" t="str">
        <f>IF(INDEX(Results_Long!$T:$T,$F12)="","NA",INDEX(Results_Long!$T:$T,$F12))</f>
        <v>NA</v>
      </c>
      <c r="N12" s="10" t="str">
        <f>IF(INDEX(Results_Long!$U:$U,$F12)="","NA",INDEX(Results_Long!$U:$U,$F12))</f>
        <v>NA</v>
      </c>
      <c r="O12" s="10" t="str">
        <f>IF(INDEX(Results_Long!$V:$V,$F12)="","NA",INDEX(Results_Long!$V:$V,$F12))</f>
        <v>NA</v>
      </c>
      <c r="P12" s="10">
        <f>IF(INDEX(Results_Long!$L:$L,$F12)="","NA",INDEX(Results_Long!$L:$L,$F12))</f>
        <v>2.0619186647117201E-2</v>
      </c>
      <c r="Q12" s="13">
        <f>IF(INDEX(Results_Long!$M:$M,$F12)="","NA",INDEX(Results_Long!$M:$M,$F12))</f>
        <v>-0.30866671735523499</v>
      </c>
      <c r="R12" s="14">
        <f>IF(INDEX(Results_Long!$N:$N,$F12)="","NA",INDEX(Results_Long!$N:$N,$F12))</f>
        <v>17.755887810728598</v>
      </c>
      <c r="S12" s="10">
        <f>IF(INDEX(Results_Long!$O:$O,$F12)="","NA",INDEX(Results_Long!$O:$O,$F12))</f>
        <v>0.76116726839259996</v>
      </c>
      <c r="T12" s="6" t="str">
        <f>IF(INDEX(Results_Long!$AG:$AG,$F12)="","NA",INDEX(Results_Long!$AG:$AG,$F12))</f>
        <v>NA</v>
      </c>
    </row>
    <row r="13" spans="1:20" ht="15" customHeight="1" x14ac:dyDescent="0.3">
      <c r="A13" s="6" t="s">
        <v>337</v>
      </c>
      <c r="B13" s="7" t="s">
        <v>273</v>
      </c>
      <c r="C13" s="7" t="s">
        <v>338</v>
      </c>
      <c r="D13" s="7" t="s">
        <v>323</v>
      </c>
      <c r="E13" s="7" t="s">
        <v>324</v>
      </c>
      <c r="F13" s="8">
        <f>SUMPRODUCT((Results_Long!$A$2:$A$1348=$B13)*(Results_Long!$B$2:$B$1348=$C13)*(Results_Long!$C$2:$C$1348=$D13)*(Results_Long!$D$2:$D$1348=$E13)*ROW(Results_Long!$A$2:$A$1348))</f>
        <v>446</v>
      </c>
      <c r="G13" s="9">
        <f>IF(INDEX(Results_Long!$H:$H,$F13)="","NA",INDEX(Results_Long!$H:$H,$F13))</f>
        <v>2705</v>
      </c>
      <c r="H13" s="9">
        <f>IF(INDEX(Results_Long!$I:$I,$F13)="","NA",INDEX(Results_Long!$I:$I,$F13))</f>
        <v>113</v>
      </c>
      <c r="I13" s="9">
        <f>IF(INDEX(Results_Long!$J:$J,$F13)="","NA",INDEX(Results_Long!$J:$J,$F13))</f>
        <v>112</v>
      </c>
      <c r="J13" s="10">
        <f>IF(INDEX(Results_Long!$K:$K,$F13)="","NA",INDEX(Results_Long!$K:$K,$F13))</f>
        <v>3.9789555352768798E-2</v>
      </c>
      <c r="K13" s="10" t="str">
        <f>IF(INDEX(Results_Long!$P:$P,$F13)="","NA",INDEX(Results_Long!$P:$P,$F13))</f>
        <v>NA</v>
      </c>
      <c r="L13" s="10" t="str">
        <f>IF(INDEX(Results_Long!$Q:$Q,$F13)="","NA",INDEX(Results_Long!$Q:$Q,$F13))</f>
        <v>NA</v>
      </c>
      <c r="M13" s="10" t="str">
        <f>IF(INDEX(Results_Long!$T:$T,$F13)="","NA",INDEX(Results_Long!$T:$T,$F13))</f>
        <v>NA</v>
      </c>
      <c r="N13" s="10" t="str">
        <f>IF(INDEX(Results_Long!$U:$U,$F13)="","NA",INDEX(Results_Long!$U:$U,$F13))</f>
        <v>NA</v>
      </c>
      <c r="O13" s="10" t="str">
        <f>IF(INDEX(Results_Long!$V:$V,$F13)="","NA",INDEX(Results_Long!$V:$V,$F13))</f>
        <v>NA</v>
      </c>
      <c r="P13" s="10">
        <f>IF(INDEX(Results_Long!$L:$L,$F13)="","NA",INDEX(Results_Long!$L:$L,$F13))</f>
        <v>2.6140797507343098E-2</v>
      </c>
      <c r="Q13" s="13">
        <f>IF(INDEX(Results_Long!$M:$M,$F13)="","NA",INDEX(Results_Long!$M:$M,$F13))</f>
        <v>1.5221247684425701</v>
      </c>
      <c r="R13" s="14">
        <f>IF(INDEX(Results_Long!$N:$N,$F13)="","NA",INDEX(Results_Long!$N:$N,$F13))</f>
        <v>22.010830067898699</v>
      </c>
      <c r="S13" s="10">
        <f>IF(INDEX(Results_Long!$O:$O,$F13)="","NA",INDEX(Results_Long!$O:$O,$F13))</f>
        <v>0.14221586082545001</v>
      </c>
      <c r="T13" s="6" t="str">
        <f>IF(INDEX(Results_Long!$AG:$AG,$F13)="","NA",INDEX(Results_Long!$AG:$AG,$F13))</f>
        <v>NA</v>
      </c>
    </row>
    <row r="14" spans="1:20" ht="15" customHeight="1" x14ac:dyDescent="0.3">
      <c r="A14" s="6" t="s">
        <v>339</v>
      </c>
      <c r="B14" s="7" t="s">
        <v>273</v>
      </c>
      <c r="C14" s="7" t="s">
        <v>340</v>
      </c>
      <c r="D14" s="7" t="s">
        <v>323</v>
      </c>
      <c r="E14" s="7" t="s">
        <v>324</v>
      </c>
      <c r="F14" s="8">
        <f>SUMPRODUCT((Results_Long!$A$2:$A$1348=$B14)*(Results_Long!$B$2:$B$1348=$C14)*(Results_Long!$C$2:$C$1348=$D14)*(Results_Long!$D$2:$D$1348=$E14)*ROW(Results_Long!$A$2:$A$1348))</f>
        <v>447</v>
      </c>
      <c r="G14" s="9">
        <f>IF(INDEX(Results_Long!$H:$H,$F14)="","NA",INDEX(Results_Long!$H:$H,$F14))</f>
        <v>2705</v>
      </c>
      <c r="H14" s="9">
        <f>IF(INDEX(Results_Long!$I:$I,$F14)="","NA",INDEX(Results_Long!$I:$I,$F14))</f>
        <v>113</v>
      </c>
      <c r="I14" s="9">
        <f>IF(INDEX(Results_Long!$J:$J,$F14)="","NA",INDEX(Results_Long!$J:$J,$F14))</f>
        <v>112</v>
      </c>
      <c r="J14" s="10">
        <f>IF(INDEX(Results_Long!$K:$K,$F14)="","NA",INDEX(Results_Long!$K:$K,$F14))</f>
        <v>2.13188918890692E-2</v>
      </c>
      <c r="K14" s="10" t="str">
        <f>IF(INDEX(Results_Long!$P:$P,$F14)="","NA",INDEX(Results_Long!$P:$P,$F14))</f>
        <v>NA</v>
      </c>
      <c r="L14" s="10" t="str">
        <f>IF(INDEX(Results_Long!$Q:$Q,$F14)="","NA",INDEX(Results_Long!$Q:$Q,$F14))</f>
        <v>NA</v>
      </c>
      <c r="M14" s="10" t="str">
        <f>IF(INDEX(Results_Long!$T:$T,$F14)="","NA",INDEX(Results_Long!$T:$T,$F14))</f>
        <v>NA</v>
      </c>
      <c r="N14" s="10" t="str">
        <f>IF(INDEX(Results_Long!$U:$U,$F14)="","NA",INDEX(Results_Long!$U:$U,$F14))</f>
        <v>NA</v>
      </c>
      <c r="O14" s="10" t="str">
        <f>IF(INDEX(Results_Long!$V:$V,$F14)="","NA",INDEX(Results_Long!$V:$V,$F14))</f>
        <v>NA</v>
      </c>
      <c r="P14" s="10">
        <f>IF(INDEX(Results_Long!$L:$L,$F14)="","NA",INDEX(Results_Long!$L:$L,$F14))</f>
        <v>2.17628822200088E-2</v>
      </c>
      <c r="Q14" s="13">
        <f>IF(INDEX(Results_Long!$M:$M,$F14)="","NA",INDEX(Results_Long!$M:$M,$F14))</f>
        <v>0.97959873483433402</v>
      </c>
      <c r="R14" s="14">
        <f>IF(INDEX(Results_Long!$N:$N,$F14)="","NA",INDEX(Results_Long!$N:$N,$F14))</f>
        <v>22.304971547207099</v>
      </c>
      <c r="S14" s="10">
        <f>IF(INDEX(Results_Long!$O:$O,$F14)="","NA",INDEX(Results_Long!$O:$O,$F14))</f>
        <v>0.33779063598521097</v>
      </c>
      <c r="T14" s="6" t="str">
        <f>IF(INDEX(Results_Long!$AG:$AG,$F14)="","NA",INDEX(Results_Long!$AG:$AG,$F14))</f>
        <v>NA</v>
      </c>
    </row>
    <row r="15" spans="1:20" ht="15" customHeight="1" x14ac:dyDescent="0.3">
      <c r="A15" s="6" t="s">
        <v>341</v>
      </c>
      <c r="B15" s="7" t="s">
        <v>273</v>
      </c>
      <c r="C15" s="7" t="s">
        <v>342</v>
      </c>
      <c r="D15" s="7" t="s">
        <v>323</v>
      </c>
      <c r="E15" s="7" t="s">
        <v>324</v>
      </c>
      <c r="F15" s="8">
        <f>SUMPRODUCT((Results_Long!$A$2:$A$1348=$B15)*(Results_Long!$B$2:$B$1348=$C15)*(Results_Long!$C$2:$C$1348=$D15)*(Results_Long!$D$2:$D$1348=$E15)*ROW(Results_Long!$A$2:$A$1348))</f>
        <v>448</v>
      </c>
      <c r="G15" s="9">
        <f>IF(INDEX(Results_Long!$H:$H,$F15)="","NA",INDEX(Results_Long!$H:$H,$F15))</f>
        <v>929</v>
      </c>
      <c r="H15" s="9">
        <f>IF(INDEX(Results_Long!$I:$I,$F15)="","NA",INDEX(Results_Long!$I:$I,$F15))</f>
        <v>40</v>
      </c>
      <c r="I15" s="9">
        <f>IF(INDEX(Results_Long!$J:$J,$F15)="","NA",INDEX(Results_Long!$J:$J,$F15))</f>
        <v>40</v>
      </c>
      <c r="J15" s="10">
        <f>IF(INDEX(Results_Long!$K:$K,$F15)="","NA",INDEX(Results_Long!$K:$K,$F15))</f>
        <v>-1.2921000363889301E-2</v>
      </c>
      <c r="K15" s="10" t="str">
        <f>IF(INDEX(Results_Long!$P:$P,$F15)="","NA",INDEX(Results_Long!$P:$P,$F15))</f>
        <v>NA</v>
      </c>
      <c r="L15" s="10" t="str">
        <f>IF(INDEX(Results_Long!$Q:$Q,$F15)="","NA",INDEX(Results_Long!$Q:$Q,$F15))</f>
        <v>NA</v>
      </c>
      <c r="M15" s="10" t="str">
        <f>IF(INDEX(Results_Long!$T:$T,$F15)="","NA",INDEX(Results_Long!$T:$T,$F15))</f>
        <v>NA</v>
      </c>
      <c r="N15" s="10" t="str">
        <f>IF(INDEX(Results_Long!$U:$U,$F15)="","NA",INDEX(Results_Long!$U:$U,$F15))</f>
        <v>NA</v>
      </c>
      <c r="O15" s="10" t="str">
        <f>IF(INDEX(Results_Long!$V:$V,$F15)="","NA",INDEX(Results_Long!$V:$V,$F15))</f>
        <v>NA</v>
      </c>
      <c r="P15" s="10">
        <f>IF(INDEX(Results_Long!$L:$L,$F15)="","NA",INDEX(Results_Long!$L:$L,$F15))</f>
        <v>1.7331989345217201E-2</v>
      </c>
      <c r="Q15" s="13">
        <f>IF(INDEX(Results_Long!$M:$M,$F15)="","NA",INDEX(Results_Long!$M:$M,$F15))</f>
        <v>-0.74550013310819996</v>
      </c>
      <c r="R15" s="14">
        <f>IF(INDEX(Results_Long!$N:$N,$F15)="","NA",INDEX(Results_Long!$N:$N,$F15))</f>
        <v>23.4744834169779</v>
      </c>
      <c r="S15" s="10">
        <f>IF(INDEX(Results_Long!$O:$O,$F15)="","NA",INDEX(Results_Long!$O:$O,$F15))</f>
        <v>0.46336936745305102</v>
      </c>
      <c r="T15" s="6" t="str">
        <f>IF(INDEX(Results_Long!$AG:$AG,$F15)="","NA",INDEX(Results_Long!$AG:$AG,$F15))</f>
        <v>NA</v>
      </c>
    </row>
    <row r="17" spans="1:12" ht="15" customHeight="1" x14ac:dyDescent="0.3">
      <c r="A17" s="3" t="s">
        <v>156</v>
      </c>
      <c r="B17" s="3" t="s">
        <v>157</v>
      </c>
      <c r="C17" s="3" t="s">
        <v>158</v>
      </c>
      <c r="D17" s="3" t="s">
        <v>159</v>
      </c>
      <c r="E17" s="3" t="s">
        <v>160</v>
      </c>
      <c r="F17" s="3" t="s">
        <v>161</v>
      </c>
      <c r="G17" s="3" t="s">
        <v>173</v>
      </c>
      <c r="H17" s="3" t="s">
        <v>164</v>
      </c>
      <c r="I17" s="3" t="s">
        <v>165</v>
      </c>
    </row>
    <row r="18" spans="1:12" ht="57" customHeight="1" x14ac:dyDescent="0.3">
      <c r="A18" s="6" t="s">
        <v>343</v>
      </c>
      <c r="B18" s="7" t="s">
        <v>344</v>
      </c>
      <c r="C18" s="7" t="s">
        <v>345</v>
      </c>
      <c r="D18" s="7" t="s">
        <v>169</v>
      </c>
      <c r="E18" s="7" t="s">
        <v>346</v>
      </c>
      <c r="F18" s="8">
        <f>SUMPRODUCT((Results_Long!$A$2:$A$1348=$B18)*(Results_Long!$B$2:$B$1348=$C18)*(Results_Long!$C$2:$C$1348=$D18)*(Results_Long!$D$2:$D$1348=$E18)*ROW(Results_Long!$A$2:$A$1348))</f>
        <v>1348</v>
      </c>
      <c r="G18" s="10" t="str">
        <f>IF(INDEX(Results_Long!$N:$N,$F18)="","NA",INDEX(Results_Long!$N:$N,$F18))</f>
        <v>NA</v>
      </c>
      <c r="H18" s="6">
        <f>IF(INDEX(Results_Long!$AG:$AG,$F18)="","NA",INDEX(Results_Long!$AG:$AG,$F18))</f>
        <v>10</v>
      </c>
      <c r="I18" s="5" t="str">
        <f>IF(INDEX(Results_Long!$AJ:$AJ,$F18)="","NA",INDEX(Results_Long!$AJ:$AJ,$F18))</f>
        <v>core cell keys: paris_mid|none|full|dfE; tie_break_median|none|full|dfE; end_any_exposure|none|full|dfE; share_recut_2017|none|full|dfE; share_recut_2018|none|full|dfE; share_recut_2019|none|full|dfE; end_lag1|none|full|dfE; end_lag2|none|full|dfE; end_lag3|none|full|dfE; clean_window|none|full|dfE</v>
      </c>
    </row>
    <row r="20" spans="1:12" ht="15" customHeight="1" x14ac:dyDescent="0.3">
      <c r="A20" s="11" t="s">
        <v>257</v>
      </c>
    </row>
    <row r="21" spans="1:12" ht="15" customHeight="1" x14ac:dyDescent="0.3">
      <c r="A21" s="21" t="s">
        <v>347</v>
      </c>
      <c r="B21" s="22"/>
      <c r="C21" s="22"/>
      <c r="D21" s="22"/>
      <c r="E21" s="22"/>
      <c r="F21" s="22"/>
      <c r="G21" s="22"/>
      <c r="H21" s="22"/>
      <c r="I21" s="22"/>
      <c r="J21" s="22"/>
    </row>
    <row r="22" spans="1:12" ht="15" customHeight="1" x14ac:dyDescent="0.3">
      <c r="A22" s="21" t="s">
        <v>348</v>
      </c>
      <c r="B22" s="22"/>
      <c r="C22" s="22"/>
      <c r="D22" s="22"/>
      <c r="E22" s="22"/>
      <c r="F22" s="22"/>
      <c r="G22" s="22"/>
      <c r="H22" s="22"/>
      <c r="I22" s="22"/>
      <c r="J22" s="22"/>
    </row>
    <row r="23" spans="1:12" ht="15" customHeight="1" x14ac:dyDescent="0.3">
      <c r="A23" s="21" t="s">
        <v>349</v>
      </c>
      <c r="B23" s="22"/>
      <c r="C23" s="22"/>
      <c r="D23" s="22"/>
      <c r="E23" s="22"/>
      <c r="F23" s="22"/>
      <c r="G23" s="22"/>
      <c r="H23" s="22"/>
      <c r="I23" s="22"/>
      <c r="J23" s="22"/>
    </row>
    <row r="25" spans="1:12" ht="15" customHeight="1" x14ac:dyDescent="0.3">
      <c r="A25" s="3" t="s">
        <v>261</v>
      </c>
      <c r="B25" s="3" t="s">
        <v>262</v>
      </c>
    </row>
    <row r="26" spans="1:12" ht="15" customHeight="1" x14ac:dyDescent="0.3">
      <c r="A26" s="12" t="s">
        <v>350</v>
      </c>
      <c r="B26" s="21" t="s">
        <v>351</v>
      </c>
      <c r="C26" s="22"/>
      <c r="D26" s="22"/>
      <c r="E26" s="22"/>
      <c r="F26" s="22"/>
      <c r="G26" s="22"/>
      <c r="H26" s="22"/>
      <c r="I26" s="22"/>
      <c r="J26" s="22"/>
    </row>
    <row r="27" spans="1:12" ht="15" customHeight="1" x14ac:dyDescent="0.3">
      <c r="A27" s="12" t="s">
        <v>352</v>
      </c>
      <c r="B27" s="21" t="s">
        <v>353</v>
      </c>
      <c r="C27" s="22"/>
      <c r="D27" s="22"/>
      <c r="E27" s="22"/>
      <c r="F27" s="22"/>
      <c r="G27" s="22"/>
      <c r="H27" s="22"/>
      <c r="I27" s="22"/>
      <c r="J27" s="22"/>
    </row>
    <row r="29" spans="1:12" ht="15" customHeight="1" x14ac:dyDescent="0.3">
      <c r="A29" s="23" t="s">
        <v>354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</row>
  </sheetData>
  <mergeCells count="6">
    <mergeCell ref="A23:J23"/>
    <mergeCell ref="A29:L29"/>
    <mergeCell ref="A22:J22"/>
    <mergeCell ref="A21:J21"/>
    <mergeCell ref="B26:J26"/>
    <mergeCell ref="B27:J2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"/>
  <sheetViews>
    <sheetView zoomScaleNormal="100" workbookViewId="0"/>
  </sheetViews>
  <sheetFormatPr baseColWidth="10" defaultColWidth="8.6640625" defaultRowHeight="14.4" x14ac:dyDescent="0.3"/>
  <cols>
    <col min="1" max="1" width="55" customWidth="1"/>
    <col min="2" max="2" width="110" customWidth="1"/>
    <col min="3" max="3" width="26" customWidth="1"/>
    <col min="4" max="4" width="22" customWidth="1"/>
    <col min="5" max="5" width="18" customWidth="1"/>
    <col min="6" max="6" width="8" customWidth="1"/>
    <col min="7" max="8" width="9" customWidth="1"/>
    <col min="9" max="10" width="60" customWidth="1"/>
  </cols>
  <sheetData>
    <row r="1" spans="1:10" ht="15" customHeight="1" x14ac:dyDescent="0.3">
      <c r="A1" s="1" t="s">
        <v>355</v>
      </c>
    </row>
    <row r="2" spans="1:10" ht="15" customHeight="1" x14ac:dyDescent="0.3">
      <c r="A2" s="2" t="s">
        <v>356</v>
      </c>
    </row>
    <row r="3" spans="1:10" ht="15" customHeight="1" x14ac:dyDescent="0.3">
      <c r="A3" s="2" t="s">
        <v>2</v>
      </c>
    </row>
    <row r="5" spans="1:10" ht="15" customHeight="1" x14ac:dyDescent="0.3">
      <c r="A5" s="3" t="s">
        <v>156</v>
      </c>
      <c r="B5" s="3" t="s">
        <v>157</v>
      </c>
      <c r="C5" s="3" t="s">
        <v>158</v>
      </c>
      <c r="D5" s="3" t="s">
        <v>159</v>
      </c>
      <c r="E5" s="3" t="s">
        <v>160</v>
      </c>
      <c r="F5" s="3" t="s">
        <v>161</v>
      </c>
      <c r="G5" s="3" t="s">
        <v>162</v>
      </c>
      <c r="H5" s="3" t="s">
        <v>163</v>
      </c>
      <c r="I5" s="3" t="s">
        <v>164</v>
      </c>
      <c r="J5" s="3" t="s">
        <v>165</v>
      </c>
    </row>
    <row r="6" spans="1:10" ht="57" customHeight="1" x14ac:dyDescent="0.3">
      <c r="A6" s="6" t="s">
        <v>357</v>
      </c>
      <c r="B6" s="7" t="s">
        <v>358</v>
      </c>
      <c r="C6" s="7" t="s">
        <v>359</v>
      </c>
      <c r="D6" s="7" t="s">
        <v>169</v>
      </c>
      <c r="E6" s="7" t="s">
        <v>65</v>
      </c>
      <c r="F6" s="8">
        <f>SUMPRODUCT((Results_Long!$A$2:$A$1348=$B6)*(Results_Long!$B$2:$B$1348=$C6)*(Results_Long!$C$2:$C$1348=$D6)*(Results_Long!$D$2:$D$1348=$E6)*ROW(Results_Long!$A$2:$A$1348))</f>
        <v>72</v>
      </c>
      <c r="G6" s="9">
        <f>IF(INDEX(Results_Long!$H:$H,$F6)="","NA",INDEX(Results_Long!$H:$H,$F6))</f>
        <v>2705</v>
      </c>
      <c r="H6" s="9">
        <f>IF(INDEX(Results_Long!$J:$J,$F6)="","NA",INDEX(Results_Long!$J:$J,$F6))</f>
        <v>112</v>
      </c>
      <c r="I6" s="6">
        <f>IF(INDEX(Results_Long!$AG:$AG,$F6)="","NA",INDEX(Results_Long!$AG:$AG,$F6))</f>
        <v>0.34131736526946099</v>
      </c>
      <c r="J6" s="5" t="str">
        <f>IF(INDEX(Results_Long!$AJ:$AJ,$F6)="","NA",INDEX(Results_Long!$AJ:$AJ,$F6))</f>
        <v>time-translation permutation, identical list as H5 [H-Q16/H-Q20]: p = (1 + 170) / (500 + 1); observed sup |t| = 2.122533 (from TH_a_results.csv observed_sup); admissible years fixed at the observed design: 2008, 2009, 2010, 2011, 2012, 2013, 2014, 2015, 2016, 2017, 2018, 2019; exceed count = 170 of 500 effective</v>
      </c>
    </row>
    <row r="7" spans="1:10" ht="15" customHeight="1" x14ac:dyDescent="0.3">
      <c r="A7" s="6" t="s">
        <v>282</v>
      </c>
      <c r="B7" s="7" t="s">
        <v>358</v>
      </c>
      <c r="C7" s="7" t="s">
        <v>359</v>
      </c>
      <c r="D7" s="7" t="s">
        <v>169</v>
      </c>
      <c r="E7" s="7" t="s">
        <v>74</v>
      </c>
      <c r="F7" s="8">
        <f>SUMPRODUCT((Results_Long!$A$2:$A$1348=$B7)*(Results_Long!$B$2:$B$1348=$C7)*(Results_Long!$C$2:$C$1348=$D7)*(Results_Long!$D$2:$D$1348=$E7)*ROW(Results_Long!$A$2:$A$1348))</f>
        <v>73</v>
      </c>
      <c r="G7" s="9" t="str">
        <f>IF(INDEX(Results_Long!$H:$H,$F7)="","NA",INDEX(Results_Long!$H:$H,$F7))</f>
        <v>NA</v>
      </c>
      <c r="H7" s="9" t="str">
        <f>IF(INDEX(Results_Long!$J:$J,$F7)="","NA",INDEX(Results_Long!$J:$J,$F7))</f>
        <v>NA</v>
      </c>
      <c r="I7" s="6">
        <f>IF(INDEX(Results_Long!$AG:$AG,$F7)="","NA",INDEX(Results_Long!$AG:$AG,$F7))</f>
        <v>500</v>
      </c>
      <c r="J7" s="5" t="str">
        <f>IF(INDEX(Results_Long!$AJ:$AJ,$F7)="","NA",INDEX(Results_Long!$AJ:$AJ,$F7))</f>
        <v>effective replicates (finite sup statistic) of 500</v>
      </c>
    </row>
    <row r="9" spans="1:10" ht="15" customHeight="1" x14ac:dyDescent="0.3">
      <c r="A9" s="3" t="s">
        <v>156</v>
      </c>
      <c r="B9" s="3" t="s">
        <v>157</v>
      </c>
      <c r="C9" s="3" t="s">
        <v>158</v>
      </c>
      <c r="D9" s="3" t="s">
        <v>159</v>
      </c>
      <c r="E9" s="3" t="s">
        <v>160</v>
      </c>
      <c r="F9" s="3" t="s">
        <v>161</v>
      </c>
      <c r="G9" s="3" t="s">
        <v>173</v>
      </c>
      <c r="H9" s="3" t="s">
        <v>164</v>
      </c>
      <c r="I9" s="3" t="s">
        <v>165</v>
      </c>
    </row>
    <row r="10" spans="1:10" ht="34.5" customHeight="1" x14ac:dyDescent="0.3">
      <c r="A10" s="6" t="s">
        <v>360</v>
      </c>
      <c r="B10" s="7" t="s">
        <v>344</v>
      </c>
      <c r="C10" s="7" t="s">
        <v>345</v>
      </c>
      <c r="D10" s="7" t="s">
        <v>169</v>
      </c>
      <c r="E10" s="7" t="s">
        <v>361</v>
      </c>
      <c r="F10" s="8">
        <f>SUMPRODUCT((Results_Long!$A$2:$A$1348=$B10)*(Results_Long!$B$2:$B$1348=$C10)*(Results_Long!$C$2:$C$1348=$D10)*(Results_Long!$D$2:$D$1348=$E10)*ROW(Results_Long!$A$2:$A$1348))</f>
        <v>1344</v>
      </c>
      <c r="G10" s="10" t="str">
        <f>IF(INDEX(Results_Long!$N:$N,$F10)="","NA",INDEX(Results_Long!$N:$N,$F10))</f>
        <v>NA</v>
      </c>
      <c r="H10" s="6">
        <f>IF(INDEX(Results_Long!$AG:$AG,$F10)="","NA",INDEX(Results_Long!$AG:$AG,$F10))</f>
        <v>12</v>
      </c>
      <c r="I10" s="5" t="str">
        <f>IF(INDEX(Results_Long!$AJ:$AJ,$F10)="","NA",INDEX(Results_Long!$AJ:$AJ,$F10))</f>
        <v>read from TH_a_results.csv design row and membership-verified: 2008, 2009, 2010, 2011, 2012, 2013, 2014, 2015, 2016, 2017, 2018, 2019; recomputation identity via the observed permutation-pass machinery</v>
      </c>
    </row>
    <row r="12" spans="1:10" ht="15" customHeight="1" x14ac:dyDescent="0.3">
      <c r="A12" s="11" t="s">
        <v>257</v>
      </c>
    </row>
    <row r="13" spans="1:10" ht="15" customHeight="1" x14ac:dyDescent="0.3">
      <c r="A13" s="21" t="s">
        <v>362</v>
      </c>
      <c r="B13" s="22"/>
      <c r="C13" s="22"/>
      <c r="D13" s="22"/>
      <c r="E13" s="22"/>
      <c r="F13" s="22"/>
      <c r="G13" s="22"/>
      <c r="H13" s="22"/>
      <c r="I13" s="22"/>
      <c r="J13" s="22"/>
    </row>
    <row r="14" spans="1:10" ht="15" customHeight="1" x14ac:dyDescent="0.3">
      <c r="A14" s="21" t="s">
        <v>363</v>
      </c>
      <c r="B14" s="22"/>
      <c r="C14" s="22"/>
      <c r="D14" s="22"/>
      <c r="E14" s="22"/>
      <c r="F14" s="22"/>
      <c r="G14" s="22"/>
      <c r="H14" s="22"/>
      <c r="I14" s="22"/>
      <c r="J14" s="22"/>
    </row>
    <row r="16" spans="1:10" ht="15" customHeight="1" x14ac:dyDescent="0.3">
      <c r="A16" s="3" t="s">
        <v>261</v>
      </c>
      <c r="B16" s="3" t="s">
        <v>262</v>
      </c>
    </row>
    <row r="17" spans="1:12" ht="15" customHeight="1" x14ac:dyDescent="0.3">
      <c r="A17" s="12" t="s">
        <v>364</v>
      </c>
      <c r="B17" s="21" t="s">
        <v>365</v>
      </c>
      <c r="C17" s="22"/>
      <c r="D17" s="22"/>
      <c r="E17" s="22"/>
      <c r="F17" s="22"/>
      <c r="G17" s="22"/>
      <c r="H17" s="22"/>
      <c r="I17" s="22"/>
      <c r="J17" s="22"/>
    </row>
    <row r="19" spans="1:12" ht="15" customHeight="1" x14ac:dyDescent="0.3">
      <c r="A19" s="23" t="s">
        <v>366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</row>
  </sheetData>
  <mergeCells count="4">
    <mergeCell ref="B17:J17"/>
    <mergeCell ref="A13:J13"/>
    <mergeCell ref="A19:L19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9"/>
  <sheetViews>
    <sheetView zoomScaleNormal="100" workbookViewId="0"/>
  </sheetViews>
  <sheetFormatPr baseColWidth="10" defaultColWidth="8.6640625" defaultRowHeight="14.4" x14ac:dyDescent="0.3"/>
  <cols>
    <col min="1" max="1" width="55" customWidth="1"/>
    <col min="2" max="2" width="110" customWidth="1"/>
    <col min="3" max="3" width="26" customWidth="1"/>
    <col min="4" max="4" width="22" customWidth="1"/>
    <col min="5" max="5" width="18" customWidth="1"/>
    <col min="6" max="6" width="8" customWidth="1"/>
    <col min="7" max="8" width="9" customWidth="1"/>
    <col min="9" max="10" width="60" customWidth="1"/>
  </cols>
  <sheetData>
    <row r="1" spans="1:10" ht="15" customHeight="1" x14ac:dyDescent="0.3">
      <c r="A1" s="1" t="s">
        <v>367</v>
      </c>
    </row>
    <row r="2" spans="1:10" ht="15" customHeight="1" x14ac:dyDescent="0.3">
      <c r="A2" s="2" t="s">
        <v>368</v>
      </c>
    </row>
    <row r="3" spans="1:10" ht="15" customHeight="1" x14ac:dyDescent="0.3">
      <c r="A3" s="2" t="s">
        <v>2</v>
      </c>
    </row>
    <row r="5" spans="1:10" ht="15" customHeight="1" x14ac:dyDescent="0.3">
      <c r="A5" s="3" t="s">
        <v>156</v>
      </c>
      <c r="B5" s="3" t="s">
        <v>157</v>
      </c>
      <c r="C5" s="3" t="s">
        <v>158</v>
      </c>
      <c r="D5" s="3" t="s">
        <v>159</v>
      </c>
      <c r="E5" s="3" t="s">
        <v>160</v>
      </c>
      <c r="F5" s="3" t="s">
        <v>161</v>
      </c>
      <c r="G5" s="3" t="s">
        <v>162</v>
      </c>
      <c r="H5" s="3" t="s">
        <v>163</v>
      </c>
      <c r="I5" s="3" t="s">
        <v>164</v>
      </c>
      <c r="J5" s="3" t="s">
        <v>165</v>
      </c>
    </row>
    <row r="6" spans="1:10" ht="45.75" customHeight="1" x14ac:dyDescent="0.3">
      <c r="A6" s="6" t="s">
        <v>369</v>
      </c>
      <c r="B6" s="7" t="s">
        <v>370</v>
      </c>
      <c r="C6" s="7" t="s">
        <v>371</v>
      </c>
      <c r="D6" s="7" t="s">
        <v>169</v>
      </c>
      <c r="E6" s="7" t="s">
        <v>65</v>
      </c>
      <c r="F6" s="8">
        <f>SUMPRODUCT((Results_Long!$A$2:$A$1348=$B6)*(Results_Long!$B$2:$B$1348=$C6)*(Results_Long!$C$2:$C$1348=$D6)*(Results_Long!$D$2:$D$1348=$E6)*ROW(Results_Long!$A$2:$A$1348))</f>
        <v>70</v>
      </c>
      <c r="G6" s="9">
        <f>IF(INDEX(Results_Long!$H:$H,$F6)="","NA",INDEX(Results_Long!$H:$H,$F6))</f>
        <v>2705</v>
      </c>
      <c r="H6" s="9">
        <f>IF(INDEX(Results_Long!$J:$J,$F6)="","NA",INDEX(Results_Long!$J:$J,$F6))</f>
        <v>112</v>
      </c>
      <c r="I6" s="6">
        <f>IF(INDEX(Results_Long!$AG:$AG,$F6)="","NA",INDEX(Results_Long!$AG:$AG,$F6))</f>
        <v>0.40119760479041899</v>
      </c>
      <c r="J6" s="5" t="str">
        <f>IF(INDEX(Results_Long!$AJ:$AJ,$F6)="","NA",INDEX(Results_Long!$AJ:$AJ,$F6))</f>
        <v>time-translation permutation [H-Q20]: p = (1 + 200) / (500 + 1); observed |t_race| = 1.052421 (pp_mid coefficient of the T8 race model; point estimate/p_CR2 live in T8 — single-home [4a]); B = 500, exceed count = 200 of 500 effective</v>
      </c>
    </row>
    <row r="7" spans="1:10" ht="23.25" customHeight="1" x14ac:dyDescent="0.3">
      <c r="A7" s="6" t="s">
        <v>282</v>
      </c>
      <c r="B7" s="7" t="s">
        <v>370</v>
      </c>
      <c r="C7" s="7" t="s">
        <v>371</v>
      </c>
      <c r="D7" s="7" t="s">
        <v>169</v>
      </c>
      <c r="E7" s="7" t="s">
        <v>74</v>
      </c>
      <c r="F7" s="8">
        <f>SUMPRODUCT((Results_Long!$A$2:$A$1348=$B7)*(Results_Long!$B$2:$B$1348=$C7)*(Results_Long!$C$2:$C$1348=$D7)*(Results_Long!$D$2:$D$1348=$E7)*ROW(Results_Long!$A$2:$A$1348))</f>
        <v>71</v>
      </c>
      <c r="G7" s="9" t="str">
        <f>IF(INDEX(Results_Long!$H:$H,$F7)="","NA",INDEX(Results_Long!$H:$H,$F7))</f>
        <v>NA</v>
      </c>
      <c r="H7" s="9" t="str">
        <f>IF(INDEX(Results_Long!$J:$J,$F7)="","NA",INDEX(Results_Long!$J:$J,$F7))</f>
        <v>NA</v>
      </c>
      <c r="I7" s="6">
        <f>IF(INDEX(Results_Long!$AG:$AG,$F7)="","NA",INDEX(Results_Long!$AG:$AG,$F7))</f>
        <v>500</v>
      </c>
      <c r="J7" s="5" t="str">
        <f>IF(INDEX(Results_Long!$AJ:$AJ,$F7)="","NA",INDEX(Results_Long!$AJ:$AJ,$F7))</f>
        <v>effective replicates (finite race statistic) of 500; failed replicates dropped from the denominator, share &lt;= 0.01 enforced</v>
      </c>
    </row>
    <row r="9" spans="1:10" ht="15" customHeight="1" x14ac:dyDescent="0.3">
      <c r="A9" s="3" t="s">
        <v>156</v>
      </c>
      <c r="B9" s="3" t="s">
        <v>157</v>
      </c>
      <c r="C9" s="3" t="s">
        <v>158</v>
      </c>
      <c r="D9" s="3" t="s">
        <v>159</v>
      </c>
      <c r="E9" s="3" t="s">
        <v>160</v>
      </c>
      <c r="F9" s="3" t="s">
        <v>161</v>
      </c>
      <c r="G9" s="3" t="s">
        <v>173</v>
      </c>
      <c r="H9" s="3" t="s">
        <v>164</v>
      </c>
      <c r="I9" s="3" t="s">
        <v>165</v>
      </c>
    </row>
    <row r="10" spans="1:10" ht="34.5" customHeight="1" x14ac:dyDescent="0.3">
      <c r="A10" s="6" t="s">
        <v>372</v>
      </c>
      <c r="B10" s="7" t="s">
        <v>344</v>
      </c>
      <c r="C10" s="7" t="s">
        <v>345</v>
      </c>
      <c r="D10" s="7" t="s">
        <v>169</v>
      </c>
      <c r="E10" s="7" t="s">
        <v>373</v>
      </c>
      <c r="F10" s="8">
        <f>SUMPRODUCT((Results_Long!$A$2:$A$1348=$B10)*(Results_Long!$B$2:$B$1348=$C10)*(Results_Long!$C$2:$C$1348=$D10)*(Results_Long!$D$2:$D$1348=$E10)*ROW(Results_Long!$A$2:$A$1348))</f>
        <v>1343</v>
      </c>
      <c r="G10" s="10" t="str">
        <f>IF(INDEX(Results_Long!$N:$N,$F10)="","NA",INDEX(Results_Long!$N:$N,$F10))</f>
        <v>NA</v>
      </c>
      <c r="H10" s="6" t="str">
        <f>IF(INDEX(Results_Long!$AG:$AG,$F10)="","NA",INDEX(Results_Long!$AG:$AG,$F10))</f>
        <v>NA</v>
      </c>
      <c r="I10" s="5" t="str">
        <f>IF(INDEX(Results_Long!$AJ:$AJ,$F10)="","NA",INDEX(Results_Long!$AJ:$AJ,$F10))</f>
        <v>F65 gates PASSED: committed T8 B4/race/pp_mid_lag0 matched embedded constants at 1e-9; observed refit identity at 1e-6; |t_race_obs| = 1.052421</v>
      </c>
    </row>
    <row r="12" spans="1:10" ht="15" customHeight="1" x14ac:dyDescent="0.3">
      <c r="A12" s="11" t="s">
        <v>257</v>
      </c>
    </row>
    <row r="13" spans="1:10" ht="15" customHeight="1" x14ac:dyDescent="0.3">
      <c r="A13" s="21" t="s">
        <v>374</v>
      </c>
      <c r="B13" s="22"/>
      <c r="C13" s="22"/>
      <c r="D13" s="22"/>
      <c r="E13" s="22"/>
      <c r="F13" s="22"/>
      <c r="G13" s="22"/>
      <c r="H13" s="22"/>
      <c r="I13" s="22"/>
      <c r="J13" s="22"/>
    </row>
    <row r="14" spans="1:10" ht="15" customHeight="1" x14ac:dyDescent="0.3">
      <c r="A14" s="21" t="s">
        <v>375</v>
      </c>
      <c r="B14" s="22"/>
      <c r="C14" s="22"/>
      <c r="D14" s="22"/>
      <c r="E14" s="22"/>
      <c r="F14" s="22"/>
      <c r="G14" s="22"/>
      <c r="H14" s="22"/>
      <c r="I14" s="22"/>
      <c r="J14" s="22"/>
    </row>
    <row r="16" spans="1:10" ht="15" customHeight="1" x14ac:dyDescent="0.3">
      <c r="A16" s="3" t="s">
        <v>261</v>
      </c>
      <c r="B16" s="3" t="s">
        <v>262</v>
      </c>
    </row>
    <row r="17" spans="1:12" ht="15" customHeight="1" x14ac:dyDescent="0.3">
      <c r="A17" s="12" t="s">
        <v>376</v>
      </c>
      <c r="B17" s="21" t="s">
        <v>377</v>
      </c>
      <c r="C17" s="22"/>
      <c r="D17" s="22"/>
      <c r="E17" s="22"/>
      <c r="F17" s="22"/>
      <c r="G17" s="22"/>
      <c r="H17" s="22"/>
      <c r="I17" s="22"/>
      <c r="J17" s="22"/>
    </row>
    <row r="19" spans="1:12" ht="15" customHeight="1" x14ac:dyDescent="0.3">
      <c r="A19" s="23" t="s">
        <v>378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</row>
  </sheetData>
  <mergeCells count="4">
    <mergeCell ref="B17:J17"/>
    <mergeCell ref="A13:J13"/>
    <mergeCell ref="A19:L19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J134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4.4" x14ac:dyDescent="0.3"/>
  <cols>
    <col min="1" max="35" width="13" customWidth="1"/>
    <col min="36" max="36" width="60" customWidth="1"/>
  </cols>
  <sheetData>
    <row r="1" spans="1:36" ht="15" customHeight="1" x14ac:dyDescent="0.3">
      <c r="A1" s="15" t="s">
        <v>157</v>
      </c>
      <c r="B1" s="15" t="s">
        <v>158</v>
      </c>
      <c r="C1" s="15" t="s">
        <v>159</v>
      </c>
      <c r="D1" s="15" t="s">
        <v>160</v>
      </c>
      <c r="E1" s="15" t="s">
        <v>379</v>
      </c>
      <c r="F1" s="15" t="s">
        <v>380</v>
      </c>
      <c r="G1" s="15" t="s">
        <v>381</v>
      </c>
      <c r="H1" s="15" t="s">
        <v>162</v>
      </c>
      <c r="I1" s="15" t="s">
        <v>382</v>
      </c>
      <c r="J1" s="15" t="s">
        <v>383</v>
      </c>
      <c r="K1" s="15" t="s">
        <v>311</v>
      </c>
      <c r="L1" s="15" t="s">
        <v>317</v>
      </c>
      <c r="M1" s="15" t="s">
        <v>384</v>
      </c>
      <c r="N1" s="15" t="s">
        <v>319</v>
      </c>
      <c r="O1" s="15" t="s">
        <v>320</v>
      </c>
      <c r="P1" s="15" t="s">
        <v>312</v>
      </c>
      <c r="Q1" s="15" t="s">
        <v>313</v>
      </c>
      <c r="R1" s="15" t="s">
        <v>385</v>
      </c>
      <c r="S1" s="15" t="s">
        <v>386</v>
      </c>
      <c r="T1" s="15" t="s">
        <v>314</v>
      </c>
      <c r="U1" s="15" t="s">
        <v>315</v>
      </c>
      <c r="V1" s="15" t="s">
        <v>316</v>
      </c>
      <c r="W1" s="15" t="s">
        <v>387</v>
      </c>
      <c r="X1" s="15" t="s">
        <v>388</v>
      </c>
      <c r="Y1" s="15" t="s">
        <v>389</v>
      </c>
      <c r="Z1" s="15" t="s">
        <v>390</v>
      </c>
      <c r="AA1" s="15" t="s">
        <v>391</v>
      </c>
      <c r="AB1" s="15" t="s">
        <v>392</v>
      </c>
      <c r="AC1" s="15" t="s">
        <v>393</v>
      </c>
      <c r="AD1" s="15" t="s">
        <v>394</v>
      </c>
      <c r="AE1" s="15" t="s">
        <v>395</v>
      </c>
      <c r="AF1" s="15" t="s">
        <v>396</v>
      </c>
      <c r="AG1" s="15" t="s">
        <v>164</v>
      </c>
      <c r="AH1" s="15" t="s">
        <v>397</v>
      </c>
      <c r="AI1" s="15" t="s">
        <v>398</v>
      </c>
      <c r="AJ1" s="15" t="s">
        <v>399</v>
      </c>
    </row>
    <row r="2" spans="1:36" ht="15" customHeight="1" x14ac:dyDescent="0.3">
      <c r="A2" s="16" t="s">
        <v>167</v>
      </c>
      <c r="B2" s="16" t="s">
        <v>175</v>
      </c>
      <c r="C2" s="16" t="s">
        <v>169</v>
      </c>
      <c r="D2" s="16" t="s">
        <v>176</v>
      </c>
      <c r="E2" s="16" t="s">
        <v>400</v>
      </c>
      <c r="F2" s="16" t="s">
        <v>401</v>
      </c>
      <c r="G2" s="16">
        <v>0.6</v>
      </c>
      <c r="H2" s="16">
        <v>2705</v>
      </c>
      <c r="I2" s="16"/>
      <c r="J2" s="16">
        <v>112</v>
      </c>
      <c r="K2" s="16"/>
      <c r="L2" s="16"/>
      <c r="M2" s="16"/>
      <c r="N2" s="16">
        <v>11.576259399726901</v>
      </c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>
        <v>3.2000000000000001E-2</v>
      </c>
      <c r="AH2" s="16" t="s">
        <v>402</v>
      </c>
      <c r="AI2" s="16"/>
      <c r="AJ2" s="16" t="s">
        <v>403</v>
      </c>
    </row>
    <row r="3" spans="1:36" ht="15" customHeight="1" x14ac:dyDescent="0.3">
      <c r="A3" s="16" t="s">
        <v>167</v>
      </c>
      <c r="B3" s="16" t="s">
        <v>175</v>
      </c>
      <c r="C3" s="16" t="s">
        <v>169</v>
      </c>
      <c r="D3" s="16" t="s">
        <v>178</v>
      </c>
      <c r="E3" s="16" t="s">
        <v>400</v>
      </c>
      <c r="F3" s="16" t="s">
        <v>401</v>
      </c>
      <c r="G3" s="16">
        <v>0.6</v>
      </c>
      <c r="H3" s="16">
        <v>2705</v>
      </c>
      <c r="I3" s="16"/>
      <c r="J3" s="16">
        <v>112</v>
      </c>
      <c r="K3" s="16"/>
      <c r="L3" s="16"/>
      <c r="M3" s="16"/>
      <c r="N3" s="16">
        <v>11.576259399726901</v>
      </c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>
        <v>5.1999999999999998E-2</v>
      </c>
      <c r="AH3" s="16" t="s">
        <v>402</v>
      </c>
      <c r="AI3" s="16"/>
      <c r="AJ3" s="16" t="s">
        <v>403</v>
      </c>
    </row>
    <row r="4" spans="1:36" ht="15" customHeight="1" x14ac:dyDescent="0.3">
      <c r="A4" s="16" t="s">
        <v>167</v>
      </c>
      <c r="B4" s="16" t="s">
        <v>175</v>
      </c>
      <c r="C4" s="16" t="s">
        <v>169</v>
      </c>
      <c r="D4" s="16" t="s">
        <v>180</v>
      </c>
      <c r="E4" s="16" t="s">
        <v>400</v>
      </c>
      <c r="F4" s="16" t="s">
        <v>401</v>
      </c>
      <c r="G4" s="16">
        <v>0.6</v>
      </c>
      <c r="H4" s="16">
        <v>2705</v>
      </c>
      <c r="I4" s="16"/>
      <c r="J4" s="16">
        <v>112</v>
      </c>
      <c r="K4" s="16"/>
      <c r="L4" s="16"/>
      <c r="M4" s="16"/>
      <c r="N4" s="16">
        <v>11.576259399726901</v>
      </c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>
        <v>0.1142</v>
      </c>
      <c r="AH4" s="16" t="s">
        <v>402</v>
      </c>
      <c r="AI4" s="16"/>
      <c r="AJ4" s="16" t="s">
        <v>403</v>
      </c>
    </row>
    <row r="5" spans="1:36" ht="15" customHeight="1" x14ac:dyDescent="0.3">
      <c r="A5" s="16" t="s">
        <v>167</v>
      </c>
      <c r="B5" s="16" t="s">
        <v>175</v>
      </c>
      <c r="C5" s="16" t="s">
        <v>169</v>
      </c>
      <c r="D5" s="16" t="s">
        <v>182</v>
      </c>
      <c r="E5" s="16" t="s">
        <v>400</v>
      </c>
      <c r="F5" s="16" t="s">
        <v>401</v>
      </c>
      <c r="G5" s="16">
        <v>0.6</v>
      </c>
      <c r="H5" s="16">
        <v>2705</v>
      </c>
      <c r="I5" s="16"/>
      <c r="J5" s="16">
        <v>112</v>
      </c>
      <c r="K5" s="16"/>
      <c r="L5" s="16"/>
      <c r="M5" s="16"/>
      <c r="N5" s="16">
        <v>11.576259399726901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>
        <v>0.23799999999999999</v>
      </c>
      <c r="AH5" s="16" t="s">
        <v>402</v>
      </c>
      <c r="AI5" s="16"/>
      <c r="AJ5" s="16" t="s">
        <v>403</v>
      </c>
    </row>
    <row r="6" spans="1:36" ht="15" customHeight="1" x14ac:dyDescent="0.3">
      <c r="A6" s="16" t="s">
        <v>167</v>
      </c>
      <c r="B6" s="16" t="s">
        <v>175</v>
      </c>
      <c r="C6" s="16" t="s">
        <v>169</v>
      </c>
      <c r="D6" s="16" t="s">
        <v>184</v>
      </c>
      <c r="E6" s="16" t="s">
        <v>400</v>
      </c>
      <c r="F6" s="16" t="s">
        <v>401</v>
      </c>
      <c r="G6" s="16">
        <v>0.6</v>
      </c>
      <c r="H6" s="16">
        <v>2705</v>
      </c>
      <c r="I6" s="16"/>
      <c r="J6" s="16">
        <v>112</v>
      </c>
      <c r="K6" s="16"/>
      <c r="L6" s="16"/>
      <c r="M6" s="16"/>
      <c r="N6" s="16">
        <v>11.576259399726901</v>
      </c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>
        <v>0.41320000000000001</v>
      </c>
      <c r="AH6" s="16" t="s">
        <v>402</v>
      </c>
      <c r="AI6" s="16"/>
      <c r="AJ6" s="16" t="s">
        <v>403</v>
      </c>
    </row>
    <row r="7" spans="1:36" ht="15" customHeight="1" x14ac:dyDescent="0.3">
      <c r="A7" s="16" t="s">
        <v>167</v>
      </c>
      <c r="B7" s="16" t="s">
        <v>175</v>
      </c>
      <c r="C7" s="16" t="s">
        <v>169</v>
      </c>
      <c r="D7" s="16" t="s">
        <v>186</v>
      </c>
      <c r="E7" s="16" t="s">
        <v>400</v>
      </c>
      <c r="F7" s="16" t="s">
        <v>401</v>
      </c>
      <c r="G7" s="16">
        <v>0.6</v>
      </c>
      <c r="H7" s="16">
        <v>2705</v>
      </c>
      <c r="I7" s="16"/>
      <c r="J7" s="16">
        <v>112</v>
      </c>
      <c r="K7" s="16"/>
      <c r="L7" s="16"/>
      <c r="M7" s="16"/>
      <c r="N7" s="16">
        <v>11.576259399726901</v>
      </c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>
        <v>0.60040000000000004</v>
      </c>
      <c r="AH7" s="16" t="s">
        <v>402</v>
      </c>
      <c r="AI7" s="16"/>
      <c r="AJ7" s="16" t="s">
        <v>403</v>
      </c>
    </row>
    <row r="8" spans="1:36" ht="15" customHeight="1" x14ac:dyDescent="0.3">
      <c r="A8" s="16" t="s">
        <v>167</v>
      </c>
      <c r="B8" s="16" t="s">
        <v>175</v>
      </c>
      <c r="C8" s="16" t="s">
        <v>169</v>
      </c>
      <c r="D8" s="16" t="s">
        <v>188</v>
      </c>
      <c r="E8" s="16" t="s">
        <v>400</v>
      </c>
      <c r="F8" s="16" t="s">
        <v>401</v>
      </c>
      <c r="G8" s="16">
        <v>0.6</v>
      </c>
      <c r="H8" s="16">
        <v>2705</v>
      </c>
      <c r="I8" s="16"/>
      <c r="J8" s="16">
        <v>112</v>
      </c>
      <c r="K8" s="16"/>
      <c r="L8" s="16"/>
      <c r="M8" s="16"/>
      <c r="N8" s="16">
        <v>11.576259399726901</v>
      </c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>
        <v>0.76839999999999997</v>
      </c>
      <c r="AH8" s="16" t="s">
        <v>402</v>
      </c>
      <c r="AI8" s="16"/>
      <c r="AJ8" s="16" t="s">
        <v>403</v>
      </c>
    </row>
    <row r="9" spans="1:36" ht="15" customHeight="1" x14ac:dyDescent="0.3">
      <c r="A9" s="16" t="s">
        <v>167</v>
      </c>
      <c r="B9" s="16" t="s">
        <v>175</v>
      </c>
      <c r="C9" s="16" t="s">
        <v>169</v>
      </c>
      <c r="D9" s="16" t="s">
        <v>190</v>
      </c>
      <c r="E9" s="16" t="s">
        <v>400</v>
      </c>
      <c r="F9" s="16" t="s">
        <v>401</v>
      </c>
      <c r="G9" s="16">
        <v>0.6</v>
      </c>
      <c r="H9" s="16">
        <v>2705</v>
      </c>
      <c r="I9" s="16"/>
      <c r="J9" s="16">
        <v>112</v>
      </c>
      <c r="K9" s="16"/>
      <c r="L9" s="16"/>
      <c r="M9" s="16"/>
      <c r="N9" s="16">
        <v>11.576259399726901</v>
      </c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>
        <v>0.88680000000000003</v>
      </c>
      <c r="AH9" s="16" t="s">
        <v>402</v>
      </c>
      <c r="AI9" s="16"/>
      <c r="AJ9" s="16" t="s">
        <v>403</v>
      </c>
    </row>
    <row r="10" spans="1:36" ht="15" customHeight="1" x14ac:dyDescent="0.3">
      <c r="A10" s="16" t="s">
        <v>167</v>
      </c>
      <c r="B10" s="16" t="s">
        <v>175</v>
      </c>
      <c r="C10" s="16" t="s">
        <v>169</v>
      </c>
      <c r="D10" s="16" t="s">
        <v>192</v>
      </c>
      <c r="E10" s="16" t="s">
        <v>400</v>
      </c>
      <c r="F10" s="16" t="s">
        <v>401</v>
      </c>
      <c r="G10" s="16">
        <v>0.6</v>
      </c>
      <c r="H10" s="16">
        <v>2705</v>
      </c>
      <c r="I10" s="16"/>
      <c r="J10" s="16">
        <v>112</v>
      </c>
      <c r="K10" s="16"/>
      <c r="L10" s="16"/>
      <c r="M10" s="16"/>
      <c r="N10" s="16">
        <v>11.576259399726901</v>
      </c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>
        <v>0.9526</v>
      </c>
      <c r="AH10" s="16" t="s">
        <v>402</v>
      </c>
      <c r="AI10" s="16"/>
      <c r="AJ10" s="16" t="s">
        <v>403</v>
      </c>
    </row>
    <row r="11" spans="1:36" ht="15" customHeight="1" x14ac:dyDescent="0.3">
      <c r="A11" s="16" t="s">
        <v>167</v>
      </c>
      <c r="B11" s="16" t="s">
        <v>175</v>
      </c>
      <c r="C11" s="16" t="s">
        <v>169</v>
      </c>
      <c r="D11" s="16" t="s">
        <v>194</v>
      </c>
      <c r="E11" s="16" t="s">
        <v>404</v>
      </c>
      <c r="F11" s="16" t="s">
        <v>401</v>
      </c>
      <c r="G11" s="16">
        <v>0.6</v>
      </c>
      <c r="H11" s="16">
        <v>2705</v>
      </c>
      <c r="I11" s="16"/>
      <c r="J11" s="16">
        <v>112</v>
      </c>
      <c r="K11" s="16"/>
      <c r="L11" s="16"/>
      <c r="M11" s="16"/>
      <c r="N11" s="16">
        <v>11.576259399726901</v>
      </c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>
        <v>6.2668918918918903E-2</v>
      </c>
      <c r="AH11" s="16" t="s">
        <v>402</v>
      </c>
      <c r="AI11" s="16"/>
      <c r="AJ11" s="16" t="s">
        <v>405</v>
      </c>
    </row>
    <row r="12" spans="1:36" ht="15" customHeight="1" x14ac:dyDescent="0.3">
      <c r="A12" s="16" t="s">
        <v>167</v>
      </c>
      <c r="B12" s="16" t="s">
        <v>175</v>
      </c>
      <c r="C12" s="16" t="s">
        <v>169</v>
      </c>
      <c r="D12" s="16" t="s">
        <v>196</v>
      </c>
      <c r="E12" s="16" t="s">
        <v>404</v>
      </c>
      <c r="F12" s="16" t="s">
        <v>401</v>
      </c>
      <c r="G12" s="16">
        <v>0.6</v>
      </c>
      <c r="H12" s="16">
        <v>2705</v>
      </c>
      <c r="I12" s="16"/>
      <c r="J12" s="16">
        <v>112</v>
      </c>
      <c r="K12" s="16"/>
      <c r="L12" s="16"/>
      <c r="M12" s="16"/>
      <c r="N12" s="16">
        <v>11.576259399726901</v>
      </c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>
        <v>7.2006079027355605E-2</v>
      </c>
      <c r="AH12" s="16" t="s">
        <v>402</v>
      </c>
      <c r="AI12" s="16"/>
      <c r="AJ12" s="16" t="s">
        <v>406</v>
      </c>
    </row>
    <row r="13" spans="1:36" ht="15" customHeight="1" x14ac:dyDescent="0.3">
      <c r="A13" s="16" t="s">
        <v>167</v>
      </c>
      <c r="B13" s="16" t="s">
        <v>198</v>
      </c>
      <c r="C13" s="16" t="s">
        <v>169</v>
      </c>
      <c r="D13" s="16" t="s">
        <v>176</v>
      </c>
      <c r="E13" s="16" t="s">
        <v>400</v>
      </c>
      <c r="F13" s="16" t="s">
        <v>401</v>
      </c>
      <c r="G13" s="16">
        <v>0.6</v>
      </c>
      <c r="H13" s="16">
        <v>2705</v>
      </c>
      <c r="I13" s="16"/>
      <c r="J13" s="16">
        <v>112</v>
      </c>
      <c r="K13" s="16"/>
      <c r="L13" s="16"/>
      <c r="M13" s="16"/>
      <c r="N13" s="16">
        <v>11.819360757098201</v>
      </c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>
        <v>3.44E-2</v>
      </c>
      <c r="AH13" s="16" t="s">
        <v>402</v>
      </c>
      <c r="AI13" s="16"/>
      <c r="AJ13" s="16" t="s">
        <v>407</v>
      </c>
    </row>
    <row r="14" spans="1:36" ht="15" customHeight="1" x14ac:dyDescent="0.3">
      <c r="A14" s="16" t="s">
        <v>167</v>
      </c>
      <c r="B14" s="16" t="s">
        <v>198</v>
      </c>
      <c r="C14" s="16" t="s">
        <v>169</v>
      </c>
      <c r="D14" s="16" t="s">
        <v>178</v>
      </c>
      <c r="E14" s="16" t="s">
        <v>400</v>
      </c>
      <c r="F14" s="16" t="s">
        <v>401</v>
      </c>
      <c r="G14" s="16">
        <v>0.6</v>
      </c>
      <c r="H14" s="16">
        <v>2705</v>
      </c>
      <c r="I14" s="16"/>
      <c r="J14" s="16">
        <v>112</v>
      </c>
      <c r="K14" s="16"/>
      <c r="L14" s="16"/>
      <c r="M14" s="16"/>
      <c r="N14" s="16">
        <v>11.819360757098201</v>
      </c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>
        <v>5.0200000000000002E-2</v>
      </c>
      <c r="AH14" s="16" t="s">
        <v>402</v>
      </c>
      <c r="AI14" s="16"/>
      <c r="AJ14" s="16" t="s">
        <v>407</v>
      </c>
    </row>
    <row r="15" spans="1:36" ht="15" customHeight="1" x14ac:dyDescent="0.3">
      <c r="A15" s="16" t="s">
        <v>167</v>
      </c>
      <c r="B15" s="16" t="s">
        <v>198</v>
      </c>
      <c r="C15" s="16" t="s">
        <v>169</v>
      </c>
      <c r="D15" s="16" t="s">
        <v>180</v>
      </c>
      <c r="E15" s="16" t="s">
        <v>400</v>
      </c>
      <c r="F15" s="16" t="s">
        <v>401</v>
      </c>
      <c r="G15" s="16">
        <v>0.6</v>
      </c>
      <c r="H15" s="16">
        <v>2705</v>
      </c>
      <c r="I15" s="16"/>
      <c r="J15" s="16">
        <v>112</v>
      </c>
      <c r="K15" s="16"/>
      <c r="L15" s="16"/>
      <c r="M15" s="16"/>
      <c r="N15" s="16">
        <v>11.819360757098201</v>
      </c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>
        <v>8.5000000000000006E-2</v>
      </c>
      <c r="AH15" s="16" t="s">
        <v>402</v>
      </c>
      <c r="AI15" s="16"/>
      <c r="AJ15" s="16" t="s">
        <v>407</v>
      </c>
    </row>
    <row r="16" spans="1:36" ht="15" customHeight="1" x14ac:dyDescent="0.3">
      <c r="A16" s="16" t="s">
        <v>167</v>
      </c>
      <c r="B16" s="16" t="s">
        <v>198</v>
      </c>
      <c r="C16" s="16" t="s">
        <v>169</v>
      </c>
      <c r="D16" s="16" t="s">
        <v>182</v>
      </c>
      <c r="E16" s="16" t="s">
        <v>400</v>
      </c>
      <c r="F16" s="16" t="s">
        <v>401</v>
      </c>
      <c r="G16" s="16">
        <v>0.6</v>
      </c>
      <c r="H16" s="16">
        <v>2705</v>
      </c>
      <c r="I16" s="16"/>
      <c r="J16" s="16">
        <v>112</v>
      </c>
      <c r="K16" s="16"/>
      <c r="L16" s="16"/>
      <c r="M16" s="16"/>
      <c r="N16" s="16">
        <v>11.819360757098201</v>
      </c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>
        <v>0.14779999999999999</v>
      </c>
      <c r="AH16" s="16" t="s">
        <v>402</v>
      </c>
      <c r="AI16" s="16"/>
      <c r="AJ16" s="16" t="s">
        <v>407</v>
      </c>
    </row>
    <row r="17" spans="1:36" ht="15" customHeight="1" x14ac:dyDescent="0.3">
      <c r="A17" s="16" t="s">
        <v>167</v>
      </c>
      <c r="B17" s="16" t="s">
        <v>198</v>
      </c>
      <c r="C17" s="16" t="s">
        <v>169</v>
      </c>
      <c r="D17" s="16" t="s">
        <v>184</v>
      </c>
      <c r="E17" s="16" t="s">
        <v>400</v>
      </c>
      <c r="F17" s="16" t="s">
        <v>401</v>
      </c>
      <c r="G17" s="16">
        <v>0.6</v>
      </c>
      <c r="H17" s="16">
        <v>2705</v>
      </c>
      <c r="I17" s="16"/>
      <c r="J17" s="16">
        <v>112</v>
      </c>
      <c r="K17" s="16"/>
      <c r="L17" s="16"/>
      <c r="M17" s="16"/>
      <c r="N17" s="16">
        <v>11.819360757098201</v>
      </c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>
        <v>0.2384</v>
      </c>
      <c r="AH17" s="16" t="s">
        <v>402</v>
      </c>
      <c r="AI17" s="16"/>
      <c r="AJ17" s="16" t="s">
        <v>407</v>
      </c>
    </row>
    <row r="18" spans="1:36" ht="15" customHeight="1" x14ac:dyDescent="0.3">
      <c r="A18" s="16" t="s">
        <v>167</v>
      </c>
      <c r="B18" s="16" t="s">
        <v>198</v>
      </c>
      <c r="C18" s="16" t="s">
        <v>169</v>
      </c>
      <c r="D18" s="16" t="s">
        <v>186</v>
      </c>
      <c r="E18" s="16" t="s">
        <v>400</v>
      </c>
      <c r="F18" s="16" t="s">
        <v>401</v>
      </c>
      <c r="G18" s="16">
        <v>0.6</v>
      </c>
      <c r="H18" s="16">
        <v>2705</v>
      </c>
      <c r="I18" s="16"/>
      <c r="J18" s="16">
        <v>112</v>
      </c>
      <c r="K18" s="16"/>
      <c r="L18" s="16"/>
      <c r="M18" s="16"/>
      <c r="N18" s="16">
        <v>11.819360757098201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>
        <v>0.35320000000000001</v>
      </c>
      <c r="AH18" s="16" t="s">
        <v>402</v>
      </c>
      <c r="AI18" s="16"/>
      <c r="AJ18" s="16" t="s">
        <v>407</v>
      </c>
    </row>
    <row r="19" spans="1:36" ht="15" customHeight="1" x14ac:dyDescent="0.3">
      <c r="A19" s="16" t="s">
        <v>167</v>
      </c>
      <c r="B19" s="16" t="s">
        <v>198</v>
      </c>
      <c r="C19" s="16" t="s">
        <v>169</v>
      </c>
      <c r="D19" s="16" t="s">
        <v>188</v>
      </c>
      <c r="E19" s="16" t="s">
        <v>400</v>
      </c>
      <c r="F19" s="16" t="s">
        <v>401</v>
      </c>
      <c r="G19" s="16">
        <v>0.6</v>
      </c>
      <c r="H19" s="16">
        <v>2705</v>
      </c>
      <c r="I19" s="16"/>
      <c r="J19" s="16">
        <v>112</v>
      </c>
      <c r="K19" s="16"/>
      <c r="L19" s="16"/>
      <c r="M19" s="16"/>
      <c r="N19" s="16">
        <v>11.819360757098201</v>
      </c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>
        <v>0.47920000000000001</v>
      </c>
      <c r="AH19" s="16" t="s">
        <v>402</v>
      </c>
      <c r="AI19" s="16"/>
      <c r="AJ19" s="16" t="s">
        <v>407</v>
      </c>
    </row>
    <row r="20" spans="1:36" ht="15" customHeight="1" x14ac:dyDescent="0.3">
      <c r="A20" s="16" t="s">
        <v>167</v>
      </c>
      <c r="B20" s="16" t="s">
        <v>198</v>
      </c>
      <c r="C20" s="16" t="s">
        <v>169</v>
      </c>
      <c r="D20" s="16" t="s">
        <v>190</v>
      </c>
      <c r="E20" s="16" t="s">
        <v>400</v>
      </c>
      <c r="F20" s="16" t="s">
        <v>401</v>
      </c>
      <c r="G20" s="16">
        <v>0.6</v>
      </c>
      <c r="H20" s="16">
        <v>2705</v>
      </c>
      <c r="I20" s="16"/>
      <c r="J20" s="16">
        <v>112</v>
      </c>
      <c r="K20" s="16"/>
      <c r="L20" s="16"/>
      <c r="M20" s="16"/>
      <c r="N20" s="16">
        <v>11.819360757098201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>
        <v>0.61119999999999997</v>
      </c>
      <c r="AH20" s="16" t="s">
        <v>402</v>
      </c>
      <c r="AI20" s="16"/>
      <c r="AJ20" s="16" t="s">
        <v>407</v>
      </c>
    </row>
    <row r="21" spans="1:36" ht="15" customHeight="1" x14ac:dyDescent="0.3">
      <c r="A21" s="16" t="s">
        <v>167</v>
      </c>
      <c r="B21" s="16" t="s">
        <v>198</v>
      </c>
      <c r="C21" s="16" t="s">
        <v>169</v>
      </c>
      <c r="D21" s="16" t="s">
        <v>192</v>
      </c>
      <c r="E21" s="16" t="s">
        <v>400</v>
      </c>
      <c r="F21" s="16" t="s">
        <v>401</v>
      </c>
      <c r="G21" s="16">
        <v>0.6</v>
      </c>
      <c r="H21" s="16">
        <v>2705</v>
      </c>
      <c r="I21" s="16"/>
      <c r="J21" s="16">
        <v>112</v>
      </c>
      <c r="K21" s="16"/>
      <c r="L21" s="16"/>
      <c r="M21" s="16"/>
      <c r="N21" s="16">
        <v>11.819360757098201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>
        <v>0.73040000000000005</v>
      </c>
      <c r="AH21" s="16" t="s">
        <v>402</v>
      </c>
      <c r="AI21" s="16"/>
      <c r="AJ21" s="16" t="s">
        <v>407</v>
      </c>
    </row>
    <row r="22" spans="1:36" ht="15" customHeight="1" x14ac:dyDescent="0.3">
      <c r="A22" s="16" t="s">
        <v>167</v>
      </c>
      <c r="B22" s="16" t="s">
        <v>198</v>
      </c>
      <c r="C22" s="16" t="s">
        <v>169</v>
      </c>
      <c r="D22" s="16" t="s">
        <v>194</v>
      </c>
      <c r="E22" s="16" t="s">
        <v>404</v>
      </c>
      <c r="F22" s="16" t="s">
        <v>401</v>
      </c>
      <c r="G22" s="16">
        <v>0.6</v>
      </c>
      <c r="H22" s="16">
        <v>2705</v>
      </c>
      <c r="I22" s="16"/>
      <c r="J22" s="16">
        <v>112</v>
      </c>
      <c r="K22" s="16"/>
      <c r="L22" s="16"/>
      <c r="M22" s="16"/>
      <c r="N22" s="16">
        <v>11.819360757098201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 t="s">
        <v>408</v>
      </c>
      <c r="AI22" s="16" t="s">
        <v>409</v>
      </c>
      <c r="AJ22" s="16" t="s">
        <v>410</v>
      </c>
    </row>
    <row r="23" spans="1:36" ht="15" customHeight="1" x14ac:dyDescent="0.3">
      <c r="A23" s="16" t="s">
        <v>167</v>
      </c>
      <c r="B23" s="16" t="s">
        <v>198</v>
      </c>
      <c r="C23" s="16" t="s">
        <v>169</v>
      </c>
      <c r="D23" s="16" t="s">
        <v>196</v>
      </c>
      <c r="E23" s="16" t="s">
        <v>404</v>
      </c>
      <c r="F23" s="16" t="s">
        <v>401</v>
      </c>
      <c r="G23" s="16">
        <v>0.6</v>
      </c>
      <c r="H23" s="16">
        <v>2705</v>
      </c>
      <c r="I23" s="16"/>
      <c r="J23" s="16">
        <v>112</v>
      </c>
      <c r="K23" s="16"/>
      <c r="L23" s="16"/>
      <c r="M23" s="16"/>
      <c r="N23" s="16">
        <v>11.819360757098201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 t="s">
        <v>402</v>
      </c>
      <c r="AI23" s="16"/>
      <c r="AJ23" s="16" t="s">
        <v>411</v>
      </c>
    </row>
    <row r="24" spans="1:36" ht="15" customHeight="1" x14ac:dyDescent="0.3">
      <c r="A24" s="16" t="s">
        <v>167</v>
      </c>
      <c r="B24" s="16" t="s">
        <v>210</v>
      </c>
      <c r="C24" s="16" t="s">
        <v>169</v>
      </c>
      <c r="D24" s="16" t="s">
        <v>176</v>
      </c>
      <c r="E24" s="16" t="s">
        <v>400</v>
      </c>
      <c r="F24" s="16" t="s">
        <v>401</v>
      </c>
      <c r="G24" s="16">
        <v>0.6</v>
      </c>
      <c r="H24" s="16">
        <v>2705</v>
      </c>
      <c r="I24" s="16"/>
      <c r="J24" s="16">
        <v>112</v>
      </c>
      <c r="K24" s="16"/>
      <c r="L24" s="16"/>
      <c r="M24" s="16"/>
      <c r="N24" s="16">
        <v>11.9756277743199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>
        <v>3.6400000000000002E-2</v>
      </c>
      <c r="AH24" s="16" t="s">
        <v>402</v>
      </c>
      <c r="AI24" s="16"/>
      <c r="AJ24" s="16" t="s">
        <v>412</v>
      </c>
    </row>
    <row r="25" spans="1:36" ht="15" customHeight="1" x14ac:dyDescent="0.3">
      <c r="A25" s="16" t="s">
        <v>167</v>
      </c>
      <c r="B25" s="16" t="s">
        <v>210</v>
      </c>
      <c r="C25" s="16" t="s">
        <v>169</v>
      </c>
      <c r="D25" s="16" t="s">
        <v>178</v>
      </c>
      <c r="E25" s="16" t="s">
        <v>400</v>
      </c>
      <c r="F25" s="16" t="s">
        <v>401</v>
      </c>
      <c r="G25" s="16">
        <v>0.6</v>
      </c>
      <c r="H25" s="16">
        <v>2705</v>
      </c>
      <c r="I25" s="16"/>
      <c r="J25" s="16">
        <v>112</v>
      </c>
      <c r="K25" s="16"/>
      <c r="L25" s="16"/>
      <c r="M25" s="16"/>
      <c r="N25" s="16">
        <v>11.9756277743199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>
        <v>4.2599999999999999E-2</v>
      </c>
      <c r="AH25" s="16" t="s">
        <v>402</v>
      </c>
      <c r="AI25" s="16"/>
      <c r="AJ25" s="16" t="s">
        <v>412</v>
      </c>
    </row>
    <row r="26" spans="1:36" ht="15" customHeight="1" x14ac:dyDescent="0.3">
      <c r="A26" s="16" t="s">
        <v>167</v>
      </c>
      <c r="B26" s="16" t="s">
        <v>210</v>
      </c>
      <c r="C26" s="16" t="s">
        <v>169</v>
      </c>
      <c r="D26" s="16" t="s">
        <v>180</v>
      </c>
      <c r="E26" s="16" t="s">
        <v>400</v>
      </c>
      <c r="F26" s="16" t="s">
        <v>401</v>
      </c>
      <c r="G26" s="16">
        <v>0.6</v>
      </c>
      <c r="H26" s="16">
        <v>2705</v>
      </c>
      <c r="I26" s="16"/>
      <c r="J26" s="16">
        <v>112</v>
      </c>
      <c r="K26" s="16"/>
      <c r="L26" s="16"/>
      <c r="M26" s="16"/>
      <c r="N26" s="16">
        <v>11.9756277743199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>
        <v>6.3799999999999996E-2</v>
      </c>
      <c r="AH26" s="16" t="s">
        <v>402</v>
      </c>
      <c r="AI26" s="16"/>
      <c r="AJ26" s="16" t="s">
        <v>412</v>
      </c>
    </row>
    <row r="27" spans="1:36" ht="15" customHeight="1" x14ac:dyDescent="0.3">
      <c r="A27" s="16" t="s">
        <v>167</v>
      </c>
      <c r="B27" s="16" t="s">
        <v>210</v>
      </c>
      <c r="C27" s="16" t="s">
        <v>169</v>
      </c>
      <c r="D27" s="16" t="s">
        <v>182</v>
      </c>
      <c r="E27" s="16" t="s">
        <v>400</v>
      </c>
      <c r="F27" s="16" t="s">
        <v>401</v>
      </c>
      <c r="G27" s="16">
        <v>0.6</v>
      </c>
      <c r="H27" s="16">
        <v>2705</v>
      </c>
      <c r="I27" s="16"/>
      <c r="J27" s="16">
        <v>112</v>
      </c>
      <c r="K27" s="16"/>
      <c r="L27" s="16"/>
      <c r="M27" s="16"/>
      <c r="N27" s="16">
        <v>11.9756277743199</v>
      </c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>
        <v>9.3600000000000003E-2</v>
      </c>
      <c r="AH27" s="16" t="s">
        <v>402</v>
      </c>
      <c r="AI27" s="16"/>
      <c r="AJ27" s="16" t="s">
        <v>412</v>
      </c>
    </row>
    <row r="28" spans="1:36" ht="15" customHeight="1" x14ac:dyDescent="0.3">
      <c r="A28" s="16" t="s">
        <v>167</v>
      </c>
      <c r="B28" s="16" t="s">
        <v>210</v>
      </c>
      <c r="C28" s="16" t="s">
        <v>169</v>
      </c>
      <c r="D28" s="16" t="s">
        <v>184</v>
      </c>
      <c r="E28" s="16" t="s">
        <v>400</v>
      </c>
      <c r="F28" s="16" t="s">
        <v>401</v>
      </c>
      <c r="G28" s="16">
        <v>0.6</v>
      </c>
      <c r="H28" s="16">
        <v>2705</v>
      </c>
      <c r="I28" s="16"/>
      <c r="J28" s="16">
        <v>112</v>
      </c>
      <c r="K28" s="16"/>
      <c r="L28" s="16"/>
      <c r="M28" s="16"/>
      <c r="N28" s="16">
        <v>11.9756277743199</v>
      </c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>
        <v>0.14460000000000001</v>
      </c>
      <c r="AH28" s="16" t="s">
        <v>402</v>
      </c>
      <c r="AI28" s="16"/>
      <c r="AJ28" s="16" t="s">
        <v>412</v>
      </c>
    </row>
    <row r="29" spans="1:36" ht="15" customHeight="1" x14ac:dyDescent="0.3">
      <c r="A29" s="16" t="s">
        <v>167</v>
      </c>
      <c r="B29" s="16" t="s">
        <v>210</v>
      </c>
      <c r="C29" s="16" t="s">
        <v>169</v>
      </c>
      <c r="D29" s="16" t="s">
        <v>186</v>
      </c>
      <c r="E29" s="16" t="s">
        <v>400</v>
      </c>
      <c r="F29" s="16" t="s">
        <v>401</v>
      </c>
      <c r="G29" s="16">
        <v>0.6</v>
      </c>
      <c r="H29" s="16">
        <v>2705</v>
      </c>
      <c r="I29" s="16"/>
      <c r="J29" s="16">
        <v>112</v>
      </c>
      <c r="K29" s="16"/>
      <c r="L29" s="16"/>
      <c r="M29" s="16"/>
      <c r="N29" s="16">
        <v>11.9756277743199</v>
      </c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>
        <v>0.2014</v>
      </c>
      <c r="AH29" s="16" t="s">
        <v>402</v>
      </c>
      <c r="AI29" s="16"/>
      <c r="AJ29" s="16" t="s">
        <v>412</v>
      </c>
    </row>
    <row r="30" spans="1:36" ht="15" customHeight="1" x14ac:dyDescent="0.3">
      <c r="A30" s="16" t="s">
        <v>167</v>
      </c>
      <c r="B30" s="16" t="s">
        <v>210</v>
      </c>
      <c r="C30" s="16" t="s">
        <v>169</v>
      </c>
      <c r="D30" s="16" t="s">
        <v>188</v>
      </c>
      <c r="E30" s="16" t="s">
        <v>400</v>
      </c>
      <c r="F30" s="16" t="s">
        <v>401</v>
      </c>
      <c r="G30" s="16">
        <v>0.6</v>
      </c>
      <c r="H30" s="16">
        <v>2705</v>
      </c>
      <c r="I30" s="16"/>
      <c r="J30" s="16">
        <v>112</v>
      </c>
      <c r="K30" s="16"/>
      <c r="L30" s="16"/>
      <c r="M30" s="16"/>
      <c r="N30" s="16">
        <v>11.9756277743199</v>
      </c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>
        <v>0.27800000000000002</v>
      </c>
      <c r="AH30" s="16" t="s">
        <v>402</v>
      </c>
      <c r="AI30" s="16"/>
      <c r="AJ30" s="16" t="s">
        <v>412</v>
      </c>
    </row>
    <row r="31" spans="1:36" ht="15" customHeight="1" x14ac:dyDescent="0.3">
      <c r="A31" s="16" t="s">
        <v>167</v>
      </c>
      <c r="B31" s="16" t="s">
        <v>210</v>
      </c>
      <c r="C31" s="16" t="s">
        <v>169</v>
      </c>
      <c r="D31" s="16" t="s">
        <v>190</v>
      </c>
      <c r="E31" s="16" t="s">
        <v>400</v>
      </c>
      <c r="F31" s="16" t="s">
        <v>401</v>
      </c>
      <c r="G31" s="16">
        <v>0.6</v>
      </c>
      <c r="H31" s="16">
        <v>2705</v>
      </c>
      <c r="I31" s="16"/>
      <c r="J31" s="16">
        <v>112</v>
      </c>
      <c r="K31" s="16"/>
      <c r="L31" s="16"/>
      <c r="M31" s="16"/>
      <c r="N31" s="16">
        <v>11.9756277743199</v>
      </c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>
        <v>0.35799999999999998</v>
      </c>
      <c r="AH31" s="16" t="s">
        <v>402</v>
      </c>
      <c r="AI31" s="16"/>
      <c r="AJ31" s="16" t="s">
        <v>412</v>
      </c>
    </row>
    <row r="32" spans="1:36" ht="15" customHeight="1" x14ac:dyDescent="0.3">
      <c r="A32" s="16" t="s">
        <v>167</v>
      </c>
      <c r="B32" s="16" t="s">
        <v>210</v>
      </c>
      <c r="C32" s="16" t="s">
        <v>169</v>
      </c>
      <c r="D32" s="16" t="s">
        <v>192</v>
      </c>
      <c r="E32" s="16" t="s">
        <v>400</v>
      </c>
      <c r="F32" s="16" t="s">
        <v>401</v>
      </c>
      <c r="G32" s="16">
        <v>0.6</v>
      </c>
      <c r="H32" s="16">
        <v>2705</v>
      </c>
      <c r="I32" s="16"/>
      <c r="J32" s="16">
        <v>112</v>
      </c>
      <c r="K32" s="16"/>
      <c r="L32" s="16"/>
      <c r="M32" s="16"/>
      <c r="N32" s="16">
        <v>11.9756277743199</v>
      </c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>
        <v>0.4476</v>
      </c>
      <c r="AH32" s="16" t="s">
        <v>402</v>
      </c>
      <c r="AI32" s="16"/>
      <c r="AJ32" s="16" t="s">
        <v>412</v>
      </c>
    </row>
    <row r="33" spans="1:36" ht="15" customHeight="1" x14ac:dyDescent="0.3">
      <c r="A33" s="16" t="s">
        <v>167</v>
      </c>
      <c r="B33" s="16" t="s">
        <v>210</v>
      </c>
      <c r="C33" s="16" t="s">
        <v>169</v>
      </c>
      <c r="D33" s="16" t="s">
        <v>194</v>
      </c>
      <c r="E33" s="16" t="s">
        <v>404</v>
      </c>
      <c r="F33" s="16" t="s">
        <v>401</v>
      </c>
      <c r="G33" s="16">
        <v>0.6</v>
      </c>
      <c r="H33" s="16">
        <v>2705</v>
      </c>
      <c r="I33" s="16"/>
      <c r="J33" s="16">
        <v>112</v>
      </c>
      <c r="K33" s="16"/>
      <c r="L33" s="16"/>
      <c r="M33" s="16"/>
      <c r="N33" s="16">
        <v>11.9756277743199</v>
      </c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 t="s">
        <v>402</v>
      </c>
      <c r="AI33" s="16"/>
      <c r="AJ33" s="16" t="s">
        <v>413</v>
      </c>
    </row>
    <row r="34" spans="1:36" ht="15" customHeight="1" x14ac:dyDescent="0.3">
      <c r="A34" s="16" t="s">
        <v>167</v>
      </c>
      <c r="B34" s="16" t="s">
        <v>210</v>
      </c>
      <c r="C34" s="16" t="s">
        <v>169</v>
      </c>
      <c r="D34" s="16" t="s">
        <v>196</v>
      </c>
      <c r="E34" s="16" t="s">
        <v>404</v>
      </c>
      <c r="F34" s="16" t="s">
        <v>401</v>
      </c>
      <c r="G34" s="16">
        <v>0.6</v>
      </c>
      <c r="H34" s="16">
        <v>2705</v>
      </c>
      <c r="I34" s="16"/>
      <c r="J34" s="16">
        <v>112</v>
      </c>
      <c r="K34" s="16"/>
      <c r="L34" s="16"/>
      <c r="M34" s="16"/>
      <c r="N34" s="16">
        <v>11.9756277743199</v>
      </c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 t="s">
        <v>402</v>
      </c>
      <c r="AI34" s="16"/>
      <c r="AJ34" s="16" t="s">
        <v>414</v>
      </c>
    </row>
    <row r="35" spans="1:36" ht="15" customHeight="1" x14ac:dyDescent="0.3">
      <c r="A35" s="16" t="s">
        <v>167</v>
      </c>
      <c r="B35" s="16" t="s">
        <v>222</v>
      </c>
      <c r="C35" s="16" t="s">
        <v>169</v>
      </c>
      <c r="D35" s="16" t="s">
        <v>176</v>
      </c>
      <c r="E35" s="16" t="s">
        <v>400</v>
      </c>
      <c r="F35" s="16" t="s">
        <v>401</v>
      </c>
      <c r="G35" s="16">
        <v>0.6</v>
      </c>
      <c r="H35" s="16">
        <v>2705</v>
      </c>
      <c r="I35" s="16"/>
      <c r="J35" s="16">
        <v>112</v>
      </c>
      <c r="K35" s="16"/>
      <c r="L35" s="16"/>
      <c r="M35" s="16"/>
      <c r="N35" s="16">
        <v>12.7488548751876</v>
      </c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>
        <v>3.9E-2</v>
      </c>
      <c r="AH35" s="16" t="s">
        <v>402</v>
      </c>
      <c r="AI35" s="16"/>
      <c r="AJ35" s="16" t="s">
        <v>415</v>
      </c>
    </row>
    <row r="36" spans="1:36" ht="15" customHeight="1" x14ac:dyDescent="0.3">
      <c r="A36" s="16" t="s">
        <v>167</v>
      </c>
      <c r="B36" s="16" t="s">
        <v>222</v>
      </c>
      <c r="C36" s="16" t="s">
        <v>169</v>
      </c>
      <c r="D36" s="16" t="s">
        <v>178</v>
      </c>
      <c r="E36" s="16" t="s">
        <v>400</v>
      </c>
      <c r="F36" s="16" t="s">
        <v>401</v>
      </c>
      <c r="G36" s="16">
        <v>0.6</v>
      </c>
      <c r="H36" s="16">
        <v>2705</v>
      </c>
      <c r="I36" s="16"/>
      <c r="J36" s="16">
        <v>112</v>
      </c>
      <c r="K36" s="16"/>
      <c r="L36" s="16"/>
      <c r="M36" s="16"/>
      <c r="N36" s="16">
        <v>12.7488548751876</v>
      </c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>
        <v>0.82440000000000002</v>
      </c>
      <c r="AH36" s="16" t="s">
        <v>402</v>
      </c>
      <c r="AI36" s="16"/>
      <c r="AJ36" s="16" t="s">
        <v>415</v>
      </c>
    </row>
    <row r="37" spans="1:36" ht="15" customHeight="1" x14ac:dyDescent="0.3">
      <c r="A37" s="16" t="s">
        <v>167</v>
      </c>
      <c r="B37" s="16" t="s">
        <v>222</v>
      </c>
      <c r="C37" s="16" t="s">
        <v>169</v>
      </c>
      <c r="D37" s="16" t="s">
        <v>180</v>
      </c>
      <c r="E37" s="16" t="s">
        <v>400</v>
      </c>
      <c r="F37" s="16" t="s">
        <v>401</v>
      </c>
      <c r="G37" s="16">
        <v>0.6</v>
      </c>
      <c r="H37" s="16">
        <v>2705</v>
      </c>
      <c r="I37" s="16"/>
      <c r="J37" s="16">
        <v>112</v>
      </c>
      <c r="K37" s="16"/>
      <c r="L37" s="16"/>
      <c r="M37" s="16"/>
      <c r="N37" s="16">
        <v>12.7488548751876</v>
      </c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>
        <v>1</v>
      </c>
      <c r="AH37" s="16" t="s">
        <v>402</v>
      </c>
      <c r="AI37" s="16"/>
      <c r="AJ37" s="16" t="s">
        <v>415</v>
      </c>
    </row>
    <row r="38" spans="1:36" ht="15" customHeight="1" x14ac:dyDescent="0.3">
      <c r="A38" s="16" t="s">
        <v>167</v>
      </c>
      <c r="B38" s="16" t="s">
        <v>222</v>
      </c>
      <c r="C38" s="16" t="s">
        <v>169</v>
      </c>
      <c r="D38" s="16" t="s">
        <v>182</v>
      </c>
      <c r="E38" s="16" t="s">
        <v>400</v>
      </c>
      <c r="F38" s="16" t="s">
        <v>401</v>
      </c>
      <c r="G38" s="16">
        <v>0.6</v>
      </c>
      <c r="H38" s="16">
        <v>2705</v>
      </c>
      <c r="I38" s="16"/>
      <c r="J38" s="16">
        <v>112</v>
      </c>
      <c r="K38" s="16"/>
      <c r="L38" s="16"/>
      <c r="M38" s="16"/>
      <c r="N38" s="16">
        <v>12.7488548751876</v>
      </c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>
        <v>1</v>
      </c>
      <c r="AH38" s="16" t="s">
        <v>402</v>
      </c>
      <c r="AI38" s="16"/>
      <c r="AJ38" s="16" t="s">
        <v>415</v>
      </c>
    </row>
    <row r="39" spans="1:36" ht="15" customHeight="1" x14ac:dyDescent="0.3">
      <c r="A39" s="16" t="s">
        <v>167</v>
      </c>
      <c r="B39" s="16" t="s">
        <v>222</v>
      </c>
      <c r="C39" s="16" t="s">
        <v>169</v>
      </c>
      <c r="D39" s="16" t="s">
        <v>184</v>
      </c>
      <c r="E39" s="16" t="s">
        <v>400</v>
      </c>
      <c r="F39" s="16" t="s">
        <v>401</v>
      </c>
      <c r="G39" s="16">
        <v>0.6</v>
      </c>
      <c r="H39" s="16">
        <v>2705</v>
      </c>
      <c r="I39" s="16"/>
      <c r="J39" s="16">
        <v>112</v>
      </c>
      <c r="K39" s="16"/>
      <c r="L39" s="16"/>
      <c r="M39" s="16"/>
      <c r="N39" s="16">
        <v>12.7488548751876</v>
      </c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>
        <v>1</v>
      </c>
      <c r="AH39" s="16" t="s">
        <v>402</v>
      </c>
      <c r="AI39" s="16"/>
      <c r="AJ39" s="16" t="s">
        <v>415</v>
      </c>
    </row>
    <row r="40" spans="1:36" ht="15" customHeight="1" x14ac:dyDescent="0.3">
      <c r="A40" s="16" t="s">
        <v>167</v>
      </c>
      <c r="B40" s="16" t="s">
        <v>222</v>
      </c>
      <c r="C40" s="16" t="s">
        <v>169</v>
      </c>
      <c r="D40" s="16" t="s">
        <v>186</v>
      </c>
      <c r="E40" s="16" t="s">
        <v>400</v>
      </c>
      <c r="F40" s="16" t="s">
        <v>401</v>
      </c>
      <c r="G40" s="16">
        <v>0.6</v>
      </c>
      <c r="H40" s="16">
        <v>2705</v>
      </c>
      <c r="I40" s="16"/>
      <c r="J40" s="16">
        <v>112</v>
      </c>
      <c r="K40" s="16"/>
      <c r="L40" s="16"/>
      <c r="M40" s="16"/>
      <c r="N40" s="16">
        <v>12.7488548751876</v>
      </c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>
        <v>1</v>
      </c>
      <c r="AH40" s="16" t="s">
        <v>402</v>
      </c>
      <c r="AI40" s="16"/>
      <c r="AJ40" s="16" t="s">
        <v>415</v>
      </c>
    </row>
    <row r="41" spans="1:36" ht="15" customHeight="1" x14ac:dyDescent="0.3">
      <c r="A41" s="16" t="s">
        <v>167</v>
      </c>
      <c r="B41" s="16" t="s">
        <v>222</v>
      </c>
      <c r="C41" s="16" t="s">
        <v>169</v>
      </c>
      <c r="D41" s="16" t="s">
        <v>188</v>
      </c>
      <c r="E41" s="16" t="s">
        <v>400</v>
      </c>
      <c r="F41" s="16" t="s">
        <v>401</v>
      </c>
      <c r="G41" s="16">
        <v>0.6</v>
      </c>
      <c r="H41" s="16">
        <v>2705</v>
      </c>
      <c r="I41" s="16"/>
      <c r="J41" s="16">
        <v>112</v>
      </c>
      <c r="K41" s="16"/>
      <c r="L41" s="16"/>
      <c r="M41" s="16"/>
      <c r="N41" s="16">
        <v>12.7488548751876</v>
      </c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>
        <v>1</v>
      </c>
      <c r="AH41" s="16" t="s">
        <v>402</v>
      </c>
      <c r="AI41" s="16"/>
      <c r="AJ41" s="16" t="s">
        <v>415</v>
      </c>
    </row>
    <row r="42" spans="1:36" ht="15" customHeight="1" x14ac:dyDescent="0.3">
      <c r="A42" s="16" t="s">
        <v>167</v>
      </c>
      <c r="B42" s="16" t="s">
        <v>222</v>
      </c>
      <c r="C42" s="16" t="s">
        <v>169</v>
      </c>
      <c r="D42" s="16" t="s">
        <v>190</v>
      </c>
      <c r="E42" s="16" t="s">
        <v>400</v>
      </c>
      <c r="F42" s="16" t="s">
        <v>401</v>
      </c>
      <c r="G42" s="16">
        <v>0.6</v>
      </c>
      <c r="H42" s="16">
        <v>2705</v>
      </c>
      <c r="I42" s="16"/>
      <c r="J42" s="16">
        <v>112</v>
      </c>
      <c r="K42" s="16"/>
      <c r="L42" s="16"/>
      <c r="M42" s="16"/>
      <c r="N42" s="16">
        <v>12.7488548751876</v>
      </c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>
        <v>1</v>
      </c>
      <c r="AH42" s="16" t="s">
        <v>402</v>
      </c>
      <c r="AI42" s="16"/>
      <c r="AJ42" s="16" t="s">
        <v>415</v>
      </c>
    </row>
    <row r="43" spans="1:36" ht="15" customHeight="1" x14ac:dyDescent="0.3">
      <c r="A43" s="16" t="s">
        <v>167</v>
      </c>
      <c r="B43" s="16" t="s">
        <v>222</v>
      </c>
      <c r="C43" s="16" t="s">
        <v>169</v>
      </c>
      <c r="D43" s="16" t="s">
        <v>192</v>
      </c>
      <c r="E43" s="16" t="s">
        <v>400</v>
      </c>
      <c r="F43" s="16" t="s">
        <v>401</v>
      </c>
      <c r="G43" s="16">
        <v>0.6</v>
      </c>
      <c r="H43" s="16">
        <v>2705</v>
      </c>
      <c r="I43" s="16"/>
      <c r="J43" s="16">
        <v>112</v>
      </c>
      <c r="K43" s="16"/>
      <c r="L43" s="16"/>
      <c r="M43" s="16"/>
      <c r="N43" s="16">
        <v>12.7488548751876</v>
      </c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>
        <v>1</v>
      </c>
      <c r="AH43" s="16" t="s">
        <v>402</v>
      </c>
      <c r="AI43" s="16"/>
      <c r="AJ43" s="16" t="s">
        <v>415</v>
      </c>
    </row>
    <row r="44" spans="1:36" ht="15" customHeight="1" x14ac:dyDescent="0.3">
      <c r="A44" s="16" t="s">
        <v>167</v>
      </c>
      <c r="B44" s="16" t="s">
        <v>222</v>
      </c>
      <c r="C44" s="16" t="s">
        <v>169</v>
      </c>
      <c r="D44" s="16" t="s">
        <v>194</v>
      </c>
      <c r="E44" s="16" t="s">
        <v>404</v>
      </c>
      <c r="F44" s="16" t="s">
        <v>401</v>
      </c>
      <c r="G44" s="16">
        <v>0.6</v>
      </c>
      <c r="H44" s="16">
        <v>2705</v>
      </c>
      <c r="I44" s="16"/>
      <c r="J44" s="16">
        <v>112</v>
      </c>
      <c r="K44" s="16"/>
      <c r="L44" s="16"/>
      <c r="M44" s="16"/>
      <c r="N44" s="16">
        <v>12.7488548751876</v>
      </c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>
        <v>9.6893302775655707E-3</v>
      </c>
      <c r="AH44" s="16" t="s">
        <v>402</v>
      </c>
      <c r="AI44" s="16"/>
      <c r="AJ44" s="16" t="s">
        <v>416</v>
      </c>
    </row>
    <row r="45" spans="1:36" ht="15" customHeight="1" x14ac:dyDescent="0.3">
      <c r="A45" s="16" t="s">
        <v>167</v>
      </c>
      <c r="B45" s="16" t="s">
        <v>222</v>
      </c>
      <c r="C45" s="16" t="s">
        <v>169</v>
      </c>
      <c r="D45" s="16" t="s">
        <v>196</v>
      </c>
      <c r="E45" s="16" t="s">
        <v>404</v>
      </c>
      <c r="F45" s="16" t="s">
        <v>401</v>
      </c>
      <c r="G45" s="16">
        <v>0.6</v>
      </c>
      <c r="H45" s="16">
        <v>2705</v>
      </c>
      <c r="I45" s="16"/>
      <c r="J45" s="16">
        <v>112</v>
      </c>
      <c r="K45" s="16"/>
      <c r="L45" s="16"/>
      <c r="M45" s="16"/>
      <c r="N45" s="16">
        <v>12.7488548751876</v>
      </c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>
        <v>1.4305239179954399E-2</v>
      </c>
      <c r="AH45" s="16" t="s">
        <v>402</v>
      </c>
      <c r="AI45" s="16"/>
      <c r="AJ45" s="16" t="s">
        <v>417</v>
      </c>
    </row>
    <row r="46" spans="1:36" ht="15" customHeight="1" x14ac:dyDescent="0.3">
      <c r="A46" s="16" t="s">
        <v>167</v>
      </c>
      <c r="B46" s="16" t="s">
        <v>234</v>
      </c>
      <c r="C46" s="16" t="s">
        <v>169</v>
      </c>
      <c r="D46" s="16" t="s">
        <v>176</v>
      </c>
      <c r="E46" s="16" t="s">
        <v>400</v>
      </c>
      <c r="F46" s="16" t="s">
        <v>401</v>
      </c>
      <c r="G46" s="16">
        <v>0.6</v>
      </c>
      <c r="H46" s="16">
        <v>2705</v>
      </c>
      <c r="I46" s="16"/>
      <c r="J46" s="16">
        <v>112</v>
      </c>
      <c r="K46" s="16"/>
      <c r="L46" s="16"/>
      <c r="M46" s="16"/>
      <c r="N46" s="16">
        <v>11.076163688948</v>
      </c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>
        <v>3.32E-2</v>
      </c>
      <c r="AH46" s="16" t="s">
        <v>402</v>
      </c>
      <c r="AI46" s="16"/>
      <c r="AJ46" s="16" t="s">
        <v>418</v>
      </c>
    </row>
    <row r="47" spans="1:36" ht="15" customHeight="1" x14ac:dyDescent="0.3">
      <c r="A47" s="16" t="s">
        <v>167</v>
      </c>
      <c r="B47" s="16" t="s">
        <v>234</v>
      </c>
      <c r="C47" s="16" t="s">
        <v>169</v>
      </c>
      <c r="D47" s="16" t="s">
        <v>178</v>
      </c>
      <c r="E47" s="16" t="s">
        <v>400</v>
      </c>
      <c r="F47" s="16" t="s">
        <v>401</v>
      </c>
      <c r="G47" s="16">
        <v>0.6</v>
      </c>
      <c r="H47" s="16">
        <v>2705</v>
      </c>
      <c r="I47" s="16"/>
      <c r="J47" s="16">
        <v>112</v>
      </c>
      <c r="K47" s="16"/>
      <c r="L47" s="16"/>
      <c r="M47" s="16"/>
      <c r="N47" s="16">
        <v>11.076163688948</v>
      </c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>
        <v>0.58160000000000001</v>
      </c>
      <c r="AH47" s="16" t="s">
        <v>402</v>
      </c>
      <c r="AI47" s="16"/>
      <c r="AJ47" s="16" t="s">
        <v>418</v>
      </c>
    </row>
    <row r="48" spans="1:36" ht="15" customHeight="1" x14ac:dyDescent="0.3">
      <c r="A48" s="16" t="s">
        <v>167</v>
      </c>
      <c r="B48" s="16" t="s">
        <v>234</v>
      </c>
      <c r="C48" s="16" t="s">
        <v>169</v>
      </c>
      <c r="D48" s="16" t="s">
        <v>180</v>
      </c>
      <c r="E48" s="16" t="s">
        <v>400</v>
      </c>
      <c r="F48" s="16" t="s">
        <v>401</v>
      </c>
      <c r="G48" s="16">
        <v>0.6</v>
      </c>
      <c r="H48" s="16">
        <v>2705</v>
      </c>
      <c r="I48" s="16"/>
      <c r="J48" s="16">
        <v>112</v>
      </c>
      <c r="K48" s="16"/>
      <c r="L48" s="16"/>
      <c r="M48" s="16"/>
      <c r="N48" s="16">
        <v>11.076163688948</v>
      </c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>
        <v>0.99060000000000004</v>
      </c>
      <c r="AH48" s="16" t="s">
        <v>402</v>
      </c>
      <c r="AI48" s="16"/>
      <c r="AJ48" s="16" t="s">
        <v>418</v>
      </c>
    </row>
    <row r="49" spans="1:36" ht="15" customHeight="1" x14ac:dyDescent="0.3">
      <c r="A49" s="16" t="s">
        <v>167</v>
      </c>
      <c r="B49" s="16" t="s">
        <v>234</v>
      </c>
      <c r="C49" s="16" t="s">
        <v>169</v>
      </c>
      <c r="D49" s="16" t="s">
        <v>182</v>
      </c>
      <c r="E49" s="16" t="s">
        <v>400</v>
      </c>
      <c r="F49" s="16" t="s">
        <v>401</v>
      </c>
      <c r="G49" s="16">
        <v>0.6</v>
      </c>
      <c r="H49" s="16">
        <v>2705</v>
      </c>
      <c r="I49" s="16"/>
      <c r="J49" s="16">
        <v>112</v>
      </c>
      <c r="K49" s="16"/>
      <c r="L49" s="16"/>
      <c r="M49" s="16"/>
      <c r="N49" s="16">
        <v>11.076163688948</v>
      </c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>
        <v>1</v>
      </c>
      <c r="AH49" s="16" t="s">
        <v>402</v>
      </c>
      <c r="AI49" s="16"/>
      <c r="AJ49" s="16" t="s">
        <v>418</v>
      </c>
    </row>
    <row r="50" spans="1:36" ht="15" customHeight="1" x14ac:dyDescent="0.3">
      <c r="A50" s="16" t="s">
        <v>167</v>
      </c>
      <c r="B50" s="16" t="s">
        <v>234</v>
      </c>
      <c r="C50" s="16" t="s">
        <v>169</v>
      </c>
      <c r="D50" s="16" t="s">
        <v>184</v>
      </c>
      <c r="E50" s="16" t="s">
        <v>400</v>
      </c>
      <c r="F50" s="16" t="s">
        <v>401</v>
      </c>
      <c r="G50" s="16">
        <v>0.6</v>
      </c>
      <c r="H50" s="16">
        <v>2705</v>
      </c>
      <c r="I50" s="16"/>
      <c r="J50" s="16">
        <v>112</v>
      </c>
      <c r="K50" s="16"/>
      <c r="L50" s="16"/>
      <c r="M50" s="16"/>
      <c r="N50" s="16">
        <v>11.076163688948</v>
      </c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>
        <v>1</v>
      </c>
      <c r="AH50" s="16" t="s">
        <v>402</v>
      </c>
      <c r="AI50" s="16"/>
      <c r="AJ50" s="16" t="s">
        <v>418</v>
      </c>
    </row>
    <row r="51" spans="1:36" ht="15" customHeight="1" x14ac:dyDescent="0.3">
      <c r="A51" s="16" t="s">
        <v>167</v>
      </c>
      <c r="B51" s="16" t="s">
        <v>234</v>
      </c>
      <c r="C51" s="16" t="s">
        <v>169</v>
      </c>
      <c r="D51" s="16" t="s">
        <v>186</v>
      </c>
      <c r="E51" s="16" t="s">
        <v>400</v>
      </c>
      <c r="F51" s="16" t="s">
        <v>401</v>
      </c>
      <c r="G51" s="16">
        <v>0.6</v>
      </c>
      <c r="H51" s="16">
        <v>2705</v>
      </c>
      <c r="I51" s="16"/>
      <c r="J51" s="16">
        <v>112</v>
      </c>
      <c r="K51" s="16"/>
      <c r="L51" s="16"/>
      <c r="M51" s="16"/>
      <c r="N51" s="16">
        <v>11.076163688948</v>
      </c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>
        <v>1</v>
      </c>
      <c r="AH51" s="16" t="s">
        <v>402</v>
      </c>
      <c r="AI51" s="16"/>
      <c r="AJ51" s="16" t="s">
        <v>418</v>
      </c>
    </row>
    <row r="52" spans="1:36" ht="15" customHeight="1" x14ac:dyDescent="0.3">
      <c r="A52" s="16" t="s">
        <v>167</v>
      </c>
      <c r="B52" s="16" t="s">
        <v>234</v>
      </c>
      <c r="C52" s="16" t="s">
        <v>169</v>
      </c>
      <c r="D52" s="16" t="s">
        <v>188</v>
      </c>
      <c r="E52" s="16" t="s">
        <v>400</v>
      </c>
      <c r="F52" s="16" t="s">
        <v>401</v>
      </c>
      <c r="G52" s="16">
        <v>0.6</v>
      </c>
      <c r="H52" s="16">
        <v>2705</v>
      </c>
      <c r="I52" s="16"/>
      <c r="J52" s="16">
        <v>112</v>
      </c>
      <c r="K52" s="16"/>
      <c r="L52" s="16"/>
      <c r="M52" s="16"/>
      <c r="N52" s="16">
        <v>11.076163688948</v>
      </c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>
        <v>1</v>
      </c>
      <c r="AH52" s="16" t="s">
        <v>402</v>
      </c>
      <c r="AI52" s="16"/>
      <c r="AJ52" s="16" t="s">
        <v>418</v>
      </c>
    </row>
    <row r="53" spans="1:36" ht="15" customHeight="1" x14ac:dyDescent="0.3">
      <c r="A53" s="16" t="s">
        <v>167</v>
      </c>
      <c r="B53" s="16" t="s">
        <v>234</v>
      </c>
      <c r="C53" s="16" t="s">
        <v>169</v>
      </c>
      <c r="D53" s="16" t="s">
        <v>190</v>
      </c>
      <c r="E53" s="16" t="s">
        <v>400</v>
      </c>
      <c r="F53" s="16" t="s">
        <v>401</v>
      </c>
      <c r="G53" s="16">
        <v>0.6</v>
      </c>
      <c r="H53" s="16">
        <v>2705</v>
      </c>
      <c r="I53" s="16"/>
      <c r="J53" s="16">
        <v>112</v>
      </c>
      <c r="K53" s="16"/>
      <c r="L53" s="16"/>
      <c r="M53" s="16"/>
      <c r="N53" s="16">
        <v>11.076163688948</v>
      </c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>
        <v>1</v>
      </c>
      <c r="AH53" s="16" t="s">
        <v>402</v>
      </c>
      <c r="AI53" s="16"/>
      <c r="AJ53" s="16" t="s">
        <v>418</v>
      </c>
    </row>
    <row r="54" spans="1:36" ht="15" customHeight="1" x14ac:dyDescent="0.3">
      <c r="A54" s="16" t="s">
        <v>167</v>
      </c>
      <c r="B54" s="16" t="s">
        <v>234</v>
      </c>
      <c r="C54" s="16" t="s">
        <v>169</v>
      </c>
      <c r="D54" s="16" t="s">
        <v>192</v>
      </c>
      <c r="E54" s="16" t="s">
        <v>400</v>
      </c>
      <c r="F54" s="16" t="s">
        <v>401</v>
      </c>
      <c r="G54" s="16">
        <v>0.6</v>
      </c>
      <c r="H54" s="16">
        <v>2705</v>
      </c>
      <c r="I54" s="16"/>
      <c r="J54" s="16">
        <v>112</v>
      </c>
      <c r="K54" s="16"/>
      <c r="L54" s="16"/>
      <c r="M54" s="16"/>
      <c r="N54" s="16">
        <v>11.076163688948</v>
      </c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>
        <v>1</v>
      </c>
      <c r="AH54" s="16" t="s">
        <v>402</v>
      </c>
      <c r="AI54" s="16"/>
      <c r="AJ54" s="16" t="s">
        <v>418</v>
      </c>
    </row>
    <row r="55" spans="1:36" ht="15" customHeight="1" x14ac:dyDescent="0.3">
      <c r="A55" s="16" t="s">
        <v>167</v>
      </c>
      <c r="B55" s="16" t="s">
        <v>234</v>
      </c>
      <c r="C55" s="16" t="s">
        <v>169</v>
      </c>
      <c r="D55" s="16" t="s">
        <v>194</v>
      </c>
      <c r="E55" s="16" t="s">
        <v>404</v>
      </c>
      <c r="F55" s="16" t="s">
        <v>401</v>
      </c>
      <c r="G55" s="16">
        <v>0.6</v>
      </c>
      <c r="H55" s="16">
        <v>2705</v>
      </c>
      <c r="I55" s="16"/>
      <c r="J55" s="16">
        <v>112</v>
      </c>
      <c r="K55" s="16"/>
      <c r="L55" s="16"/>
      <c r="M55" s="16"/>
      <c r="N55" s="16">
        <v>11.076163688948</v>
      </c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>
        <v>1.5339853300733499E-2</v>
      </c>
      <c r="AH55" s="16" t="s">
        <v>402</v>
      </c>
      <c r="AI55" s="16"/>
      <c r="AJ55" s="16" t="s">
        <v>419</v>
      </c>
    </row>
    <row r="56" spans="1:36" ht="15" customHeight="1" x14ac:dyDescent="0.3">
      <c r="A56" s="16" t="s">
        <v>167</v>
      </c>
      <c r="B56" s="16" t="s">
        <v>234</v>
      </c>
      <c r="C56" s="16" t="s">
        <v>169</v>
      </c>
      <c r="D56" s="16" t="s">
        <v>196</v>
      </c>
      <c r="E56" s="16" t="s">
        <v>404</v>
      </c>
      <c r="F56" s="16" t="s">
        <v>401</v>
      </c>
      <c r="G56" s="16">
        <v>0.6</v>
      </c>
      <c r="H56" s="16">
        <v>2705</v>
      </c>
      <c r="I56" s="16"/>
      <c r="J56" s="16">
        <v>112</v>
      </c>
      <c r="K56" s="16"/>
      <c r="L56" s="16"/>
      <c r="M56" s="16"/>
      <c r="N56" s="16">
        <v>11.076163688948</v>
      </c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>
        <v>1.7784841075794599E-2</v>
      </c>
      <c r="AH56" s="16" t="s">
        <v>402</v>
      </c>
      <c r="AI56" s="16"/>
      <c r="AJ56" s="16" t="s">
        <v>420</v>
      </c>
    </row>
    <row r="57" spans="1:36" ht="15" customHeight="1" x14ac:dyDescent="0.3">
      <c r="A57" s="16" t="s">
        <v>167</v>
      </c>
      <c r="B57" s="16" t="s">
        <v>246</v>
      </c>
      <c r="C57" s="16" t="s">
        <v>169</v>
      </c>
      <c r="D57" s="16" t="s">
        <v>176</v>
      </c>
      <c r="E57" s="16" t="s">
        <v>400</v>
      </c>
      <c r="F57" s="16" t="s">
        <v>401</v>
      </c>
      <c r="G57" s="16">
        <v>0.6</v>
      </c>
      <c r="H57" s="16">
        <v>2705</v>
      </c>
      <c r="I57" s="16"/>
      <c r="J57" s="16">
        <v>112</v>
      </c>
      <c r="K57" s="16"/>
      <c r="L57" s="16"/>
      <c r="M57" s="16"/>
      <c r="N57" s="16">
        <v>10.458401840123599</v>
      </c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>
        <v>3.4200000000000001E-2</v>
      </c>
      <c r="AH57" s="16" t="s">
        <v>402</v>
      </c>
      <c r="AI57" s="16"/>
      <c r="AJ57" s="16" t="s">
        <v>421</v>
      </c>
    </row>
    <row r="58" spans="1:36" ht="15" customHeight="1" x14ac:dyDescent="0.3">
      <c r="A58" s="16" t="s">
        <v>167</v>
      </c>
      <c r="B58" s="16" t="s">
        <v>246</v>
      </c>
      <c r="C58" s="16" t="s">
        <v>169</v>
      </c>
      <c r="D58" s="16" t="s">
        <v>178</v>
      </c>
      <c r="E58" s="16" t="s">
        <v>400</v>
      </c>
      <c r="F58" s="16" t="s">
        <v>401</v>
      </c>
      <c r="G58" s="16">
        <v>0.6</v>
      </c>
      <c r="H58" s="16">
        <v>2705</v>
      </c>
      <c r="I58" s="16"/>
      <c r="J58" s="16">
        <v>112</v>
      </c>
      <c r="K58" s="16"/>
      <c r="L58" s="16"/>
      <c r="M58" s="16"/>
      <c r="N58" s="16">
        <v>10.458401840123599</v>
      </c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>
        <v>0.3634</v>
      </c>
      <c r="AH58" s="16" t="s">
        <v>402</v>
      </c>
      <c r="AI58" s="16"/>
      <c r="AJ58" s="16" t="s">
        <v>421</v>
      </c>
    </row>
    <row r="59" spans="1:36" ht="15" customHeight="1" x14ac:dyDescent="0.3">
      <c r="A59" s="16" t="s">
        <v>167</v>
      </c>
      <c r="B59" s="16" t="s">
        <v>246</v>
      </c>
      <c r="C59" s="16" t="s">
        <v>169</v>
      </c>
      <c r="D59" s="16" t="s">
        <v>180</v>
      </c>
      <c r="E59" s="16" t="s">
        <v>400</v>
      </c>
      <c r="F59" s="16" t="s">
        <v>401</v>
      </c>
      <c r="G59" s="16">
        <v>0.6</v>
      </c>
      <c r="H59" s="16">
        <v>2705</v>
      </c>
      <c r="I59" s="16"/>
      <c r="J59" s="16">
        <v>112</v>
      </c>
      <c r="K59" s="16"/>
      <c r="L59" s="16"/>
      <c r="M59" s="16"/>
      <c r="N59" s="16">
        <v>10.458401840123599</v>
      </c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>
        <v>0.91359999999999997</v>
      </c>
      <c r="AH59" s="16" t="s">
        <v>402</v>
      </c>
      <c r="AI59" s="16"/>
      <c r="AJ59" s="16" t="s">
        <v>421</v>
      </c>
    </row>
    <row r="60" spans="1:36" ht="15" customHeight="1" x14ac:dyDescent="0.3">
      <c r="A60" s="16" t="s">
        <v>167</v>
      </c>
      <c r="B60" s="16" t="s">
        <v>246</v>
      </c>
      <c r="C60" s="16" t="s">
        <v>169</v>
      </c>
      <c r="D60" s="16" t="s">
        <v>182</v>
      </c>
      <c r="E60" s="16" t="s">
        <v>400</v>
      </c>
      <c r="F60" s="16" t="s">
        <v>401</v>
      </c>
      <c r="G60" s="16">
        <v>0.6</v>
      </c>
      <c r="H60" s="16">
        <v>2705</v>
      </c>
      <c r="I60" s="16"/>
      <c r="J60" s="16">
        <v>112</v>
      </c>
      <c r="K60" s="16"/>
      <c r="L60" s="16"/>
      <c r="M60" s="16"/>
      <c r="N60" s="16">
        <v>10.458401840123599</v>
      </c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>
        <v>0.99839999999999995</v>
      </c>
      <c r="AH60" s="16" t="s">
        <v>402</v>
      </c>
      <c r="AI60" s="16"/>
      <c r="AJ60" s="16" t="s">
        <v>421</v>
      </c>
    </row>
    <row r="61" spans="1:36" ht="15" customHeight="1" x14ac:dyDescent="0.3">
      <c r="A61" s="16" t="s">
        <v>167</v>
      </c>
      <c r="B61" s="16" t="s">
        <v>246</v>
      </c>
      <c r="C61" s="16" t="s">
        <v>169</v>
      </c>
      <c r="D61" s="16" t="s">
        <v>184</v>
      </c>
      <c r="E61" s="16" t="s">
        <v>400</v>
      </c>
      <c r="F61" s="16" t="s">
        <v>401</v>
      </c>
      <c r="G61" s="16">
        <v>0.6</v>
      </c>
      <c r="H61" s="16">
        <v>2705</v>
      </c>
      <c r="I61" s="16"/>
      <c r="J61" s="16">
        <v>112</v>
      </c>
      <c r="K61" s="16"/>
      <c r="L61" s="16"/>
      <c r="M61" s="16"/>
      <c r="N61" s="16">
        <v>10.458401840123599</v>
      </c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>
        <v>1</v>
      </c>
      <c r="AH61" s="16" t="s">
        <v>402</v>
      </c>
      <c r="AI61" s="16"/>
      <c r="AJ61" s="16" t="s">
        <v>421</v>
      </c>
    </row>
    <row r="62" spans="1:36" ht="15" customHeight="1" x14ac:dyDescent="0.3">
      <c r="A62" s="16" t="s">
        <v>167</v>
      </c>
      <c r="B62" s="16" t="s">
        <v>246</v>
      </c>
      <c r="C62" s="16" t="s">
        <v>169</v>
      </c>
      <c r="D62" s="16" t="s">
        <v>186</v>
      </c>
      <c r="E62" s="16" t="s">
        <v>400</v>
      </c>
      <c r="F62" s="16" t="s">
        <v>401</v>
      </c>
      <c r="G62" s="16">
        <v>0.6</v>
      </c>
      <c r="H62" s="16">
        <v>2705</v>
      </c>
      <c r="I62" s="16"/>
      <c r="J62" s="16">
        <v>112</v>
      </c>
      <c r="K62" s="16"/>
      <c r="L62" s="16"/>
      <c r="M62" s="16"/>
      <c r="N62" s="16">
        <v>10.458401840123599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>
        <v>1</v>
      </c>
      <c r="AH62" s="16" t="s">
        <v>402</v>
      </c>
      <c r="AI62" s="16"/>
      <c r="AJ62" s="16" t="s">
        <v>421</v>
      </c>
    </row>
    <row r="63" spans="1:36" ht="15" customHeight="1" x14ac:dyDescent="0.3">
      <c r="A63" s="16" t="s">
        <v>167</v>
      </c>
      <c r="B63" s="16" t="s">
        <v>246</v>
      </c>
      <c r="C63" s="16" t="s">
        <v>169</v>
      </c>
      <c r="D63" s="16" t="s">
        <v>188</v>
      </c>
      <c r="E63" s="16" t="s">
        <v>400</v>
      </c>
      <c r="F63" s="16" t="s">
        <v>401</v>
      </c>
      <c r="G63" s="16">
        <v>0.6</v>
      </c>
      <c r="H63" s="16">
        <v>2705</v>
      </c>
      <c r="I63" s="16"/>
      <c r="J63" s="16">
        <v>112</v>
      </c>
      <c r="K63" s="16"/>
      <c r="L63" s="16"/>
      <c r="M63" s="16"/>
      <c r="N63" s="16">
        <v>10.458401840123599</v>
      </c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>
        <v>1</v>
      </c>
      <c r="AH63" s="16" t="s">
        <v>402</v>
      </c>
      <c r="AI63" s="16"/>
      <c r="AJ63" s="16" t="s">
        <v>421</v>
      </c>
    </row>
    <row r="64" spans="1:36" ht="15" customHeight="1" x14ac:dyDescent="0.3">
      <c r="A64" s="16" t="s">
        <v>167</v>
      </c>
      <c r="B64" s="16" t="s">
        <v>246</v>
      </c>
      <c r="C64" s="16" t="s">
        <v>169</v>
      </c>
      <c r="D64" s="16" t="s">
        <v>190</v>
      </c>
      <c r="E64" s="16" t="s">
        <v>400</v>
      </c>
      <c r="F64" s="16" t="s">
        <v>401</v>
      </c>
      <c r="G64" s="16">
        <v>0.6</v>
      </c>
      <c r="H64" s="16">
        <v>2705</v>
      </c>
      <c r="I64" s="16"/>
      <c r="J64" s="16">
        <v>112</v>
      </c>
      <c r="K64" s="16"/>
      <c r="L64" s="16"/>
      <c r="M64" s="16"/>
      <c r="N64" s="16">
        <v>10.458401840123599</v>
      </c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>
        <v>1</v>
      </c>
      <c r="AH64" s="16" t="s">
        <v>402</v>
      </c>
      <c r="AI64" s="16"/>
      <c r="AJ64" s="16" t="s">
        <v>421</v>
      </c>
    </row>
    <row r="65" spans="1:36" ht="15" customHeight="1" x14ac:dyDescent="0.3">
      <c r="A65" s="16" t="s">
        <v>167</v>
      </c>
      <c r="B65" s="16" t="s">
        <v>246</v>
      </c>
      <c r="C65" s="16" t="s">
        <v>169</v>
      </c>
      <c r="D65" s="16" t="s">
        <v>192</v>
      </c>
      <c r="E65" s="16" t="s">
        <v>400</v>
      </c>
      <c r="F65" s="16" t="s">
        <v>401</v>
      </c>
      <c r="G65" s="16">
        <v>0.6</v>
      </c>
      <c r="H65" s="16">
        <v>2705</v>
      </c>
      <c r="I65" s="16"/>
      <c r="J65" s="16">
        <v>112</v>
      </c>
      <c r="K65" s="16"/>
      <c r="L65" s="16"/>
      <c r="M65" s="16"/>
      <c r="N65" s="16">
        <v>10.458401840123599</v>
      </c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>
        <v>1</v>
      </c>
      <c r="AH65" s="16" t="s">
        <v>402</v>
      </c>
      <c r="AI65" s="16"/>
      <c r="AJ65" s="16" t="s">
        <v>421</v>
      </c>
    </row>
    <row r="66" spans="1:36" ht="15" customHeight="1" x14ac:dyDescent="0.3">
      <c r="A66" s="16" t="s">
        <v>167</v>
      </c>
      <c r="B66" s="16" t="s">
        <v>246</v>
      </c>
      <c r="C66" s="16" t="s">
        <v>169</v>
      </c>
      <c r="D66" s="16" t="s">
        <v>194</v>
      </c>
      <c r="E66" s="16" t="s">
        <v>404</v>
      </c>
      <c r="F66" s="16" t="s">
        <v>401</v>
      </c>
      <c r="G66" s="16">
        <v>0.6</v>
      </c>
      <c r="H66" s="16">
        <v>2705</v>
      </c>
      <c r="I66" s="16"/>
      <c r="J66" s="16">
        <v>112</v>
      </c>
      <c r="K66" s="16"/>
      <c r="L66" s="16"/>
      <c r="M66" s="16"/>
      <c r="N66" s="16">
        <v>10.458401840123599</v>
      </c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>
        <v>1.79352962559069E-2</v>
      </c>
      <c r="AH66" s="16" t="s">
        <v>402</v>
      </c>
      <c r="AI66" s="16"/>
      <c r="AJ66" s="16" t="s">
        <v>422</v>
      </c>
    </row>
    <row r="67" spans="1:36" ht="15" customHeight="1" x14ac:dyDescent="0.3">
      <c r="A67" s="16" t="s">
        <v>167</v>
      </c>
      <c r="B67" s="16" t="s">
        <v>246</v>
      </c>
      <c r="C67" s="16" t="s">
        <v>169</v>
      </c>
      <c r="D67" s="16" t="s">
        <v>196</v>
      </c>
      <c r="E67" s="16" t="s">
        <v>404</v>
      </c>
      <c r="F67" s="16" t="s">
        <v>401</v>
      </c>
      <c r="G67" s="16">
        <v>0.6</v>
      </c>
      <c r="H67" s="16">
        <v>2705</v>
      </c>
      <c r="I67" s="16"/>
      <c r="J67" s="16">
        <v>112</v>
      </c>
      <c r="K67" s="16"/>
      <c r="L67" s="16"/>
      <c r="M67" s="16"/>
      <c r="N67" s="16">
        <v>10.458401840123599</v>
      </c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>
        <v>1.9752817157397299E-2</v>
      </c>
      <c r="AH67" s="16" t="s">
        <v>402</v>
      </c>
      <c r="AI67" s="16"/>
      <c r="AJ67" s="16" t="s">
        <v>423</v>
      </c>
    </row>
    <row r="68" spans="1:36" ht="15" customHeight="1" x14ac:dyDescent="0.3">
      <c r="A68" s="16" t="s">
        <v>167</v>
      </c>
      <c r="B68" s="16" t="s">
        <v>168</v>
      </c>
      <c r="C68" s="16" t="s">
        <v>169</v>
      </c>
      <c r="D68" s="16" t="s">
        <v>170</v>
      </c>
      <c r="E68" s="16" t="s">
        <v>400</v>
      </c>
      <c r="F68" s="16" t="s">
        <v>401</v>
      </c>
      <c r="G68" s="16">
        <v>0.6</v>
      </c>
      <c r="H68" s="16">
        <v>2705</v>
      </c>
      <c r="I68" s="16"/>
      <c r="J68" s="16">
        <v>112</v>
      </c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>
        <v>0.76500000000000001</v>
      </c>
      <c r="AH68" s="16" t="s">
        <v>402</v>
      </c>
      <c r="AI68" s="16"/>
      <c r="AJ68" s="16" t="s">
        <v>424</v>
      </c>
    </row>
    <row r="69" spans="1:36" ht="15" customHeight="1" x14ac:dyDescent="0.3">
      <c r="A69" s="16" t="s">
        <v>167</v>
      </c>
      <c r="B69" s="16" t="s">
        <v>168</v>
      </c>
      <c r="C69" s="16" t="s">
        <v>169</v>
      </c>
      <c r="D69" s="16" t="s">
        <v>172</v>
      </c>
      <c r="E69" s="16" t="s">
        <v>400</v>
      </c>
      <c r="F69" s="16" t="s">
        <v>401</v>
      </c>
      <c r="G69" s="16">
        <v>0.6</v>
      </c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>
        <v>3.5000000000000003E-2</v>
      </c>
      <c r="AH69" s="16" t="s">
        <v>402</v>
      </c>
      <c r="AI69" s="16"/>
      <c r="AJ69" s="16" t="s">
        <v>425</v>
      </c>
    </row>
    <row r="70" spans="1:36" ht="15" customHeight="1" x14ac:dyDescent="0.3">
      <c r="A70" s="16" t="s">
        <v>370</v>
      </c>
      <c r="B70" s="16" t="s">
        <v>371</v>
      </c>
      <c r="C70" s="16" t="s">
        <v>169</v>
      </c>
      <c r="D70" s="16" t="s">
        <v>65</v>
      </c>
      <c r="E70" s="16" t="s">
        <v>400</v>
      </c>
      <c r="F70" s="16" t="s">
        <v>401</v>
      </c>
      <c r="G70" s="16">
        <v>0.6</v>
      </c>
      <c r="H70" s="16">
        <v>2705</v>
      </c>
      <c r="I70" s="16"/>
      <c r="J70" s="16">
        <v>112</v>
      </c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>
        <v>0.40119760479041899</v>
      </c>
      <c r="AH70" s="16" t="s">
        <v>408</v>
      </c>
      <c r="AI70" s="16" t="s">
        <v>426</v>
      </c>
      <c r="AJ70" s="16" t="s">
        <v>427</v>
      </c>
    </row>
    <row r="71" spans="1:36" ht="15" customHeight="1" x14ac:dyDescent="0.3">
      <c r="A71" s="16" t="s">
        <v>370</v>
      </c>
      <c r="B71" s="16" t="s">
        <v>371</v>
      </c>
      <c r="C71" s="16" t="s">
        <v>169</v>
      </c>
      <c r="D71" s="16" t="s">
        <v>74</v>
      </c>
      <c r="E71" s="16" t="s">
        <v>400</v>
      </c>
      <c r="F71" s="16" t="s">
        <v>401</v>
      </c>
      <c r="G71" s="16">
        <v>0.6</v>
      </c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>
        <v>500</v>
      </c>
      <c r="AH71" s="16" t="s">
        <v>402</v>
      </c>
      <c r="AI71" s="16"/>
      <c r="AJ71" s="16" t="s">
        <v>428</v>
      </c>
    </row>
    <row r="72" spans="1:36" ht="15" customHeight="1" x14ac:dyDescent="0.3">
      <c r="A72" s="16" t="s">
        <v>358</v>
      </c>
      <c r="B72" s="16" t="s">
        <v>359</v>
      </c>
      <c r="C72" s="16" t="s">
        <v>169</v>
      </c>
      <c r="D72" s="16" t="s">
        <v>65</v>
      </c>
      <c r="E72" s="16" t="s">
        <v>400</v>
      </c>
      <c r="F72" s="16" t="s">
        <v>401</v>
      </c>
      <c r="G72" s="16">
        <v>0.6</v>
      </c>
      <c r="H72" s="16">
        <v>2705</v>
      </c>
      <c r="I72" s="16"/>
      <c r="J72" s="16">
        <v>112</v>
      </c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>
        <v>0.34131736526946099</v>
      </c>
      <c r="AH72" s="16" t="s">
        <v>408</v>
      </c>
      <c r="AI72" s="16" t="s">
        <v>429</v>
      </c>
      <c r="AJ72" s="16" t="s">
        <v>430</v>
      </c>
    </row>
    <row r="73" spans="1:36" ht="15" customHeight="1" x14ac:dyDescent="0.3">
      <c r="A73" s="16" t="s">
        <v>358</v>
      </c>
      <c r="B73" s="16" t="s">
        <v>359</v>
      </c>
      <c r="C73" s="16" t="s">
        <v>169</v>
      </c>
      <c r="D73" s="16" t="s">
        <v>74</v>
      </c>
      <c r="E73" s="16" t="s">
        <v>400</v>
      </c>
      <c r="F73" s="16" t="s">
        <v>401</v>
      </c>
      <c r="G73" s="16">
        <v>0.6</v>
      </c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>
        <v>500</v>
      </c>
      <c r="AH73" s="16" t="s">
        <v>402</v>
      </c>
      <c r="AI73" s="16"/>
      <c r="AJ73" s="16" t="s">
        <v>431</v>
      </c>
    </row>
    <row r="74" spans="1:36" ht="15" customHeight="1" x14ac:dyDescent="0.3">
      <c r="A74" s="16" t="s">
        <v>273</v>
      </c>
      <c r="B74" s="16" t="s">
        <v>274</v>
      </c>
      <c r="C74" s="16" t="s">
        <v>169</v>
      </c>
      <c r="D74" s="16" t="s">
        <v>275</v>
      </c>
      <c r="E74" s="16" t="s">
        <v>400</v>
      </c>
      <c r="F74" s="16" t="s">
        <v>401</v>
      </c>
      <c r="G74" s="16">
        <v>0.6</v>
      </c>
      <c r="H74" s="16">
        <v>2705</v>
      </c>
      <c r="I74" s="16"/>
      <c r="J74" s="16">
        <v>112</v>
      </c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>
        <v>0</v>
      </c>
      <c r="AH74" s="16" t="s">
        <v>402</v>
      </c>
      <c r="AI74" s="16"/>
      <c r="AJ74" s="16" t="s">
        <v>432</v>
      </c>
    </row>
    <row r="75" spans="1:36" ht="15" customHeight="1" x14ac:dyDescent="0.3">
      <c r="A75" s="16" t="s">
        <v>273</v>
      </c>
      <c r="B75" s="16" t="s">
        <v>274</v>
      </c>
      <c r="C75" s="16" t="s">
        <v>169</v>
      </c>
      <c r="D75" s="16" t="s">
        <v>277</v>
      </c>
      <c r="E75" s="16" t="s">
        <v>400</v>
      </c>
      <c r="F75" s="16" t="s">
        <v>401</v>
      </c>
      <c r="G75" s="16">
        <v>0.6</v>
      </c>
      <c r="H75" s="16">
        <v>2705</v>
      </c>
      <c r="I75" s="16"/>
      <c r="J75" s="16">
        <v>112</v>
      </c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>
        <v>0.557232458949382</v>
      </c>
      <c r="AH75" s="16" t="s">
        <v>402</v>
      </c>
      <c r="AI75" s="16"/>
      <c r="AJ75" s="16" t="s">
        <v>433</v>
      </c>
    </row>
    <row r="76" spans="1:36" ht="15" customHeight="1" x14ac:dyDescent="0.3">
      <c r="A76" s="16" t="s">
        <v>273</v>
      </c>
      <c r="B76" s="16" t="s">
        <v>274</v>
      </c>
      <c r="C76" s="16" t="s">
        <v>169</v>
      </c>
      <c r="D76" s="16" t="s">
        <v>279</v>
      </c>
      <c r="E76" s="16" t="s">
        <v>400</v>
      </c>
      <c r="F76" s="16" t="s">
        <v>401</v>
      </c>
      <c r="G76" s="16">
        <v>0.6</v>
      </c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>
        <v>1</v>
      </c>
      <c r="AH76" s="16" t="s">
        <v>408</v>
      </c>
      <c r="AI76" s="16" t="s">
        <v>434</v>
      </c>
      <c r="AJ76" s="16" t="s">
        <v>435</v>
      </c>
    </row>
    <row r="77" spans="1:36" ht="15" customHeight="1" x14ac:dyDescent="0.3">
      <c r="A77" s="16" t="s">
        <v>273</v>
      </c>
      <c r="B77" s="16" t="s">
        <v>274</v>
      </c>
      <c r="C77" s="16" t="s">
        <v>169</v>
      </c>
      <c r="D77" s="16" t="s">
        <v>281</v>
      </c>
      <c r="E77" s="16" t="s">
        <v>400</v>
      </c>
      <c r="F77" s="16" t="s">
        <v>401</v>
      </c>
      <c r="G77" s="16">
        <v>0.6</v>
      </c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>
        <v>0.85429141716566903</v>
      </c>
      <c r="AH77" s="16" t="s">
        <v>402</v>
      </c>
      <c r="AI77" s="16"/>
      <c r="AJ77" s="16" t="s">
        <v>436</v>
      </c>
    </row>
    <row r="78" spans="1:36" ht="15" customHeight="1" x14ac:dyDescent="0.3">
      <c r="A78" s="16" t="s">
        <v>273</v>
      </c>
      <c r="B78" s="16" t="s">
        <v>274</v>
      </c>
      <c r="C78" s="16" t="s">
        <v>169</v>
      </c>
      <c r="D78" s="16" t="s">
        <v>74</v>
      </c>
      <c r="E78" s="16" t="s">
        <v>400</v>
      </c>
      <c r="F78" s="16" t="s">
        <v>401</v>
      </c>
      <c r="G78" s="16">
        <v>0.6</v>
      </c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>
        <v>500</v>
      </c>
      <c r="AH78" s="16" t="s">
        <v>402</v>
      </c>
      <c r="AI78" s="16"/>
      <c r="AJ78" s="16" t="s">
        <v>437</v>
      </c>
    </row>
    <row r="79" spans="1:36" ht="15" customHeight="1" x14ac:dyDescent="0.3">
      <c r="A79" s="16" t="s">
        <v>273</v>
      </c>
      <c r="B79" s="16" t="s">
        <v>322</v>
      </c>
      <c r="C79" s="16" t="s">
        <v>438</v>
      </c>
      <c r="D79" s="16" t="s">
        <v>324</v>
      </c>
      <c r="E79" s="16" t="s">
        <v>404</v>
      </c>
      <c r="F79" s="16" t="s">
        <v>401</v>
      </c>
      <c r="G79" s="16">
        <v>0.4</v>
      </c>
      <c r="H79" s="16">
        <v>2705</v>
      </c>
      <c r="I79" s="16">
        <v>113</v>
      </c>
      <c r="J79" s="16">
        <v>112</v>
      </c>
      <c r="K79" s="16">
        <v>1.0352567185137201E-2</v>
      </c>
      <c r="L79" s="16">
        <v>1.8055941344579399E-2</v>
      </c>
      <c r="M79" s="16">
        <v>0.57336070092214697</v>
      </c>
      <c r="N79" s="16">
        <v>14.5488914257263</v>
      </c>
      <c r="O79" s="16">
        <v>0.57515664365061403</v>
      </c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 t="s">
        <v>402</v>
      </c>
      <c r="AI79" s="16"/>
      <c r="AJ79" s="16" t="s">
        <v>439</v>
      </c>
    </row>
    <row r="80" spans="1:36" ht="15" customHeight="1" x14ac:dyDescent="0.3">
      <c r="A80" s="16" t="s">
        <v>273</v>
      </c>
      <c r="B80" s="16" t="s">
        <v>326</v>
      </c>
      <c r="C80" s="16" t="s">
        <v>438</v>
      </c>
      <c r="D80" s="16" t="s">
        <v>324</v>
      </c>
      <c r="E80" s="16" t="s">
        <v>404</v>
      </c>
      <c r="F80" s="16" t="s">
        <v>401</v>
      </c>
      <c r="G80" s="16">
        <v>0.4</v>
      </c>
      <c r="H80" s="16">
        <v>2705</v>
      </c>
      <c r="I80" s="16">
        <v>113</v>
      </c>
      <c r="J80" s="16">
        <v>112</v>
      </c>
      <c r="K80" s="16">
        <v>9.9113767351047492E-3</v>
      </c>
      <c r="L80" s="16">
        <v>1.77123461492232E-2</v>
      </c>
      <c r="M80" s="16">
        <v>0.55957447147900596</v>
      </c>
      <c r="N80" s="16">
        <v>11.9259275095588</v>
      </c>
      <c r="O80" s="16">
        <v>0.58612586775460895</v>
      </c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 t="s">
        <v>402</v>
      </c>
      <c r="AI80" s="16"/>
      <c r="AJ80" s="16" t="s">
        <v>440</v>
      </c>
    </row>
    <row r="81" spans="1:36" ht="15" customHeight="1" x14ac:dyDescent="0.3">
      <c r="A81" s="16" t="s">
        <v>273</v>
      </c>
      <c r="B81" s="16" t="s">
        <v>328</v>
      </c>
      <c r="C81" s="16" t="s">
        <v>438</v>
      </c>
      <c r="D81" s="16" t="s">
        <v>324</v>
      </c>
      <c r="E81" s="16" t="s">
        <v>404</v>
      </c>
      <c r="F81" s="16" t="s">
        <v>401</v>
      </c>
      <c r="G81" s="16">
        <v>0.4</v>
      </c>
      <c r="H81" s="16">
        <v>2705</v>
      </c>
      <c r="I81" s="16">
        <v>113</v>
      </c>
      <c r="J81" s="16">
        <v>112</v>
      </c>
      <c r="K81" s="16">
        <v>-1.94641029183092E-2</v>
      </c>
      <c r="L81" s="16">
        <v>2.09393996867074E-2</v>
      </c>
      <c r="M81" s="16">
        <v>-0.92954445731628199</v>
      </c>
      <c r="N81" s="16">
        <v>41.794308168386301</v>
      </c>
      <c r="O81" s="16">
        <v>0.35794500765430998</v>
      </c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 t="s">
        <v>402</v>
      </c>
      <c r="AI81" s="16"/>
      <c r="AJ81" s="16" t="s">
        <v>441</v>
      </c>
    </row>
    <row r="82" spans="1:36" ht="15" customHeight="1" x14ac:dyDescent="0.3">
      <c r="A82" s="16" t="s">
        <v>273</v>
      </c>
      <c r="B82" s="16" t="s">
        <v>330</v>
      </c>
      <c r="C82" s="16" t="s">
        <v>438</v>
      </c>
      <c r="D82" s="16" t="s">
        <v>324</v>
      </c>
      <c r="E82" s="16" t="s">
        <v>404</v>
      </c>
      <c r="F82" s="16" t="s">
        <v>401</v>
      </c>
      <c r="G82" s="16">
        <v>0.4</v>
      </c>
      <c r="H82" s="16">
        <v>2705</v>
      </c>
      <c r="I82" s="16">
        <v>113</v>
      </c>
      <c r="J82" s="16">
        <v>112</v>
      </c>
      <c r="K82" s="16">
        <v>8.0829058063508399E-3</v>
      </c>
      <c r="L82" s="16">
        <v>1.7984533416232601E-2</v>
      </c>
      <c r="M82" s="16">
        <v>0.44943650298179499</v>
      </c>
      <c r="N82" s="16">
        <v>10.5628973388459</v>
      </c>
      <c r="O82" s="16">
        <v>0.662198632418044</v>
      </c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 t="s">
        <v>402</v>
      </c>
      <c r="AI82" s="16"/>
      <c r="AJ82" s="16" t="s">
        <v>442</v>
      </c>
    </row>
    <row r="83" spans="1:36" ht="15" customHeight="1" x14ac:dyDescent="0.3">
      <c r="A83" s="16" t="s">
        <v>273</v>
      </c>
      <c r="B83" s="16" t="s">
        <v>332</v>
      </c>
      <c r="C83" s="16" t="s">
        <v>438</v>
      </c>
      <c r="D83" s="16" t="s">
        <v>324</v>
      </c>
      <c r="E83" s="16" t="s">
        <v>404</v>
      </c>
      <c r="F83" s="16" t="s">
        <v>401</v>
      </c>
      <c r="G83" s="16">
        <v>0.4</v>
      </c>
      <c r="H83" s="16">
        <v>2705</v>
      </c>
      <c r="I83" s="16">
        <v>113</v>
      </c>
      <c r="J83" s="16">
        <v>112</v>
      </c>
      <c r="K83" s="16">
        <v>2.78842519558578E-3</v>
      </c>
      <c r="L83" s="16">
        <v>2.2096204808335299E-2</v>
      </c>
      <c r="M83" s="16">
        <v>0.126194756962694</v>
      </c>
      <c r="N83" s="16">
        <v>18.788602988570901</v>
      </c>
      <c r="O83" s="16">
        <v>0.90091839991571399</v>
      </c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 t="s">
        <v>402</v>
      </c>
      <c r="AI83" s="16"/>
      <c r="AJ83" s="16" t="s">
        <v>443</v>
      </c>
    </row>
    <row r="84" spans="1:36" ht="15" customHeight="1" x14ac:dyDescent="0.3">
      <c r="A84" s="16" t="s">
        <v>273</v>
      </c>
      <c r="B84" s="16" t="s">
        <v>334</v>
      </c>
      <c r="C84" s="16" t="s">
        <v>438</v>
      </c>
      <c r="D84" s="16" t="s">
        <v>324</v>
      </c>
      <c r="E84" s="16" t="s">
        <v>404</v>
      </c>
      <c r="F84" s="16" t="s">
        <v>401</v>
      </c>
      <c r="G84" s="16">
        <v>0.4</v>
      </c>
      <c r="H84" s="16">
        <v>2705</v>
      </c>
      <c r="I84" s="16">
        <v>113</v>
      </c>
      <c r="J84" s="16">
        <v>112</v>
      </c>
      <c r="K84" s="16">
        <v>4.1833089041284797E-3</v>
      </c>
      <c r="L84" s="16">
        <v>2.25617346848343E-2</v>
      </c>
      <c r="M84" s="16">
        <v>0.18541610219982099</v>
      </c>
      <c r="N84" s="16">
        <v>15.4539564156194</v>
      </c>
      <c r="O84" s="16">
        <v>0.85531433263879197</v>
      </c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 t="s">
        <v>402</v>
      </c>
      <c r="AI84" s="16"/>
      <c r="AJ84" s="16" t="s">
        <v>444</v>
      </c>
    </row>
    <row r="85" spans="1:36" ht="15" customHeight="1" x14ac:dyDescent="0.3">
      <c r="A85" s="16" t="s">
        <v>273</v>
      </c>
      <c r="B85" s="16" t="s">
        <v>336</v>
      </c>
      <c r="C85" s="16" t="s">
        <v>438</v>
      </c>
      <c r="D85" s="16" t="s">
        <v>324</v>
      </c>
      <c r="E85" s="16" t="s">
        <v>404</v>
      </c>
      <c r="F85" s="16" t="s">
        <v>401</v>
      </c>
      <c r="G85" s="16">
        <v>0.4</v>
      </c>
      <c r="H85" s="16">
        <v>2705</v>
      </c>
      <c r="I85" s="16">
        <v>113</v>
      </c>
      <c r="J85" s="16">
        <v>112</v>
      </c>
      <c r="K85" s="16">
        <v>-5.8895677093381803E-3</v>
      </c>
      <c r="L85" s="16">
        <v>2.0615232156854499E-2</v>
      </c>
      <c r="M85" s="16">
        <v>-0.28569009868656298</v>
      </c>
      <c r="N85" s="16">
        <v>17.272106279741202</v>
      </c>
      <c r="O85" s="16">
        <v>0.77851340602743702</v>
      </c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 t="s">
        <v>402</v>
      </c>
      <c r="AI85" s="16"/>
      <c r="AJ85" s="16" t="s">
        <v>445</v>
      </c>
    </row>
    <row r="86" spans="1:36" ht="15" customHeight="1" x14ac:dyDescent="0.3">
      <c r="A86" s="16" t="s">
        <v>273</v>
      </c>
      <c r="B86" s="16" t="s">
        <v>338</v>
      </c>
      <c r="C86" s="16" t="s">
        <v>438</v>
      </c>
      <c r="D86" s="16" t="s">
        <v>324</v>
      </c>
      <c r="E86" s="16" t="s">
        <v>404</v>
      </c>
      <c r="F86" s="16" t="s">
        <v>401</v>
      </c>
      <c r="G86" s="16">
        <v>0.4</v>
      </c>
      <c r="H86" s="16">
        <v>2705</v>
      </c>
      <c r="I86" s="16">
        <v>113</v>
      </c>
      <c r="J86" s="16">
        <v>112</v>
      </c>
      <c r="K86" s="16">
        <v>4.0011947080927202E-2</v>
      </c>
      <c r="L86" s="16">
        <v>2.5977071338968299E-2</v>
      </c>
      <c r="M86" s="16">
        <v>1.5402793701730799</v>
      </c>
      <c r="N86" s="16">
        <v>21.3511408517953</v>
      </c>
      <c r="O86" s="16">
        <v>0.13818295733664299</v>
      </c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 t="s">
        <v>402</v>
      </c>
      <c r="AI86" s="16"/>
      <c r="AJ86" s="16" t="s">
        <v>446</v>
      </c>
    </row>
    <row r="87" spans="1:36" ht="15" customHeight="1" x14ac:dyDescent="0.3">
      <c r="A87" s="16" t="s">
        <v>273</v>
      </c>
      <c r="B87" s="16" t="s">
        <v>340</v>
      </c>
      <c r="C87" s="16" t="s">
        <v>438</v>
      </c>
      <c r="D87" s="16" t="s">
        <v>324</v>
      </c>
      <c r="E87" s="16" t="s">
        <v>404</v>
      </c>
      <c r="F87" s="16" t="s">
        <v>401</v>
      </c>
      <c r="G87" s="16">
        <v>0.4</v>
      </c>
      <c r="H87" s="16">
        <v>2705</v>
      </c>
      <c r="I87" s="16">
        <v>113</v>
      </c>
      <c r="J87" s="16">
        <v>112</v>
      </c>
      <c r="K87" s="16">
        <v>2.1576415160342401E-2</v>
      </c>
      <c r="L87" s="16">
        <v>2.16492837467663E-2</v>
      </c>
      <c r="M87" s="16">
        <v>0.99663413407684498</v>
      </c>
      <c r="N87" s="16">
        <v>21.575908719960701</v>
      </c>
      <c r="O87" s="16">
        <v>0.32998896487339702</v>
      </c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 t="s">
        <v>402</v>
      </c>
      <c r="AI87" s="16"/>
      <c r="AJ87" s="16" t="s">
        <v>447</v>
      </c>
    </row>
    <row r="88" spans="1:36" ht="15" customHeight="1" x14ac:dyDescent="0.3">
      <c r="A88" s="16" t="s">
        <v>273</v>
      </c>
      <c r="B88" s="16" t="s">
        <v>342</v>
      </c>
      <c r="C88" s="16" t="s">
        <v>438</v>
      </c>
      <c r="D88" s="16" t="s">
        <v>324</v>
      </c>
      <c r="E88" s="16" t="s">
        <v>404</v>
      </c>
      <c r="F88" s="16" t="s">
        <v>401</v>
      </c>
      <c r="G88" s="16">
        <v>0.4</v>
      </c>
      <c r="H88" s="16">
        <v>929</v>
      </c>
      <c r="I88" s="16">
        <v>40</v>
      </c>
      <c r="J88" s="16">
        <v>40</v>
      </c>
      <c r="K88" s="16">
        <v>-1.5121059039516001E-2</v>
      </c>
      <c r="L88" s="16">
        <v>1.8232502059534299E-2</v>
      </c>
      <c r="M88" s="16">
        <v>-0.82934635027827897</v>
      </c>
      <c r="N88" s="16">
        <v>24.405709427947698</v>
      </c>
      <c r="O88" s="16">
        <v>0.41494680285437202</v>
      </c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 t="s">
        <v>402</v>
      </c>
      <c r="AI88" s="16"/>
      <c r="AJ88" s="16" t="s">
        <v>448</v>
      </c>
    </row>
    <row r="89" spans="1:36" ht="15" customHeight="1" x14ac:dyDescent="0.3">
      <c r="A89" s="16" t="s">
        <v>273</v>
      </c>
      <c r="B89" s="16" t="s">
        <v>449</v>
      </c>
      <c r="C89" s="16" t="s">
        <v>438</v>
      </c>
      <c r="D89" s="16" t="s">
        <v>324</v>
      </c>
      <c r="E89" s="16" t="s">
        <v>404</v>
      </c>
      <c r="F89" s="16" t="s">
        <v>401</v>
      </c>
      <c r="G89" s="16">
        <v>0.4</v>
      </c>
      <c r="H89" s="16">
        <v>2692</v>
      </c>
      <c r="I89" s="16">
        <v>113</v>
      </c>
      <c r="J89" s="16">
        <v>112</v>
      </c>
      <c r="K89" s="16">
        <v>-1.34689759683595E-2</v>
      </c>
      <c r="L89" s="16">
        <v>1.0764883798123201E-2</v>
      </c>
      <c r="M89" s="16">
        <v>-1.25119566740774</v>
      </c>
      <c r="N89" s="16">
        <v>38.278542272059603</v>
      </c>
      <c r="O89" s="16">
        <v>0.21845626400254001</v>
      </c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 t="s">
        <v>402</v>
      </c>
      <c r="AI89" s="16"/>
      <c r="AJ89" s="16" t="s">
        <v>450</v>
      </c>
    </row>
    <row r="90" spans="1:36" ht="15" customHeight="1" x14ac:dyDescent="0.3">
      <c r="A90" s="16" t="s">
        <v>273</v>
      </c>
      <c r="B90" s="16" t="s">
        <v>451</v>
      </c>
      <c r="C90" s="16" t="s">
        <v>438</v>
      </c>
      <c r="D90" s="16" t="s">
        <v>324</v>
      </c>
      <c r="E90" s="16" t="s">
        <v>404</v>
      </c>
      <c r="F90" s="16" t="s">
        <v>401</v>
      </c>
      <c r="G90" s="16">
        <v>0.4</v>
      </c>
      <c r="H90" s="16">
        <v>2692</v>
      </c>
      <c r="I90" s="16">
        <v>113</v>
      </c>
      <c r="J90" s="16">
        <v>112</v>
      </c>
      <c r="K90" s="16">
        <v>-1.2635373453865799E-2</v>
      </c>
      <c r="L90" s="16">
        <v>1.1411001065162201E-2</v>
      </c>
      <c r="M90" s="16">
        <v>-1.10729754398512</v>
      </c>
      <c r="N90" s="16">
        <v>29.3331587738117</v>
      </c>
      <c r="O90" s="16">
        <v>0.27716318128738998</v>
      </c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 t="s">
        <v>402</v>
      </c>
      <c r="AI90" s="16"/>
      <c r="AJ90" s="16" t="s">
        <v>452</v>
      </c>
    </row>
    <row r="91" spans="1:36" ht="15" customHeight="1" x14ac:dyDescent="0.3">
      <c r="A91" s="16" t="s">
        <v>273</v>
      </c>
      <c r="B91" s="16" t="s">
        <v>453</v>
      </c>
      <c r="C91" s="16" t="s">
        <v>438</v>
      </c>
      <c r="D91" s="16" t="s">
        <v>324</v>
      </c>
      <c r="E91" s="16" t="s">
        <v>404</v>
      </c>
      <c r="F91" s="16" t="s">
        <v>401</v>
      </c>
      <c r="G91" s="16">
        <v>0.4</v>
      </c>
      <c r="H91" s="16">
        <v>2692</v>
      </c>
      <c r="I91" s="16">
        <v>113</v>
      </c>
      <c r="J91" s="16">
        <v>112</v>
      </c>
      <c r="K91" s="16">
        <v>1.37307126066577E-3</v>
      </c>
      <c r="L91" s="16">
        <v>1.02858433505286E-2</v>
      </c>
      <c r="M91" s="16">
        <v>0.13349136418602001</v>
      </c>
      <c r="N91" s="16">
        <v>36.104774686388801</v>
      </c>
      <c r="O91" s="16">
        <v>0.89454609358114601</v>
      </c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 t="s">
        <v>402</v>
      </c>
      <c r="AI91" s="16"/>
      <c r="AJ91" s="16" t="s">
        <v>454</v>
      </c>
    </row>
    <row r="92" spans="1:36" ht="15" customHeight="1" x14ac:dyDescent="0.3">
      <c r="A92" s="16" t="s">
        <v>273</v>
      </c>
      <c r="B92" s="16" t="s">
        <v>455</v>
      </c>
      <c r="C92" s="16" t="s">
        <v>438</v>
      </c>
      <c r="D92" s="16" t="s">
        <v>324</v>
      </c>
      <c r="E92" s="16" t="s">
        <v>404</v>
      </c>
      <c r="F92" s="16" t="s">
        <v>401</v>
      </c>
      <c r="G92" s="16">
        <v>0.4</v>
      </c>
      <c r="H92" s="16">
        <v>2692</v>
      </c>
      <c r="I92" s="16">
        <v>113</v>
      </c>
      <c r="J92" s="16">
        <v>112</v>
      </c>
      <c r="K92" s="16">
        <v>-1.32419648534896E-2</v>
      </c>
      <c r="L92" s="16">
        <v>1.1923809200850901E-2</v>
      </c>
      <c r="M92" s="16">
        <v>-1.11054820069954</v>
      </c>
      <c r="N92" s="16">
        <v>25.6541543326876</v>
      </c>
      <c r="O92" s="16">
        <v>0.27706380798332803</v>
      </c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 t="s">
        <v>402</v>
      </c>
      <c r="AI92" s="16"/>
      <c r="AJ92" s="16" t="s">
        <v>456</v>
      </c>
    </row>
    <row r="93" spans="1:36" ht="15" customHeight="1" x14ac:dyDescent="0.3">
      <c r="A93" s="16" t="s">
        <v>273</v>
      </c>
      <c r="B93" s="16" t="s">
        <v>457</v>
      </c>
      <c r="C93" s="16" t="s">
        <v>438</v>
      </c>
      <c r="D93" s="16" t="s">
        <v>324</v>
      </c>
      <c r="E93" s="16" t="s">
        <v>404</v>
      </c>
      <c r="F93" s="16" t="s">
        <v>401</v>
      </c>
      <c r="G93" s="16">
        <v>0.4</v>
      </c>
      <c r="H93" s="16">
        <v>2692</v>
      </c>
      <c r="I93" s="16">
        <v>113</v>
      </c>
      <c r="J93" s="16">
        <v>112</v>
      </c>
      <c r="K93" s="16">
        <v>-1.4836788613429E-2</v>
      </c>
      <c r="L93" s="16">
        <v>1.4864996760376E-2</v>
      </c>
      <c r="M93" s="16">
        <v>-0.998102377861113</v>
      </c>
      <c r="N93" s="16">
        <v>18.266528378940802</v>
      </c>
      <c r="O93" s="16">
        <v>0.33126887999904098</v>
      </c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 t="s">
        <v>402</v>
      </c>
      <c r="AI93" s="16"/>
      <c r="AJ93" s="16" t="s">
        <v>458</v>
      </c>
    </row>
    <row r="94" spans="1:36" ht="15" customHeight="1" x14ac:dyDescent="0.3">
      <c r="A94" s="16" t="s">
        <v>273</v>
      </c>
      <c r="B94" s="16" t="s">
        <v>459</v>
      </c>
      <c r="C94" s="16" t="s">
        <v>438</v>
      </c>
      <c r="D94" s="16" t="s">
        <v>324</v>
      </c>
      <c r="E94" s="16" t="s">
        <v>404</v>
      </c>
      <c r="F94" s="16" t="s">
        <v>401</v>
      </c>
      <c r="G94" s="16">
        <v>0.4</v>
      </c>
      <c r="H94" s="16">
        <v>2692</v>
      </c>
      <c r="I94" s="16">
        <v>113</v>
      </c>
      <c r="J94" s="16">
        <v>112</v>
      </c>
      <c r="K94" s="16">
        <v>-1.4020845323524199E-2</v>
      </c>
      <c r="L94" s="16">
        <v>1.5963296594425198E-2</v>
      </c>
      <c r="M94" s="16">
        <v>-0.87831766080325602</v>
      </c>
      <c r="N94" s="16">
        <v>15.0206473635516</v>
      </c>
      <c r="O94" s="16">
        <v>0.39360452763977399</v>
      </c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 t="s">
        <v>402</v>
      </c>
      <c r="AI94" s="16"/>
      <c r="AJ94" s="16" t="s">
        <v>460</v>
      </c>
    </row>
    <row r="95" spans="1:36" ht="15" customHeight="1" x14ac:dyDescent="0.3">
      <c r="A95" s="16" t="s">
        <v>273</v>
      </c>
      <c r="B95" s="16" t="s">
        <v>461</v>
      </c>
      <c r="C95" s="16" t="s">
        <v>438</v>
      </c>
      <c r="D95" s="16" t="s">
        <v>324</v>
      </c>
      <c r="E95" s="16" t="s">
        <v>404</v>
      </c>
      <c r="F95" s="16" t="s">
        <v>401</v>
      </c>
      <c r="G95" s="16">
        <v>0.4</v>
      </c>
      <c r="H95" s="16">
        <v>2692</v>
      </c>
      <c r="I95" s="16">
        <v>113</v>
      </c>
      <c r="J95" s="16">
        <v>112</v>
      </c>
      <c r="K95" s="16">
        <v>4.2957942584506796E-3</v>
      </c>
      <c r="L95" s="16">
        <v>8.98010760737822E-3</v>
      </c>
      <c r="M95" s="16">
        <v>0.47836779315664002</v>
      </c>
      <c r="N95" s="16">
        <v>43.464493145578501</v>
      </c>
      <c r="O95" s="16">
        <v>0.634785970621629</v>
      </c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 t="s">
        <v>402</v>
      </c>
      <c r="AI95" s="16"/>
      <c r="AJ95" s="16" t="s">
        <v>462</v>
      </c>
    </row>
    <row r="96" spans="1:36" ht="15" customHeight="1" x14ac:dyDescent="0.3">
      <c r="A96" s="16" t="s">
        <v>273</v>
      </c>
      <c r="B96" s="16" t="s">
        <v>463</v>
      </c>
      <c r="C96" s="16" t="s">
        <v>438</v>
      </c>
      <c r="D96" s="16" t="s">
        <v>324</v>
      </c>
      <c r="E96" s="16" t="s">
        <v>404</v>
      </c>
      <c r="F96" s="16" t="s">
        <v>401</v>
      </c>
      <c r="G96" s="16">
        <v>0.4</v>
      </c>
      <c r="H96" s="16">
        <v>2692</v>
      </c>
      <c r="I96" s="16">
        <v>113</v>
      </c>
      <c r="J96" s="16">
        <v>112</v>
      </c>
      <c r="K96" s="16">
        <v>1.22651359568633E-2</v>
      </c>
      <c r="L96" s="16">
        <v>8.6771778372457999E-3</v>
      </c>
      <c r="M96" s="16">
        <v>1.4134936712045401</v>
      </c>
      <c r="N96" s="16">
        <v>57.665445579066102</v>
      </c>
      <c r="O96" s="16">
        <v>0.16288632989315899</v>
      </c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 t="s">
        <v>402</v>
      </c>
      <c r="AI96" s="16"/>
      <c r="AJ96" s="16" t="s">
        <v>464</v>
      </c>
    </row>
    <row r="97" spans="1:36" ht="15" customHeight="1" x14ac:dyDescent="0.3">
      <c r="A97" s="16" t="s">
        <v>273</v>
      </c>
      <c r="B97" s="16" t="s">
        <v>465</v>
      </c>
      <c r="C97" s="16" t="s">
        <v>438</v>
      </c>
      <c r="D97" s="16" t="s">
        <v>324</v>
      </c>
      <c r="E97" s="16" t="s">
        <v>404</v>
      </c>
      <c r="F97" s="16" t="s">
        <v>401</v>
      </c>
      <c r="G97" s="16">
        <v>0.4</v>
      </c>
      <c r="H97" s="16">
        <v>2692</v>
      </c>
      <c r="I97" s="16">
        <v>113</v>
      </c>
      <c r="J97" s="16">
        <v>112</v>
      </c>
      <c r="K97" s="16">
        <v>6.7290269052458496E-5</v>
      </c>
      <c r="L97" s="16">
        <v>9.0932495217976202E-3</v>
      </c>
      <c r="M97" s="16">
        <v>7.4000244787251904E-3</v>
      </c>
      <c r="N97" s="16">
        <v>64.251705113649507</v>
      </c>
      <c r="O97" s="16">
        <v>0.99411861724619799</v>
      </c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 t="s">
        <v>402</v>
      </c>
      <c r="AI97" s="16"/>
      <c r="AJ97" s="16" t="s">
        <v>466</v>
      </c>
    </row>
    <row r="98" spans="1:36" ht="15" customHeight="1" x14ac:dyDescent="0.3">
      <c r="A98" s="16" t="s">
        <v>273</v>
      </c>
      <c r="B98" s="16" t="s">
        <v>467</v>
      </c>
      <c r="C98" s="16" t="s">
        <v>438</v>
      </c>
      <c r="D98" s="16" t="s">
        <v>324</v>
      </c>
      <c r="E98" s="16" t="s">
        <v>404</v>
      </c>
      <c r="F98" s="16" t="s">
        <v>401</v>
      </c>
      <c r="G98" s="16">
        <v>0.4</v>
      </c>
      <c r="H98" s="16">
        <v>924</v>
      </c>
      <c r="I98" s="16">
        <v>40</v>
      </c>
      <c r="J98" s="16">
        <v>40</v>
      </c>
      <c r="K98" s="16">
        <v>-2.1791906751573501E-2</v>
      </c>
      <c r="L98" s="16">
        <v>1.9455275082916501E-2</v>
      </c>
      <c r="M98" s="16">
        <v>-1.1201027309405001</v>
      </c>
      <c r="N98" s="16">
        <v>24.448972906365402</v>
      </c>
      <c r="O98" s="16">
        <v>0.273553058970329</v>
      </c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 t="s">
        <v>402</v>
      </c>
      <c r="AI98" s="16"/>
      <c r="AJ98" s="16" t="s">
        <v>468</v>
      </c>
    </row>
    <row r="99" spans="1:36" ht="15" customHeight="1" x14ac:dyDescent="0.3">
      <c r="A99" s="16" t="s">
        <v>273</v>
      </c>
      <c r="B99" s="16" t="s">
        <v>469</v>
      </c>
      <c r="C99" s="16" t="s">
        <v>438</v>
      </c>
      <c r="D99" s="16" t="s">
        <v>324</v>
      </c>
      <c r="E99" s="16" t="s">
        <v>404</v>
      </c>
      <c r="F99" s="16" t="s">
        <v>401</v>
      </c>
      <c r="G99" s="16">
        <v>0.4</v>
      </c>
      <c r="H99" s="16">
        <v>2705</v>
      </c>
      <c r="I99" s="16">
        <v>113</v>
      </c>
      <c r="J99" s="16">
        <v>112</v>
      </c>
      <c r="K99" s="16">
        <v>-9.5894073974593704E-3</v>
      </c>
      <c r="L99" s="16">
        <v>1.13757243836275E-2</v>
      </c>
      <c r="M99" s="16">
        <v>-0.84297114399685102</v>
      </c>
      <c r="N99" s="16">
        <v>32.209329435330901</v>
      </c>
      <c r="O99" s="16">
        <v>0.40546121791069301</v>
      </c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 t="s">
        <v>402</v>
      </c>
      <c r="AI99" s="16"/>
      <c r="AJ99" s="16" t="s">
        <v>470</v>
      </c>
    </row>
    <row r="100" spans="1:36" ht="15" customHeight="1" x14ac:dyDescent="0.3">
      <c r="A100" s="16" t="s">
        <v>273</v>
      </c>
      <c r="B100" s="16" t="s">
        <v>471</v>
      </c>
      <c r="C100" s="16" t="s">
        <v>438</v>
      </c>
      <c r="D100" s="16" t="s">
        <v>324</v>
      </c>
      <c r="E100" s="16" t="s">
        <v>404</v>
      </c>
      <c r="F100" s="16" t="s">
        <v>401</v>
      </c>
      <c r="G100" s="16">
        <v>0.4</v>
      </c>
      <c r="H100" s="16">
        <v>2705</v>
      </c>
      <c r="I100" s="16">
        <v>113</v>
      </c>
      <c r="J100" s="16">
        <v>112</v>
      </c>
      <c r="K100" s="16">
        <v>-7.7580231741165503E-3</v>
      </c>
      <c r="L100" s="16">
        <v>1.17939146042967E-2</v>
      </c>
      <c r="M100" s="16">
        <v>-0.65779882544598001</v>
      </c>
      <c r="N100" s="16">
        <v>24.93937439886</v>
      </c>
      <c r="O100" s="16">
        <v>0.51669360822283406</v>
      </c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 t="s">
        <v>402</v>
      </c>
      <c r="AI100" s="16"/>
      <c r="AJ100" s="16" t="s">
        <v>472</v>
      </c>
    </row>
    <row r="101" spans="1:36" ht="15" customHeight="1" x14ac:dyDescent="0.3">
      <c r="A101" s="16" t="s">
        <v>273</v>
      </c>
      <c r="B101" s="16" t="s">
        <v>473</v>
      </c>
      <c r="C101" s="16" t="s">
        <v>438</v>
      </c>
      <c r="D101" s="16" t="s">
        <v>324</v>
      </c>
      <c r="E101" s="16" t="s">
        <v>404</v>
      </c>
      <c r="F101" s="16" t="s">
        <v>401</v>
      </c>
      <c r="G101" s="16">
        <v>0.4</v>
      </c>
      <c r="H101" s="16">
        <v>2705</v>
      </c>
      <c r="I101" s="16">
        <v>113</v>
      </c>
      <c r="J101" s="16">
        <v>112</v>
      </c>
      <c r="K101" s="16">
        <v>1.41855439809242E-3</v>
      </c>
      <c r="L101" s="16">
        <v>1.0766904666890899E-2</v>
      </c>
      <c r="M101" s="16">
        <v>0.13175136605923399</v>
      </c>
      <c r="N101" s="16">
        <v>37.083568700198697</v>
      </c>
      <c r="O101" s="16">
        <v>0.89589319443646798</v>
      </c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 t="s">
        <v>402</v>
      </c>
      <c r="AI101" s="16"/>
      <c r="AJ101" s="16" t="s">
        <v>474</v>
      </c>
    </row>
    <row r="102" spans="1:36" ht="15" customHeight="1" x14ac:dyDescent="0.3">
      <c r="A102" s="16" t="s">
        <v>273</v>
      </c>
      <c r="B102" s="16" t="s">
        <v>475</v>
      </c>
      <c r="C102" s="16" t="s">
        <v>438</v>
      </c>
      <c r="D102" s="16" t="s">
        <v>324</v>
      </c>
      <c r="E102" s="16" t="s">
        <v>404</v>
      </c>
      <c r="F102" s="16" t="s">
        <v>401</v>
      </c>
      <c r="G102" s="16">
        <v>0.4</v>
      </c>
      <c r="H102" s="16">
        <v>2705</v>
      </c>
      <c r="I102" s="16">
        <v>113</v>
      </c>
      <c r="J102" s="16">
        <v>112</v>
      </c>
      <c r="K102" s="16">
        <v>-8.5805845135577801E-3</v>
      </c>
      <c r="L102" s="16">
        <v>1.23669782565781E-2</v>
      </c>
      <c r="M102" s="16">
        <v>-0.69383032261690303</v>
      </c>
      <c r="N102" s="16">
        <v>21.813508748436099</v>
      </c>
      <c r="O102" s="16">
        <v>0.49511165960887199</v>
      </c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 t="s">
        <v>402</v>
      </c>
      <c r="AI102" s="16"/>
      <c r="AJ102" s="16" t="s">
        <v>476</v>
      </c>
    </row>
    <row r="103" spans="1:36" ht="15" customHeight="1" x14ac:dyDescent="0.3">
      <c r="A103" s="16" t="s">
        <v>273</v>
      </c>
      <c r="B103" s="16" t="s">
        <v>477</v>
      </c>
      <c r="C103" s="16" t="s">
        <v>438</v>
      </c>
      <c r="D103" s="16" t="s">
        <v>324</v>
      </c>
      <c r="E103" s="16" t="s">
        <v>404</v>
      </c>
      <c r="F103" s="16" t="s">
        <v>401</v>
      </c>
      <c r="G103" s="16">
        <v>0.4</v>
      </c>
      <c r="H103" s="16">
        <v>2705</v>
      </c>
      <c r="I103" s="16">
        <v>113</v>
      </c>
      <c r="J103" s="16">
        <v>112</v>
      </c>
      <c r="K103" s="16">
        <v>-1.1194389335371599E-2</v>
      </c>
      <c r="L103" s="16">
        <v>1.4974143732141501E-2</v>
      </c>
      <c r="M103" s="16">
        <v>-0.74758126645620404</v>
      </c>
      <c r="N103" s="16">
        <v>18.3458898746971</v>
      </c>
      <c r="O103" s="16">
        <v>0.46418811147205602</v>
      </c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 t="s">
        <v>402</v>
      </c>
      <c r="AI103" s="16"/>
      <c r="AJ103" s="16" t="s">
        <v>478</v>
      </c>
    </row>
    <row r="104" spans="1:36" ht="15" customHeight="1" x14ac:dyDescent="0.3">
      <c r="A104" s="16" t="s">
        <v>273</v>
      </c>
      <c r="B104" s="16" t="s">
        <v>479</v>
      </c>
      <c r="C104" s="16" t="s">
        <v>438</v>
      </c>
      <c r="D104" s="16" t="s">
        <v>324</v>
      </c>
      <c r="E104" s="16" t="s">
        <v>404</v>
      </c>
      <c r="F104" s="16" t="s">
        <v>401</v>
      </c>
      <c r="G104" s="16">
        <v>0.4</v>
      </c>
      <c r="H104" s="16">
        <v>2705</v>
      </c>
      <c r="I104" s="16">
        <v>113</v>
      </c>
      <c r="J104" s="16">
        <v>112</v>
      </c>
      <c r="K104" s="16">
        <v>-1.0164083495091699E-2</v>
      </c>
      <c r="L104" s="16">
        <v>1.6050490460319498E-2</v>
      </c>
      <c r="M104" s="16">
        <v>-0.63325687898570304</v>
      </c>
      <c r="N104" s="16">
        <v>15.090083913940701</v>
      </c>
      <c r="O104" s="16">
        <v>0.53604607858250797</v>
      </c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 t="s">
        <v>402</v>
      </c>
      <c r="AI104" s="16"/>
      <c r="AJ104" s="16" t="s">
        <v>480</v>
      </c>
    </row>
    <row r="105" spans="1:36" ht="15" customHeight="1" x14ac:dyDescent="0.3">
      <c r="A105" s="16" t="s">
        <v>273</v>
      </c>
      <c r="B105" s="16" t="s">
        <v>481</v>
      </c>
      <c r="C105" s="16" t="s">
        <v>438</v>
      </c>
      <c r="D105" s="16" t="s">
        <v>324</v>
      </c>
      <c r="E105" s="16" t="s">
        <v>404</v>
      </c>
      <c r="F105" s="16" t="s">
        <v>401</v>
      </c>
      <c r="G105" s="16">
        <v>0.4</v>
      </c>
      <c r="H105" s="16">
        <v>2705</v>
      </c>
      <c r="I105" s="16">
        <v>113</v>
      </c>
      <c r="J105" s="16">
        <v>112</v>
      </c>
      <c r="K105" s="16">
        <v>6.8965293965555204E-3</v>
      </c>
      <c r="L105" s="16">
        <v>9.5345380842253597E-3</v>
      </c>
      <c r="M105" s="16">
        <v>0.72332076663112199</v>
      </c>
      <c r="N105" s="16">
        <v>36.463031493677597</v>
      </c>
      <c r="O105" s="16">
        <v>0.47409763375979902</v>
      </c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 t="s">
        <v>402</v>
      </c>
      <c r="AI105" s="16"/>
      <c r="AJ105" s="16" t="s">
        <v>482</v>
      </c>
    </row>
    <row r="106" spans="1:36" ht="15" customHeight="1" x14ac:dyDescent="0.3">
      <c r="A106" s="16" t="s">
        <v>273</v>
      </c>
      <c r="B106" s="16" t="s">
        <v>483</v>
      </c>
      <c r="C106" s="16" t="s">
        <v>438</v>
      </c>
      <c r="D106" s="16" t="s">
        <v>324</v>
      </c>
      <c r="E106" s="16" t="s">
        <v>404</v>
      </c>
      <c r="F106" s="16" t="s">
        <v>401</v>
      </c>
      <c r="G106" s="16">
        <v>0.4</v>
      </c>
      <c r="H106" s="16">
        <v>2705</v>
      </c>
      <c r="I106" s="16">
        <v>113</v>
      </c>
      <c r="J106" s="16">
        <v>112</v>
      </c>
      <c r="K106" s="16">
        <v>1.8490022253802599E-2</v>
      </c>
      <c r="L106" s="16">
        <v>9.15171856307238E-3</v>
      </c>
      <c r="M106" s="16">
        <v>2.02038798793602</v>
      </c>
      <c r="N106" s="16">
        <v>48.330966356930297</v>
      </c>
      <c r="O106" s="16">
        <v>4.8903456442932501E-2</v>
      </c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 t="s">
        <v>402</v>
      </c>
      <c r="AI106" s="16"/>
      <c r="AJ106" s="16" t="s">
        <v>484</v>
      </c>
    </row>
    <row r="107" spans="1:36" ht="15" customHeight="1" x14ac:dyDescent="0.3">
      <c r="A107" s="16" t="s">
        <v>273</v>
      </c>
      <c r="B107" s="16" t="s">
        <v>485</v>
      </c>
      <c r="C107" s="16" t="s">
        <v>438</v>
      </c>
      <c r="D107" s="16" t="s">
        <v>324</v>
      </c>
      <c r="E107" s="16" t="s">
        <v>404</v>
      </c>
      <c r="F107" s="16" t="s">
        <v>401</v>
      </c>
      <c r="G107" s="16">
        <v>0.4</v>
      </c>
      <c r="H107" s="16">
        <v>2705</v>
      </c>
      <c r="I107" s="16">
        <v>113</v>
      </c>
      <c r="J107" s="16">
        <v>112</v>
      </c>
      <c r="K107" s="16">
        <v>5.5385858383681296E-3</v>
      </c>
      <c r="L107" s="16">
        <v>9.2931488974567003E-3</v>
      </c>
      <c r="M107" s="16">
        <v>0.59598591386864597</v>
      </c>
      <c r="N107" s="16">
        <v>52.173530119046298</v>
      </c>
      <c r="O107" s="16">
        <v>0.55376157549398897</v>
      </c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 t="s">
        <v>402</v>
      </c>
      <c r="AI107" s="16"/>
      <c r="AJ107" s="16" t="s">
        <v>486</v>
      </c>
    </row>
    <row r="108" spans="1:36" ht="15" customHeight="1" x14ac:dyDescent="0.3">
      <c r="A108" s="16" t="s">
        <v>273</v>
      </c>
      <c r="B108" s="16" t="s">
        <v>487</v>
      </c>
      <c r="C108" s="16" t="s">
        <v>438</v>
      </c>
      <c r="D108" s="16" t="s">
        <v>324</v>
      </c>
      <c r="E108" s="16" t="s">
        <v>404</v>
      </c>
      <c r="F108" s="16" t="s">
        <v>401</v>
      </c>
      <c r="G108" s="16">
        <v>0.4</v>
      </c>
      <c r="H108" s="16">
        <v>929</v>
      </c>
      <c r="I108" s="16">
        <v>40</v>
      </c>
      <c r="J108" s="16">
        <v>40</v>
      </c>
      <c r="K108" s="16">
        <v>-1.7891642120393101E-2</v>
      </c>
      <c r="L108" s="16">
        <v>1.9147274241309801E-2</v>
      </c>
      <c r="M108" s="16">
        <v>-0.93442240889788597</v>
      </c>
      <c r="N108" s="16">
        <v>24.411051950408599</v>
      </c>
      <c r="O108" s="16">
        <v>0.35923793947356503</v>
      </c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 t="s">
        <v>402</v>
      </c>
      <c r="AI108" s="16"/>
      <c r="AJ108" s="16" t="s">
        <v>488</v>
      </c>
    </row>
    <row r="109" spans="1:36" ht="15" customHeight="1" x14ac:dyDescent="0.3">
      <c r="A109" s="16" t="s">
        <v>273</v>
      </c>
      <c r="B109" s="16" t="s">
        <v>489</v>
      </c>
      <c r="C109" s="16" t="s">
        <v>438</v>
      </c>
      <c r="D109" s="16" t="s">
        <v>324</v>
      </c>
      <c r="E109" s="16" t="s">
        <v>404</v>
      </c>
      <c r="F109" s="16" t="s">
        <v>401</v>
      </c>
      <c r="G109" s="16">
        <v>0.4</v>
      </c>
      <c r="H109" s="16">
        <v>2607</v>
      </c>
      <c r="I109" s="16">
        <v>110</v>
      </c>
      <c r="J109" s="16">
        <v>109</v>
      </c>
      <c r="K109" s="16">
        <v>6.2420600093321902E-3</v>
      </c>
      <c r="L109" s="16">
        <v>1.9138713043557201E-2</v>
      </c>
      <c r="M109" s="16">
        <v>0.32614836719303397</v>
      </c>
      <c r="N109" s="16">
        <v>13.8540843831657</v>
      </c>
      <c r="O109" s="16">
        <v>0.74918650650951002</v>
      </c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 t="s">
        <v>402</v>
      </c>
      <c r="AI109" s="16"/>
      <c r="AJ109" s="16" t="s">
        <v>490</v>
      </c>
    </row>
    <row r="110" spans="1:36" ht="15" customHeight="1" x14ac:dyDescent="0.3">
      <c r="A110" s="16" t="s">
        <v>273</v>
      </c>
      <c r="B110" s="16" t="s">
        <v>491</v>
      </c>
      <c r="C110" s="16" t="s">
        <v>438</v>
      </c>
      <c r="D110" s="16" t="s">
        <v>324</v>
      </c>
      <c r="E110" s="16" t="s">
        <v>404</v>
      </c>
      <c r="F110" s="16" t="s">
        <v>401</v>
      </c>
      <c r="G110" s="16">
        <v>0.4</v>
      </c>
      <c r="H110" s="16">
        <v>2607</v>
      </c>
      <c r="I110" s="16">
        <v>110</v>
      </c>
      <c r="J110" s="16">
        <v>109</v>
      </c>
      <c r="K110" s="16">
        <v>5.7846369427626996E-3</v>
      </c>
      <c r="L110" s="16">
        <v>1.8862019571967498E-2</v>
      </c>
      <c r="M110" s="16">
        <v>0.30668173790677999</v>
      </c>
      <c r="N110" s="16">
        <v>11.4005472570559</v>
      </c>
      <c r="O110" s="16">
        <v>0.76461445251246596</v>
      </c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 t="s">
        <v>402</v>
      </c>
      <c r="AI110" s="16"/>
      <c r="AJ110" s="16" t="s">
        <v>492</v>
      </c>
    </row>
    <row r="111" spans="1:36" ht="15" customHeight="1" x14ac:dyDescent="0.3">
      <c r="A111" s="16" t="s">
        <v>273</v>
      </c>
      <c r="B111" s="16" t="s">
        <v>493</v>
      </c>
      <c r="C111" s="16" t="s">
        <v>438</v>
      </c>
      <c r="D111" s="16" t="s">
        <v>324</v>
      </c>
      <c r="E111" s="16" t="s">
        <v>404</v>
      </c>
      <c r="F111" s="16" t="s">
        <v>401</v>
      </c>
      <c r="G111" s="16">
        <v>0.4</v>
      </c>
      <c r="H111" s="16">
        <v>2607</v>
      </c>
      <c r="I111" s="16">
        <v>110</v>
      </c>
      <c r="J111" s="16">
        <v>109</v>
      </c>
      <c r="K111" s="16">
        <v>-1.7905066439227402E-2</v>
      </c>
      <c r="L111" s="16">
        <v>2.18537471174843E-2</v>
      </c>
      <c r="M111" s="16">
        <v>-0.81931333528163097</v>
      </c>
      <c r="N111" s="16">
        <v>37.6309474362833</v>
      </c>
      <c r="O111" s="16">
        <v>0.41776662086528599</v>
      </c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 t="s">
        <v>402</v>
      </c>
      <c r="AI111" s="16"/>
      <c r="AJ111" s="16" t="s">
        <v>494</v>
      </c>
    </row>
    <row r="112" spans="1:36" ht="15" customHeight="1" x14ac:dyDescent="0.3">
      <c r="A112" s="16" t="s">
        <v>273</v>
      </c>
      <c r="B112" s="16" t="s">
        <v>495</v>
      </c>
      <c r="C112" s="16" t="s">
        <v>438</v>
      </c>
      <c r="D112" s="16" t="s">
        <v>324</v>
      </c>
      <c r="E112" s="16" t="s">
        <v>404</v>
      </c>
      <c r="F112" s="16" t="s">
        <v>401</v>
      </c>
      <c r="G112" s="16">
        <v>0.4</v>
      </c>
      <c r="H112" s="16">
        <v>2607</v>
      </c>
      <c r="I112" s="16">
        <v>110</v>
      </c>
      <c r="J112" s="16">
        <v>109</v>
      </c>
      <c r="K112" s="16">
        <v>3.8957430946982702E-3</v>
      </c>
      <c r="L112" s="16">
        <v>1.9242450905292301E-2</v>
      </c>
      <c r="M112" s="16">
        <v>0.202455659825891</v>
      </c>
      <c r="N112" s="16">
        <v>10.1121229577689</v>
      </c>
      <c r="O112" s="16">
        <v>0.84357585774823296</v>
      </c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 t="s">
        <v>402</v>
      </c>
      <c r="AI112" s="16"/>
      <c r="AJ112" s="16" t="s">
        <v>496</v>
      </c>
    </row>
    <row r="113" spans="1:36" ht="15" customHeight="1" x14ac:dyDescent="0.3">
      <c r="A113" s="16" t="s">
        <v>273</v>
      </c>
      <c r="B113" s="16" t="s">
        <v>497</v>
      </c>
      <c r="C113" s="16" t="s">
        <v>438</v>
      </c>
      <c r="D113" s="16" t="s">
        <v>324</v>
      </c>
      <c r="E113" s="16" t="s">
        <v>404</v>
      </c>
      <c r="F113" s="16" t="s">
        <v>401</v>
      </c>
      <c r="G113" s="16">
        <v>0.4</v>
      </c>
      <c r="H113" s="16">
        <v>2607</v>
      </c>
      <c r="I113" s="16">
        <v>110</v>
      </c>
      <c r="J113" s="16">
        <v>109</v>
      </c>
      <c r="K113" s="16">
        <v>-3.4643961164808001E-3</v>
      </c>
      <c r="L113" s="16">
        <v>2.2760638455431699E-2</v>
      </c>
      <c r="M113" s="16">
        <v>-0.15220997087865201</v>
      </c>
      <c r="N113" s="16">
        <v>18.953439110587698</v>
      </c>
      <c r="O113" s="16">
        <v>0.880629926101413</v>
      </c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 t="s">
        <v>402</v>
      </c>
      <c r="AI113" s="16"/>
      <c r="AJ113" s="16" t="s">
        <v>498</v>
      </c>
    </row>
    <row r="114" spans="1:36" ht="15" customHeight="1" x14ac:dyDescent="0.3">
      <c r="A114" s="16" t="s">
        <v>273</v>
      </c>
      <c r="B114" s="16" t="s">
        <v>499</v>
      </c>
      <c r="C114" s="16" t="s">
        <v>438</v>
      </c>
      <c r="D114" s="16" t="s">
        <v>324</v>
      </c>
      <c r="E114" s="16" t="s">
        <v>404</v>
      </c>
      <c r="F114" s="16" t="s">
        <v>401</v>
      </c>
      <c r="G114" s="16">
        <v>0.4</v>
      </c>
      <c r="H114" s="16">
        <v>2607</v>
      </c>
      <c r="I114" s="16">
        <v>110</v>
      </c>
      <c r="J114" s="16">
        <v>109</v>
      </c>
      <c r="K114" s="16">
        <v>-2.5008442947842199E-3</v>
      </c>
      <c r="L114" s="16">
        <v>2.3226488260793501E-2</v>
      </c>
      <c r="M114" s="16">
        <v>-0.107672079683508</v>
      </c>
      <c r="N114" s="16">
        <v>15.5700359571051</v>
      </c>
      <c r="O114" s="16">
        <v>0.91563106230244096</v>
      </c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 t="s">
        <v>402</v>
      </c>
      <c r="AI114" s="16"/>
      <c r="AJ114" s="16" t="s">
        <v>500</v>
      </c>
    </row>
    <row r="115" spans="1:36" ht="15" customHeight="1" x14ac:dyDescent="0.3">
      <c r="A115" s="16" t="s">
        <v>273</v>
      </c>
      <c r="B115" s="16" t="s">
        <v>501</v>
      </c>
      <c r="C115" s="16" t="s">
        <v>438</v>
      </c>
      <c r="D115" s="16" t="s">
        <v>324</v>
      </c>
      <c r="E115" s="16" t="s">
        <v>404</v>
      </c>
      <c r="F115" s="16" t="s">
        <v>401</v>
      </c>
      <c r="G115" s="16">
        <v>0.4</v>
      </c>
      <c r="H115" s="16">
        <v>2607</v>
      </c>
      <c r="I115" s="16">
        <v>110</v>
      </c>
      <c r="J115" s="16">
        <v>109</v>
      </c>
      <c r="K115" s="16">
        <v>-1.22846671421841E-2</v>
      </c>
      <c r="L115" s="16">
        <v>2.2412774997807399E-2</v>
      </c>
      <c r="M115" s="16">
        <v>-0.54811004631893701</v>
      </c>
      <c r="N115" s="16">
        <v>15.6218888809841</v>
      </c>
      <c r="O115" s="16">
        <v>0.59136323673615399</v>
      </c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 t="s">
        <v>402</v>
      </c>
      <c r="AI115" s="16"/>
      <c r="AJ115" s="16" t="s">
        <v>502</v>
      </c>
    </row>
    <row r="116" spans="1:36" ht="15" customHeight="1" x14ac:dyDescent="0.3">
      <c r="A116" s="16" t="s">
        <v>273</v>
      </c>
      <c r="B116" s="16" t="s">
        <v>503</v>
      </c>
      <c r="C116" s="16" t="s">
        <v>438</v>
      </c>
      <c r="D116" s="16" t="s">
        <v>324</v>
      </c>
      <c r="E116" s="16" t="s">
        <v>404</v>
      </c>
      <c r="F116" s="16" t="s">
        <v>401</v>
      </c>
      <c r="G116" s="16">
        <v>0.4</v>
      </c>
      <c r="H116" s="16">
        <v>2607</v>
      </c>
      <c r="I116" s="16">
        <v>110</v>
      </c>
      <c r="J116" s="16">
        <v>109</v>
      </c>
      <c r="K116" s="16">
        <v>3.60075373954536E-2</v>
      </c>
      <c r="L116" s="16">
        <v>2.7179030246699001E-2</v>
      </c>
      <c r="M116" s="16">
        <v>1.3248278937335101</v>
      </c>
      <c r="N116" s="16">
        <v>19.3952503133915</v>
      </c>
      <c r="O116" s="16">
        <v>0.200626385927926</v>
      </c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 t="s">
        <v>402</v>
      </c>
      <c r="AI116" s="16"/>
      <c r="AJ116" s="16" t="s">
        <v>504</v>
      </c>
    </row>
    <row r="117" spans="1:36" ht="15" customHeight="1" x14ac:dyDescent="0.3">
      <c r="A117" s="16" t="s">
        <v>273</v>
      </c>
      <c r="B117" s="16" t="s">
        <v>505</v>
      </c>
      <c r="C117" s="16" t="s">
        <v>438</v>
      </c>
      <c r="D117" s="16" t="s">
        <v>324</v>
      </c>
      <c r="E117" s="16" t="s">
        <v>404</v>
      </c>
      <c r="F117" s="16" t="s">
        <v>401</v>
      </c>
      <c r="G117" s="16">
        <v>0.4</v>
      </c>
      <c r="H117" s="16">
        <v>2607</v>
      </c>
      <c r="I117" s="16">
        <v>110</v>
      </c>
      <c r="J117" s="16">
        <v>109</v>
      </c>
      <c r="K117" s="16">
        <v>1.7936184469213301E-2</v>
      </c>
      <c r="L117" s="16">
        <v>2.2572983300747099E-2</v>
      </c>
      <c r="M117" s="16">
        <v>0.79458635264305899</v>
      </c>
      <c r="N117" s="16">
        <v>19.907939062026099</v>
      </c>
      <c r="O117" s="16">
        <v>0.43622483674391499</v>
      </c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 t="s">
        <v>402</v>
      </c>
      <c r="AI117" s="16"/>
      <c r="AJ117" s="16" t="s">
        <v>506</v>
      </c>
    </row>
    <row r="118" spans="1:36" ht="15" customHeight="1" x14ac:dyDescent="0.3">
      <c r="A118" s="16" t="s">
        <v>273</v>
      </c>
      <c r="B118" s="16" t="s">
        <v>507</v>
      </c>
      <c r="C118" s="16" t="s">
        <v>438</v>
      </c>
      <c r="D118" s="16" t="s">
        <v>324</v>
      </c>
      <c r="E118" s="16" t="s">
        <v>404</v>
      </c>
      <c r="F118" s="16" t="s">
        <v>401</v>
      </c>
      <c r="G118" s="16">
        <v>0.4</v>
      </c>
      <c r="H118" s="16">
        <v>905</v>
      </c>
      <c r="I118" s="16">
        <v>38</v>
      </c>
      <c r="J118" s="16">
        <v>38</v>
      </c>
      <c r="K118" s="16">
        <v>-2.07169243830592E-2</v>
      </c>
      <c r="L118" s="16">
        <v>1.8902929151062901E-2</v>
      </c>
      <c r="M118" s="16">
        <v>-1.0959637111</v>
      </c>
      <c r="N118" s="16">
        <v>24.943347142522299</v>
      </c>
      <c r="O118" s="16">
        <v>0.28356394804604301</v>
      </c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 t="s">
        <v>402</v>
      </c>
      <c r="AI118" s="16"/>
      <c r="AJ118" s="16" t="s">
        <v>508</v>
      </c>
    </row>
    <row r="119" spans="1:36" ht="15" customHeight="1" x14ac:dyDescent="0.3">
      <c r="A119" s="16" t="s">
        <v>273</v>
      </c>
      <c r="B119" s="16" t="s">
        <v>509</v>
      </c>
      <c r="C119" s="16" t="s">
        <v>438</v>
      </c>
      <c r="D119" s="16" t="s">
        <v>324</v>
      </c>
      <c r="E119" s="16" t="s">
        <v>404</v>
      </c>
      <c r="F119" s="16" t="s">
        <v>401</v>
      </c>
      <c r="G119" s="16">
        <v>0.4</v>
      </c>
      <c r="H119" s="16">
        <v>2594</v>
      </c>
      <c r="I119" s="16">
        <v>110</v>
      </c>
      <c r="J119" s="16">
        <v>109</v>
      </c>
      <c r="K119" s="16">
        <v>-1.7913082432659301E-2</v>
      </c>
      <c r="L119" s="16">
        <v>1.1318158343495401E-2</v>
      </c>
      <c r="M119" s="16">
        <v>-1.5826852645999601</v>
      </c>
      <c r="N119" s="16">
        <v>36.948982098424104</v>
      </c>
      <c r="O119" s="16">
        <v>0.122016457937308</v>
      </c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 t="s">
        <v>402</v>
      </c>
      <c r="AI119" s="16"/>
      <c r="AJ119" s="16" t="s">
        <v>510</v>
      </c>
    </row>
    <row r="120" spans="1:36" ht="15" customHeight="1" x14ac:dyDescent="0.3">
      <c r="A120" s="16" t="s">
        <v>273</v>
      </c>
      <c r="B120" s="16" t="s">
        <v>511</v>
      </c>
      <c r="C120" s="16" t="s">
        <v>438</v>
      </c>
      <c r="D120" s="16" t="s">
        <v>324</v>
      </c>
      <c r="E120" s="16" t="s">
        <v>404</v>
      </c>
      <c r="F120" s="16" t="s">
        <v>401</v>
      </c>
      <c r="G120" s="16">
        <v>0.4</v>
      </c>
      <c r="H120" s="16">
        <v>2594</v>
      </c>
      <c r="I120" s="16">
        <v>110</v>
      </c>
      <c r="J120" s="16">
        <v>109</v>
      </c>
      <c r="K120" s="16">
        <v>-1.7206838651582599E-2</v>
      </c>
      <c r="L120" s="16">
        <v>1.2041002128032E-2</v>
      </c>
      <c r="M120" s="16">
        <v>-1.4290204809053499</v>
      </c>
      <c r="N120" s="16">
        <v>28.325434834713299</v>
      </c>
      <c r="O120" s="16">
        <v>0.16393456245555801</v>
      </c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 t="s">
        <v>402</v>
      </c>
      <c r="AI120" s="16"/>
      <c r="AJ120" s="16" t="s">
        <v>512</v>
      </c>
    </row>
    <row r="121" spans="1:36" ht="15" customHeight="1" x14ac:dyDescent="0.3">
      <c r="A121" s="16" t="s">
        <v>273</v>
      </c>
      <c r="B121" s="16" t="s">
        <v>513</v>
      </c>
      <c r="C121" s="16" t="s">
        <v>438</v>
      </c>
      <c r="D121" s="16" t="s">
        <v>324</v>
      </c>
      <c r="E121" s="16" t="s">
        <v>404</v>
      </c>
      <c r="F121" s="16" t="s">
        <v>401</v>
      </c>
      <c r="G121" s="16">
        <v>0.4</v>
      </c>
      <c r="H121" s="16">
        <v>2594</v>
      </c>
      <c r="I121" s="16">
        <v>110</v>
      </c>
      <c r="J121" s="16">
        <v>109</v>
      </c>
      <c r="K121" s="16">
        <v>1.0545855096371799E-3</v>
      </c>
      <c r="L121" s="16">
        <v>1.1131598175993501E-2</v>
      </c>
      <c r="M121" s="16">
        <v>9.4738014520817704E-2</v>
      </c>
      <c r="N121" s="16">
        <v>32.547394586579301</v>
      </c>
      <c r="O121" s="16">
        <v>0.92510378732411302</v>
      </c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 t="s">
        <v>402</v>
      </c>
      <c r="AI121" s="16"/>
      <c r="AJ121" s="16" t="s">
        <v>514</v>
      </c>
    </row>
    <row r="122" spans="1:36" ht="15" customHeight="1" x14ac:dyDescent="0.3">
      <c r="A122" s="16" t="s">
        <v>273</v>
      </c>
      <c r="B122" s="16" t="s">
        <v>515</v>
      </c>
      <c r="C122" s="16" t="s">
        <v>438</v>
      </c>
      <c r="D122" s="16" t="s">
        <v>324</v>
      </c>
      <c r="E122" s="16" t="s">
        <v>404</v>
      </c>
      <c r="F122" s="16" t="s">
        <v>401</v>
      </c>
      <c r="G122" s="16">
        <v>0.4</v>
      </c>
      <c r="H122" s="16">
        <v>2594</v>
      </c>
      <c r="I122" s="16">
        <v>110</v>
      </c>
      <c r="J122" s="16">
        <v>109</v>
      </c>
      <c r="K122" s="16">
        <v>-1.79758036847588E-2</v>
      </c>
      <c r="L122" s="16">
        <v>1.26178115251414E-2</v>
      </c>
      <c r="M122" s="16">
        <v>-1.42463720027371</v>
      </c>
      <c r="N122" s="16">
        <v>24.731327180171501</v>
      </c>
      <c r="O122" s="16">
        <v>0.16675968390978099</v>
      </c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 t="s">
        <v>402</v>
      </c>
      <c r="AI122" s="16"/>
      <c r="AJ122" s="16" t="s">
        <v>516</v>
      </c>
    </row>
    <row r="123" spans="1:36" ht="15" customHeight="1" x14ac:dyDescent="0.3">
      <c r="A123" s="16" t="s">
        <v>273</v>
      </c>
      <c r="B123" s="16" t="s">
        <v>517</v>
      </c>
      <c r="C123" s="16" t="s">
        <v>438</v>
      </c>
      <c r="D123" s="16" t="s">
        <v>324</v>
      </c>
      <c r="E123" s="16" t="s">
        <v>404</v>
      </c>
      <c r="F123" s="16" t="s">
        <v>401</v>
      </c>
      <c r="G123" s="16">
        <v>0.4</v>
      </c>
      <c r="H123" s="16">
        <v>2594</v>
      </c>
      <c r="I123" s="16">
        <v>110</v>
      </c>
      <c r="J123" s="16">
        <v>109</v>
      </c>
      <c r="K123" s="16">
        <v>-2.0784365113102998E-2</v>
      </c>
      <c r="L123" s="16">
        <v>1.4856633009589899E-2</v>
      </c>
      <c r="M123" s="16">
        <v>-1.39899566070501</v>
      </c>
      <c r="N123" s="16">
        <v>18.493543453848801</v>
      </c>
      <c r="O123" s="16">
        <v>0.17836249273803401</v>
      </c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 t="s">
        <v>402</v>
      </c>
      <c r="AI123" s="16"/>
      <c r="AJ123" s="16" t="s">
        <v>518</v>
      </c>
    </row>
    <row r="124" spans="1:36" ht="15" customHeight="1" x14ac:dyDescent="0.3">
      <c r="A124" s="16" t="s">
        <v>273</v>
      </c>
      <c r="B124" s="16" t="s">
        <v>519</v>
      </c>
      <c r="C124" s="16" t="s">
        <v>438</v>
      </c>
      <c r="D124" s="16" t="s">
        <v>324</v>
      </c>
      <c r="E124" s="16" t="s">
        <v>404</v>
      </c>
      <c r="F124" s="16" t="s">
        <v>401</v>
      </c>
      <c r="G124" s="16">
        <v>0.4</v>
      </c>
      <c r="H124" s="16">
        <v>2594</v>
      </c>
      <c r="I124" s="16">
        <v>110</v>
      </c>
      <c r="J124" s="16">
        <v>109</v>
      </c>
      <c r="K124" s="16">
        <v>-2.03519031513393E-2</v>
      </c>
      <c r="L124" s="16">
        <v>1.5895112928100801E-2</v>
      </c>
      <c r="M124" s="16">
        <v>-1.2803874526339101</v>
      </c>
      <c r="N124" s="16">
        <v>15.184478034457401</v>
      </c>
      <c r="O124" s="16">
        <v>0.21962292771355499</v>
      </c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 t="s">
        <v>402</v>
      </c>
      <c r="AI124" s="16"/>
      <c r="AJ124" s="16" t="s">
        <v>520</v>
      </c>
    </row>
    <row r="125" spans="1:36" ht="15" customHeight="1" x14ac:dyDescent="0.3">
      <c r="A125" s="16" t="s">
        <v>273</v>
      </c>
      <c r="B125" s="16" t="s">
        <v>521</v>
      </c>
      <c r="C125" s="16" t="s">
        <v>438</v>
      </c>
      <c r="D125" s="16" t="s">
        <v>324</v>
      </c>
      <c r="E125" s="16" t="s">
        <v>404</v>
      </c>
      <c r="F125" s="16" t="s">
        <v>401</v>
      </c>
      <c r="G125" s="16">
        <v>0.4</v>
      </c>
      <c r="H125" s="16">
        <v>2594</v>
      </c>
      <c r="I125" s="16">
        <v>110</v>
      </c>
      <c r="J125" s="16">
        <v>109</v>
      </c>
      <c r="K125" s="16">
        <v>-1.4519965535779E-3</v>
      </c>
      <c r="L125" s="16">
        <v>1.01308774371766E-2</v>
      </c>
      <c r="M125" s="16">
        <v>-0.14332386928792701</v>
      </c>
      <c r="N125" s="16">
        <v>38.336331592000803</v>
      </c>
      <c r="O125" s="16">
        <v>0.88678511893855405</v>
      </c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 t="s">
        <v>402</v>
      </c>
      <c r="AI125" s="16"/>
      <c r="AJ125" s="16" t="s">
        <v>522</v>
      </c>
    </row>
    <row r="126" spans="1:36" ht="15" customHeight="1" x14ac:dyDescent="0.3">
      <c r="A126" s="16" t="s">
        <v>273</v>
      </c>
      <c r="B126" s="16" t="s">
        <v>523</v>
      </c>
      <c r="C126" s="16" t="s">
        <v>438</v>
      </c>
      <c r="D126" s="16" t="s">
        <v>324</v>
      </c>
      <c r="E126" s="16" t="s">
        <v>404</v>
      </c>
      <c r="F126" s="16" t="s">
        <v>401</v>
      </c>
      <c r="G126" s="16">
        <v>0.4</v>
      </c>
      <c r="H126" s="16">
        <v>2594</v>
      </c>
      <c r="I126" s="16">
        <v>110</v>
      </c>
      <c r="J126" s="16">
        <v>109</v>
      </c>
      <c r="K126" s="16">
        <v>7.9368723279511309E-3</v>
      </c>
      <c r="L126" s="16">
        <v>9.4540377988572705E-3</v>
      </c>
      <c r="M126" s="16">
        <v>0.83952195842822597</v>
      </c>
      <c r="N126" s="16">
        <v>51.662173577807799</v>
      </c>
      <c r="O126" s="16">
        <v>0.40504470679711702</v>
      </c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 t="s">
        <v>402</v>
      </c>
      <c r="AI126" s="16"/>
      <c r="AJ126" s="16" t="s">
        <v>524</v>
      </c>
    </row>
    <row r="127" spans="1:36" ht="15" customHeight="1" x14ac:dyDescent="0.3">
      <c r="A127" s="16" t="s">
        <v>273</v>
      </c>
      <c r="B127" s="16" t="s">
        <v>525</v>
      </c>
      <c r="C127" s="16" t="s">
        <v>438</v>
      </c>
      <c r="D127" s="16" t="s">
        <v>324</v>
      </c>
      <c r="E127" s="16" t="s">
        <v>404</v>
      </c>
      <c r="F127" s="16" t="s">
        <v>401</v>
      </c>
      <c r="G127" s="16">
        <v>0.4</v>
      </c>
      <c r="H127" s="16">
        <v>2594</v>
      </c>
      <c r="I127" s="16">
        <v>110</v>
      </c>
      <c r="J127" s="16">
        <v>109</v>
      </c>
      <c r="K127" s="16">
        <v>-3.8152532460515899E-3</v>
      </c>
      <c r="L127" s="16">
        <v>9.6822531765296607E-3</v>
      </c>
      <c r="M127" s="16">
        <v>-0.39404601144906898</v>
      </c>
      <c r="N127" s="16">
        <v>58.975091707538702</v>
      </c>
      <c r="O127" s="16">
        <v>0.69496829350426703</v>
      </c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 t="s">
        <v>402</v>
      </c>
      <c r="AI127" s="16"/>
      <c r="AJ127" s="16" t="s">
        <v>526</v>
      </c>
    </row>
    <row r="128" spans="1:36" ht="15" customHeight="1" x14ac:dyDescent="0.3">
      <c r="A128" s="16" t="s">
        <v>273</v>
      </c>
      <c r="B128" s="16" t="s">
        <v>527</v>
      </c>
      <c r="C128" s="16" t="s">
        <v>438</v>
      </c>
      <c r="D128" s="16" t="s">
        <v>324</v>
      </c>
      <c r="E128" s="16" t="s">
        <v>404</v>
      </c>
      <c r="F128" s="16" t="s">
        <v>401</v>
      </c>
      <c r="G128" s="16">
        <v>0.4</v>
      </c>
      <c r="H128" s="16">
        <v>900</v>
      </c>
      <c r="I128" s="16">
        <v>38</v>
      </c>
      <c r="J128" s="16">
        <v>38</v>
      </c>
      <c r="K128" s="16">
        <v>-2.7573373962527799E-2</v>
      </c>
      <c r="L128" s="16">
        <v>1.94933065373449E-2</v>
      </c>
      <c r="M128" s="16">
        <v>-1.41450471266654</v>
      </c>
      <c r="N128" s="16">
        <v>25.053887496254202</v>
      </c>
      <c r="O128" s="16">
        <v>0.16952209592419401</v>
      </c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 t="s">
        <v>402</v>
      </c>
      <c r="AI128" s="16"/>
      <c r="AJ128" s="16" t="s">
        <v>528</v>
      </c>
    </row>
    <row r="129" spans="1:36" ht="15" customHeight="1" x14ac:dyDescent="0.3">
      <c r="A129" s="16" t="s">
        <v>273</v>
      </c>
      <c r="B129" s="16" t="s">
        <v>529</v>
      </c>
      <c r="C129" s="16" t="s">
        <v>438</v>
      </c>
      <c r="D129" s="16" t="s">
        <v>324</v>
      </c>
      <c r="E129" s="16" t="s">
        <v>404</v>
      </c>
      <c r="F129" s="16" t="s">
        <v>401</v>
      </c>
      <c r="G129" s="16">
        <v>0.4</v>
      </c>
      <c r="H129" s="16">
        <v>2607</v>
      </c>
      <c r="I129" s="16">
        <v>110</v>
      </c>
      <c r="J129" s="16">
        <v>109</v>
      </c>
      <c r="K129" s="16">
        <v>-1.36964854491876E-2</v>
      </c>
      <c r="L129" s="16">
        <v>1.19588543401401E-2</v>
      </c>
      <c r="M129" s="16">
        <v>-1.14530080053028</v>
      </c>
      <c r="N129" s="16">
        <v>30.887733919310701</v>
      </c>
      <c r="O129" s="16">
        <v>0.26088139568330698</v>
      </c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 t="s">
        <v>402</v>
      </c>
      <c r="AI129" s="16"/>
      <c r="AJ129" s="16" t="s">
        <v>530</v>
      </c>
    </row>
    <row r="130" spans="1:36" ht="15" customHeight="1" x14ac:dyDescent="0.3">
      <c r="A130" s="16" t="s">
        <v>273</v>
      </c>
      <c r="B130" s="16" t="s">
        <v>531</v>
      </c>
      <c r="C130" s="16" t="s">
        <v>438</v>
      </c>
      <c r="D130" s="16" t="s">
        <v>324</v>
      </c>
      <c r="E130" s="16" t="s">
        <v>404</v>
      </c>
      <c r="F130" s="16" t="s">
        <v>401</v>
      </c>
      <c r="G130" s="16">
        <v>0.4</v>
      </c>
      <c r="H130" s="16">
        <v>2607</v>
      </c>
      <c r="I130" s="16">
        <v>110</v>
      </c>
      <c r="J130" s="16">
        <v>109</v>
      </c>
      <c r="K130" s="16">
        <v>-1.19634956006147E-2</v>
      </c>
      <c r="L130" s="16">
        <v>1.24571141287697E-2</v>
      </c>
      <c r="M130" s="16">
        <v>-0.96037456805385402</v>
      </c>
      <c r="N130" s="16">
        <v>23.917109329770099</v>
      </c>
      <c r="O130" s="16">
        <v>0.34647590862748501</v>
      </c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 t="s">
        <v>402</v>
      </c>
      <c r="AI130" s="16"/>
      <c r="AJ130" s="16" t="s">
        <v>532</v>
      </c>
    </row>
    <row r="131" spans="1:36" ht="15" customHeight="1" x14ac:dyDescent="0.3">
      <c r="A131" s="16" t="s">
        <v>273</v>
      </c>
      <c r="B131" s="16" t="s">
        <v>533</v>
      </c>
      <c r="C131" s="16" t="s">
        <v>438</v>
      </c>
      <c r="D131" s="16" t="s">
        <v>324</v>
      </c>
      <c r="E131" s="16" t="s">
        <v>404</v>
      </c>
      <c r="F131" s="16" t="s">
        <v>401</v>
      </c>
      <c r="G131" s="16">
        <v>0.4</v>
      </c>
      <c r="H131" s="16">
        <v>2607</v>
      </c>
      <c r="I131" s="16">
        <v>110</v>
      </c>
      <c r="J131" s="16">
        <v>109</v>
      </c>
      <c r="K131" s="16">
        <v>1.4426255619549801E-3</v>
      </c>
      <c r="L131" s="16">
        <v>1.16373344380803E-2</v>
      </c>
      <c r="M131" s="16">
        <v>0.12396529202034</v>
      </c>
      <c r="N131" s="16">
        <v>33.361972793540801</v>
      </c>
      <c r="O131" s="16">
        <v>0.90208664330309096</v>
      </c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 t="s">
        <v>402</v>
      </c>
      <c r="AI131" s="16"/>
      <c r="AJ131" s="16" t="s">
        <v>534</v>
      </c>
    </row>
    <row r="132" spans="1:36" ht="15" customHeight="1" x14ac:dyDescent="0.3">
      <c r="A132" s="16" t="s">
        <v>273</v>
      </c>
      <c r="B132" s="16" t="s">
        <v>535</v>
      </c>
      <c r="C132" s="16" t="s">
        <v>438</v>
      </c>
      <c r="D132" s="16" t="s">
        <v>324</v>
      </c>
      <c r="E132" s="16" t="s">
        <v>404</v>
      </c>
      <c r="F132" s="16" t="s">
        <v>401</v>
      </c>
      <c r="G132" s="16">
        <v>0.4</v>
      </c>
      <c r="H132" s="16">
        <v>2607</v>
      </c>
      <c r="I132" s="16">
        <v>110</v>
      </c>
      <c r="J132" s="16">
        <v>109</v>
      </c>
      <c r="K132" s="16">
        <v>-1.2935408272289501E-2</v>
      </c>
      <c r="L132" s="16">
        <v>1.3099035772769701E-2</v>
      </c>
      <c r="M132" s="16">
        <v>-0.98750843166484104</v>
      </c>
      <c r="N132" s="16">
        <v>20.908377466543399</v>
      </c>
      <c r="O132" s="16">
        <v>0.33468430625482998</v>
      </c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 t="s">
        <v>402</v>
      </c>
      <c r="AI132" s="16"/>
      <c r="AJ132" s="16" t="s">
        <v>536</v>
      </c>
    </row>
    <row r="133" spans="1:36" ht="15" customHeight="1" x14ac:dyDescent="0.3">
      <c r="A133" s="16" t="s">
        <v>273</v>
      </c>
      <c r="B133" s="16" t="s">
        <v>537</v>
      </c>
      <c r="C133" s="16" t="s">
        <v>438</v>
      </c>
      <c r="D133" s="16" t="s">
        <v>324</v>
      </c>
      <c r="E133" s="16" t="s">
        <v>404</v>
      </c>
      <c r="F133" s="16" t="s">
        <v>401</v>
      </c>
      <c r="G133" s="16">
        <v>0.4</v>
      </c>
      <c r="H133" s="16">
        <v>2607</v>
      </c>
      <c r="I133" s="16">
        <v>110</v>
      </c>
      <c r="J133" s="16">
        <v>109</v>
      </c>
      <c r="K133" s="16">
        <v>-1.6856104726119099E-2</v>
      </c>
      <c r="L133" s="16">
        <v>1.48392971149192E-2</v>
      </c>
      <c r="M133" s="16">
        <v>-1.1359099151112899</v>
      </c>
      <c r="N133" s="16">
        <v>18.552073094529</v>
      </c>
      <c r="O133" s="16">
        <v>0.27045589857068603</v>
      </c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 t="s">
        <v>402</v>
      </c>
      <c r="AI133" s="16"/>
      <c r="AJ133" s="16" t="s">
        <v>538</v>
      </c>
    </row>
    <row r="134" spans="1:36" ht="15" customHeight="1" x14ac:dyDescent="0.3">
      <c r="A134" s="16" t="s">
        <v>273</v>
      </c>
      <c r="B134" s="16" t="s">
        <v>539</v>
      </c>
      <c r="C134" s="16" t="s">
        <v>438</v>
      </c>
      <c r="D134" s="16" t="s">
        <v>324</v>
      </c>
      <c r="E134" s="16" t="s">
        <v>404</v>
      </c>
      <c r="F134" s="16" t="s">
        <v>401</v>
      </c>
      <c r="G134" s="16">
        <v>0.4</v>
      </c>
      <c r="H134" s="16">
        <v>2607</v>
      </c>
      <c r="I134" s="16">
        <v>110</v>
      </c>
      <c r="J134" s="16">
        <v>109</v>
      </c>
      <c r="K134" s="16">
        <v>-1.6225210884053098E-2</v>
      </c>
      <c r="L134" s="16">
        <v>1.5834437222166101E-2</v>
      </c>
      <c r="M134" s="16">
        <v>-1.0246787212203601</v>
      </c>
      <c r="N134" s="16">
        <v>15.238286131000701</v>
      </c>
      <c r="O134" s="16">
        <v>0.32150717200011403</v>
      </c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 t="s">
        <v>402</v>
      </c>
      <c r="AI134" s="16"/>
      <c r="AJ134" s="16" t="s">
        <v>540</v>
      </c>
    </row>
    <row r="135" spans="1:36" ht="15" customHeight="1" x14ac:dyDescent="0.3">
      <c r="A135" s="16" t="s">
        <v>273</v>
      </c>
      <c r="B135" s="16" t="s">
        <v>541</v>
      </c>
      <c r="C135" s="16" t="s">
        <v>438</v>
      </c>
      <c r="D135" s="16" t="s">
        <v>324</v>
      </c>
      <c r="E135" s="16" t="s">
        <v>404</v>
      </c>
      <c r="F135" s="16" t="s">
        <v>401</v>
      </c>
      <c r="G135" s="16">
        <v>0.4</v>
      </c>
      <c r="H135" s="16">
        <v>2607</v>
      </c>
      <c r="I135" s="16">
        <v>110</v>
      </c>
      <c r="J135" s="16">
        <v>109</v>
      </c>
      <c r="K135" s="16">
        <v>1.8231487973146201E-3</v>
      </c>
      <c r="L135" s="16">
        <v>1.06517130845026E-2</v>
      </c>
      <c r="M135" s="16">
        <v>0.171160148874753</v>
      </c>
      <c r="N135" s="16">
        <v>32.057407177480599</v>
      </c>
      <c r="O135" s="16">
        <v>0.86517365421884196</v>
      </c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 t="s">
        <v>402</v>
      </c>
      <c r="AI135" s="16"/>
      <c r="AJ135" s="16" t="s">
        <v>542</v>
      </c>
    </row>
    <row r="136" spans="1:36" ht="15" customHeight="1" x14ac:dyDescent="0.3">
      <c r="A136" s="16" t="s">
        <v>273</v>
      </c>
      <c r="B136" s="16" t="s">
        <v>543</v>
      </c>
      <c r="C136" s="16" t="s">
        <v>438</v>
      </c>
      <c r="D136" s="16" t="s">
        <v>324</v>
      </c>
      <c r="E136" s="16" t="s">
        <v>404</v>
      </c>
      <c r="F136" s="16" t="s">
        <v>401</v>
      </c>
      <c r="G136" s="16">
        <v>0.4</v>
      </c>
      <c r="H136" s="16">
        <v>2607</v>
      </c>
      <c r="I136" s="16">
        <v>110</v>
      </c>
      <c r="J136" s="16">
        <v>109</v>
      </c>
      <c r="K136" s="16">
        <v>1.48454081025041E-2</v>
      </c>
      <c r="L136" s="16">
        <v>9.8605141559966695E-3</v>
      </c>
      <c r="M136" s="16">
        <v>1.50554097561696</v>
      </c>
      <c r="N136" s="16">
        <v>43.010180880766299</v>
      </c>
      <c r="O136" s="16">
        <v>0.13949444645131501</v>
      </c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 t="s">
        <v>402</v>
      </c>
      <c r="AI136" s="16"/>
      <c r="AJ136" s="16" t="s">
        <v>544</v>
      </c>
    </row>
    <row r="137" spans="1:36" ht="15" customHeight="1" x14ac:dyDescent="0.3">
      <c r="A137" s="16" t="s">
        <v>273</v>
      </c>
      <c r="B137" s="16" t="s">
        <v>545</v>
      </c>
      <c r="C137" s="16" t="s">
        <v>438</v>
      </c>
      <c r="D137" s="16" t="s">
        <v>324</v>
      </c>
      <c r="E137" s="16" t="s">
        <v>404</v>
      </c>
      <c r="F137" s="16" t="s">
        <v>401</v>
      </c>
      <c r="G137" s="16">
        <v>0.4</v>
      </c>
      <c r="H137" s="16">
        <v>2607</v>
      </c>
      <c r="I137" s="16">
        <v>110</v>
      </c>
      <c r="J137" s="16">
        <v>109</v>
      </c>
      <c r="K137" s="16">
        <v>2.17933778103486E-3</v>
      </c>
      <c r="L137" s="16">
        <v>9.8615884026581491E-3</v>
      </c>
      <c r="M137" s="16">
        <v>0.22099257158688801</v>
      </c>
      <c r="N137" s="16">
        <v>47.549519175953499</v>
      </c>
      <c r="O137" s="16">
        <v>0.82604445743615895</v>
      </c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 t="s">
        <v>402</v>
      </c>
      <c r="AI137" s="16"/>
      <c r="AJ137" s="16" t="s">
        <v>546</v>
      </c>
    </row>
    <row r="138" spans="1:36" ht="15" customHeight="1" x14ac:dyDescent="0.3">
      <c r="A138" s="16" t="s">
        <v>273</v>
      </c>
      <c r="B138" s="16" t="s">
        <v>547</v>
      </c>
      <c r="C138" s="16" t="s">
        <v>438</v>
      </c>
      <c r="D138" s="16" t="s">
        <v>324</v>
      </c>
      <c r="E138" s="16" t="s">
        <v>404</v>
      </c>
      <c r="F138" s="16" t="s">
        <v>401</v>
      </c>
      <c r="G138" s="16">
        <v>0.4</v>
      </c>
      <c r="H138" s="16">
        <v>905</v>
      </c>
      <c r="I138" s="16">
        <v>38</v>
      </c>
      <c r="J138" s="16">
        <v>38</v>
      </c>
      <c r="K138" s="16">
        <v>-2.32782779676141E-2</v>
      </c>
      <c r="L138" s="16">
        <v>1.9179860978683402E-2</v>
      </c>
      <c r="M138" s="16">
        <v>-1.21368335221437</v>
      </c>
      <c r="N138" s="16">
        <v>25.026326212635901</v>
      </c>
      <c r="O138" s="16">
        <v>0.23619896631547399</v>
      </c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 t="s">
        <v>402</v>
      </c>
      <c r="AI138" s="16"/>
      <c r="AJ138" s="16" t="s">
        <v>548</v>
      </c>
    </row>
    <row r="139" spans="1:36" ht="15" customHeight="1" x14ac:dyDescent="0.3">
      <c r="A139" s="16" t="s">
        <v>273</v>
      </c>
      <c r="B139" s="16" t="s">
        <v>549</v>
      </c>
      <c r="C139" s="16" t="s">
        <v>438</v>
      </c>
      <c r="D139" s="16" t="s">
        <v>324</v>
      </c>
      <c r="E139" s="16" t="s">
        <v>404</v>
      </c>
      <c r="F139" s="16" t="s">
        <v>401</v>
      </c>
      <c r="G139" s="16">
        <v>0.4</v>
      </c>
      <c r="H139" s="16">
        <v>2705</v>
      </c>
      <c r="I139" s="16">
        <v>113</v>
      </c>
      <c r="J139" s="16">
        <v>112</v>
      </c>
      <c r="K139" s="16">
        <v>1.03026694895839E-2</v>
      </c>
      <c r="L139" s="16">
        <v>1.80841907538093E-2</v>
      </c>
      <c r="M139" s="16">
        <v>0.56970586242095</v>
      </c>
      <c r="N139" s="16">
        <v>14.410522069850099</v>
      </c>
      <c r="O139" s="16">
        <v>0.57765107100633795</v>
      </c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 t="s">
        <v>402</v>
      </c>
      <c r="AI139" s="16"/>
      <c r="AJ139" s="16" t="s">
        <v>550</v>
      </c>
    </row>
    <row r="140" spans="1:36" ht="15" customHeight="1" x14ac:dyDescent="0.3">
      <c r="A140" s="16" t="s">
        <v>273</v>
      </c>
      <c r="B140" s="16" t="s">
        <v>551</v>
      </c>
      <c r="C140" s="16" t="s">
        <v>438</v>
      </c>
      <c r="D140" s="16" t="s">
        <v>324</v>
      </c>
      <c r="E140" s="16" t="s">
        <v>404</v>
      </c>
      <c r="F140" s="16" t="s">
        <v>401</v>
      </c>
      <c r="G140" s="16">
        <v>0.4</v>
      </c>
      <c r="H140" s="16">
        <v>2705</v>
      </c>
      <c r="I140" s="16">
        <v>113</v>
      </c>
      <c r="J140" s="16">
        <v>112</v>
      </c>
      <c r="K140" s="16">
        <v>9.8839343066984692E-3</v>
      </c>
      <c r="L140" s="16">
        <v>1.77428601307251E-2</v>
      </c>
      <c r="M140" s="16">
        <v>0.55706544682627401</v>
      </c>
      <c r="N140" s="16">
        <v>11.8177653865558</v>
      </c>
      <c r="O140" s="16">
        <v>0.58787799992550105</v>
      </c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 t="s">
        <v>402</v>
      </c>
      <c r="AI140" s="16"/>
      <c r="AJ140" s="16" t="s">
        <v>552</v>
      </c>
    </row>
    <row r="141" spans="1:36" ht="15" customHeight="1" x14ac:dyDescent="0.3">
      <c r="A141" s="16" t="s">
        <v>273</v>
      </c>
      <c r="B141" s="16" t="s">
        <v>553</v>
      </c>
      <c r="C141" s="16" t="s">
        <v>438</v>
      </c>
      <c r="D141" s="16" t="s">
        <v>324</v>
      </c>
      <c r="E141" s="16" t="s">
        <v>404</v>
      </c>
      <c r="F141" s="16" t="s">
        <v>401</v>
      </c>
      <c r="G141" s="16">
        <v>0.4</v>
      </c>
      <c r="H141" s="16">
        <v>2705</v>
      </c>
      <c r="I141" s="16">
        <v>113</v>
      </c>
      <c r="J141" s="16">
        <v>112</v>
      </c>
      <c r="K141" s="16">
        <v>-1.9927122774938799E-2</v>
      </c>
      <c r="L141" s="16">
        <v>2.0987355750580201E-2</v>
      </c>
      <c r="M141" s="16">
        <v>-0.94948229837805498</v>
      </c>
      <c r="N141" s="16">
        <v>41.7092585205367</v>
      </c>
      <c r="O141" s="16">
        <v>0.347844817846927</v>
      </c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 t="s">
        <v>402</v>
      </c>
      <c r="AI141" s="16"/>
      <c r="AJ141" s="16" t="s">
        <v>554</v>
      </c>
    </row>
    <row r="142" spans="1:36" ht="15" customHeight="1" x14ac:dyDescent="0.3">
      <c r="A142" s="16" t="s">
        <v>273</v>
      </c>
      <c r="B142" s="16" t="s">
        <v>555</v>
      </c>
      <c r="C142" s="16" t="s">
        <v>438</v>
      </c>
      <c r="D142" s="16" t="s">
        <v>324</v>
      </c>
      <c r="E142" s="16" t="s">
        <v>404</v>
      </c>
      <c r="F142" s="16" t="s">
        <v>401</v>
      </c>
      <c r="G142" s="16">
        <v>0.4</v>
      </c>
      <c r="H142" s="16">
        <v>2705</v>
      </c>
      <c r="I142" s="16">
        <v>113</v>
      </c>
      <c r="J142" s="16">
        <v>112</v>
      </c>
      <c r="K142" s="16">
        <v>8.0669056413137305E-3</v>
      </c>
      <c r="L142" s="16">
        <v>1.8020190558963398E-2</v>
      </c>
      <c r="M142" s="16">
        <v>0.44765928611677103</v>
      </c>
      <c r="N142" s="16">
        <v>10.468510462944201</v>
      </c>
      <c r="O142" s="16">
        <v>0.66352056715776697</v>
      </c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 t="s">
        <v>402</v>
      </c>
      <c r="AI142" s="16"/>
      <c r="AJ142" s="16" t="s">
        <v>556</v>
      </c>
    </row>
    <row r="143" spans="1:36" ht="15" customHeight="1" x14ac:dyDescent="0.3">
      <c r="A143" s="16" t="s">
        <v>273</v>
      </c>
      <c r="B143" s="16" t="s">
        <v>557</v>
      </c>
      <c r="C143" s="16" t="s">
        <v>438</v>
      </c>
      <c r="D143" s="16" t="s">
        <v>324</v>
      </c>
      <c r="E143" s="16" t="s">
        <v>404</v>
      </c>
      <c r="F143" s="16" t="s">
        <v>401</v>
      </c>
      <c r="G143" s="16">
        <v>0.4</v>
      </c>
      <c r="H143" s="16">
        <v>2705</v>
      </c>
      <c r="I143" s="16">
        <v>113</v>
      </c>
      <c r="J143" s="16">
        <v>112</v>
      </c>
      <c r="K143" s="16">
        <v>2.73326118924507E-3</v>
      </c>
      <c r="L143" s="16">
        <v>2.2154082603223199E-2</v>
      </c>
      <c r="M143" s="16">
        <v>0.123375056336</v>
      </c>
      <c r="N143" s="16">
        <v>18.789027803200899</v>
      </c>
      <c r="O143" s="16">
        <v>0.90312031918130298</v>
      </c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 t="s">
        <v>402</v>
      </c>
      <c r="AI143" s="16"/>
      <c r="AJ143" s="16" t="s">
        <v>558</v>
      </c>
    </row>
    <row r="144" spans="1:36" ht="15" customHeight="1" x14ac:dyDescent="0.3">
      <c r="A144" s="16" t="s">
        <v>273</v>
      </c>
      <c r="B144" s="16" t="s">
        <v>559</v>
      </c>
      <c r="C144" s="16" t="s">
        <v>438</v>
      </c>
      <c r="D144" s="16" t="s">
        <v>324</v>
      </c>
      <c r="E144" s="16" t="s">
        <v>404</v>
      </c>
      <c r="F144" s="16" t="s">
        <v>401</v>
      </c>
      <c r="G144" s="16">
        <v>0.4</v>
      </c>
      <c r="H144" s="16">
        <v>2705</v>
      </c>
      <c r="I144" s="16">
        <v>113</v>
      </c>
      <c r="J144" s="16">
        <v>112</v>
      </c>
      <c r="K144" s="16">
        <v>4.1141310953851599E-3</v>
      </c>
      <c r="L144" s="16">
        <v>2.2637752382583101E-2</v>
      </c>
      <c r="M144" s="16">
        <v>0.18173761360471799</v>
      </c>
      <c r="N144" s="16">
        <v>15.454076000255499</v>
      </c>
      <c r="O144" s="16">
        <v>0.85815096269392699</v>
      </c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 t="s">
        <v>402</v>
      </c>
      <c r="AI144" s="16"/>
      <c r="AJ144" s="16" t="s">
        <v>560</v>
      </c>
    </row>
    <row r="145" spans="1:36" ht="15" customHeight="1" x14ac:dyDescent="0.3">
      <c r="A145" s="16" t="s">
        <v>273</v>
      </c>
      <c r="B145" s="16" t="s">
        <v>561</v>
      </c>
      <c r="C145" s="16" t="s">
        <v>438</v>
      </c>
      <c r="D145" s="16" t="s">
        <v>324</v>
      </c>
      <c r="E145" s="16" t="s">
        <v>404</v>
      </c>
      <c r="F145" s="16" t="s">
        <v>401</v>
      </c>
      <c r="G145" s="16">
        <v>0.4</v>
      </c>
      <c r="H145" s="16">
        <v>2705</v>
      </c>
      <c r="I145" s="16">
        <v>113</v>
      </c>
      <c r="J145" s="16">
        <v>112</v>
      </c>
      <c r="K145" s="16">
        <v>-6.1378237081496098E-3</v>
      </c>
      <c r="L145" s="16">
        <v>2.0682636132204901E-2</v>
      </c>
      <c r="M145" s="16">
        <v>-0.29676215686028601</v>
      </c>
      <c r="N145" s="16">
        <v>17.082057554586999</v>
      </c>
      <c r="O145" s="16">
        <v>0.77022620326056002</v>
      </c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 t="s">
        <v>402</v>
      </c>
      <c r="AI145" s="16"/>
      <c r="AJ145" s="16" t="s">
        <v>562</v>
      </c>
    </row>
    <row r="146" spans="1:36" ht="15" customHeight="1" x14ac:dyDescent="0.3">
      <c r="A146" s="16" t="s">
        <v>273</v>
      </c>
      <c r="B146" s="16" t="s">
        <v>563</v>
      </c>
      <c r="C146" s="16" t="s">
        <v>438</v>
      </c>
      <c r="D146" s="16" t="s">
        <v>324</v>
      </c>
      <c r="E146" s="16" t="s">
        <v>404</v>
      </c>
      <c r="F146" s="16" t="s">
        <v>401</v>
      </c>
      <c r="G146" s="16">
        <v>0.4</v>
      </c>
      <c r="H146" s="16">
        <v>2705</v>
      </c>
      <c r="I146" s="16">
        <v>113</v>
      </c>
      <c r="J146" s="16">
        <v>112</v>
      </c>
      <c r="K146" s="16">
        <v>3.9862783525596301E-2</v>
      </c>
      <c r="L146" s="16">
        <v>2.6002968806938202E-2</v>
      </c>
      <c r="M146" s="16">
        <v>1.53300893530896</v>
      </c>
      <c r="N146" s="16">
        <v>21.105994386536299</v>
      </c>
      <c r="O146" s="16">
        <v>0.14012739241172001</v>
      </c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 t="s">
        <v>402</v>
      </c>
      <c r="AI146" s="16"/>
      <c r="AJ146" s="16" t="s">
        <v>564</v>
      </c>
    </row>
    <row r="147" spans="1:36" ht="15" customHeight="1" x14ac:dyDescent="0.3">
      <c r="A147" s="16" t="s">
        <v>273</v>
      </c>
      <c r="B147" s="16" t="s">
        <v>565</v>
      </c>
      <c r="C147" s="16" t="s">
        <v>438</v>
      </c>
      <c r="D147" s="16" t="s">
        <v>324</v>
      </c>
      <c r="E147" s="16" t="s">
        <v>404</v>
      </c>
      <c r="F147" s="16" t="s">
        <v>401</v>
      </c>
      <c r="G147" s="16">
        <v>0.4</v>
      </c>
      <c r="H147" s="16">
        <v>2705</v>
      </c>
      <c r="I147" s="16">
        <v>113</v>
      </c>
      <c r="J147" s="16">
        <v>112</v>
      </c>
      <c r="K147" s="16">
        <v>2.1462917397092902E-2</v>
      </c>
      <c r="L147" s="16">
        <v>2.1669788351374002E-2</v>
      </c>
      <c r="M147" s="16">
        <v>0.99045348524283305</v>
      </c>
      <c r="N147" s="16">
        <v>21.339916879843798</v>
      </c>
      <c r="O147" s="16">
        <v>0.33305087460601301</v>
      </c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 t="s">
        <v>402</v>
      </c>
      <c r="AI147" s="16"/>
      <c r="AJ147" s="16" t="s">
        <v>566</v>
      </c>
    </row>
    <row r="148" spans="1:36" ht="15" customHeight="1" x14ac:dyDescent="0.3">
      <c r="A148" s="16" t="s">
        <v>273</v>
      </c>
      <c r="B148" s="16" t="s">
        <v>567</v>
      </c>
      <c r="C148" s="16" t="s">
        <v>438</v>
      </c>
      <c r="D148" s="16" t="s">
        <v>324</v>
      </c>
      <c r="E148" s="16" t="s">
        <v>404</v>
      </c>
      <c r="F148" s="16" t="s">
        <v>401</v>
      </c>
      <c r="G148" s="16">
        <v>0.4</v>
      </c>
      <c r="H148" s="16">
        <v>929</v>
      </c>
      <c r="I148" s="16">
        <v>40</v>
      </c>
      <c r="J148" s="16">
        <v>40</v>
      </c>
      <c r="K148" s="16">
        <v>-1.55504233896231E-2</v>
      </c>
      <c r="L148" s="16">
        <v>1.8330655591856301E-2</v>
      </c>
      <c r="M148" s="16">
        <v>-0.848328817902816</v>
      </c>
      <c r="N148" s="16">
        <v>24.407680852685498</v>
      </c>
      <c r="O148" s="16">
        <v>0.40449803814533902</v>
      </c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 t="s">
        <v>402</v>
      </c>
      <c r="AI148" s="16"/>
      <c r="AJ148" s="16" t="s">
        <v>568</v>
      </c>
    </row>
    <row r="149" spans="1:36" ht="15" customHeight="1" x14ac:dyDescent="0.3">
      <c r="A149" s="16" t="s">
        <v>273</v>
      </c>
      <c r="B149" s="16" t="s">
        <v>569</v>
      </c>
      <c r="C149" s="16" t="s">
        <v>438</v>
      </c>
      <c r="D149" s="16" t="s">
        <v>324</v>
      </c>
      <c r="E149" s="16" t="s">
        <v>404</v>
      </c>
      <c r="F149" s="16" t="s">
        <v>401</v>
      </c>
      <c r="G149" s="16">
        <v>0.4</v>
      </c>
      <c r="H149" s="16">
        <v>2692</v>
      </c>
      <c r="I149" s="16">
        <v>113</v>
      </c>
      <c r="J149" s="16">
        <v>112</v>
      </c>
      <c r="K149" s="16">
        <v>-1.3535600372947799E-2</v>
      </c>
      <c r="L149" s="16">
        <v>1.0822585319653501E-2</v>
      </c>
      <c r="M149" s="16">
        <v>-1.2506808653536301</v>
      </c>
      <c r="N149" s="16">
        <v>37.912836637386398</v>
      </c>
      <c r="O149" s="16">
        <v>0.21871474594382501</v>
      </c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 t="s">
        <v>402</v>
      </c>
      <c r="AI149" s="16"/>
      <c r="AJ149" s="16" t="s">
        <v>570</v>
      </c>
    </row>
    <row r="150" spans="1:36" ht="15" customHeight="1" x14ac:dyDescent="0.3">
      <c r="A150" s="16" t="s">
        <v>273</v>
      </c>
      <c r="B150" s="16" t="s">
        <v>571</v>
      </c>
      <c r="C150" s="16" t="s">
        <v>438</v>
      </c>
      <c r="D150" s="16" t="s">
        <v>324</v>
      </c>
      <c r="E150" s="16" t="s">
        <v>404</v>
      </c>
      <c r="F150" s="16" t="s">
        <v>401</v>
      </c>
      <c r="G150" s="16">
        <v>0.4</v>
      </c>
      <c r="H150" s="16">
        <v>2692</v>
      </c>
      <c r="I150" s="16">
        <v>113</v>
      </c>
      <c r="J150" s="16">
        <v>112</v>
      </c>
      <c r="K150" s="16">
        <v>-1.2668342880951099E-2</v>
      </c>
      <c r="L150" s="16">
        <v>1.1477911316019E-2</v>
      </c>
      <c r="M150" s="16">
        <v>-1.10371499937194</v>
      </c>
      <c r="N150" s="16">
        <v>29.062483444221002</v>
      </c>
      <c r="O150" s="16">
        <v>0.27877199967188598</v>
      </c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 t="s">
        <v>402</v>
      </c>
      <c r="AI150" s="16"/>
      <c r="AJ150" s="16" t="s">
        <v>572</v>
      </c>
    </row>
    <row r="151" spans="1:36" ht="15" customHeight="1" x14ac:dyDescent="0.3">
      <c r="A151" s="16" t="s">
        <v>273</v>
      </c>
      <c r="B151" s="16" t="s">
        <v>573</v>
      </c>
      <c r="C151" s="16" t="s">
        <v>438</v>
      </c>
      <c r="D151" s="16" t="s">
        <v>324</v>
      </c>
      <c r="E151" s="16" t="s">
        <v>404</v>
      </c>
      <c r="F151" s="16" t="s">
        <v>401</v>
      </c>
      <c r="G151" s="16">
        <v>0.4</v>
      </c>
      <c r="H151" s="16">
        <v>2692</v>
      </c>
      <c r="I151" s="16">
        <v>113</v>
      </c>
      <c r="J151" s="16">
        <v>112</v>
      </c>
      <c r="K151" s="16">
        <v>9.0104816993740605E-4</v>
      </c>
      <c r="L151" s="16">
        <v>1.0400368710900301E-2</v>
      </c>
      <c r="M151" s="16">
        <v>8.6636175599529103E-2</v>
      </c>
      <c r="N151" s="16">
        <v>36.044618533534901</v>
      </c>
      <c r="O151" s="16">
        <v>0.93144020991779397</v>
      </c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 t="s">
        <v>402</v>
      </c>
      <c r="AI151" s="16"/>
      <c r="AJ151" s="16" t="s">
        <v>574</v>
      </c>
    </row>
    <row r="152" spans="1:36" ht="15" customHeight="1" x14ac:dyDescent="0.3">
      <c r="A152" s="16" t="s">
        <v>273</v>
      </c>
      <c r="B152" s="16" t="s">
        <v>575</v>
      </c>
      <c r="C152" s="16" t="s">
        <v>438</v>
      </c>
      <c r="D152" s="16" t="s">
        <v>324</v>
      </c>
      <c r="E152" s="16" t="s">
        <v>404</v>
      </c>
      <c r="F152" s="16" t="s">
        <v>401</v>
      </c>
      <c r="G152" s="16">
        <v>0.4</v>
      </c>
      <c r="H152" s="16">
        <v>2692</v>
      </c>
      <c r="I152" s="16">
        <v>113</v>
      </c>
      <c r="J152" s="16">
        <v>112</v>
      </c>
      <c r="K152" s="16">
        <v>-1.32743369087782E-2</v>
      </c>
      <c r="L152" s="16">
        <v>1.1998705242401601E-2</v>
      </c>
      <c r="M152" s="16">
        <v>-1.1063141097815099</v>
      </c>
      <c r="N152" s="16">
        <v>25.4113986255188</v>
      </c>
      <c r="O152" s="16">
        <v>0.278954388496024</v>
      </c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 t="s">
        <v>402</v>
      </c>
      <c r="AI152" s="16"/>
      <c r="AJ152" s="16" t="s">
        <v>576</v>
      </c>
    </row>
    <row r="153" spans="1:36" ht="15" customHeight="1" x14ac:dyDescent="0.3">
      <c r="A153" s="16" t="s">
        <v>273</v>
      </c>
      <c r="B153" s="16" t="s">
        <v>577</v>
      </c>
      <c r="C153" s="16" t="s">
        <v>438</v>
      </c>
      <c r="D153" s="16" t="s">
        <v>324</v>
      </c>
      <c r="E153" s="16" t="s">
        <v>404</v>
      </c>
      <c r="F153" s="16" t="s">
        <v>401</v>
      </c>
      <c r="G153" s="16">
        <v>0.4</v>
      </c>
      <c r="H153" s="16">
        <v>2692</v>
      </c>
      <c r="I153" s="16">
        <v>113</v>
      </c>
      <c r="J153" s="16">
        <v>112</v>
      </c>
      <c r="K153" s="16">
        <v>-1.49485871641138E-2</v>
      </c>
      <c r="L153" s="16">
        <v>1.49409059335825E-2</v>
      </c>
      <c r="M153" s="16">
        <v>-1.0005141074152699</v>
      </c>
      <c r="N153" s="16">
        <v>18.258581958421701</v>
      </c>
      <c r="O153" s="16">
        <v>0.33013779657637998</v>
      </c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 t="s">
        <v>402</v>
      </c>
      <c r="AI153" s="16"/>
      <c r="AJ153" s="16" t="s">
        <v>578</v>
      </c>
    </row>
    <row r="154" spans="1:36" ht="15" customHeight="1" x14ac:dyDescent="0.3">
      <c r="A154" s="16" t="s">
        <v>273</v>
      </c>
      <c r="B154" s="16" t="s">
        <v>579</v>
      </c>
      <c r="C154" s="16" t="s">
        <v>438</v>
      </c>
      <c r="D154" s="16" t="s">
        <v>324</v>
      </c>
      <c r="E154" s="16" t="s">
        <v>404</v>
      </c>
      <c r="F154" s="16" t="s">
        <v>401</v>
      </c>
      <c r="G154" s="16">
        <v>0.4</v>
      </c>
      <c r="H154" s="16">
        <v>2692</v>
      </c>
      <c r="I154" s="16">
        <v>113</v>
      </c>
      <c r="J154" s="16">
        <v>112</v>
      </c>
      <c r="K154" s="16">
        <v>-1.4078579879819499E-2</v>
      </c>
      <c r="L154" s="16">
        <v>1.6064052084059699E-2</v>
      </c>
      <c r="M154" s="16">
        <v>-0.87640277846145798</v>
      </c>
      <c r="N154" s="16">
        <v>15.0132764604475</v>
      </c>
      <c r="O154" s="16">
        <v>0.394618121169169</v>
      </c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 t="s">
        <v>402</v>
      </c>
      <c r="AI154" s="16"/>
      <c r="AJ154" s="16" t="s">
        <v>580</v>
      </c>
    </row>
    <row r="155" spans="1:36" ht="15" customHeight="1" x14ac:dyDescent="0.3">
      <c r="A155" s="16" t="s">
        <v>273</v>
      </c>
      <c r="B155" s="16" t="s">
        <v>581</v>
      </c>
      <c r="C155" s="16" t="s">
        <v>438</v>
      </c>
      <c r="D155" s="16" t="s">
        <v>324</v>
      </c>
      <c r="E155" s="16" t="s">
        <v>404</v>
      </c>
      <c r="F155" s="16" t="s">
        <v>401</v>
      </c>
      <c r="G155" s="16">
        <v>0.4</v>
      </c>
      <c r="H155" s="16">
        <v>2692</v>
      </c>
      <c r="I155" s="16">
        <v>113</v>
      </c>
      <c r="J155" s="16">
        <v>112</v>
      </c>
      <c r="K155" s="16">
        <v>3.9146435291031898E-3</v>
      </c>
      <c r="L155" s="16">
        <v>9.0447733993019603E-3</v>
      </c>
      <c r="M155" s="16">
        <v>0.432807253015902</v>
      </c>
      <c r="N155" s="16">
        <v>42.920032440606001</v>
      </c>
      <c r="O155" s="16">
        <v>0.66732198162217204</v>
      </c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 t="s">
        <v>402</v>
      </c>
      <c r="AI155" s="16"/>
      <c r="AJ155" s="16" t="s">
        <v>582</v>
      </c>
    </row>
    <row r="156" spans="1:36" ht="15" customHeight="1" x14ac:dyDescent="0.3">
      <c r="A156" s="16" t="s">
        <v>273</v>
      </c>
      <c r="B156" s="16" t="s">
        <v>583</v>
      </c>
      <c r="C156" s="16" t="s">
        <v>438</v>
      </c>
      <c r="D156" s="16" t="s">
        <v>324</v>
      </c>
      <c r="E156" s="16" t="s">
        <v>404</v>
      </c>
      <c r="F156" s="16" t="s">
        <v>401</v>
      </c>
      <c r="G156" s="16">
        <v>0.4</v>
      </c>
      <c r="H156" s="16">
        <v>2692</v>
      </c>
      <c r="I156" s="16">
        <v>113</v>
      </c>
      <c r="J156" s="16">
        <v>112</v>
      </c>
      <c r="K156" s="16">
        <v>1.20010645710741E-2</v>
      </c>
      <c r="L156" s="16">
        <v>8.7179748096315804E-3</v>
      </c>
      <c r="M156" s="16">
        <v>1.3765885808497</v>
      </c>
      <c r="N156" s="16">
        <v>56.900205613194203</v>
      </c>
      <c r="O156" s="16">
        <v>0.174032376655395</v>
      </c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 t="s">
        <v>402</v>
      </c>
      <c r="AI156" s="16"/>
      <c r="AJ156" s="16" t="s">
        <v>584</v>
      </c>
    </row>
    <row r="157" spans="1:36" ht="15" customHeight="1" x14ac:dyDescent="0.3">
      <c r="A157" s="16" t="s">
        <v>273</v>
      </c>
      <c r="B157" s="16" t="s">
        <v>585</v>
      </c>
      <c r="C157" s="16" t="s">
        <v>438</v>
      </c>
      <c r="D157" s="16" t="s">
        <v>324</v>
      </c>
      <c r="E157" s="16" t="s">
        <v>404</v>
      </c>
      <c r="F157" s="16" t="s">
        <v>401</v>
      </c>
      <c r="G157" s="16">
        <v>0.4</v>
      </c>
      <c r="H157" s="16">
        <v>2692</v>
      </c>
      <c r="I157" s="16">
        <v>113</v>
      </c>
      <c r="J157" s="16">
        <v>112</v>
      </c>
      <c r="K157" s="16">
        <v>-1.2667012506178301E-4</v>
      </c>
      <c r="L157" s="16">
        <v>9.1315319005659396E-3</v>
      </c>
      <c r="M157" s="16">
        <v>-1.38717278153441E-2</v>
      </c>
      <c r="N157" s="16">
        <v>63.425883584486002</v>
      </c>
      <c r="O157" s="16">
        <v>0.98897585987785996</v>
      </c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 t="s">
        <v>402</v>
      </c>
      <c r="AI157" s="16"/>
      <c r="AJ157" s="16" t="s">
        <v>586</v>
      </c>
    </row>
    <row r="158" spans="1:36" ht="15" customHeight="1" x14ac:dyDescent="0.3">
      <c r="A158" s="16" t="s">
        <v>273</v>
      </c>
      <c r="B158" s="16" t="s">
        <v>587</v>
      </c>
      <c r="C158" s="16" t="s">
        <v>438</v>
      </c>
      <c r="D158" s="16" t="s">
        <v>324</v>
      </c>
      <c r="E158" s="16" t="s">
        <v>404</v>
      </c>
      <c r="F158" s="16" t="s">
        <v>401</v>
      </c>
      <c r="G158" s="16">
        <v>0.4</v>
      </c>
      <c r="H158" s="16">
        <v>924</v>
      </c>
      <c r="I158" s="16">
        <v>40</v>
      </c>
      <c r="J158" s="16">
        <v>40</v>
      </c>
      <c r="K158" s="16">
        <v>-2.2540767719724401E-2</v>
      </c>
      <c r="L158" s="16">
        <v>1.9699536839190401E-2</v>
      </c>
      <c r="M158" s="16">
        <v>-1.14422830870224</v>
      </c>
      <c r="N158" s="16">
        <v>24.452574905413101</v>
      </c>
      <c r="O158" s="16">
        <v>0.263606605607136</v>
      </c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 t="s">
        <v>402</v>
      </c>
      <c r="AI158" s="16"/>
      <c r="AJ158" s="16" t="s">
        <v>588</v>
      </c>
    </row>
    <row r="159" spans="1:36" ht="15" customHeight="1" x14ac:dyDescent="0.3">
      <c r="A159" s="16" t="s">
        <v>273</v>
      </c>
      <c r="B159" s="16" t="s">
        <v>589</v>
      </c>
      <c r="C159" s="16" t="s">
        <v>438</v>
      </c>
      <c r="D159" s="16" t="s">
        <v>324</v>
      </c>
      <c r="E159" s="16" t="s">
        <v>404</v>
      </c>
      <c r="F159" s="16" t="s">
        <v>401</v>
      </c>
      <c r="G159" s="16">
        <v>0.4</v>
      </c>
      <c r="H159" s="16">
        <v>2705</v>
      </c>
      <c r="I159" s="16">
        <v>113</v>
      </c>
      <c r="J159" s="16">
        <v>112</v>
      </c>
      <c r="K159" s="16">
        <v>-9.6376922715023794E-3</v>
      </c>
      <c r="L159" s="16">
        <v>1.14201775799893E-2</v>
      </c>
      <c r="M159" s="16">
        <v>-0.84391789917433302</v>
      </c>
      <c r="N159" s="16">
        <v>31.9244872966297</v>
      </c>
      <c r="O159" s="16">
        <v>0.40499484736258501</v>
      </c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 t="s">
        <v>402</v>
      </c>
      <c r="AI159" s="16"/>
      <c r="AJ159" s="16" t="s">
        <v>590</v>
      </c>
    </row>
    <row r="160" spans="1:36" ht="15" customHeight="1" x14ac:dyDescent="0.3">
      <c r="A160" s="16" t="s">
        <v>273</v>
      </c>
      <c r="B160" s="16" t="s">
        <v>591</v>
      </c>
      <c r="C160" s="16" t="s">
        <v>438</v>
      </c>
      <c r="D160" s="16" t="s">
        <v>324</v>
      </c>
      <c r="E160" s="16" t="s">
        <v>404</v>
      </c>
      <c r="F160" s="16" t="s">
        <v>401</v>
      </c>
      <c r="G160" s="16">
        <v>0.4</v>
      </c>
      <c r="H160" s="16">
        <v>2705</v>
      </c>
      <c r="I160" s="16">
        <v>113</v>
      </c>
      <c r="J160" s="16">
        <v>112</v>
      </c>
      <c r="K160" s="16">
        <v>-7.7803738736368904E-3</v>
      </c>
      <c r="L160" s="16">
        <v>1.18455713801716E-2</v>
      </c>
      <c r="M160" s="16">
        <v>-0.65681710269042304</v>
      </c>
      <c r="N160" s="16">
        <v>24.722702457252598</v>
      </c>
      <c r="O160" s="16">
        <v>0.51736655129882703</v>
      </c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 t="s">
        <v>402</v>
      </c>
      <c r="AI160" s="16"/>
      <c r="AJ160" s="16" t="s">
        <v>592</v>
      </c>
    </row>
    <row r="161" spans="1:36" ht="15" customHeight="1" x14ac:dyDescent="0.3">
      <c r="A161" s="16" t="s">
        <v>273</v>
      </c>
      <c r="B161" s="16" t="s">
        <v>593</v>
      </c>
      <c r="C161" s="16" t="s">
        <v>438</v>
      </c>
      <c r="D161" s="16" t="s">
        <v>324</v>
      </c>
      <c r="E161" s="16" t="s">
        <v>404</v>
      </c>
      <c r="F161" s="16" t="s">
        <v>401</v>
      </c>
      <c r="G161" s="16">
        <v>0.4</v>
      </c>
      <c r="H161" s="16">
        <v>2705</v>
      </c>
      <c r="I161" s="16">
        <v>113</v>
      </c>
      <c r="J161" s="16">
        <v>112</v>
      </c>
      <c r="K161" s="16">
        <v>1.1085039529143399E-3</v>
      </c>
      <c r="L161" s="16">
        <v>1.0777602701357299E-2</v>
      </c>
      <c r="M161" s="16">
        <v>0.102852552987014</v>
      </c>
      <c r="N161" s="16">
        <v>36.979297369838498</v>
      </c>
      <c r="O161" s="16">
        <v>0.91863574495572098</v>
      </c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 t="s">
        <v>402</v>
      </c>
      <c r="AI161" s="16"/>
      <c r="AJ161" s="16" t="s">
        <v>594</v>
      </c>
    </row>
    <row r="162" spans="1:36" ht="15" customHeight="1" x14ac:dyDescent="0.3">
      <c r="A162" s="16" t="s">
        <v>273</v>
      </c>
      <c r="B162" s="16" t="s">
        <v>595</v>
      </c>
      <c r="C162" s="16" t="s">
        <v>438</v>
      </c>
      <c r="D162" s="16" t="s">
        <v>324</v>
      </c>
      <c r="E162" s="16" t="s">
        <v>404</v>
      </c>
      <c r="F162" s="16" t="s">
        <v>401</v>
      </c>
      <c r="G162" s="16">
        <v>0.4</v>
      </c>
      <c r="H162" s="16">
        <v>2705</v>
      </c>
      <c r="I162" s="16">
        <v>113</v>
      </c>
      <c r="J162" s="16">
        <v>112</v>
      </c>
      <c r="K162" s="16">
        <v>-8.59852299430151E-3</v>
      </c>
      <c r="L162" s="16">
        <v>1.24260907826665E-2</v>
      </c>
      <c r="M162" s="16">
        <v>-0.69197329592149803</v>
      </c>
      <c r="N162" s="16">
        <v>21.621837391639801</v>
      </c>
      <c r="O162" s="16">
        <v>0.49631847573309201</v>
      </c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 t="s">
        <v>402</v>
      </c>
      <c r="AI162" s="16"/>
      <c r="AJ162" s="16" t="s">
        <v>596</v>
      </c>
    </row>
    <row r="163" spans="1:36" ht="15" customHeight="1" x14ac:dyDescent="0.3">
      <c r="A163" s="16" t="s">
        <v>273</v>
      </c>
      <c r="B163" s="16" t="s">
        <v>597</v>
      </c>
      <c r="C163" s="16" t="s">
        <v>438</v>
      </c>
      <c r="D163" s="16" t="s">
        <v>324</v>
      </c>
      <c r="E163" s="16" t="s">
        <v>404</v>
      </c>
      <c r="F163" s="16" t="s">
        <v>401</v>
      </c>
      <c r="G163" s="16">
        <v>0.4</v>
      </c>
      <c r="H163" s="16">
        <v>2705</v>
      </c>
      <c r="I163" s="16">
        <v>113</v>
      </c>
      <c r="J163" s="16">
        <v>112</v>
      </c>
      <c r="K163" s="16">
        <v>-1.1278103155849799E-2</v>
      </c>
      <c r="L163" s="16">
        <v>1.50378701286813E-2</v>
      </c>
      <c r="M163" s="16">
        <v>-0.74998008756169399</v>
      </c>
      <c r="N163" s="16">
        <v>18.3351876570553</v>
      </c>
      <c r="O163" s="16">
        <v>0.46278248942064498</v>
      </c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 t="s">
        <v>402</v>
      </c>
      <c r="AI163" s="16"/>
      <c r="AJ163" s="16" t="s">
        <v>598</v>
      </c>
    </row>
    <row r="164" spans="1:36" ht="15" customHeight="1" x14ac:dyDescent="0.3">
      <c r="A164" s="16" t="s">
        <v>273</v>
      </c>
      <c r="B164" s="16" t="s">
        <v>599</v>
      </c>
      <c r="C164" s="16" t="s">
        <v>438</v>
      </c>
      <c r="D164" s="16" t="s">
        <v>324</v>
      </c>
      <c r="E164" s="16" t="s">
        <v>404</v>
      </c>
      <c r="F164" s="16" t="s">
        <v>401</v>
      </c>
      <c r="G164" s="16">
        <v>0.4</v>
      </c>
      <c r="H164" s="16">
        <v>2705</v>
      </c>
      <c r="I164" s="16">
        <v>113</v>
      </c>
      <c r="J164" s="16">
        <v>112</v>
      </c>
      <c r="K164" s="16">
        <v>-1.01965275340457E-2</v>
      </c>
      <c r="L164" s="16">
        <v>1.6135553260811002E-2</v>
      </c>
      <c r="M164" s="16">
        <v>-0.63192921675703495</v>
      </c>
      <c r="N164" s="16">
        <v>15.0803735903636</v>
      </c>
      <c r="O164" s="16">
        <v>0.53689618256473404</v>
      </c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 t="s">
        <v>402</v>
      </c>
      <c r="AI164" s="16"/>
      <c r="AJ164" s="16" t="s">
        <v>600</v>
      </c>
    </row>
    <row r="165" spans="1:36" ht="15" customHeight="1" x14ac:dyDescent="0.3">
      <c r="A165" s="16" t="s">
        <v>273</v>
      </c>
      <c r="B165" s="16" t="s">
        <v>601</v>
      </c>
      <c r="C165" s="16" t="s">
        <v>438</v>
      </c>
      <c r="D165" s="16" t="s">
        <v>324</v>
      </c>
      <c r="E165" s="16" t="s">
        <v>404</v>
      </c>
      <c r="F165" s="16" t="s">
        <v>401</v>
      </c>
      <c r="G165" s="16">
        <v>0.4</v>
      </c>
      <c r="H165" s="16">
        <v>2705</v>
      </c>
      <c r="I165" s="16">
        <v>113</v>
      </c>
      <c r="J165" s="16">
        <v>112</v>
      </c>
      <c r="K165" s="16">
        <v>6.61086886025458E-3</v>
      </c>
      <c r="L165" s="16">
        <v>9.5539759591141797E-3</v>
      </c>
      <c r="M165" s="16">
        <v>0.69194949710418996</v>
      </c>
      <c r="N165" s="16">
        <v>36.048678689859898</v>
      </c>
      <c r="O165" s="16">
        <v>0.49340208056509899</v>
      </c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 t="s">
        <v>402</v>
      </c>
      <c r="AI165" s="16"/>
      <c r="AJ165" s="16" t="s">
        <v>602</v>
      </c>
    </row>
    <row r="166" spans="1:36" ht="15" customHeight="1" x14ac:dyDescent="0.3">
      <c r="A166" s="16" t="s">
        <v>273</v>
      </c>
      <c r="B166" s="16" t="s">
        <v>603</v>
      </c>
      <c r="C166" s="16" t="s">
        <v>438</v>
      </c>
      <c r="D166" s="16" t="s">
        <v>324</v>
      </c>
      <c r="E166" s="16" t="s">
        <v>404</v>
      </c>
      <c r="F166" s="16" t="s">
        <v>401</v>
      </c>
      <c r="G166" s="16">
        <v>0.4</v>
      </c>
      <c r="H166" s="16">
        <v>2705</v>
      </c>
      <c r="I166" s="16">
        <v>113</v>
      </c>
      <c r="J166" s="16">
        <v>112</v>
      </c>
      <c r="K166" s="16">
        <v>1.8311145406770798E-2</v>
      </c>
      <c r="L166" s="16">
        <v>9.1600147735308099E-3</v>
      </c>
      <c r="M166" s="16">
        <v>1.99903011725304</v>
      </c>
      <c r="N166" s="16">
        <v>47.758145476927602</v>
      </c>
      <c r="O166" s="16">
        <v>5.1313359549747001E-2</v>
      </c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 t="s">
        <v>402</v>
      </c>
      <c r="AI166" s="16"/>
      <c r="AJ166" s="16" t="s">
        <v>604</v>
      </c>
    </row>
    <row r="167" spans="1:36" ht="15" customHeight="1" x14ac:dyDescent="0.3">
      <c r="A167" s="16" t="s">
        <v>273</v>
      </c>
      <c r="B167" s="16" t="s">
        <v>605</v>
      </c>
      <c r="C167" s="16" t="s">
        <v>438</v>
      </c>
      <c r="D167" s="16" t="s">
        <v>324</v>
      </c>
      <c r="E167" s="16" t="s">
        <v>404</v>
      </c>
      <c r="F167" s="16" t="s">
        <v>401</v>
      </c>
      <c r="G167" s="16">
        <v>0.4</v>
      </c>
      <c r="H167" s="16">
        <v>2705</v>
      </c>
      <c r="I167" s="16">
        <v>113</v>
      </c>
      <c r="J167" s="16">
        <v>112</v>
      </c>
      <c r="K167" s="16">
        <v>5.4195969162067299E-3</v>
      </c>
      <c r="L167" s="16">
        <v>9.3099153428998892E-3</v>
      </c>
      <c r="M167" s="16">
        <v>0.58213170760354305</v>
      </c>
      <c r="N167" s="16">
        <v>51.592904956605103</v>
      </c>
      <c r="O167" s="16">
        <v>0.56301330159749197</v>
      </c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 t="s">
        <v>402</v>
      </c>
      <c r="AI167" s="16"/>
      <c r="AJ167" s="16" t="s">
        <v>606</v>
      </c>
    </row>
    <row r="168" spans="1:36" ht="15" customHeight="1" x14ac:dyDescent="0.3">
      <c r="A168" s="16" t="s">
        <v>273</v>
      </c>
      <c r="B168" s="16" t="s">
        <v>607</v>
      </c>
      <c r="C168" s="16" t="s">
        <v>438</v>
      </c>
      <c r="D168" s="16" t="s">
        <v>324</v>
      </c>
      <c r="E168" s="16" t="s">
        <v>404</v>
      </c>
      <c r="F168" s="16" t="s">
        <v>401</v>
      </c>
      <c r="G168" s="16">
        <v>0.4</v>
      </c>
      <c r="H168" s="16">
        <v>929</v>
      </c>
      <c r="I168" s="16">
        <v>40</v>
      </c>
      <c r="J168" s="16">
        <v>40</v>
      </c>
      <c r="K168" s="16">
        <v>-1.8296078681259199E-2</v>
      </c>
      <c r="L168" s="16">
        <v>1.9259073773167299E-2</v>
      </c>
      <c r="M168" s="16">
        <v>-0.94999785019517402</v>
      </c>
      <c r="N168" s="16">
        <v>24.3999187698108</v>
      </c>
      <c r="O168" s="16">
        <v>0.35142901709550101</v>
      </c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 t="s">
        <v>402</v>
      </c>
      <c r="AI168" s="16"/>
      <c r="AJ168" s="16" t="s">
        <v>608</v>
      </c>
    </row>
    <row r="169" spans="1:36" ht="15" customHeight="1" x14ac:dyDescent="0.3">
      <c r="A169" s="16" t="s">
        <v>273</v>
      </c>
      <c r="B169" s="16" t="s">
        <v>609</v>
      </c>
      <c r="C169" s="16" t="s">
        <v>438</v>
      </c>
      <c r="D169" s="16" t="s">
        <v>324</v>
      </c>
      <c r="E169" s="16" t="s">
        <v>404</v>
      </c>
      <c r="F169" s="16" t="s">
        <v>401</v>
      </c>
      <c r="G169" s="16">
        <v>0.4</v>
      </c>
      <c r="H169" s="16">
        <v>2607</v>
      </c>
      <c r="I169" s="16">
        <v>110</v>
      </c>
      <c r="J169" s="16">
        <v>109</v>
      </c>
      <c r="K169" s="16">
        <v>6.2076084092280897E-3</v>
      </c>
      <c r="L169" s="16">
        <v>1.91704514470721E-2</v>
      </c>
      <c r="M169" s="16">
        <v>0.32381127937267201</v>
      </c>
      <c r="N169" s="16">
        <v>13.723388736762701</v>
      </c>
      <c r="O169" s="16">
        <v>0.75096300941288396</v>
      </c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 t="s">
        <v>402</v>
      </c>
      <c r="AI169" s="16"/>
      <c r="AJ169" s="16" t="s">
        <v>610</v>
      </c>
    </row>
    <row r="170" spans="1:36" ht="15" customHeight="1" x14ac:dyDescent="0.3">
      <c r="A170" s="16" t="s">
        <v>273</v>
      </c>
      <c r="B170" s="16" t="s">
        <v>611</v>
      </c>
      <c r="C170" s="16" t="s">
        <v>438</v>
      </c>
      <c r="D170" s="16" t="s">
        <v>324</v>
      </c>
      <c r="E170" s="16" t="s">
        <v>404</v>
      </c>
      <c r="F170" s="16" t="s">
        <v>401</v>
      </c>
      <c r="G170" s="16">
        <v>0.4</v>
      </c>
      <c r="H170" s="16">
        <v>2607</v>
      </c>
      <c r="I170" s="16">
        <v>110</v>
      </c>
      <c r="J170" s="16">
        <v>109</v>
      </c>
      <c r="K170" s="16">
        <v>5.7729202826248098E-3</v>
      </c>
      <c r="L170" s="16">
        <v>1.88961369798962E-2</v>
      </c>
      <c r="M170" s="16">
        <v>0.30550796116511503</v>
      </c>
      <c r="N170" s="16">
        <v>11.298165970342399</v>
      </c>
      <c r="O170" s="16">
        <v>0.76553455063655096</v>
      </c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 t="s">
        <v>402</v>
      </c>
      <c r="AI170" s="16"/>
      <c r="AJ170" s="16" t="s">
        <v>612</v>
      </c>
    </row>
    <row r="171" spans="1:36" ht="15" customHeight="1" x14ac:dyDescent="0.3">
      <c r="A171" s="16" t="s">
        <v>273</v>
      </c>
      <c r="B171" s="16" t="s">
        <v>613</v>
      </c>
      <c r="C171" s="16" t="s">
        <v>438</v>
      </c>
      <c r="D171" s="16" t="s">
        <v>324</v>
      </c>
      <c r="E171" s="16" t="s">
        <v>404</v>
      </c>
      <c r="F171" s="16" t="s">
        <v>401</v>
      </c>
      <c r="G171" s="16">
        <v>0.4</v>
      </c>
      <c r="H171" s="16">
        <v>2607</v>
      </c>
      <c r="I171" s="16">
        <v>110</v>
      </c>
      <c r="J171" s="16">
        <v>109</v>
      </c>
      <c r="K171" s="16">
        <v>-1.84234625528822E-2</v>
      </c>
      <c r="L171" s="16">
        <v>2.1902716647689301E-2</v>
      </c>
      <c r="M171" s="16">
        <v>-0.84114965505093497</v>
      </c>
      <c r="N171" s="16">
        <v>37.551312152224902</v>
      </c>
      <c r="O171" s="16">
        <v>0.40558879892475302</v>
      </c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 t="s">
        <v>402</v>
      </c>
      <c r="AI171" s="16"/>
      <c r="AJ171" s="16" t="s">
        <v>614</v>
      </c>
    </row>
    <row r="172" spans="1:36" ht="15" customHeight="1" x14ac:dyDescent="0.3">
      <c r="A172" s="16" t="s">
        <v>273</v>
      </c>
      <c r="B172" s="16" t="s">
        <v>615</v>
      </c>
      <c r="C172" s="16" t="s">
        <v>438</v>
      </c>
      <c r="D172" s="16" t="s">
        <v>324</v>
      </c>
      <c r="E172" s="16" t="s">
        <v>404</v>
      </c>
      <c r="F172" s="16" t="s">
        <v>401</v>
      </c>
      <c r="G172" s="16">
        <v>0.4</v>
      </c>
      <c r="H172" s="16">
        <v>2607</v>
      </c>
      <c r="I172" s="16">
        <v>110</v>
      </c>
      <c r="J172" s="16">
        <v>109</v>
      </c>
      <c r="K172" s="16">
        <v>3.89604090395249E-3</v>
      </c>
      <c r="L172" s="16">
        <v>1.92821235646677E-2</v>
      </c>
      <c r="M172" s="16">
        <v>0.202054555396147</v>
      </c>
      <c r="N172" s="16">
        <v>10.0227907918848</v>
      </c>
      <c r="O172" s="16">
        <v>0.84391631214952501</v>
      </c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 t="s">
        <v>402</v>
      </c>
      <c r="AI172" s="16"/>
      <c r="AJ172" s="16" t="s">
        <v>616</v>
      </c>
    </row>
    <row r="173" spans="1:36" ht="15" customHeight="1" x14ac:dyDescent="0.3">
      <c r="A173" s="16" t="s">
        <v>273</v>
      </c>
      <c r="B173" s="16" t="s">
        <v>617</v>
      </c>
      <c r="C173" s="16" t="s">
        <v>438</v>
      </c>
      <c r="D173" s="16" t="s">
        <v>324</v>
      </c>
      <c r="E173" s="16" t="s">
        <v>404</v>
      </c>
      <c r="F173" s="16" t="s">
        <v>401</v>
      </c>
      <c r="G173" s="16">
        <v>0.4</v>
      </c>
      <c r="H173" s="16">
        <v>2607</v>
      </c>
      <c r="I173" s="16">
        <v>110</v>
      </c>
      <c r="J173" s="16">
        <v>109</v>
      </c>
      <c r="K173" s="16">
        <v>-3.5140919548041598E-3</v>
      </c>
      <c r="L173" s="16">
        <v>2.2812351114611999E-2</v>
      </c>
      <c r="M173" s="16">
        <v>-0.15404339242145301</v>
      </c>
      <c r="N173" s="16">
        <v>18.9539057883661</v>
      </c>
      <c r="O173" s="16">
        <v>0.87920388609045996</v>
      </c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 t="s">
        <v>402</v>
      </c>
      <c r="AI173" s="16"/>
      <c r="AJ173" s="16" t="s">
        <v>618</v>
      </c>
    </row>
    <row r="174" spans="1:36" ht="15" customHeight="1" x14ac:dyDescent="0.3">
      <c r="A174" s="16" t="s">
        <v>273</v>
      </c>
      <c r="B174" s="16" t="s">
        <v>619</v>
      </c>
      <c r="C174" s="16" t="s">
        <v>438</v>
      </c>
      <c r="D174" s="16" t="s">
        <v>324</v>
      </c>
      <c r="E174" s="16" t="s">
        <v>404</v>
      </c>
      <c r="F174" s="16" t="s">
        <v>401</v>
      </c>
      <c r="G174" s="16">
        <v>0.4</v>
      </c>
      <c r="H174" s="16">
        <v>2607</v>
      </c>
      <c r="I174" s="16">
        <v>110</v>
      </c>
      <c r="J174" s="16">
        <v>109</v>
      </c>
      <c r="K174" s="16">
        <v>-2.56621836437505E-3</v>
      </c>
      <c r="L174" s="16">
        <v>2.3293423533996001E-2</v>
      </c>
      <c r="M174" s="16">
        <v>-0.110169222683379</v>
      </c>
      <c r="N174" s="16">
        <v>15.5701952163488</v>
      </c>
      <c r="O174" s="16">
        <v>0.91368266517903296</v>
      </c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 t="s">
        <v>402</v>
      </c>
      <c r="AI174" s="16"/>
      <c r="AJ174" s="16" t="s">
        <v>620</v>
      </c>
    </row>
    <row r="175" spans="1:36" ht="15" customHeight="1" x14ac:dyDescent="0.3">
      <c r="A175" s="16" t="s">
        <v>273</v>
      </c>
      <c r="B175" s="16" t="s">
        <v>621</v>
      </c>
      <c r="C175" s="16" t="s">
        <v>438</v>
      </c>
      <c r="D175" s="16" t="s">
        <v>324</v>
      </c>
      <c r="E175" s="16" t="s">
        <v>404</v>
      </c>
      <c r="F175" s="16" t="s">
        <v>401</v>
      </c>
      <c r="G175" s="16">
        <v>0.4</v>
      </c>
      <c r="H175" s="16">
        <v>2607</v>
      </c>
      <c r="I175" s="16">
        <v>110</v>
      </c>
      <c r="J175" s="16">
        <v>109</v>
      </c>
      <c r="K175" s="16">
        <v>-1.25119025665922E-2</v>
      </c>
      <c r="L175" s="16">
        <v>2.2497387047016499E-2</v>
      </c>
      <c r="M175" s="16">
        <v>-0.556149144807083</v>
      </c>
      <c r="N175" s="16">
        <v>15.453611820445801</v>
      </c>
      <c r="O175" s="16">
        <v>0.58607219840293401</v>
      </c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 t="s">
        <v>402</v>
      </c>
      <c r="AI175" s="16"/>
      <c r="AJ175" s="16" t="s">
        <v>622</v>
      </c>
    </row>
    <row r="176" spans="1:36" ht="15" customHeight="1" x14ac:dyDescent="0.3">
      <c r="A176" s="16" t="s">
        <v>273</v>
      </c>
      <c r="B176" s="16" t="s">
        <v>623</v>
      </c>
      <c r="C176" s="16" t="s">
        <v>438</v>
      </c>
      <c r="D176" s="16" t="s">
        <v>324</v>
      </c>
      <c r="E176" s="16" t="s">
        <v>404</v>
      </c>
      <c r="F176" s="16" t="s">
        <v>401</v>
      </c>
      <c r="G176" s="16">
        <v>0.4</v>
      </c>
      <c r="H176" s="16">
        <v>2607</v>
      </c>
      <c r="I176" s="16">
        <v>110</v>
      </c>
      <c r="J176" s="16">
        <v>109</v>
      </c>
      <c r="K176" s="16">
        <v>3.5873364396833599E-2</v>
      </c>
      <c r="L176" s="16">
        <v>2.7203712873057499E-2</v>
      </c>
      <c r="M176" s="16">
        <v>1.31869368583002</v>
      </c>
      <c r="N176" s="16">
        <v>19.1771073811131</v>
      </c>
      <c r="O176" s="16">
        <v>0.20280374646129201</v>
      </c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 t="s">
        <v>402</v>
      </c>
      <c r="AI176" s="16"/>
      <c r="AJ176" s="16" t="s">
        <v>624</v>
      </c>
    </row>
    <row r="177" spans="1:36" ht="15" customHeight="1" x14ac:dyDescent="0.3">
      <c r="A177" s="16" t="s">
        <v>273</v>
      </c>
      <c r="B177" s="16" t="s">
        <v>625</v>
      </c>
      <c r="C177" s="16" t="s">
        <v>438</v>
      </c>
      <c r="D177" s="16" t="s">
        <v>324</v>
      </c>
      <c r="E177" s="16" t="s">
        <v>404</v>
      </c>
      <c r="F177" s="16" t="s">
        <v>401</v>
      </c>
      <c r="G177" s="16">
        <v>0.4</v>
      </c>
      <c r="H177" s="16">
        <v>2607</v>
      </c>
      <c r="I177" s="16">
        <v>110</v>
      </c>
      <c r="J177" s="16">
        <v>109</v>
      </c>
      <c r="K177" s="16">
        <v>1.7837464535625201E-2</v>
      </c>
      <c r="L177" s="16">
        <v>2.2594356852406901E-2</v>
      </c>
      <c r="M177" s="16">
        <v>0.78946546928265904</v>
      </c>
      <c r="N177" s="16">
        <v>19.693449663959399</v>
      </c>
      <c r="O177" s="16">
        <v>0.43924232603243302</v>
      </c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 t="s">
        <v>402</v>
      </c>
      <c r="AI177" s="16"/>
      <c r="AJ177" s="16" t="s">
        <v>626</v>
      </c>
    </row>
    <row r="178" spans="1:36" ht="15" customHeight="1" x14ac:dyDescent="0.3">
      <c r="A178" s="16" t="s">
        <v>273</v>
      </c>
      <c r="B178" s="16" t="s">
        <v>627</v>
      </c>
      <c r="C178" s="16" t="s">
        <v>438</v>
      </c>
      <c r="D178" s="16" t="s">
        <v>324</v>
      </c>
      <c r="E178" s="16" t="s">
        <v>404</v>
      </c>
      <c r="F178" s="16" t="s">
        <v>401</v>
      </c>
      <c r="G178" s="16">
        <v>0.4</v>
      </c>
      <c r="H178" s="16">
        <v>905</v>
      </c>
      <c r="I178" s="16">
        <v>38</v>
      </c>
      <c r="J178" s="16">
        <v>38</v>
      </c>
      <c r="K178" s="16">
        <v>-2.1201552736192199E-2</v>
      </c>
      <c r="L178" s="16">
        <v>1.89876878517517E-2</v>
      </c>
      <c r="M178" s="16">
        <v>-1.1165947587576499</v>
      </c>
      <c r="N178" s="16">
        <v>24.945768038116999</v>
      </c>
      <c r="O178" s="16">
        <v>0.274807681320478</v>
      </c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 t="s">
        <v>402</v>
      </c>
      <c r="AI178" s="16"/>
      <c r="AJ178" s="16" t="s">
        <v>628</v>
      </c>
    </row>
    <row r="179" spans="1:36" ht="15" customHeight="1" x14ac:dyDescent="0.3">
      <c r="A179" s="16" t="s">
        <v>273</v>
      </c>
      <c r="B179" s="16" t="s">
        <v>629</v>
      </c>
      <c r="C179" s="16" t="s">
        <v>438</v>
      </c>
      <c r="D179" s="16" t="s">
        <v>324</v>
      </c>
      <c r="E179" s="16" t="s">
        <v>404</v>
      </c>
      <c r="F179" s="16" t="s">
        <v>401</v>
      </c>
      <c r="G179" s="16">
        <v>0.4</v>
      </c>
      <c r="H179" s="16">
        <v>2594</v>
      </c>
      <c r="I179" s="16">
        <v>110</v>
      </c>
      <c r="J179" s="16">
        <v>109</v>
      </c>
      <c r="K179" s="16">
        <v>-1.79434718781292E-2</v>
      </c>
      <c r="L179" s="16">
        <v>1.13882630317035E-2</v>
      </c>
      <c r="M179" s="16">
        <v>-1.57561094507361</v>
      </c>
      <c r="N179" s="16">
        <v>36.525425937636697</v>
      </c>
      <c r="O179" s="16">
        <v>0.12373851779147101</v>
      </c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 t="s">
        <v>402</v>
      </c>
      <c r="AI179" s="16"/>
      <c r="AJ179" s="16" t="s">
        <v>630</v>
      </c>
    </row>
    <row r="180" spans="1:36" ht="15" customHeight="1" x14ac:dyDescent="0.3">
      <c r="A180" s="16" t="s">
        <v>273</v>
      </c>
      <c r="B180" s="16" t="s">
        <v>631</v>
      </c>
      <c r="C180" s="16" t="s">
        <v>438</v>
      </c>
      <c r="D180" s="16" t="s">
        <v>324</v>
      </c>
      <c r="E180" s="16" t="s">
        <v>404</v>
      </c>
      <c r="F180" s="16" t="s">
        <v>401</v>
      </c>
      <c r="G180" s="16">
        <v>0.4</v>
      </c>
      <c r="H180" s="16">
        <v>2594</v>
      </c>
      <c r="I180" s="16">
        <v>110</v>
      </c>
      <c r="J180" s="16">
        <v>109</v>
      </c>
      <c r="K180" s="16">
        <v>-1.72018895755938E-2</v>
      </c>
      <c r="L180" s="16">
        <v>1.2120610732895E-2</v>
      </c>
      <c r="M180" s="16">
        <v>-1.41922630424128</v>
      </c>
      <c r="N180" s="16">
        <v>28.013424027134601</v>
      </c>
      <c r="O180" s="16">
        <v>0.166865068620765</v>
      </c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 t="s">
        <v>402</v>
      </c>
      <c r="AI180" s="16"/>
      <c r="AJ180" s="16" t="s">
        <v>632</v>
      </c>
    </row>
    <row r="181" spans="1:36" ht="15" customHeight="1" x14ac:dyDescent="0.3">
      <c r="A181" s="16" t="s">
        <v>273</v>
      </c>
      <c r="B181" s="16" t="s">
        <v>633</v>
      </c>
      <c r="C181" s="16" t="s">
        <v>438</v>
      </c>
      <c r="D181" s="16" t="s">
        <v>324</v>
      </c>
      <c r="E181" s="16" t="s">
        <v>404</v>
      </c>
      <c r="F181" s="16" t="s">
        <v>401</v>
      </c>
      <c r="G181" s="16">
        <v>0.4</v>
      </c>
      <c r="H181" s="16">
        <v>2594</v>
      </c>
      <c r="I181" s="16">
        <v>110</v>
      </c>
      <c r="J181" s="16">
        <v>109</v>
      </c>
      <c r="K181" s="16">
        <v>4.8249078919434401E-4</v>
      </c>
      <c r="L181" s="16">
        <v>1.12690722961036E-2</v>
      </c>
      <c r="M181" s="16">
        <v>4.2815484408700803E-2</v>
      </c>
      <c r="N181" s="16">
        <v>32.487820963888403</v>
      </c>
      <c r="O181" s="16">
        <v>0.96611069068698996</v>
      </c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 t="s">
        <v>402</v>
      </c>
      <c r="AI181" s="16"/>
      <c r="AJ181" s="16" t="s">
        <v>634</v>
      </c>
    </row>
    <row r="182" spans="1:36" ht="15" customHeight="1" x14ac:dyDescent="0.3">
      <c r="A182" s="16" t="s">
        <v>273</v>
      </c>
      <c r="B182" s="16" t="s">
        <v>635</v>
      </c>
      <c r="C182" s="16" t="s">
        <v>438</v>
      </c>
      <c r="D182" s="16" t="s">
        <v>324</v>
      </c>
      <c r="E182" s="16" t="s">
        <v>404</v>
      </c>
      <c r="F182" s="16" t="s">
        <v>401</v>
      </c>
      <c r="G182" s="16">
        <v>0.4</v>
      </c>
      <c r="H182" s="16">
        <v>2594</v>
      </c>
      <c r="I182" s="16">
        <v>110</v>
      </c>
      <c r="J182" s="16">
        <v>109</v>
      </c>
      <c r="K182" s="16">
        <v>-1.7971034947719601E-2</v>
      </c>
      <c r="L182" s="16">
        <v>1.27064661780105E-2</v>
      </c>
      <c r="M182" s="16">
        <v>-1.4143220228154301</v>
      </c>
      <c r="N182" s="16">
        <v>24.454862186143298</v>
      </c>
      <c r="O182" s="16">
        <v>0.16987359605435201</v>
      </c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 t="s">
        <v>402</v>
      </c>
      <c r="AI182" s="16"/>
      <c r="AJ182" s="16" t="s">
        <v>636</v>
      </c>
    </row>
    <row r="183" spans="1:36" ht="15" customHeight="1" x14ac:dyDescent="0.3">
      <c r="A183" s="16" t="s">
        <v>273</v>
      </c>
      <c r="B183" s="16" t="s">
        <v>637</v>
      </c>
      <c r="C183" s="16" t="s">
        <v>438</v>
      </c>
      <c r="D183" s="16" t="s">
        <v>324</v>
      </c>
      <c r="E183" s="16" t="s">
        <v>404</v>
      </c>
      <c r="F183" s="16" t="s">
        <v>401</v>
      </c>
      <c r="G183" s="16">
        <v>0.4</v>
      </c>
      <c r="H183" s="16">
        <v>2594</v>
      </c>
      <c r="I183" s="16">
        <v>110</v>
      </c>
      <c r="J183" s="16">
        <v>109</v>
      </c>
      <c r="K183" s="16">
        <v>-2.0884115394042401E-2</v>
      </c>
      <c r="L183" s="16">
        <v>1.49247360020209E-2</v>
      </c>
      <c r="M183" s="16">
        <v>-1.3992954643361599</v>
      </c>
      <c r="N183" s="16">
        <v>18.487229701239102</v>
      </c>
      <c r="O183" s="16">
        <v>0.17827955621588201</v>
      </c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 t="s">
        <v>402</v>
      </c>
      <c r="AI183" s="16"/>
      <c r="AJ183" s="16" t="s">
        <v>638</v>
      </c>
    </row>
    <row r="184" spans="1:36" ht="15" customHeight="1" x14ac:dyDescent="0.3">
      <c r="A184" s="16" t="s">
        <v>273</v>
      </c>
      <c r="B184" s="16" t="s">
        <v>639</v>
      </c>
      <c r="C184" s="16" t="s">
        <v>438</v>
      </c>
      <c r="D184" s="16" t="s">
        <v>324</v>
      </c>
      <c r="E184" s="16" t="s">
        <v>404</v>
      </c>
      <c r="F184" s="16" t="s">
        <v>401</v>
      </c>
      <c r="G184" s="16">
        <v>0.4</v>
      </c>
      <c r="H184" s="16">
        <v>2594</v>
      </c>
      <c r="I184" s="16">
        <v>110</v>
      </c>
      <c r="J184" s="16">
        <v>109</v>
      </c>
      <c r="K184" s="16">
        <v>-2.03970236763849E-2</v>
      </c>
      <c r="L184" s="16">
        <v>1.5986186542930301E-2</v>
      </c>
      <c r="M184" s="16">
        <v>-1.27591553004898</v>
      </c>
      <c r="N184" s="16">
        <v>15.178574877857301</v>
      </c>
      <c r="O184" s="16">
        <v>0.22116546476735299</v>
      </c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 t="s">
        <v>402</v>
      </c>
      <c r="AI184" s="16"/>
      <c r="AJ184" s="16" t="s">
        <v>640</v>
      </c>
    </row>
    <row r="185" spans="1:36" ht="15" customHeight="1" x14ac:dyDescent="0.3">
      <c r="A185" s="16" t="s">
        <v>273</v>
      </c>
      <c r="B185" s="16" t="s">
        <v>641</v>
      </c>
      <c r="C185" s="16" t="s">
        <v>438</v>
      </c>
      <c r="D185" s="16" t="s">
        <v>324</v>
      </c>
      <c r="E185" s="16" t="s">
        <v>404</v>
      </c>
      <c r="F185" s="16" t="s">
        <v>401</v>
      </c>
      <c r="G185" s="16">
        <v>0.4</v>
      </c>
      <c r="H185" s="16">
        <v>2594</v>
      </c>
      <c r="I185" s="16">
        <v>110</v>
      </c>
      <c r="J185" s="16">
        <v>109</v>
      </c>
      <c r="K185" s="16">
        <v>-1.78939178866758E-3</v>
      </c>
      <c r="L185" s="16">
        <v>1.0227295648789599E-2</v>
      </c>
      <c r="M185" s="16">
        <v>-0.174962360541456</v>
      </c>
      <c r="N185" s="16">
        <v>37.787761651130303</v>
      </c>
      <c r="O185" s="16">
        <v>0.86204333352190499</v>
      </c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 t="s">
        <v>402</v>
      </c>
      <c r="AI185" s="16"/>
      <c r="AJ185" s="16" t="s">
        <v>642</v>
      </c>
    </row>
    <row r="186" spans="1:36" ht="15" customHeight="1" x14ac:dyDescent="0.3">
      <c r="A186" s="16" t="s">
        <v>273</v>
      </c>
      <c r="B186" s="16" t="s">
        <v>643</v>
      </c>
      <c r="C186" s="16" t="s">
        <v>438</v>
      </c>
      <c r="D186" s="16" t="s">
        <v>324</v>
      </c>
      <c r="E186" s="16" t="s">
        <v>404</v>
      </c>
      <c r="F186" s="16" t="s">
        <v>401</v>
      </c>
      <c r="G186" s="16">
        <v>0.4</v>
      </c>
      <c r="H186" s="16">
        <v>2594</v>
      </c>
      <c r="I186" s="16">
        <v>110</v>
      </c>
      <c r="J186" s="16">
        <v>109</v>
      </c>
      <c r="K186" s="16">
        <v>7.7138397130241503E-3</v>
      </c>
      <c r="L186" s="16">
        <v>9.5130714181272096E-3</v>
      </c>
      <c r="M186" s="16">
        <v>0.81086742377707699</v>
      </c>
      <c r="N186" s="16">
        <v>50.859468128638902</v>
      </c>
      <c r="O186" s="16">
        <v>0.42122018080446899</v>
      </c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 t="s">
        <v>402</v>
      </c>
      <c r="AI186" s="16"/>
      <c r="AJ186" s="16" t="s">
        <v>644</v>
      </c>
    </row>
    <row r="187" spans="1:36" ht="15" customHeight="1" x14ac:dyDescent="0.3">
      <c r="A187" s="16" t="s">
        <v>273</v>
      </c>
      <c r="B187" s="16" t="s">
        <v>645</v>
      </c>
      <c r="C187" s="16" t="s">
        <v>438</v>
      </c>
      <c r="D187" s="16" t="s">
        <v>324</v>
      </c>
      <c r="E187" s="16" t="s">
        <v>404</v>
      </c>
      <c r="F187" s="16" t="s">
        <v>401</v>
      </c>
      <c r="G187" s="16">
        <v>0.4</v>
      </c>
      <c r="H187" s="16">
        <v>2594</v>
      </c>
      <c r="I187" s="16">
        <v>110</v>
      </c>
      <c r="J187" s="16">
        <v>109</v>
      </c>
      <c r="K187" s="16">
        <v>-3.9707628662115904E-3</v>
      </c>
      <c r="L187" s="16">
        <v>9.7343744877032203E-3</v>
      </c>
      <c r="M187" s="16">
        <v>-0.407911455556553</v>
      </c>
      <c r="N187" s="16">
        <v>58.073844999991898</v>
      </c>
      <c r="O187" s="16">
        <v>0.68483866992140496</v>
      </c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 t="s">
        <v>402</v>
      </c>
      <c r="AI187" s="16"/>
      <c r="AJ187" s="16" t="s">
        <v>646</v>
      </c>
    </row>
    <row r="188" spans="1:36" ht="15" customHeight="1" x14ac:dyDescent="0.3">
      <c r="A188" s="16" t="s">
        <v>273</v>
      </c>
      <c r="B188" s="16" t="s">
        <v>647</v>
      </c>
      <c r="C188" s="16" t="s">
        <v>438</v>
      </c>
      <c r="D188" s="16" t="s">
        <v>324</v>
      </c>
      <c r="E188" s="16" t="s">
        <v>404</v>
      </c>
      <c r="F188" s="16" t="s">
        <v>401</v>
      </c>
      <c r="G188" s="16">
        <v>0.4</v>
      </c>
      <c r="H188" s="16">
        <v>900</v>
      </c>
      <c r="I188" s="16">
        <v>38</v>
      </c>
      <c r="J188" s="16">
        <v>38</v>
      </c>
      <c r="K188" s="16">
        <v>-2.8373040326305499E-2</v>
      </c>
      <c r="L188" s="16">
        <v>1.9726787347015998E-2</v>
      </c>
      <c r="M188" s="16">
        <v>-1.4383001056985301</v>
      </c>
      <c r="N188" s="16">
        <v>25.060463033789699</v>
      </c>
      <c r="O188" s="16">
        <v>0.16272109299807</v>
      </c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 t="s">
        <v>402</v>
      </c>
      <c r="AI188" s="16"/>
      <c r="AJ188" s="16" t="s">
        <v>648</v>
      </c>
    </row>
    <row r="189" spans="1:36" ht="15" customHeight="1" x14ac:dyDescent="0.3">
      <c r="A189" s="16" t="s">
        <v>273</v>
      </c>
      <c r="B189" s="16" t="s">
        <v>649</v>
      </c>
      <c r="C189" s="16" t="s">
        <v>438</v>
      </c>
      <c r="D189" s="16" t="s">
        <v>324</v>
      </c>
      <c r="E189" s="16" t="s">
        <v>404</v>
      </c>
      <c r="F189" s="16" t="s">
        <v>401</v>
      </c>
      <c r="G189" s="16">
        <v>0.4</v>
      </c>
      <c r="H189" s="16">
        <v>2607</v>
      </c>
      <c r="I189" s="16">
        <v>110</v>
      </c>
      <c r="J189" s="16">
        <v>109</v>
      </c>
      <c r="K189" s="16">
        <v>-1.3703233109797101E-2</v>
      </c>
      <c r="L189" s="16">
        <v>1.20110367792432E-2</v>
      </c>
      <c r="M189" s="16">
        <v>-1.14088678285278</v>
      </c>
      <c r="N189" s="16">
        <v>30.572123164098699</v>
      </c>
      <c r="O189" s="16">
        <v>0.262775638828386</v>
      </c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 t="s">
        <v>402</v>
      </c>
      <c r="AI189" s="16"/>
      <c r="AJ189" s="16" t="s">
        <v>650</v>
      </c>
    </row>
    <row r="190" spans="1:36" ht="15" customHeight="1" x14ac:dyDescent="0.3">
      <c r="A190" s="16" t="s">
        <v>273</v>
      </c>
      <c r="B190" s="16" t="s">
        <v>651</v>
      </c>
      <c r="C190" s="16" t="s">
        <v>438</v>
      </c>
      <c r="D190" s="16" t="s">
        <v>324</v>
      </c>
      <c r="E190" s="16" t="s">
        <v>404</v>
      </c>
      <c r="F190" s="16" t="s">
        <v>401</v>
      </c>
      <c r="G190" s="16">
        <v>0.4</v>
      </c>
      <c r="H190" s="16">
        <v>2607</v>
      </c>
      <c r="I190" s="16">
        <v>110</v>
      </c>
      <c r="J190" s="16">
        <v>109</v>
      </c>
      <c r="K190" s="16">
        <v>-1.1944702558255801E-2</v>
      </c>
      <c r="L190" s="16">
        <v>1.25165366393822E-2</v>
      </c>
      <c r="M190" s="16">
        <v>-0.95431371332169601</v>
      </c>
      <c r="N190" s="16">
        <v>23.6784652851271</v>
      </c>
      <c r="O190" s="16">
        <v>0.349566628167293</v>
      </c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 t="s">
        <v>402</v>
      </c>
      <c r="AI190" s="16"/>
      <c r="AJ190" s="16" t="s">
        <v>652</v>
      </c>
    </row>
    <row r="191" spans="1:36" ht="15" customHeight="1" x14ac:dyDescent="0.3">
      <c r="A191" s="16" t="s">
        <v>273</v>
      </c>
      <c r="B191" s="16" t="s">
        <v>653</v>
      </c>
      <c r="C191" s="16" t="s">
        <v>438</v>
      </c>
      <c r="D191" s="16" t="s">
        <v>324</v>
      </c>
      <c r="E191" s="16" t="s">
        <v>404</v>
      </c>
      <c r="F191" s="16" t="s">
        <v>401</v>
      </c>
      <c r="G191" s="16">
        <v>0.4</v>
      </c>
      <c r="H191" s="16">
        <v>2607</v>
      </c>
      <c r="I191" s="16">
        <v>110</v>
      </c>
      <c r="J191" s="16">
        <v>109</v>
      </c>
      <c r="K191" s="16">
        <v>1.05363397165909E-3</v>
      </c>
      <c r="L191" s="16">
        <v>1.1651720948061E-2</v>
      </c>
      <c r="M191" s="16">
        <v>9.0427326259853502E-2</v>
      </c>
      <c r="N191" s="16">
        <v>33.258920670445796</v>
      </c>
      <c r="O191" s="16">
        <v>0.92849005249356498</v>
      </c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 t="s">
        <v>402</v>
      </c>
      <c r="AI191" s="16"/>
      <c r="AJ191" s="16" t="s">
        <v>654</v>
      </c>
    </row>
    <row r="192" spans="1:36" ht="15" customHeight="1" x14ac:dyDescent="0.3">
      <c r="A192" s="16" t="s">
        <v>273</v>
      </c>
      <c r="B192" s="16" t="s">
        <v>655</v>
      </c>
      <c r="C192" s="16" t="s">
        <v>438</v>
      </c>
      <c r="D192" s="16" t="s">
        <v>324</v>
      </c>
      <c r="E192" s="16" t="s">
        <v>404</v>
      </c>
      <c r="F192" s="16" t="s">
        <v>401</v>
      </c>
      <c r="G192" s="16">
        <v>0.4</v>
      </c>
      <c r="H192" s="16">
        <v>2607</v>
      </c>
      <c r="I192" s="16">
        <v>110</v>
      </c>
      <c r="J192" s="16">
        <v>109</v>
      </c>
      <c r="K192" s="16">
        <v>-1.29127663584529E-2</v>
      </c>
      <c r="L192" s="16">
        <v>1.31667239732554E-2</v>
      </c>
      <c r="M192" s="16">
        <v>-0.98071216383677595</v>
      </c>
      <c r="N192" s="16">
        <v>20.698777662654301</v>
      </c>
      <c r="O192" s="16">
        <v>0.33805941180049898</v>
      </c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 t="s">
        <v>402</v>
      </c>
      <c r="AI192" s="16"/>
      <c r="AJ192" s="16" t="s">
        <v>656</v>
      </c>
    </row>
    <row r="193" spans="1:36" ht="15" customHeight="1" x14ac:dyDescent="0.3">
      <c r="A193" s="16" t="s">
        <v>273</v>
      </c>
      <c r="B193" s="16" t="s">
        <v>657</v>
      </c>
      <c r="C193" s="16" t="s">
        <v>438</v>
      </c>
      <c r="D193" s="16" t="s">
        <v>324</v>
      </c>
      <c r="E193" s="16" t="s">
        <v>404</v>
      </c>
      <c r="F193" s="16" t="s">
        <v>401</v>
      </c>
      <c r="G193" s="16">
        <v>0.4</v>
      </c>
      <c r="H193" s="16">
        <v>2607</v>
      </c>
      <c r="I193" s="16">
        <v>110</v>
      </c>
      <c r="J193" s="16">
        <v>109</v>
      </c>
      <c r="K193" s="16">
        <v>-1.6914411115971799E-2</v>
      </c>
      <c r="L193" s="16">
        <v>1.4894927098309901E-2</v>
      </c>
      <c r="M193" s="16">
        <v>-1.13558200079348</v>
      </c>
      <c r="N193" s="16">
        <v>18.5425108567355</v>
      </c>
      <c r="O193" s="16">
        <v>0.27059704606360302</v>
      </c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 t="s">
        <v>402</v>
      </c>
      <c r="AI193" s="16"/>
      <c r="AJ193" s="16" t="s">
        <v>658</v>
      </c>
    </row>
    <row r="194" spans="1:36" ht="15" customHeight="1" x14ac:dyDescent="0.3">
      <c r="A194" s="16" t="s">
        <v>273</v>
      </c>
      <c r="B194" s="16" t="s">
        <v>659</v>
      </c>
      <c r="C194" s="16" t="s">
        <v>438</v>
      </c>
      <c r="D194" s="16" t="s">
        <v>324</v>
      </c>
      <c r="E194" s="16" t="s">
        <v>404</v>
      </c>
      <c r="F194" s="16" t="s">
        <v>401</v>
      </c>
      <c r="G194" s="16">
        <v>0.4</v>
      </c>
      <c r="H194" s="16">
        <v>2607</v>
      </c>
      <c r="I194" s="16">
        <v>110</v>
      </c>
      <c r="J194" s="16">
        <v>109</v>
      </c>
      <c r="K194" s="16">
        <v>-1.6232060188200802E-2</v>
      </c>
      <c r="L194" s="16">
        <v>1.59097970765982E-2</v>
      </c>
      <c r="M194" s="16">
        <v>-1.0202556393429201</v>
      </c>
      <c r="N194" s="16">
        <v>15.2296089090748</v>
      </c>
      <c r="O194" s="16">
        <v>0.32354176815899399</v>
      </c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 t="s">
        <v>402</v>
      </c>
      <c r="AI194" s="16"/>
      <c r="AJ194" s="16" t="s">
        <v>660</v>
      </c>
    </row>
    <row r="195" spans="1:36" ht="15" customHeight="1" x14ac:dyDescent="0.3">
      <c r="A195" s="16" t="s">
        <v>273</v>
      </c>
      <c r="B195" s="16" t="s">
        <v>661</v>
      </c>
      <c r="C195" s="16" t="s">
        <v>438</v>
      </c>
      <c r="D195" s="16" t="s">
        <v>324</v>
      </c>
      <c r="E195" s="16" t="s">
        <v>404</v>
      </c>
      <c r="F195" s="16" t="s">
        <v>401</v>
      </c>
      <c r="G195" s="16">
        <v>0.4</v>
      </c>
      <c r="H195" s="16">
        <v>2607</v>
      </c>
      <c r="I195" s="16">
        <v>110</v>
      </c>
      <c r="J195" s="16">
        <v>109</v>
      </c>
      <c r="K195" s="16">
        <v>1.6002731156976001E-3</v>
      </c>
      <c r="L195" s="16">
        <v>1.0690303460053801E-2</v>
      </c>
      <c r="M195" s="16">
        <v>0.14969389051277199</v>
      </c>
      <c r="N195" s="16">
        <v>31.659920942523001</v>
      </c>
      <c r="O195" s="16">
        <v>0.88195568646054601</v>
      </c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 t="s">
        <v>402</v>
      </c>
      <c r="AI195" s="16"/>
      <c r="AJ195" s="16" t="s">
        <v>662</v>
      </c>
    </row>
    <row r="196" spans="1:36" ht="15" customHeight="1" x14ac:dyDescent="0.3">
      <c r="A196" s="16" t="s">
        <v>273</v>
      </c>
      <c r="B196" s="16" t="s">
        <v>663</v>
      </c>
      <c r="C196" s="16" t="s">
        <v>438</v>
      </c>
      <c r="D196" s="16" t="s">
        <v>324</v>
      </c>
      <c r="E196" s="16" t="s">
        <v>404</v>
      </c>
      <c r="F196" s="16" t="s">
        <v>401</v>
      </c>
      <c r="G196" s="16">
        <v>0.4</v>
      </c>
      <c r="H196" s="16">
        <v>2607</v>
      </c>
      <c r="I196" s="16">
        <v>110</v>
      </c>
      <c r="J196" s="16">
        <v>109</v>
      </c>
      <c r="K196" s="16">
        <v>1.47204269256967E-2</v>
      </c>
      <c r="L196" s="16">
        <v>9.8777339231989197E-3</v>
      </c>
      <c r="M196" s="16">
        <v>1.49026356046342</v>
      </c>
      <c r="N196" s="16">
        <v>42.443887548966501</v>
      </c>
      <c r="O196" s="16">
        <v>0.143549509480284</v>
      </c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 t="s">
        <v>402</v>
      </c>
      <c r="AI196" s="16"/>
      <c r="AJ196" s="16" t="s">
        <v>664</v>
      </c>
    </row>
    <row r="197" spans="1:36" ht="15" customHeight="1" x14ac:dyDescent="0.3">
      <c r="A197" s="16" t="s">
        <v>273</v>
      </c>
      <c r="B197" s="16" t="s">
        <v>665</v>
      </c>
      <c r="C197" s="16" t="s">
        <v>438</v>
      </c>
      <c r="D197" s="16" t="s">
        <v>324</v>
      </c>
      <c r="E197" s="16" t="s">
        <v>404</v>
      </c>
      <c r="F197" s="16" t="s">
        <v>401</v>
      </c>
      <c r="G197" s="16">
        <v>0.4</v>
      </c>
      <c r="H197" s="16">
        <v>2607</v>
      </c>
      <c r="I197" s="16">
        <v>110</v>
      </c>
      <c r="J197" s="16">
        <v>109</v>
      </c>
      <c r="K197" s="16">
        <v>2.10808839150432E-3</v>
      </c>
      <c r="L197" s="16">
        <v>9.8858309442730503E-3</v>
      </c>
      <c r="M197" s="16">
        <v>0.21324341913064601</v>
      </c>
      <c r="N197" s="16">
        <v>46.947357911763298</v>
      </c>
      <c r="O197" s="16">
        <v>0.83206043282894004</v>
      </c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 t="s">
        <v>402</v>
      </c>
      <c r="AI197" s="16"/>
      <c r="AJ197" s="16" t="s">
        <v>666</v>
      </c>
    </row>
    <row r="198" spans="1:36" ht="15" customHeight="1" x14ac:dyDescent="0.3">
      <c r="A198" s="16" t="s">
        <v>273</v>
      </c>
      <c r="B198" s="16" t="s">
        <v>667</v>
      </c>
      <c r="C198" s="16" t="s">
        <v>438</v>
      </c>
      <c r="D198" s="16" t="s">
        <v>324</v>
      </c>
      <c r="E198" s="16" t="s">
        <v>404</v>
      </c>
      <c r="F198" s="16" t="s">
        <v>401</v>
      </c>
      <c r="G198" s="16">
        <v>0.4</v>
      </c>
      <c r="H198" s="16">
        <v>905</v>
      </c>
      <c r="I198" s="16">
        <v>38</v>
      </c>
      <c r="J198" s="16">
        <v>38</v>
      </c>
      <c r="K198" s="16">
        <v>-2.3712359683945802E-2</v>
      </c>
      <c r="L198" s="16">
        <v>1.9270242836140299E-2</v>
      </c>
      <c r="M198" s="16">
        <v>-1.2305169107404601</v>
      </c>
      <c r="N198" s="16">
        <v>25.014494546020799</v>
      </c>
      <c r="O198" s="16">
        <v>0.22994988833534799</v>
      </c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 t="s">
        <v>402</v>
      </c>
      <c r="AI198" s="16"/>
      <c r="AJ198" s="16" t="s">
        <v>668</v>
      </c>
    </row>
    <row r="199" spans="1:36" ht="15" customHeight="1" x14ac:dyDescent="0.3">
      <c r="A199" s="16" t="s">
        <v>273</v>
      </c>
      <c r="B199" s="16" t="s">
        <v>669</v>
      </c>
      <c r="C199" s="16" t="s">
        <v>438</v>
      </c>
      <c r="D199" s="16" t="s">
        <v>324</v>
      </c>
      <c r="E199" s="16" t="s">
        <v>404</v>
      </c>
      <c r="F199" s="16" t="s">
        <v>401</v>
      </c>
      <c r="G199" s="16">
        <v>0.4</v>
      </c>
      <c r="H199" s="16">
        <v>2704</v>
      </c>
      <c r="I199" s="16">
        <v>113</v>
      </c>
      <c r="J199" s="16">
        <v>112</v>
      </c>
      <c r="K199" s="16">
        <v>1.00367656532561E-2</v>
      </c>
      <c r="L199" s="16">
        <v>1.8140474255237401E-2</v>
      </c>
      <c r="M199" s="16">
        <v>0.55328022366109597</v>
      </c>
      <c r="N199" s="16">
        <v>14.254217125071699</v>
      </c>
      <c r="O199" s="16">
        <v>0.58864495307301701</v>
      </c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 t="s">
        <v>402</v>
      </c>
      <c r="AI199" s="16"/>
      <c r="AJ199" s="16" t="s">
        <v>670</v>
      </c>
    </row>
    <row r="200" spans="1:36" ht="15" customHeight="1" x14ac:dyDescent="0.3">
      <c r="A200" s="16" t="s">
        <v>273</v>
      </c>
      <c r="B200" s="16" t="s">
        <v>671</v>
      </c>
      <c r="C200" s="16" t="s">
        <v>438</v>
      </c>
      <c r="D200" s="16" t="s">
        <v>324</v>
      </c>
      <c r="E200" s="16" t="s">
        <v>404</v>
      </c>
      <c r="F200" s="16" t="s">
        <v>401</v>
      </c>
      <c r="G200" s="16">
        <v>0.4</v>
      </c>
      <c r="H200" s="16">
        <v>2704</v>
      </c>
      <c r="I200" s="16">
        <v>113</v>
      </c>
      <c r="J200" s="16">
        <v>112</v>
      </c>
      <c r="K200" s="16">
        <v>9.6593826733964404E-3</v>
      </c>
      <c r="L200" s="16">
        <v>1.7805366628314299E-2</v>
      </c>
      <c r="M200" s="16">
        <v>0.54249838686477703</v>
      </c>
      <c r="N200" s="16">
        <v>11.695925923470799</v>
      </c>
      <c r="O200" s="16">
        <v>0.59766057731566802</v>
      </c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 t="s">
        <v>402</v>
      </c>
      <c r="AI200" s="16"/>
      <c r="AJ200" s="16" t="s">
        <v>672</v>
      </c>
    </row>
    <row r="201" spans="1:36" ht="15" customHeight="1" x14ac:dyDescent="0.3">
      <c r="A201" s="16" t="s">
        <v>273</v>
      </c>
      <c r="B201" s="16" t="s">
        <v>673</v>
      </c>
      <c r="C201" s="16" t="s">
        <v>438</v>
      </c>
      <c r="D201" s="16" t="s">
        <v>324</v>
      </c>
      <c r="E201" s="16" t="s">
        <v>404</v>
      </c>
      <c r="F201" s="16" t="s">
        <v>401</v>
      </c>
      <c r="G201" s="16">
        <v>0.4</v>
      </c>
      <c r="H201" s="16">
        <v>2704</v>
      </c>
      <c r="I201" s="16">
        <v>113</v>
      </c>
      <c r="J201" s="16">
        <v>112</v>
      </c>
      <c r="K201" s="16">
        <v>-2.02131767750016E-2</v>
      </c>
      <c r="L201" s="16">
        <v>2.1059514671433799E-2</v>
      </c>
      <c r="M201" s="16">
        <v>-0.95981208923203698</v>
      </c>
      <c r="N201" s="16">
        <v>41.589329355605201</v>
      </c>
      <c r="O201" s="16">
        <v>0.34269688195048498</v>
      </c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 t="s">
        <v>402</v>
      </c>
      <c r="AI201" s="16"/>
      <c r="AJ201" s="16" t="s">
        <v>674</v>
      </c>
    </row>
    <row r="202" spans="1:36" ht="15" customHeight="1" x14ac:dyDescent="0.3">
      <c r="A202" s="16" t="s">
        <v>273</v>
      </c>
      <c r="B202" s="16" t="s">
        <v>675</v>
      </c>
      <c r="C202" s="16" t="s">
        <v>438</v>
      </c>
      <c r="D202" s="16" t="s">
        <v>324</v>
      </c>
      <c r="E202" s="16" t="s">
        <v>404</v>
      </c>
      <c r="F202" s="16" t="s">
        <v>401</v>
      </c>
      <c r="G202" s="16">
        <v>0.4</v>
      </c>
      <c r="H202" s="16">
        <v>2704</v>
      </c>
      <c r="I202" s="16">
        <v>113</v>
      </c>
      <c r="J202" s="16">
        <v>112</v>
      </c>
      <c r="K202" s="16">
        <v>7.86311178131981E-3</v>
      </c>
      <c r="L202" s="16">
        <v>1.80922782921848E-2</v>
      </c>
      <c r="M202" s="16">
        <v>0.43461147647261</v>
      </c>
      <c r="N202" s="16">
        <v>10.3624200705296</v>
      </c>
      <c r="O202" s="16">
        <v>0.67275579819920195</v>
      </c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 t="s">
        <v>402</v>
      </c>
      <c r="AI202" s="16"/>
      <c r="AJ202" s="16" t="s">
        <v>676</v>
      </c>
    </row>
    <row r="203" spans="1:36" ht="15" customHeight="1" x14ac:dyDescent="0.3">
      <c r="A203" s="16" t="s">
        <v>273</v>
      </c>
      <c r="B203" s="16" t="s">
        <v>677</v>
      </c>
      <c r="C203" s="16" t="s">
        <v>438</v>
      </c>
      <c r="D203" s="16" t="s">
        <v>324</v>
      </c>
      <c r="E203" s="16" t="s">
        <v>404</v>
      </c>
      <c r="F203" s="16" t="s">
        <v>401</v>
      </c>
      <c r="G203" s="16">
        <v>0.4</v>
      </c>
      <c r="H203" s="16">
        <v>2704</v>
      </c>
      <c r="I203" s="16">
        <v>113</v>
      </c>
      <c r="J203" s="16">
        <v>112</v>
      </c>
      <c r="K203" s="16">
        <v>2.4271613390971498E-3</v>
      </c>
      <c r="L203" s="16">
        <v>2.2217695391199901E-2</v>
      </c>
      <c r="M203" s="16">
        <v>0.109244514174882</v>
      </c>
      <c r="N203" s="16">
        <v>18.790846891198701</v>
      </c>
      <c r="O203" s="16">
        <v>0.91416675390822599</v>
      </c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 t="s">
        <v>402</v>
      </c>
      <c r="AI203" s="16"/>
      <c r="AJ203" s="16" t="s">
        <v>678</v>
      </c>
    </row>
    <row r="204" spans="1:36" ht="15" customHeight="1" x14ac:dyDescent="0.3">
      <c r="A204" s="16" t="s">
        <v>273</v>
      </c>
      <c r="B204" s="16" t="s">
        <v>679</v>
      </c>
      <c r="C204" s="16" t="s">
        <v>438</v>
      </c>
      <c r="D204" s="16" t="s">
        <v>324</v>
      </c>
      <c r="E204" s="16" t="s">
        <v>404</v>
      </c>
      <c r="F204" s="16" t="s">
        <v>401</v>
      </c>
      <c r="G204" s="16">
        <v>0.4</v>
      </c>
      <c r="H204" s="16">
        <v>2704</v>
      </c>
      <c r="I204" s="16">
        <v>113</v>
      </c>
      <c r="J204" s="16">
        <v>112</v>
      </c>
      <c r="K204" s="16">
        <v>3.8177403188664298E-3</v>
      </c>
      <c r="L204" s="16">
        <v>2.2723778321026601E-2</v>
      </c>
      <c r="M204" s="16">
        <v>0.16800640566599001</v>
      </c>
      <c r="N204" s="16">
        <v>15.4551383656922</v>
      </c>
      <c r="O204" s="16">
        <v>0.86875705590913999</v>
      </c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 t="s">
        <v>402</v>
      </c>
      <c r="AI204" s="16"/>
      <c r="AJ204" s="16" t="s">
        <v>680</v>
      </c>
    </row>
    <row r="205" spans="1:36" ht="15" customHeight="1" x14ac:dyDescent="0.3">
      <c r="A205" s="16" t="s">
        <v>273</v>
      </c>
      <c r="B205" s="16" t="s">
        <v>681</v>
      </c>
      <c r="C205" s="16" t="s">
        <v>438</v>
      </c>
      <c r="D205" s="16" t="s">
        <v>324</v>
      </c>
      <c r="E205" s="16" t="s">
        <v>404</v>
      </c>
      <c r="F205" s="16" t="s">
        <v>401</v>
      </c>
      <c r="G205" s="16">
        <v>0.4</v>
      </c>
      <c r="H205" s="16">
        <v>2704</v>
      </c>
      <c r="I205" s="16">
        <v>113</v>
      </c>
      <c r="J205" s="16">
        <v>112</v>
      </c>
      <c r="K205" s="16">
        <v>-6.1879361014567204E-3</v>
      </c>
      <c r="L205" s="16">
        <v>2.0738761300787799E-2</v>
      </c>
      <c r="M205" s="16">
        <v>-0.29837539531455398</v>
      </c>
      <c r="N205" s="16">
        <v>16.862164881327399</v>
      </c>
      <c r="O205" s="16">
        <v>0.76906215651897303</v>
      </c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 t="s">
        <v>402</v>
      </c>
      <c r="AI205" s="16"/>
      <c r="AJ205" s="16" t="s">
        <v>682</v>
      </c>
    </row>
    <row r="206" spans="1:36" ht="15" customHeight="1" x14ac:dyDescent="0.3">
      <c r="A206" s="16" t="s">
        <v>273</v>
      </c>
      <c r="B206" s="16" t="s">
        <v>683</v>
      </c>
      <c r="C206" s="16" t="s">
        <v>438</v>
      </c>
      <c r="D206" s="16" t="s">
        <v>324</v>
      </c>
      <c r="E206" s="16" t="s">
        <v>404</v>
      </c>
      <c r="F206" s="16" t="s">
        <v>401</v>
      </c>
      <c r="G206" s="16">
        <v>0.4</v>
      </c>
      <c r="H206" s="16">
        <v>2704</v>
      </c>
      <c r="I206" s="16">
        <v>113</v>
      </c>
      <c r="J206" s="16">
        <v>112</v>
      </c>
      <c r="K206" s="16">
        <v>3.9969000762884399E-2</v>
      </c>
      <c r="L206" s="16">
        <v>2.6035351817227902E-2</v>
      </c>
      <c r="M206" s="16">
        <v>1.5351818958880501</v>
      </c>
      <c r="N206" s="16">
        <v>20.836391058197201</v>
      </c>
      <c r="O206" s="16">
        <v>0.13978518844427101</v>
      </c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 t="s">
        <v>402</v>
      </c>
      <c r="AI206" s="16"/>
      <c r="AJ206" s="16" t="s">
        <v>684</v>
      </c>
    </row>
    <row r="207" spans="1:36" ht="15" customHeight="1" x14ac:dyDescent="0.3">
      <c r="A207" s="16" t="s">
        <v>273</v>
      </c>
      <c r="B207" s="16" t="s">
        <v>685</v>
      </c>
      <c r="C207" s="16" t="s">
        <v>438</v>
      </c>
      <c r="D207" s="16" t="s">
        <v>324</v>
      </c>
      <c r="E207" s="16" t="s">
        <v>404</v>
      </c>
      <c r="F207" s="16" t="s">
        <v>401</v>
      </c>
      <c r="G207" s="16">
        <v>0.4</v>
      </c>
      <c r="H207" s="16">
        <v>2704</v>
      </c>
      <c r="I207" s="16">
        <v>113</v>
      </c>
      <c r="J207" s="16">
        <v>112</v>
      </c>
      <c r="K207" s="16">
        <v>2.1677107052643401E-2</v>
      </c>
      <c r="L207" s="16">
        <v>2.1678126862473501E-2</v>
      </c>
      <c r="M207" s="16">
        <v>0.99995295673668505</v>
      </c>
      <c r="N207" s="16">
        <v>21.075014012943001</v>
      </c>
      <c r="O207" s="16">
        <v>0.32867689370439701</v>
      </c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 t="s">
        <v>402</v>
      </c>
      <c r="AI207" s="16"/>
      <c r="AJ207" s="16" t="s">
        <v>686</v>
      </c>
    </row>
    <row r="208" spans="1:36" ht="15" customHeight="1" x14ac:dyDescent="0.3">
      <c r="A208" s="16" t="s">
        <v>273</v>
      </c>
      <c r="B208" s="16" t="s">
        <v>687</v>
      </c>
      <c r="C208" s="16" t="s">
        <v>438</v>
      </c>
      <c r="D208" s="16" t="s">
        <v>324</v>
      </c>
      <c r="E208" s="16" t="s">
        <v>404</v>
      </c>
      <c r="F208" s="16" t="s">
        <v>401</v>
      </c>
      <c r="G208" s="16">
        <v>0.4</v>
      </c>
      <c r="H208" s="16">
        <v>929</v>
      </c>
      <c r="I208" s="16">
        <v>40</v>
      </c>
      <c r="J208" s="16">
        <v>40</v>
      </c>
      <c r="K208" s="16">
        <v>-1.60657014825367E-2</v>
      </c>
      <c r="L208" s="16">
        <v>1.8461619214600301E-2</v>
      </c>
      <c r="M208" s="16">
        <v>-0.87022169051299902</v>
      </c>
      <c r="N208" s="16">
        <v>24.416119825909501</v>
      </c>
      <c r="O208" s="16">
        <v>0.39265468478201598</v>
      </c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 t="s">
        <v>402</v>
      </c>
      <c r="AI208" s="16"/>
      <c r="AJ208" s="16" t="s">
        <v>688</v>
      </c>
    </row>
    <row r="209" spans="1:36" ht="15" customHeight="1" x14ac:dyDescent="0.3">
      <c r="A209" s="16" t="s">
        <v>273</v>
      </c>
      <c r="B209" s="16" t="s">
        <v>689</v>
      </c>
      <c r="C209" s="16" t="s">
        <v>438</v>
      </c>
      <c r="D209" s="16" t="s">
        <v>324</v>
      </c>
      <c r="E209" s="16" t="s">
        <v>404</v>
      </c>
      <c r="F209" s="16" t="s">
        <v>401</v>
      </c>
      <c r="G209" s="16">
        <v>0.4</v>
      </c>
      <c r="H209" s="16">
        <v>2691</v>
      </c>
      <c r="I209" s="16">
        <v>113</v>
      </c>
      <c r="J209" s="16">
        <v>112</v>
      </c>
      <c r="K209" s="16">
        <v>-1.36879426324463E-2</v>
      </c>
      <c r="L209" s="16">
        <v>1.08929715746371E-2</v>
      </c>
      <c r="M209" s="16">
        <v>-1.2565848114684199</v>
      </c>
      <c r="N209" s="16">
        <v>37.515432133516498</v>
      </c>
      <c r="O209" s="16">
        <v>0.216672270437823</v>
      </c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 t="s">
        <v>402</v>
      </c>
      <c r="AI209" s="16"/>
      <c r="AJ209" s="16" t="s">
        <v>690</v>
      </c>
    </row>
    <row r="210" spans="1:36" ht="15" customHeight="1" x14ac:dyDescent="0.3">
      <c r="A210" s="16" t="s">
        <v>273</v>
      </c>
      <c r="B210" s="16" t="s">
        <v>691</v>
      </c>
      <c r="C210" s="16" t="s">
        <v>438</v>
      </c>
      <c r="D210" s="16" t="s">
        <v>324</v>
      </c>
      <c r="E210" s="16" t="s">
        <v>404</v>
      </c>
      <c r="F210" s="16" t="s">
        <v>401</v>
      </c>
      <c r="G210" s="16">
        <v>0.4</v>
      </c>
      <c r="H210" s="16">
        <v>2691</v>
      </c>
      <c r="I210" s="16">
        <v>113</v>
      </c>
      <c r="J210" s="16">
        <v>112</v>
      </c>
      <c r="K210" s="16">
        <v>-1.27818267069102E-2</v>
      </c>
      <c r="L210" s="16">
        <v>1.15589294953288E-2</v>
      </c>
      <c r="M210" s="16">
        <v>-1.1057967532439399</v>
      </c>
      <c r="N210" s="16">
        <v>28.769000085333499</v>
      </c>
      <c r="O210" s="16">
        <v>0.277976323599746</v>
      </c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 t="s">
        <v>402</v>
      </c>
      <c r="AI210" s="16"/>
      <c r="AJ210" s="16" t="s">
        <v>692</v>
      </c>
    </row>
    <row r="211" spans="1:36" ht="15" customHeight="1" x14ac:dyDescent="0.3">
      <c r="A211" s="16" t="s">
        <v>273</v>
      </c>
      <c r="B211" s="16" t="s">
        <v>693</v>
      </c>
      <c r="C211" s="16" t="s">
        <v>438</v>
      </c>
      <c r="D211" s="16" t="s">
        <v>324</v>
      </c>
      <c r="E211" s="16" t="s">
        <v>404</v>
      </c>
      <c r="F211" s="16" t="s">
        <v>401</v>
      </c>
      <c r="G211" s="16">
        <v>0.4</v>
      </c>
      <c r="H211" s="16">
        <v>2691</v>
      </c>
      <c r="I211" s="16">
        <v>113</v>
      </c>
      <c r="J211" s="16">
        <v>112</v>
      </c>
      <c r="K211" s="16">
        <v>4.6026143616997899E-4</v>
      </c>
      <c r="L211" s="16">
        <v>1.0541015163419201E-2</v>
      </c>
      <c r="M211" s="16">
        <v>4.3663862449153497E-2</v>
      </c>
      <c r="N211" s="16">
        <v>35.998138363118798</v>
      </c>
      <c r="O211" s="16">
        <v>0.96541365277664903</v>
      </c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 t="s">
        <v>402</v>
      </c>
      <c r="AI211" s="16"/>
      <c r="AJ211" s="16" t="s">
        <v>694</v>
      </c>
    </row>
    <row r="212" spans="1:36" ht="15" customHeight="1" x14ac:dyDescent="0.3">
      <c r="A212" s="16" t="s">
        <v>273</v>
      </c>
      <c r="B212" s="16" t="s">
        <v>695</v>
      </c>
      <c r="C212" s="16" t="s">
        <v>438</v>
      </c>
      <c r="D212" s="16" t="s">
        <v>324</v>
      </c>
      <c r="E212" s="16" t="s">
        <v>404</v>
      </c>
      <c r="F212" s="16" t="s">
        <v>401</v>
      </c>
      <c r="G212" s="16">
        <v>0.4</v>
      </c>
      <c r="H212" s="16">
        <v>2691</v>
      </c>
      <c r="I212" s="16">
        <v>113</v>
      </c>
      <c r="J212" s="16">
        <v>112</v>
      </c>
      <c r="K212" s="16">
        <v>-1.33866606422243E-2</v>
      </c>
      <c r="L212" s="16">
        <v>1.20888367048187E-2</v>
      </c>
      <c r="M212" s="16">
        <v>-1.10735722295663</v>
      </c>
      <c r="N212" s="16">
        <v>25.148920174599802</v>
      </c>
      <c r="O212" s="16">
        <v>0.27861893146231798</v>
      </c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 t="s">
        <v>402</v>
      </c>
      <c r="AI212" s="16"/>
      <c r="AJ212" s="16" t="s">
        <v>696</v>
      </c>
    </row>
    <row r="213" spans="1:36" ht="15" customHeight="1" x14ac:dyDescent="0.3">
      <c r="A213" s="16" t="s">
        <v>273</v>
      </c>
      <c r="B213" s="16" t="s">
        <v>697</v>
      </c>
      <c r="C213" s="16" t="s">
        <v>438</v>
      </c>
      <c r="D213" s="16" t="s">
        <v>324</v>
      </c>
      <c r="E213" s="16" t="s">
        <v>404</v>
      </c>
      <c r="F213" s="16" t="s">
        <v>401</v>
      </c>
      <c r="G213" s="16">
        <v>0.4</v>
      </c>
      <c r="H213" s="16">
        <v>2691</v>
      </c>
      <c r="I213" s="16">
        <v>113</v>
      </c>
      <c r="J213" s="16">
        <v>112</v>
      </c>
      <c r="K213" s="16">
        <v>-1.51590036756613E-2</v>
      </c>
      <c r="L213" s="16">
        <v>1.50247710181554E-2</v>
      </c>
      <c r="M213" s="16">
        <v>-1.00893409006658</v>
      </c>
      <c r="N213" s="16">
        <v>18.256229259664</v>
      </c>
      <c r="O213" s="16">
        <v>0.32619250060767502</v>
      </c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 t="s">
        <v>402</v>
      </c>
      <c r="AI213" s="16"/>
      <c r="AJ213" s="16" t="s">
        <v>698</v>
      </c>
    </row>
    <row r="214" spans="1:36" ht="15" customHeight="1" x14ac:dyDescent="0.3">
      <c r="A214" s="16" t="s">
        <v>273</v>
      </c>
      <c r="B214" s="16" t="s">
        <v>699</v>
      </c>
      <c r="C214" s="16" t="s">
        <v>438</v>
      </c>
      <c r="D214" s="16" t="s">
        <v>324</v>
      </c>
      <c r="E214" s="16" t="s">
        <v>404</v>
      </c>
      <c r="F214" s="16" t="s">
        <v>401</v>
      </c>
      <c r="G214" s="16">
        <v>0.4</v>
      </c>
      <c r="H214" s="16">
        <v>2691</v>
      </c>
      <c r="I214" s="16">
        <v>113</v>
      </c>
      <c r="J214" s="16">
        <v>112</v>
      </c>
      <c r="K214" s="16">
        <v>-1.42114009501634E-2</v>
      </c>
      <c r="L214" s="16">
        <v>1.6175702133946201E-2</v>
      </c>
      <c r="M214" s="16">
        <v>-0.87856470355864502</v>
      </c>
      <c r="N214" s="16">
        <v>15.0098799146574</v>
      </c>
      <c r="O214" s="16">
        <v>0.393484515669207</v>
      </c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 t="s">
        <v>402</v>
      </c>
      <c r="AI214" s="16"/>
      <c r="AJ214" s="16" t="s">
        <v>700</v>
      </c>
    </row>
    <row r="215" spans="1:36" ht="15" customHeight="1" x14ac:dyDescent="0.3">
      <c r="A215" s="16" t="s">
        <v>273</v>
      </c>
      <c r="B215" s="16" t="s">
        <v>701</v>
      </c>
      <c r="C215" s="16" t="s">
        <v>438</v>
      </c>
      <c r="D215" s="16" t="s">
        <v>324</v>
      </c>
      <c r="E215" s="16" t="s">
        <v>404</v>
      </c>
      <c r="F215" s="16" t="s">
        <v>401</v>
      </c>
      <c r="G215" s="16">
        <v>0.4</v>
      </c>
      <c r="H215" s="16">
        <v>2691</v>
      </c>
      <c r="I215" s="16">
        <v>113</v>
      </c>
      <c r="J215" s="16">
        <v>112</v>
      </c>
      <c r="K215" s="16">
        <v>3.5883504495843E-3</v>
      </c>
      <c r="L215" s="16">
        <v>9.1229248853672302E-3</v>
      </c>
      <c r="M215" s="16">
        <v>0.39333333274944099</v>
      </c>
      <c r="N215" s="16">
        <v>42.3303608130445</v>
      </c>
      <c r="O215" s="16">
        <v>0.69604743550535297</v>
      </c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 t="s">
        <v>402</v>
      </c>
      <c r="AI215" s="16"/>
      <c r="AJ215" s="16" t="s">
        <v>702</v>
      </c>
    </row>
    <row r="216" spans="1:36" ht="15" customHeight="1" x14ac:dyDescent="0.3">
      <c r="A216" s="16" t="s">
        <v>273</v>
      </c>
      <c r="B216" s="16" t="s">
        <v>703</v>
      </c>
      <c r="C216" s="16" t="s">
        <v>438</v>
      </c>
      <c r="D216" s="16" t="s">
        <v>324</v>
      </c>
      <c r="E216" s="16" t="s">
        <v>404</v>
      </c>
      <c r="F216" s="16" t="s">
        <v>401</v>
      </c>
      <c r="G216" s="16">
        <v>0.4</v>
      </c>
      <c r="H216" s="16">
        <v>2691</v>
      </c>
      <c r="I216" s="16">
        <v>113</v>
      </c>
      <c r="J216" s="16">
        <v>112</v>
      </c>
      <c r="K216" s="16">
        <v>1.1811167300353601E-2</v>
      </c>
      <c r="L216" s="16">
        <v>8.7678083240965102E-3</v>
      </c>
      <c r="M216" s="16">
        <v>1.34710601141828</v>
      </c>
      <c r="N216" s="16">
        <v>56.061624368884097</v>
      </c>
      <c r="O216" s="16">
        <v>0.183366182677109</v>
      </c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 t="s">
        <v>402</v>
      </c>
      <c r="AI216" s="16"/>
      <c r="AJ216" s="16" t="s">
        <v>704</v>
      </c>
    </row>
    <row r="217" spans="1:36" ht="15" customHeight="1" x14ac:dyDescent="0.3">
      <c r="A217" s="16" t="s">
        <v>273</v>
      </c>
      <c r="B217" s="16" t="s">
        <v>705</v>
      </c>
      <c r="C217" s="16" t="s">
        <v>438</v>
      </c>
      <c r="D217" s="16" t="s">
        <v>324</v>
      </c>
      <c r="E217" s="16" t="s">
        <v>404</v>
      </c>
      <c r="F217" s="16" t="s">
        <v>401</v>
      </c>
      <c r="G217" s="16">
        <v>0.4</v>
      </c>
      <c r="H217" s="16">
        <v>2691</v>
      </c>
      <c r="I217" s="16">
        <v>113</v>
      </c>
      <c r="J217" s="16">
        <v>112</v>
      </c>
      <c r="K217" s="16">
        <v>-2.23161989259937E-4</v>
      </c>
      <c r="L217" s="16">
        <v>9.1782943797369902E-3</v>
      </c>
      <c r="M217" s="16">
        <v>-2.43141023840567E-2</v>
      </c>
      <c r="N217" s="16">
        <v>62.468550326442397</v>
      </c>
      <c r="O217" s="16">
        <v>0.980679567218398</v>
      </c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 t="s">
        <v>402</v>
      </c>
      <c r="AI217" s="16"/>
      <c r="AJ217" s="16" t="s">
        <v>706</v>
      </c>
    </row>
    <row r="218" spans="1:36" ht="15" customHeight="1" x14ac:dyDescent="0.3">
      <c r="A218" s="16" t="s">
        <v>273</v>
      </c>
      <c r="B218" s="16" t="s">
        <v>707</v>
      </c>
      <c r="C218" s="16" t="s">
        <v>438</v>
      </c>
      <c r="D218" s="16" t="s">
        <v>324</v>
      </c>
      <c r="E218" s="16" t="s">
        <v>404</v>
      </c>
      <c r="F218" s="16" t="s">
        <v>401</v>
      </c>
      <c r="G218" s="16">
        <v>0.4</v>
      </c>
      <c r="H218" s="16">
        <v>924</v>
      </c>
      <c r="I218" s="16">
        <v>40</v>
      </c>
      <c r="J218" s="16">
        <v>40</v>
      </c>
      <c r="K218" s="16">
        <v>-2.3385955288981498E-2</v>
      </c>
      <c r="L218" s="16">
        <v>1.99802257115918E-2</v>
      </c>
      <c r="M218" s="16">
        <v>-1.1704550101961</v>
      </c>
      <c r="N218" s="16">
        <v>24.4581516230757</v>
      </c>
      <c r="O218" s="16">
        <v>0.25309653058682502</v>
      </c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 t="s">
        <v>402</v>
      </c>
      <c r="AI218" s="16"/>
      <c r="AJ218" s="16" t="s">
        <v>708</v>
      </c>
    </row>
    <row r="219" spans="1:36" ht="15" customHeight="1" x14ac:dyDescent="0.3">
      <c r="A219" s="16" t="s">
        <v>273</v>
      </c>
      <c r="B219" s="16" t="s">
        <v>709</v>
      </c>
      <c r="C219" s="16" t="s">
        <v>438</v>
      </c>
      <c r="D219" s="16" t="s">
        <v>324</v>
      </c>
      <c r="E219" s="16" t="s">
        <v>404</v>
      </c>
      <c r="F219" s="16" t="s">
        <v>401</v>
      </c>
      <c r="G219" s="16">
        <v>0.4</v>
      </c>
      <c r="H219" s="16">
        <v>2704</v>
      </c>
      <c r="I219" s="16">
        <v>113</v>
      </c>
      <c r="J219" s="16">
        <v>112</v>
      </c>
      <c r="K219" s="16">
        <v>-9.8022356420998293E-3</v>
      </c>
      <c r="L219" s="16">
        <v>1.14834513390629E-2</v>
      </c>
      <c r="M219" s="16">
        <v>-0.85359665423546005</v>
      </c>
      <c r="N219" s="16">
        <v>31.591757259482598</v>
      </c>
      <c r="O219" s="16">
        <v>0.39975468177122903</v>
      </c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 t="s">
        <v>402</v>
      </c>
      <c r="AI219" s="16"/>
      <c r="AJ219" s="16" t="s">
        <v>710</v>
      </c>
    </row>
    <row r="220" spans="1:36" ht="15" customHeight="1" x14ac:dyDescent="0.3">
      <c r="A220" s="16" t="s">
        <v>273</v>
      </c>
      <c r="B220" s="16" t="s">
        <v>711</v>
      </c>
      <c r="C220" s="16" t="s">
        <v>438</v>
      </c>
      <c r="D220" s="16" t="s">
        <v>324</v>
      </c>
      <c r="E220" s="16" t="s">
        <v>404</v>
      </c>
      <c r="F220" s="16" t="s">
        <v>401</v>
      </c>
      <c r="G220" s="16">
        <v>0.4</v>
      </c>
      <c r="H220" s="16">
        <v>2704</v>
      </c>
      <c r="I220" s="16">
        <v>113</v>
      </c>
      <c r="J220" s="16">
        <v>112</v>
      </c>
      <c r="K220" s="16">
        <v>-7.9106720869843907E-3</v>
      </c>
      <c r="L220" s="16">
        <v>1.1918104382639299E-2</v>
      </c>
      <c r="M220" s="16">
        <v>-0.66375254260296701</v>
      </c>
      <c r="N220" s="16">
        <v>24.470393125733601</v>
      </c>
      <c r="O220" s="16">
        <v>0.51305435918402698</v>
      </c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 t="s">
        <v>402</v>
      </c>
      <c r="AI220" s="16"/>
      <c r="AJ220" s="16" t="s">
        <v>712</v>
      </c>
    </row>
    <row r="221" spans="1:36" ht="15" customHeight="1" x14ac:dyDescent="0.3">
      <c r="A221" s="16" t="s">
        <v>273</v>
      </c>
      <c r="B221" s="16" t="s">
        <v>713</v>
      </c>
      <c r="C221" s="16" t="s">
        <v>438</v>
      </c>
      <c r="D221" s="16" t="s">
        <v>324</v>
      </c>
      <c r="E221" s="16" t="s">
        <v>404</v>
      </c>
      <c r="F221" s="16" t="s">
        <v>401</v>
      </c>
      <c r="G221" s="16">
        <v>0.4</v>
      </c>
      <c r="H221" s="16">
        <v>2704</v>
      </c>
      <c r="I221" s="16">
        <v>113</v>
      </c>
      <c r="J221" s="16">
        <v>112</v>
      </c>
      <c r="K221" s="16">
        <v>8.8037227719469497E-4</v>
      </c>
      <c r="L221" s="16">
        <v>1.0803636439043401E-2</v>
      </c>
      <c r="M221" s="16">
        <v>8.1488513813100003E-2</v>
      </c>
      <c r="N221" s="16">
        <v>36.888154625928699</v>
      </c>
      <c r="O221" s="16">
        <v>0.935494005659397</v>
      </c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 t="s">
        <v>402</v>
      </c>
      <c r="AI221" s="16"/>
      <c r="AJ221" s="16" t="s">
        <v>714</v>
      </c>
    </row>
    <row r="222" spans="1:36" ht="15" customHeight="1" x14ac:dyDescent="0.3">
      <c r="A222" s="16" t="s">
        <v>273</v>
      </c>
      <c r="B222" s="16" t="s">
        <v>715</v>
      </c>
      <c r="C222" s="16" t="s">
        <v>438</v>
      </c>
      <c r="D222" s="16" t="s">
        <v>324</v>
      </c>
      <c r="E222" s="16" t="s">
        <v>404</v>
      </c>
      <c r="F222" s="16" t="s">
        <v>401</v>
      </c>
      <c r="G222" s="16">
        <v>0.4</v>
      </c>
      <c r="H222" s="16">
        <v>2704</v>
      </c>
      <c r="I222" s="16">
        <v>113</v>
      </c>
      <c r="J222" s="16">
        <v>112</v>
      </c>
      <c r="K222" s="16">
        <v>-8.7227170866390601E-3</v>
      </c>
      <c r="L222" s="16">
        <v>1.2507796326759199E-2</v>
      </c>
      <c r="M222" s="16">
        <v>-0.69738240524253603</v>
      </c>
      <c r="N222" s="16">
        <v>21.3993567606677</v>
      </c>
      <c r="O222" s="16">
        <v>0.49307137047336902</v>
      </c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 t="s">
        <v>402</v>
      </c>
      <c r="AI222" s="16"/>
      <c r="AJ222" s="16" t="s">
        <v>716</v>
      </c>
    </row>
    <row r="223" spans="1:36" ht="15" customHeight="1" x14ac:dyDescent="0.3">
      <c r="A223" s="16" t="s">
        <v>273</v>
      </c>
      <c r="B223" s="16" t="s">
        <v>717</v>
      </c>
      <c r="C223" s="16" t="s">
        <v>438</v>
      </c>
      <c r="D223" s="16" t="s">
        <v>324</v>
      </c>
      <c r="E223" s="16" t="s">
        <v>404</v>
      </c>
      <c r="F223" s="16" t="s">
        <v>401</v>
      </c>
      <c r="G223" s="16">
        <v>0.4</v>
      </c>
      <c r="H223" s="16">
        <v>2704</v>
      </c>
      <c r="I223" s="16">
        <v>113</v>
      </c>
      <c r="J223" s="16">
        <v>112</v>
      </c>
      <c r="K223" s="16">
        <v>-1.1495550601942701E-2</v>
      </c>
      <c r="L223" s="16">
        <v>1.51104938502639E-2</v>
      </c>
      <c r="M223" s="16">
        <v>-0.760766042186102</v>
      </c>
      <c r="N223" s="16">
        <v>18.329595470841099</v>
      </c>
      <c r="O223" s="16">
        <v>0.45647275576769503</v>
      </c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 t="s">
        <v>402</v>
      </c>
      <c r="AI223" s="16"/>
      <c r="AJ223" s="16" t="s">
        <v>718</v>
      </c>
    </row>
    <row r="224" spans="1:36" ht="15" customHeight="1" x14ac:dyDescent="0.3">
      <c r="A224" s="16" t="s">
        <v>273</v>
      </c>
      <c r="B224" s="16" t="s">
        <v>719</v>
      </c>
      <c r="C224" s="16" t="s">
        <v>438</v>
      </c>
      <c r="D224" s="16" t="s">
        <v>324</v>
      </c>
      <c r="E224" s="16" t="s">
        <v>404</v>
      </c>
      <c r="F224" s="16" t="s">
        <v>401</v>
      </c>
      <c r="G224" s="16">
        <v>0.4</v>
      </c>
      <c r="H224" s="16">
        <v>2704</v>
      </c>
      <c r="I224" s="16">
        <v>113</v>
      </c>
      <c r="J224" s="16">
        <v>112</v>
      </c>
      <c r="K224" s="16">
        <v>-1.0339976633652E-2</v>
      </c>
      <c r="L224" s="16">
        <v>1.6231702960839499E-2</v>
      </c>
      <c r="M224" s="16">
        <v>-0.63702352480193303</v>
      </c>
      <c r="N224" s="16">
        <v>15.0743165840089</v>
      </c>
      <c r="O224" s="16">
        <v>0.53366521526645805</v>
      </c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 t="s">
        <v>402</v>
      </c>
      <c r="AI224" s="16"/>
      <c r="AJ224" s="16" t="s">
        <v>720</v>
      </c>
    </row>
    <row r="225" spans="1:36" ht="15" customHeight="1" x14ac:dyDescent="0.3">
      <c r="A225" s="16" t="s">
        <v>273</v>
      </c>
      <c r="B225" s="16" t="s">
        <v>721</v>
      </c>
      <c r="C225" s="16" t="s">
        <v>438</v>
      </c>
      <c r="D225" s="16" t="s">
        <v>324</v>
      </c>
      <c r="E225" s="16" t="s">
        <v>404</v>
      </c>
      <c r="F225" s="16" t="s">
        <v>401</v>
      </c>
      <c r="G225" s="16">
        <v>0.4</v>
      </c>
      <c r="H225" s="16">
        <v>2704</v>
      </c>
      <c r="I225" s="16">
        <v>113</v>
      </c>
      <c r="J225" s="16">
        <v>112</v>
      </c>
      <c r="K225" s="16">
        <v>6.4296938858071397E-3</v>
      </c>
      <c r="L225" s="16">
        <v>9.5797394391304701E-3</v>
      </c>
      <c r="M225" s="16">
        <v>0.67117628059315404</v>
      </c>
      <c r="N225" s="16">
        <v>35.570598677567901</v>
      </c>
      <c r="O225" s="16">
        <v>0.50644366061964996</v>
      </c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 t="s">
        <v>402</v>
      </c>
      <c r="AI225" s="16"/>
      <c r="AJ225" s="16" t="s">
        <v>722</v>
      </c>
    </row>
    <row r="226" spans="1:36" ht="15" customHeight="1" x14ac:dyDescent="0.3">
      <c r="A226" s="16" t="s">
        <v>273</v>
      </c>
      <c r="B226" s="16" t="s">
        <v>723</v>
      </c>
      <c r="C226" s="16" t="s">
        <v>438</v>
      </c>
      <c r="D226" s="16" t="s">
        <v>324</v>
      </c>
      <c r="E226" s="16" t="s">
        <v>404</v>
      </c>
      <c r="F226" s="16" t="s">
        <v>401</v>
      </c>
      <c r="G226" s="16">
        <v>0.4</v>
      </c>
      <c r="H226" s="16">
        <v>2704</v>
      </c>
      <c r="I226" s="16">
        <v>113</v>
      </c>
      <c r="J226" s="16">
        <v>112</v>
      </c>
      <c r="K226" s="16">
        <v>1.8262796416709599E-2</v>
      </c>
      <c r="L226" s="16">
        <v>9.1726474678005092E-3</v>
      </c>
      <c r="M226" s="16">
        <v>1.99100602970069</v>
      </c>
      <c r="N226" s="16">
        <v>47.096072711339602</v>
      </c>
      <c r="O226" s="16">
        <v>5.2299466974651397E-2</v>
      </c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 t="s">
        <v>402</v>
      </c>
      <c r="AI226" s="16"/>
      <c r="AJ226" s="16" t="s">
        <v>724</v>
      </c>
    </row>
    <row r="227" spans="1:36" ht="15" customHeight="1" x14ac:dyDescent="0.3">
      <c r="A227" s="16" t="s">
        <v>273</v>
      </c>
      <c r="B227" s="16" t="s">
        <v>725</v>
      </c>
      <c r="C227" s="16" t="s">
        <v>438</v>
      </c>
      <c r="D227" s="16" t="s">
        <v>324</v>
      </c>
      <c r="E227" s="16" t="s">
        <v>404</v>
      </c>
      <c r="F227" s="16" t="s">
        <v>401</v>
      </c>
      <c r="G227" s="16">
        <v>0.4</v>
      </c>
      <c r="H227" s="16">
        <v>2704</v>
      </c>
      <c r="I227" s="16">
        <v>113</v>
      </c>
      <c r="J227" s="16">
        <v>112</v>
      </c>
      <c r="K227" s="16">
        <v>5.4691591398571097E-3</v>
      </c>
      <c r="L227" s="16">
        <v>9.3319927017947498E-3</v>
      </c>
      <c r="M227" s="16">
        <v>0.58606551833299902</v>
      </c>
      <c r="N227" s="16">
        <v>50.869749006704197</v>
      </c>
      <c r="O227" s="16">
        <v>0.56042300436836401</v>
      </c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 t="s">
        <v>402</v>
      </c>
      <c r="AI227" s="16"/>
      <c r="AJ227" s="16" t="s">
        <v>726</v>
      </c>
    </row>
    <row r="228" spans="1:36" ht="15" customHeight="1" x14ac:dyDescent="0.3">
      <c r="A228" s="16" t="s">
        <v>273</v>
      </c>
      <c r="B228" s="16" t="s">
        <v>727</v>
      </c>
      <c r="C228" s="16" t="s">
        <v>438</v>
      </c>
      <c r="D228" s="16" t="s">
        <v>324</v>
      </c>
      <c r="E228" s="16" t="s">
        <v>404</v>
      </c>
      <c r="F228" s="16" t="s">
        <v>401</v>
      </c>
      <c r="G228" s="16">
        <v>0.4</v>
      </c>
      <c r="H228" s="16">
        <v>929</v>
      </c>
      <c r="I228" s="16">
        <v>40</v>
      </c>
      <c r="J228" s="16">
        <v>40</v>
      </c>
      <c r="K228" s="16">
        <v>-1.87546093377466E-2</v>
      </c>
      <c r="L228" s="16">
        <v>1.9387408373321001E-2</v>
      </c>
      <c r="M228" s="16">
        <v>-0.967360308124256</v>
      </c>
      <c r="N228" s="16">
        <v>24.3897999462664</v>
      </c>
      <c r="O228" s="16">
        <v>0.34285921894257299</v>
      </c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 t="s">
        <v>402</v>
      </c>
      <c r="AI228" s="16"/>
      <c r="AJ228" s="16" t="s">
        <v>728</v>
      </c>
    </row>
    <row r="229" spans="1:36" ht="15" customHeight="1" x14ac:dyDescent="0.3">
      <c r="A229" s="16" t="s">
        <v>273</v>
      </c>
      <c r="B229" s="16" t="s">
        <v>729</v>
      </c>
      <c r="C229" s="16" t="s">
        <v>438</v>
      </c>
      <c r="D229" s="16" t="s">
        <v>324</v>
      </c>
      <c r="E229" s="16" t="s">
        <v>404</v>
      </c>
      <c r="F229" s="16" t="s">
        <v>401</v>
      </c>
      <c r="G229" s="16">
        <v>0.4</v>
      </c>
      <c r="H229" s="16">
        <v>2606</v>
      </c>
      <c r="I229" s="16">
        <v>110</v>
      </c>
      <c r="J229" s="16">
        <v>109</v>
      </c>
      <c r="K229" s="16">
        <v>5.9520493465126103E-3</v>
      </c>
      <c r="L229" s="16">
        <v>1.92354581066204E-2</v>
      </c>
      <c r="M229" s="16">
        <v>0.30943112004512402</v>
      </c>
      <c r="N229" s="16">
        <v>13.5766653992959</v>
      </c>
      <c r="O229" s="16">
        <v>0.76169153886221497</v>
      </c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 t="s">
        <v>402</v>
      </c>
      <c r="AI229" s="16"/>
      <c r="AJ229" s="16" t="s">
        <v>730</v>
      </c>
    </row>
    <row r="230" spans="1:36" ht="15" customHeight="1" x14ac:dyDescent="0.3">
      <c r="A230" s="16" t="s">
        <v>273</v>
      </c>
      <c r="B230" s="16" t="s">
        <v>731</v>
      </c>
      <c r="C230" s="16" t="s">
        <v>438</v>
      </c>
      <c r="D230" s="16" t="s">
        <v>324</v>
      </c>
      <c r="E230" s="16" t="s">
        <v>404</v>
      </c>
      <c r="F230" s="16" t="s">
        <v>401</v>
      </c>
      <c r="G230" s="16">
        <v>0.4</v>
      </c>
      <c r="H230" s="16">
        <v>2606</v>
      </c>
      <c r="I230" s="16">
        <v>110</v>
      </c>
      <c r="J230" s="16">
        <v>109</v>
      </c>
      <c r="K230" s="16">
        <v>5.5602497859930699E-3</v>
      </c>
      <c r="L230" s="16">
        <v>1.89680005429382E-2</v>
      </c>
      <c r="M230" s="16">
        <v>0.29313842402135298</v>
      </c>
      <c r="N230" s="16">
        <v>11.183494870866101</v>
      </c>
      <c r="O230" s="16">
        <v>0.77478427884087997</v>
      </c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 t="s">
        <v>402</v>
      </c>
      <c r="AI230" s="16"/>
      <c r="AJ230" s="16" t="s">
        <v>732</v>
      </c>
    </row>
    <row r="231" spans="1:36" ht="15" customHeight="1" x14ac:dyDescent="0.3">
      <c r="A231" s="16" t="s">
        <v>273</v>
      </c>
      <c r="B231" s="16" t="s">
        <v>733</v>
      </c>
      <c r="C231" s="16" t="s">
        <v>438</v>
      </c>
      <c r="D231" s="16" t="s">
        <v>324</v>
      </c>
      <c r="E231" s="16" t="s">
        <v>404</v>
      </c>
      <c r="F231" s="16" t="s">
        <v>401</v>
      </c>
      <c r="G231" s="16">
        <v>0.4</v>
      </c>
      <c r="H231" s="16">
        <v>2606</v>
      </c>
      <c r="I231" s="16">
        <v>110</v>
      </c>
      <c r="J231" s="16">
        <v>109</v>
      </c>
      <c r="K231" s="16">
        <v>-1.8769790434995499E-2</v>
      </c>
      <c r="L231" s="16">
        <v>2.19779997742835E-2</v>
      </c>
      <c r="M231" s="16">
        <v>-0.85402632758955799</v>
      </c>
      <c r="N231" s="16">
        <v>37.4379305010495</v>
      </c>
      <c r="O231" s="16">
        <v>0.39852220810582301</v>
      </c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 t="s">
        <v>402</v>
      </c>
      <c r="AI231" s="16"/>
      <c r="AJ231" s="16" t="s">
        <v>734</v>
      </c>
    </row>
    <row r="232" spans="1:36" ht="15" customHeight="1" x14ac:dyDescent="0.3">
      <c r="A232" s="16" t="s">
        <v>273</v>
      </c>
      <c r="B232" s="16" t="s">
        <v>735</v>
      </c>
      <c r="C232" s="16" t="s">
        <v>438</v>
      </c>
      <c r="D232" s="16" t="s">
        <v>324</v>
      </c>
      <c r="E232" s="16" t="s">
        <v>404</v>
      </c>
      <c r="F232" s="16" t="s">
        <v>401</v>
      </c>
      <c r="G232" s="16">
        <v>0.4</v>
      </c>
      <c r="H232" s="16">
        <v>2606</v>
      </c>
      <c r="I232" s="16">
        <v>110</v>
      </c>
      <c r="J232" s="16">
        <v>109</v>
      </c>
      <c r="K232" s="16">
        <v>3.7053504478161102E-3</v>
      </c>
      <c r="L232" s="16">
        <v>1.9364298394694598E-2</v>
      </c>
      <c r="M232" s="16">
        <v>0.19134958428606499</v>
      </c>
      <c r="N232" s="16">
        <v>9.9229692671229301</v>
      </c>
      <c r="O232" s="16">
        <v>0.85211030054477299</v>
      </c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 t="s">
        <v>402</v>
      </c>
      <c r="AI232" s="16"/>
      <c r="AJ232" s="16" t="s">
        <v>736</v>
      </c>
    </row>
    <row r="233" spans="1:36" ht="15" customHeight="1" x14ac:dyDescent="0.3">
      <c r="A233" s="16" t="s">
        <v>273</v>
      </c>
      <c r="B233" s="16" t="s">
        <v>737</v>
      </c>
      <c r="C233" s="16" t="s">
        <v>438</v>
      </c>
      <c r="D233" s="16" t="s">
        <v>324</v>
      </c>
      <c r="E233" s="16" t="s">
        <v>404</v>
      </c>
      <c r="F233" s="16" t="s">
        <v>401</v>
      </c>
      <c r="G233" s="16">
        <v>0.4</v>
      </c>
      <c r="H233" s="16">
        <v>2606</v>
      </c>
      <c r="I233" s="16">
        <v>110</v>
      </c>
      <c r="J233" s="16">
        <v>109</v>
      </c>
      <c r="K233" s="16">
        <v>-3.8223573249449301E-3</v>
      </c>
      <c r="L233" s="16">
        <v>2.2868979854542299E-2</v>
      </c>
      <c r="M233" s="16">
        <v>-0.167141575586535</v>
      </c>
      <c r="N233" s="16">
        <v>18.955850190308102</v>
      </c>
      <c r="O233" s="16">
        <v>0.86902879458323701</v>
      </c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 t="s">
        <v>402</v>
      </c>
      <c r="AI233" s="16"/>
      <c r="AJ233" s="16" t="s">
        <v>738</v>
      </c>
    </row>
    <row r="234" spans="1:36" ht="15" customHeight="1" x14ac:dyDescent="0.3">
      <c r="A234" s="16" t="s">
        <v>273</v>
      </c>
      <c r="B234" s="16" t="s">
        <v>739</v>
      </c>
      <c r="C234" s="16" t="s">
        <v>438</v>
      </c>
      <c r="D234" s="16" t="s">
        <v>324</v>
      </c>
      <c r="E234" s="16" t="s">
        <v>404</v>
      </c>
      <c r="F234" s="16" t="s">
        <v>401</v>
      </c>
      <c r="G234" s="16">
        <v>0.4</v>
      </c>
      <c r="H234" s="16">
        <v>2606</v>
      </c>
      <c r="I234" s="16">
        <v>110</v>
      </c>
      <c r="J234" s="16">
        <v>109</v>
      </c>
      <c r="K234" s="16">
        <v>-2.8661099158911602E-3</v>
      </c>
      <c r="L234" s="16">
        <v>2.3369611274045202E-2</v>
      </c>
      <c r="M234" s="16">
        <v>-0.12264260120896101</v>
      </c>
      <c r="N234" s="16">
        <v>15.5713460944923</v>
      </c>
      <c r="O234" s="16">
        <v>0.90395904658721304</v>
      </c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 t="s">
        <v>402</v>
      </c>
      <c r="AI234" s="16"/>
      <c r="AJ234" s="16" t="s">
        <v>740</v>
      </c>
    </row>
    <row r="235" spans="1:36" ht="15" customHeight="1" x14ac:dyDescent="0.3">
      <c r="A235" s="16" t="s">
        <v>273</v>
      </c>
      <c r="B235" s="16" t="s">
        <v>741</v>
      </c>
      <c r="C235" s="16" t="s">
        <v>438</v>
      </c>
      <c r="D235" s="16" t="s">
        <v>324</v>
      </c>
      <c r="E235" s="16" t="s">
        <v>404</v>
      </c>
      <c r="F235" s="16" t="s">
        <v>401</v>
      </c>
      <c r="G235" s="16">
        <v>0.4</v>
      </c>
      <c r="H235" s="16">
        <v>2606</v>
      </c>
      <c r="I235" s="16">
        <v>110</v>
      </c>
      <c r="J235" s="16">
        <v>109</v>
      </c>
      <c r="K235" s="16">
        <v>-1.2541782354746501E-2</v>
      </c>
      <c r="L235" s="16">
        <v>2.2568710165570001E-2</v>
      </c>
      <c r="M235" s="16">
        <v>-0.55571551332515901</v>
      </c>
      <c r="N235" s="16">
        <v>15.2580415853561</v>
      </c>
      <c r="O235" s="16">
        <v>0.58646223434516498</v>
      </c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 t="s">
        <v>402</v>
      </c>
      <c r="AI235" s="16"/>
      <c r="AJ235" s="16" t="s">
        <v>742</v>
      </c>
    </row>
    <row r="236" spans="1:36" ht="15" customHeight="1" x14ac:dyDescent="0.3">
      <c r="A236" s="16" t="s">
        <v>273</v>
      </c>
      <c r="B236" s="16" t="s">
        <v>743</v>
      </c>
      <c r="C236" s="16" t="s">
        <v>438</v>
      </c>
      <c r="D236" s="16" t="s">
        <v>324</v>
      </c>
      <c r="E236" s="16" t="s">
        <v>404</v>
      </c>
      <c r="F236" s="16" t="s">
        <v>401</v>
      </c>
      <c r="G236" s="16">
        <v>0.4</v>
      </c>
      <c r="H236" s="16">
        <v>2606</v>
      </c>
      <c r="I236" s="16">
        <v>110</v>
      </c>
      <c r="J236" s="16">
        <v>109</v>
      </c>
      <c r="K236" s="16">
        <v>3.5994957648436902E-2</v>
      </c>
      <c r="L236" s="16">
        <v>2.7233327179509201E-2</v>
      </c>
      <c r="M236" s="16">
        <v>1.3217245697220601</v>
      </c>
      <c r="N236" s="16">
        <v>18.936097361071901</v>
      </c>
      <c r="O236" s="16">
        <v>0.20200643099606599</v>
      </c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 t="s">
        <v>402</v>
      </c>
      <c r="AI236" s="16"/>
      <c r="AJ236" s="16" t="s">
        <v>744</v>
      </c>
    </row>
    <row r="237" spans="1:36" ht="15" customHeight="1" x14ac:dyDescent="0.3">
      <c r="A237" s="16" t="s">
        <v>273</v>
      </c>
      <c r="B237" s="16" t="s">
        <v>745</v>
      </c>
      <c r="C237" s="16" t="s">
        <v>438</v>
      </c>
      <c r="D237" s="16" t="s">
        <v>324</v>
      </c>
      <c r="E237" s="16" t="s">
        <v>404</v>
      </c>
      <c r="F237" s="16" t="s">
        <v>401</v>
      </c>
      <c r="G237" s="16">
        <v>0.4</v>
      </c>
      <c r="H237" s="16">
        <v>2606</v>
      </c>
      <c r="I237" s="16">
        <v>110</v>
      </c>
      <c r="J237" s="16">
        <v>109</v>
      </c>
      <c r="K237" s="16">
        <v>1.8069286428243202E-2</v>
      </c>
      <c r="L237" s="16">
        <v>2.26001915266817E-2</v>
      </c>
      <c r="M237" s="16">
        <v>0.79951917252164295</v>
      </c>
      <c r="N237" s="16">
        <v>19.4518612153155</v>
      </c>
      <c r="O237" s="16">
        <v>0.43364482489207201</v>
      </c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 t="s">
        <v>402</v>
      </c>
      <c r="AI237" s="16"/>
      <c r="AJ237" s="16" t="s">
        <v>746</v>
      </c>
    </row>
    <row r="238" spans="1:36" ht="15" customHeight="1" x14ac:dyDescent="0.3">
      <c r="A238" s="16" t="s">
        <v>273</v>
      </c>
      <c r="B238" s="16" t="s">
        <v>747</v>
      </c>
      <c r="C238" s="16" t="s">
        <v>438</v>
      </c>
      <c r="D238" s="16" t="s">
        <v>324</v>
      </c>
      <c r="E238" s="16" t="s">
        <v>404</v>
      </c>
      <c r="F238" s="16" t="s">
        <v>401</v>
      </c>
      <c r="G238" s="16">
        <v>0.4</v>
      </c>
      <c r="H238" s="16">
        <v>905</v>
      </c>
      <c r="I238" s="16">
        <v>38</v>
      </c>
      <c r="J238" s="16">
        <v>38</v>
      </c>
      <c r="K238" s="16">
        <v>-2.1774802755191901E-2</v>
      </c>
      <c r="L238" s="16">
        <v>1.91049128927302E-2</v>
      </c>
      <c r="M238" s="16">
        <v>-1.1397488634181501</v>
      </c>
      <c r="N238" s="16">
        <v>24.9546008082302</v>
      </c>
      <c r="O238" s="16">
        <v>0.26521308250296899</v>
      </c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 t="s">
        <v>402</v>
      </c>
      <c r="AI238" s="16"/>
      <c r="AJ238" s="16" t="s">
        <v>748</v>
      </c>
    </row>
    <row r="239" spans="1:36" ht="15" customHeight="1" x14ac:dyDescent="0.3">
      <c r="A239" s="16" t="s">
        <v>273</v>
      </c>
      <c r="B239" s="16" t="s">
        <v>749</v>
      </c>
      <c r="C239" s="16" t="s">
        <v>438</v>
      </c>
      <c r="D239" s="16" t="s">
        <v>324</v>
      </c>
      <c r="E239" s="16" t="s">
        <v>404</v>
      </c>
      <c r="F239" s="16" t="s">
        <v>401</v>
      </c>
      <c r="G239" s="16">
        <v>0.4</v>
      </c>
      <c r="H239" s="16">
        <v>2593</v>
      </c>
      <c r="I239" s="16">
        <v>110</v>
      </c>
      <c r="J239" s="16">
        <v>109</v>
      </c>
      <c r="K239" s="16">
        <v>-1.8062977163950899E-2</v>
      </c>
      <c r="L239" s="16">
        <v>1.14734676155903E-2</v>
      </c>
      <c r="M239" s="16">
        <v>-1.57432589424026</v>
      </c>
      <c r="N239" s="16">
        <v>36.067460039084999</v>
      </c>
      <c r="O239" s="16">
        <v>0.124144315224435</v>
      </c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 t="s">
        <v>402</v>
      </c>
      <c r="AI239" s="16"/>
      <c r="AJ239" s="16" t="s">
        <v>750</v>
      </c>
    </row>
    <row r="240" spans="1:36" ht="15" customHeight="1" x14ac:dyDescent="0.3">
      <c r="A240" s="16" t="s">
        <v>273</v>
      </c>
      <c r="B240" s="16" t="s">
        <v>751</v>
      </c>
      <c r="C240" s="16" t="s">
        <v>438</v>
      </c>
      <c r="D240" s="16" t="s">
        <v>324</v>
      </c>
      <c r="E240" s="16" t="s">
        <v>404</v>
      </c>
      <c r="F240" s="16" t="s">
        <v>401</v>
      </c>
      <c r="G240" s="16">
        <v>0.4</v>
      </c>
      <c r="H240" s="16">
        <v>2593</v>
      </c>
      <c r="I240" s="16">
        <v>110</v>
      </c>
      <c r="J240" s="16">
        <v>109</v>
      </c>
      <c r="K240" s="16">
        <v>-1.7279784014400602E-2</v>
      </c>
      <c r="L240" s="16">
        <v>1.22169822936421E-2</v>
      </c>
      <c r="M240" s="16">
        <v>-1.4144068968155299</v>
      </c>
      <c r="N240" s="16">
        <v>27.676337511616399</v>
      </c>
      <c r="O240" s="16">
        <v>0.168394605507829</v>
      </c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 t="s">
        <v>402</v>
      </c>
      <c r="AI240" s="16"/>
      <c r="AJ240" s="16" t="s">
        <v>752</v>
      </c>
    </row>
    <row r="241" spans="1:36" ht="15" customHeight="1" x14ac:dyDescent="0.3">
      <c r="A241" s="16" t="s">
        <v>273</v>
      </c>
      <c r="B241" s="16" t="s">
        <v>753</v>
      </c>
      <c r="C241" s="16" t="s">
        <v>438</v>
      </c>
      <c r="D241" s="16" t="s">
        <v>324</v>
      </c>
      <c r="E241" s="16" t="s">
        <v>404</v>
      </c>
      <c r="F241" s="16" t="s">
        <v>401</v>
      </c>
      <c r="G241" s="16">
        <v>0.4</v>
      </c>
      <c r="H241" s="16">
        <v>2593</v>
      </c>
      <c r="I241" s="16">
        <v>110</v>
      </c>
      <c r="J241" s="16">
        <v>109</v>
      </c>
      <c r="K241" s="16">
        <v>-6.0397690209344802E-5</v>
      </c>
      <c r="L241" s="16">
        <v>1.14369157149784E-2</v>
      </c>
      <c r="M241" s="16">
        <v>-5.2809421451138899E-3</v>
      </c>
      <c r="N241" s="16">
        <v>32.438093986608003</v>
      </c>
      <c r="O241" s="16">
        <v>0.99581878194093898</v>
      </c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 t="s">
        <v>402</v>
      </c>
      <c r="AI241" s="16"/>
      <c r="AJ241" s="16" t="s">
        <v>754</v>
      </c>
    </row>
    <row r="242" spans="1:36" ht="15" customHeight="1" x14ac:dyDescent="0.3">
      <c r="A242" s="16" t="s">
        <v>273</v>
      </c>
      <c r="B242" s="16" t="s">
        <v>755</v>
      </c>
      <c r="C242" s="16" t="s">
        <v>438</v>
      </c>
      <c r="D242" s="16" t="s">
        <v>324</v>
      </c>
      <c r="E242" s="16" t="s">
        <v>404</v>
      </c>
      <c r="F242" s="16" t="s">
        <v>401</v>
      </c>
      <c r="G242" s="16">
        <v>0.4</v>
      </c>
      <c r="H242" s="16">
        <v>2593</v>
      </c>
      <c r="I242" s="16">
        <v>110</v>
      </c>
      <c r="J242" s="16">
        <v>109</v>
      </c>
      <c r="K242" s="16">
        <v>-1.8048009258593799E-2</v>
      </c>
      <c r="L242" s="16">
        <v>1.28131996539707E-2</v>
      </c>
      <c r="M242" s="16">
        <v>-1.40854819607847</v>
      </c>
      <c r="N242" s="16">
        <v>24.156947834863299</v>
      </c>
      <c r="O242" s="16">
        <v>0.17171025890538699</v>
      </c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 t="s">
        <v>402</v>
      </c>
      <c r="AI242" s="16"/>
      <c r="AJ242" s="16" t="s">
        <v>756</v>
      </c>
    </row>
    <row r="243" spans="1:36" ht="15" customHeight="1" x14ac:dyDescent="0.3">
      <c r="A243" s="16" t="s">
        <v>273</v>
      </c>
      <c r="B243" s="16" t="s">
        <v>757</v>
      </c>
      <c r="C243" s="16" t="s">
        <v>438</v>
      </c>
      <c r="D243" s="16" t="s">
        <v>324</v>
      </c>
      <c r="E243" s="16" t="s">
        <v>404</v>
      </c>
      <c r="F243" s="16" t="s">
        <v>401</v>
      </c>
      <c r="G243" s="16">
        <v>0.4</v>
      </c>
      <c r="H243" s="16">
        <v>2593</v>
      </c>
      <c r="I243" s="16">
        <v>110</v>
      </c>
      <c r="J243" s="16">
        <v>109</v>
      </c>
      <c r="K243" s="16">
        <v>-2.10862387824821E-2</v>
      </c>
      <c r="L243" s="16">
        <v>1.50006349399172E-2</v>
      </c>
      <c r="M243" s="16">
        <v>-1.40568975026323</v>
      </c>
      <c r="N243" s="16">
        <v>18.486460436886901</v>
      </c>
      <c r="O243" s="16">
        <v>0.17640087204744501</v>
      </c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 t="s">
        <v>402</v>
      </c>
      <c r="AI243" s="16"/>
      <c r="AJ243" s="16" t="s">
        <v>758</v>
      </c>
    </row>
    <row r="244" spans="1:36" ht="15" customHeight="1" x14ac:dyDescent="0.3">
      <c r="A244" s="16" t="s">
        <v>273</v>
      </c>
      <c r="B244" s="16" t="s">
        <v>759</v>
      </c>
      <c r="C244" s="16" t="s">
        <v>438</v>
      </c>
      <c r="D244" s="16" t="s">
        <v>324</v>
      </c>
      <c r="E244" s="16" t="s">
        <v>404</v>
      </c>
      <c r="F244" s="16" t="s">
        <v>401</v>
      </c>
      <c r="G244" s="16">
        <v>0.4</v>
      </c>
      <c r="H244" s="16">
        <v>2593</v>
      </c>
      <c r="I244" s="16">
        <v>110</v>
      </c>
      <c r="J244" s="16">
        <v>109</v>
      </c>
      <c r="K244" s="16">
        <v>-2.0520957588260599E-2</v>
      </c>
      <c r="L244" s="16">
        <v>1.60883963053291E-2</v>
      </c>
      <c r="M244" s="16">
        <v>-1.2755129348388401</v>
      </c>
      <c r="N244" s="16">
        <v>15.176624946634099</v>
      </c>
      <c r="O244" s="16">
        <v>0.221306508416478</v>
      </c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 t="s">
        <v>402</v>
      </c>
      <c r="AI244" s="16"/>
      <c r="AJ244" s="16" t="s">
        <v>760</v>
      </c>
    </row>
    <row r="245" spans="1:36" ht="15" customHeight="1" x14ac:dyDescent="0.3">
      <c r="A245" s="16" t="s">
        <v>273</v>
      </c>
      <c r="B245" s="16" t="s">
        <v>761</v>
      </c>
      <c r="C245" s="16" t="s">
        <v>438</v>
      </c>
      <c r="D245" s="16" t="s">
        <v>324</v>
      </c>
      <c r="E245" s="16" t="s">
        <v>404</v>
      </c>
      <c r="F245" s="16" t="s">
        <v>401</v>
      </c>
      <c r="G245" s="16">
        <v>0.4</v>
      </c>
      <c r="H245" s="16">
        <v>2593</v>
      </c>
      <c r="I245" s="16">
        <v>110</v>
      </c>
      <c r="J245" s="16">
        <v>109</v>
      </c>
      <c r="K245" s="16">
        <v>-2.0683264552287502E-3</v>
      </c>
      <c r="L245" s="16">
        <v>1.0338452233699599E-2</v>
      </c>
      <c r="M245" s="16">
        <v>-0.200061518733604</v>
      </c>
      <c r="N245" s="16">
        <v>37.192345005215302</v>
      </c>
      <c r="O245" s="16">
        <v>0.842522377742841</v>
      </c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 t="s">
        <v>402</v>
      </c>
      <c r="AI245" s="16"/>
      <c r="AJ245" s="16" t="s">
        <v>762</v>
      </c>
    </row>
    <row r="246" spans="1:36" ht="15" customHeight="1" x14ac:dyDescent="0.3">
      <c r="A246" s="16" t="s">
        <v>273</v>
      </c>
      <c r="B246" s="16" t="s">
        <v>763</v>
      </c>
      <c r="C246" s="16" t="s">
        <v>438</v>
      </c>
      <c r="D246" s="16" t="s">
        <v>324</v>
      </c>
      <c r="E246" s="16" t="s">
        <v>404</v>
      </c>
      <c r="F246" s="16" t="s">
        <v>401</v>
      </c>
      <c r="G246" s="16">
        <v>0.4</v>
      </c>
      <c r="H246" s="16">
        <v>2593</v>
      </c>
      <c r="I246" s="16">
        <v>110</v>
      </c>
      <c r="J246" s="16">
        <v>109</v>
      </c>
      <c r="K246" s="16">
        <v>7.5693143833109999E-3</v>
      </c>
      <c r="L246" s="16">
        <v>9.5816036762091106E-3</v>
      </c>
      <c r="M246" s="16">
        <v>0.78998408190326397</v>
      </c>
      <c r="N246" s="16">
        <v>49.981314385010698</v>
      </c>
      <c r="O246" s="16">
        <v>0.43326916367525897</v>
      </c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 t="s">
        <v>402</v>
      </c>
      <c r="AI246" s="16"/>
      <c r="AJ246" s="16" t="s">
        <v>764</v>
      </c>
    </row>
    <row r="247" spans="1:36" ht="15" customHeight="1" x14ac:dyDescent="0.3">
      <c r="A247" s="16" t="s">
        <v>273</v>
      </c>
      <c r="B247" s="16" t="s">
        <v>765</v>
      </c>
      <c r="C247" s="16" t="s">
        <v>438</v>
      </c>
      <c r="D247" s="16" t="s">
        <v>324</v>
      </c>
      <c r="E247" s="16" t="s">
        <v>404</v>
      </c>
      <c r="F247" s="16" t="s">
        <v>401</v>
      </c>
      <c r="G247" s="16">
        <v>0.4</v>
      </c>
      <c r="H247" s="16">
        <v>2593</v>
      </c>
      <c r="I247" s="16">
        <v>110</v>
      </c>
      <c r="J247" s="16">
        <v>109</v>
      </c>
      <c r="K247" s="16">
        <v>-4.0234878355134398E-3</v>
      </c>
      <c r="L247" s="16">
        <v>9.7956724096473595E-3</v>
      </c>
      <c r="M247" s="16">
        <v>-0.41074136284415402</v>
      </c>
      <c r="N247" s="16">
        <v>57.040161613784399</v>
      </c>
      <c r="O247" s="16">
        <v>0.682801150283737</v>
      </c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 t="s">
        <v>402</v>
      </c>
      <c r="AI247" s="16"/>
      <c r="AJ247" s="16" t="s">
        <v>766</v>
      </c>
    </row>
    <row r="248" spans="1:36" ht="15" customHeight="1" x14ac:dyDescent="0.3">
      <c r="A248" s="16" t="s">
        <v>273</v>
      </c>
      <c r="B248" s="16" t="s">
        <v>767</v>
      </c>
      <c r="C248" s="16" t="s">
        <v>438</v>
      </c>
      <c r="D248" s="16" t="s">
        <v>324</v>
      </c>
      <c r="E248" s="16" t="s">
        <v>404</v>
      </c>
      <c r="F248" s="16" t="s">
        <v>401</v>
      </c>
      <c r="G248" s="16">
        <v>0.4</v>
      </c>
      <c r="H248" s="16">
        <v>900</v>
      </c>
      <c r="I248" s="16">
        <v>38</v>
      </c>
      <c r="J248" s="16">
        <v>38</v>
      </c>
      <c r="K248" s="16">
        <v>-2.9272109267085501E-2</v>
      </c>
      <c r="L248" s="16">
        <v>2.00004121760189E-2</v>
      </c>
      <c r="M248" s="16">
        <v>-1.4635753008222301</v>
      </c>
      <c r="N248" s="16">
        <v>25.069023930988799</v>
      </c>
      <c r="O248" s="16">
        <v>0.15573701898130801</v>
      </c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 t="s">
        <v>402</v>
      </c>
      <c r="AI248" s="16"/>
      <c r="AJ248" s="16" t="s">
        <v>768</v>
      </c>
    </row>
    <row r="249" spans="1:36" ht="15" customHeight="1" x14ac:dyDescent="0.3">
      <c r="A249" s="16" t="s">
        <v>273</v>
      </c>
      <c r="B249" s="16" t="s">
        <v>769</v>
      </c>
      <c r="C249" s="16" t="s">
        <v>438</v>
      </c>
      <c r="D249" s="16" t="s">
        <v>324</v>
      </c>
      <c r="E249" s="16" t="s">
        <v>404</v>
      </c>
      <c r="F249" s="16" t="s">
        <v>401</v>
      </c>
      <c r="G249" s="16">
        <v>0.4</v>
      </c>
      <c r="H249" s="16">
        <v>2606</v>
      </c>
      <c r="I249" s="16">
        <v>110</v>
      </c>
      <c r="J249" s="16">
        <v>109</v>
      </c>
      <c r="K249" s="16">
        <v>-1.3831157768937801E-2</v>
      </c>
      <c r="L249" s="16">
        <v>1.20851810128185E-2</v>
      </c>
      <c r="M249" s="16">
        <v>-1.1444725365939801</v>
      </c>
      <c r="N249" s="16">
        <v>30.209600953647598</v>
      </c>
      <c r="O249" s="16">
        <v>0.26141489380148702</v>
      </c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 t="s">
        <v>402</v>
      </c>
      <c r="AI249" s="16"/>
      <c r="AJ249" s="16" t="s">
        <v>770</v>
      </c>
    </row>
    <row r="250" spans="1:36" ht="15" customHeight="1" x14ac:dyDescent="0.3">
      <c r="A250" s="16" t="s">
        <v>273</v>
      </c>
      <c r="B250" s="16" t="s">
        <v>771</v>
      </c>
      <c r="C250" s="16" t="s">
        <v>438</v>
      </c>
      <c r="D250" s="16" t="s">
        <v>324</v>
      </c>
      <c r="E250" s="16" t="s">
        <v>404</v>
      </c>
      <c r="F250" s="16" t="s">
        <v>401</v>
      </c>
      <c r="G250" s="16">
        <v>0.4</v>
      </c>
      <c r="H250" s="16">
        <v>2606</v>
      </c>
      <c r="I250" s="16">
        <v>110</v>
      </c>
      <c r="J250" s="16">
        <v>109</v>
      </c>
      <c r="K250" s="16">
        <v>-1.20374886212028E-2</v>
      </c>
      <c r="L250" s="16">
        <v>1.26003377409323E-2</v>
      </c>
      <c r="M250" s="16">
        <v>-0.95533063229717097</v>
      </c>
      <c r="N250" s="16">
        <v>23.4047081503215</v>
      </c>
      <c r="O250" s="16">
        <v>0.34917461418691598</v>
      </c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 t="s">
        <v>402</v>
      </c>
      <c r="AI250" s="16"/>
      <c r="AJ250" s="16" t="s">
        <v>772</v>
      </c>
    </row>
    <row r="251" spans="1:36" ht="15" customHeight="1" x14ac:dyDescent="0.3">
      <c r="A251" s="16" t="s">
        <v>273</v>
      </c>
      <c r="B251" s="16" t="s">
        <v>773</v>
      </c>
      <c r="C251" s="16" t="s">
        <v>438</v>
      </c>
      <c r="D251" s="16" t="s">
        <v>324</v>
      </c>
      <c r="E251" s="16" t="s">
        <v>404</v>
      </c>
      <c r="F251" s="16" t="s">
        <v>401</v>
      </c>
      <c r="G251" s="16">
        <v>0.4</v>
      </c>
      <c r="H251" s="16">
        <v>2606</v>
      </c>
      <c r="I251" s="16">
        <v>110</v>
      </c>
      <c r="J251" s="16">
        <v>109</v>
      </c>
      <c r="K251" s="16">
        <v>7.4819150887654696E-4</v>
      </c>
      <c r="L251" s="16">
        <v>1.16831475858084E-2</v>
      </c>
      <c r="M251" s="16">
        <v>6.4040234310262498E-2</v>
      </c>
      <c r="N251" s="16">
        <v>33.165674505843697</v>
      </c>
      <c r="O251" s="16">
        <v>0.94932262741047602</v>
      </c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 t="s">
        <v>402</v>
      </c>
      <c r="AI251" s="16"/>
      <c r="AJ251" s="16" t="s">
        <v>774</v>
      </c>
    </row>
    <row r="252" spans="1:36" ht="15" customHeight="1" x14ac:dyDescent="0.3">
      <c r="A252" s="16" t="s">
        <v>273</v>
      </c>
      <c r="B252" s="16" t="s">
        <v>775</v>
      </c>
      <c r="C252" s="16" t="s">
        <v>438</v>
      </c>
      <c r="D252" s="16" t="s">
        <v>324</v>
      </c>
      <c r="E252" s="16" t="s">
        <v>404</v>
      </c>
      <c r="F252" s="16" t="s">
        <v>401</v>
      </c>
      <c r="G252" s="16">
        <v>0.4</v>
      </c>
      <c r="H252" s="16">
        <v>2606</v>
      </c>
      <c r="I252" s="16">
        <v>110</v>
      </c>
      <c r="J252" s="16">
        <v>109</v>
      </c>
      <c r="K252" s="16">
        <v>-1.29993393766283E-2</v>
      </c>
      <c r="L252" s="16">
        <v>1.32607242285952E-2</v>
      </c>
      <c r="M252" s="16">
        <v>-0.98028879513207101</v>
      </c>
      <c r="N252" s="16">
        <v>20.459048426416</v>
      </c>
      <c r="O252" s="16">
        <v>0.33839434349184</v>
      </c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 t="s">
        <v>402</v>
      </c>
      <c r="AI252" s="16"/>
      <c r="AJ252" s="16" t="s">
        <v>776</v>
      </c>
    </row>
    <row r="253" spans="1:36" ht="15" customHeight="1" x14ac:dyDescent="0.3">
      <c r="A253" s="16" t="s">
        <v>273</v>
      </c>
      <c r="B253" s="16" t="s">
        <v>777</v>
      </c>
      <c r="C253" s="16" t="s">
        <v>438</v>
      </c>
      <c r="D253" s="16" t="s">
        <v>324</v>
      </c>
      <c r="E253" s="16" t="s">
        <v>404</v>
      </c>
      <c r="F253" s="16" t="s">
        <v>401</v>
      </c>
      <c r="G253" s="16">
        <v>0.4</v>
      </c>
      <c r="H253" s="16">
        <v>2606</v>
      </c>
      <c r="I253" s="16">
        <v>110</v>
      </c>
      <c r="J253" s="16">
        <v>109</v>
      </c>
      <c r="K253" s="16">
        <v>-1.7111994332220201E-2</v>
      </c>
      <c r="L253" s="16">
        <v>1.49592031903589E-2</v>
      </c>
      <c r="M253" s="16">
        <v>-1.14391081626919</v>
      </c>
      <c r="N253" s="16">
        <v>18.5379956053266</v>
      </c>
      <c r="O253" s="16">
        <v>0.26721731161565698</v>
      </c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 t="s">
        <v>402</v>
      </c>
      <c r="AI253" s="16"/>
      <c r="AJ253" s="16" t="s">
        <v>778</v>
      </c>
    </row>
    <row r="254" spans="1:36" ht="15" customHeight="1" x14ac:dyDescent="0.3">
      <c r="A254" s="16" t="s">
        <v>273</v>
      </c>
      <c r="B254" s="16" t="s">
        <v>779</v>
      </c>
      <c r="C254" s="16" t="s">
        <v>438</v>
      </c>
      <c r="D254" s="16" t="s">
        <v>324</v>
      </c>
      <c r="E254" s="16" t="s">
        <v>404</v>
      </c>
      <c r="F254" s="16" t="s">
        <v>401</v>
      </c>
      <c r="G254" s="16">
        <v>0.4</v>
      </c>
      <c r="H254" s="16">
        <v>2606</v>
      </c>
      <c r="I254" s="16">
        <v>110</v>
      </c>
      <c r="J254" s="16">
        <v>109</v>
      </c>
      <c r="K254" s="16">
        <v>-1.63552960104358E-2</v>
      </c>
      <c r="L254" s="16">
        <v>1.5996359490575401E-2</v>
      </c>
      <c r="M254" s="16">
        <v>-1.0224386379958399</v>
      </c>
      <c r="N254" s="16">
        <v>15.224546822107101</v>
      </c>
      <c r="O254" s="16">
        <v>0.32254609458536798</v>
      </c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 t="s">
        <v>402</v>
      </c>
      <c r="AI254" s="16"/>
      <c r="AJ254" s="16" t="s">
        <v>780</v>
      </c>
    </row>
    <row r="255" spans="1:36" ht="15" customHeight="1" x14ac:dyDescent="0.3">
      <c r="A255" s="16" t="s">
        <v>273</v>
      </c>
      <c r="B255" s="16" t="s">
        <v>781</v>
      </c>
      <c r="C255" s="16" t="s">
        <v>438</v>
      </c>
      <c r="D255" s="16" t="s">
        <v>324</v>
      </c>
      <c r="E255" s="16" t="s">
        <v>404</v>
      </c>
      <c r="F255" s="16" t="s">
        <v>401</v>
      </c>
      <c r="G255" s="16">
        <v>0.4</v>
      </c>
      <c r="H255" s="16">
        <v>2606</v>
      </c>
      <c r="I255" s="16">
        <v>110</v>
      </c>
      <c r="J255" s="16">
        <v>109</v>
      </c>
      <c r="K255" s="16">
        <v>1.4870344799666601E-3</v>
      </c>
      <c r="L255" s="16">
        <v>1.07354430696514E-2</v>
      </c>
      <c r="M255" s="16">
        <v>0.13851635841378801</v>
      </c>
      <c r="N255" s="16">
        <v>31.1997960549553</v>
      </c>
      <c r="O255" s="16">
        <v>0.89072253000222101</v>
      </c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 t="s">
        <v>402</v>
      </c>
      <c r="AI255" s="16"/>
      <c r="AJ255" s="16" t="s">
        <v>782</v>
      </c>
    </row>
    <row r="256" spans="1:36" ht="15" customHeight="1" x14ac:dyDescent="0.3">
      <c r="A256" s="16" t="s">
        <v>273</v>
      </c>
      <c r="B256" s="16" t="s">
        <v>783</v>
      </c>
      <c r="C256" s="16" t="s">
        <v>438</v>
      </c>
      <c r="D256" s="16" t="s">
        <v>324</v>
      </c>
      <c r="E256" s="16" t="s">
        <v>404</v>
      </c>
      <c r="F256" s="16" t="s">
        <v>401</v>
      </c>
      <c r="G256" s="16">
        <v>0.4</v>
      </c>
      <c r="H256" s="16">
        <v>2606</v>
      </c>
      <c r="I256" s="16">
        <v>110</v>
      </c>
      <c r="J256" s="16">
        <v>109</v>
      </c>
      <c r="K256" s="16">
        <v>1.47318745410234E-2</v>
      </c>
      <c r="L256" s="16">
        <v>9.8985850480962697E-3</v>
      </c>
      <c r="M256" s="16">
        <v>1.4882808471557001</v>
      </c>
      <c r="N256" s="16">
        <v>41.791197856718597</v>
      </c>
      <c r="O256" s="16">
        <v>0.14418452589352501</v>
      </c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 t="s">
        <v>402</v>
      </c>
      <c r="AI256" s="16"/>
      <c r="AJ256" s="16" t="s">
        <v>784</v>
      </c>
    </row>
    <row r="257" spans="1:36" ht="15" customHeight="1" x14ac:dyDescent="0.3">
      <c r="A257" s="16" t="s">
        <v>273</v>
      </c>
      <c r="B257" s="16" t="s">
        <v>785</v>
      </c>
      <c r="C257" s="16" t="s">
        <v>438</v>
      </c>
      <c r="D257" s="16" t="s">
        <v>324</v>
      </c>
      <c r="E257" s="16" t="s">
        <v>404</v>
      </c>
      <c r="F257" s="16" t="s">
        <v>401</v>
      </c>
      <c r="G257" s="16">
        <v>0.4</v>
      </c>
      <c r="H257" s="16">
        <v>2606</v>
      </c>
      <c r="I257" s="16">
        <v>110</v>
      </c>
      <c r="J257" s="16">
        <v>109</v>
      </c>
      <c r="K257" s="16">
        <v>2.2130902161497899E-3</v>
      </c>
      <c r="L257" s="16">
        <v>9.9149131307803701E-3</v>
      </c>
      <c r="M257" s="16">
        <v>0.22320823056728201</v>
      </c>
      <c r="N257" s="16">
        <v>46.205526253575599</v>
      </c>
      <c r="O257" s="16">
        <v>0.82435732783404603</v>
      </c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 t="s">
        <v>402</v>
      </c>
      <c r="AI257" s="16"/>
      <c r="AJ257" s="16" t="s">
        <v>786</v>
      </c>
    </row>
    <row r="258" spans="1:36" ht="15" customHeight="1" x14ac:dyDescent="0.3">
      <c r="A258" s="16" t="s">
        <v>273</v>
      </c>
      <c r="B258" s="16" t="s">
        <v>787</v>
      </c>
      <c r="C258" s="16" t="s">
        <v>438</v>
      </c>
      <c r="D258" s="16" t="s">
        <v>324</v>
      </c>
      <c r="E258" s="16" t="s">
        <v>404</v>
      </c>
      <c r="F258" s="16" t="s">
        <v>401</v>
      </c>
      <c r="G258" s="16">
        <v>0.4</v>
      </c>
      <c r="H258" s="16">
        <v>905</v>
      </c>
      <c r="I258" s="16">
        <v>38</v>
      </c>
      <c r="J258" s="16">
        <v>38</v>
      </c>
      <c r="K258" s="16">
        <v>-2.4201377842235399E-2</v>
      </c>
      <c r="L258" s="16">
        <v>1.9378065407087801E-2</v>
      </c>
      <c r="M258" s="16">
        <v>-1.2489057774252099</v>
      </c>
      <c r="N258" s="16">
        <v>25.003478406132398</v>
      </c>
      <c r="O258" s="16">
        <v>0.22326637161955501</v>
      </c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 t="s">
        <v>402</v>
      </c>
      <c r="AI258" s="16"/>
      <c r="AJ258" s="16" t="s">
        <v>788</v>
      </c>
    </row>
    <row r="259" spans="1:36" ht="15" customHeight="1" x14ac:dyDescent="0.3">
      <c r="A259" s="16" t="s">
        <v>273</v>
      </c>
      <c r="B259" s="16" t="s">
        <v>322</v>
      </c>
      <c r="C259" s="16" t="s">
        <v>789</v>
      </c>
      <c r="D259" s="16" t="s">
        <v>324</v>
      </c>
      <c r="E259" s="16" t="s">
        <v>404</v>
      </c>
      <c r="F259" s="16" t="s">
        <v>790</v>
      </c>
      <c r="G259" s="16">
        <v>0.4</v>
      </c>
      <c r="H259" s="16">
        <v>2705</v>
      </c>
      <c r="I259" s="16">
        <v>113</v>
      </c>
      <c r="J259" s="16">
        <v>112</v>
      </c>
      <c r="K259" s="16">
        <v>1.6378332135541501E-2</v>
      </c>
      <c r="L259" s="16">
        <v>4.9403318042046902E-2</v>
      </c>
      <c r="M259" s="16">
        <v>0.33152291758221503</v>
      </c>
      <c r="N259" s="16">
        <v>111</v>
      </c>
      <c r="O259" s="16">
        <v>0.74087463777666596</v>
      </c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 t="s">
        <v>402</v>
      </c>
      <c r="AI259" s="16"/>
      <c r="AJ259" s="16" t="s">
        <v>791</v>
      </c>
    </row>
    <row r="260" spans="1:36" ht="15" customHeight="1" x14ac:dyDescent="0.3">
      <c r="A260" s="16" t="s">
        <v>273</v>
      </c>
      <c r="B260" s="16" t="s">
        <v>326</v>
      </c>
      <c r="C260" s="16" t="s">
        <v>789</v>
      </c>
      <c r="D260" s="16" t="s">
        <v>324</v>
      </c>
      <c r="E260" s="16" t="s">
        <v>404</v>
      </c>
      <c r="F260" s="16" t="s">
        <v>790</v>
      </c>
      <c r="G260" s="16">
        <v>0.4</v>
      </c>
      <c r="H260" s="16">
        <v>2705</v>
      </c>
      <c r="I260" s="16">
        <v>113</v>
      </c>
      <c r="J260" s="16">
        <v>112</v>
      </c>
      <c r="K260" s="16">
        <v>4.2561218957480199E-3</v>
      </c>
      <c r="L260" s="16">
        <v>5.2406026232478899E-2</v>
      </c>
      <c r="M260" s="16">
        <v>8.1214360288784301E-2</v>
      </c>
      <c r="N260" s="16">
        <v>111</v>
      </c>
      <c r="O260" s="16">
        <v>0.93541773608008105</v>
      </c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 t="s">
        <v>402</v>
      </c>
      <c r="AI260" s="16"/>
      <c r="AJ260" s="16" t="s">
        <v>792</v>
      </c>
    </row>
    <row r="261" spans="1:36" ht="15" customHeight="1" x14ac:dyDescent="0.3">
      <c r="A261" s="16" t="s">
        <v>273</v>
      </c>
      <c r="B261" s="16" t="s">
        <v>328</v>
      </c>
      <c r="C261" s="16" t="s">
        <v>789</v>
      </c>
      <c r="D261" s="16" t="s">
        <v>324</v>
      </c>
      <c r="E261" s="16" t="s">
        <v>404</v>
      </c>
      <c r="F261" s="16" t="s">
        <v>790</v>
      </c>
      <c r="G261" s="16">
        <v>0.4</v>
      </c>
      <c r="H261" s="16">
        <v>2705</v>
      </c>
      <c r="I261" s="16">
        <v>113</v>
      </c>
      <c r="J261" s="16">
        <v>112</v>
      </c>
      <c r="K261" s="16">
        <v>-3.9999196874146402E-2</v>
      </c>
      <c r="L261" s="16">
        <v>5.20474043456466E-2</v>
      </c>
      <c r="M261" s="16">
        <v>-0.76851472954370403</v>
      </c>
      <c r="N261" s="16">
        <v>110</v>
      </c>
      <c r="O261" s="16">
        <v>0.44382826318116603</v>
      </c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 t="s">
        <v>402</v>
      </c>
      <c r="AI261" s="16"/>
      <c r="AJ261" s="16" t="s">
        <v>793</v>
      </c>
    </row>
    <row r="262" spans="1:36" ht="15" customHeight="1" x14ac:dyDescent="0.3">
      <c r="A262" s="16" t="s">
        <v>273</v>
      </c>
      <c r="B262" s="16" t="s">
        <v>330</v>
      </c>
      <c r="C262" s="16" t="s">
        <v>789</v>
      </c>
      <c r="D262" s="16" t="s">
        <v>324</v>
      </c>
      <c r="E262" s="16" t="s">
        <v>404</v>
      </c>
      <c r="F262" s="16" t="s">
        <v>790</v>
      </c>
      <c r="G262" s="16">
        <v>0.4</v>
      </c>
      <c r="H262" s="16">
        <v>2705</v>
      </c>
      <c r="I262" s="16">
        <v>113</v>
      </c>
      <c r="J262" s="16">
        <v>112</v>
      </c>
      <c r="K262" s="16">
        <v>-2.5360812547880302E-4</v>
      </c>
      <c r="L262" s="16">
        <v>5.47893727927488E-2</v>
      </c>
      <c r="M262" s="16">
        <v>-4.6287831481138597E-3</v>
      </c>
      <c r="N262" s="16">
        <v>111</v>
      </c>
      <c r="O262" s="16">
        <v>0.996315087291478</v>
      </c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 t="s">
        <v>402</v>
      </c>
      <c r="AI262" s="16"/>
      <c r="AJ262" s="16" t="s">
        <v>794</v>
      </c>
    </row>
    <row r="263" spans="1:36" ht="15" customHeight="1" x14ac:dyDescent="0.3">
      <c r="A263" s="16" t="s">
        <v>273</v>
      </c>
      <c r="B263" s="16" t="s">
        <v>332</v>
      </c>
      <c r="C263" s="16" t="s">
        <v>789</v>
      </c>
      <c r="D263" s="16" t="s">
        <v>324</v>
      </c>
      <c r="E263" s="16" t="s">
        <v>404</v>
      </c>
      <c r="F263" s="16" t="s">
        <v>790</v>
      </c>
      <c r="G263" s="16">
        <v>0.4</v>
      </c>
      <c r="H263" s="16">
        <v>2705</v>
      </c>
      <c r="I263" s="16">
        <v>113</v>
      </c>
      <c r="J263" s="16">
        <v>112</v>
      </c>
      <c r="K263" s="16">
        <v>1.9400062187601701E-2</v>
      </c>
      <c r="L263" s="16">
        <v>6.5308584485454402E-2</v>
      </c>
      <c r="M263" s="16">
        <v>0.29705225339744701</v>
      </c>
      <c r="N263" s="16">
        <v>110</v>
      </c>
      <c r="O263" s="16">
        <v>0.76698682526543405</v>
      </c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 t="s">
        <v>402</v>
      </c>
      <c r="AI263" s="16"/>
      <c r="AJ263" s="16" t="s">
        <v>795</v>
      </c>
    </row>
    <row r="264" spans="1:36" ht="15" customHeight="1" x14ac:dyDescent="0.3">
      <c r="A264" s="16" t="s">
        <v>273</v>
      </c>
      <c r="B264" s="16" t="s">
        <v>334</v>
      </c>
      <c r="C264" s="16" t="s">
        <v>789</v>
      </c>
      <c r="D264" s="16" t="s">
        <v>324</v>
      </c>
      <c r="E264" s="16" t="s">
        <v>404</v>
      </c>
      <c r="F264" s="16" t="s">
        <v>790</v>
      </c>
      <c r="G264" s="16">
        <v>0.4</v>
      </c>
      <c r="H264" s="16">
        <v>2705</v>
      </c>
      <c r="I264" s="16">
        <v>113</v>
      </c>
      <c r="J264" s="16">
        <v>112</v>
      </c>
      <c r="K264" s="16">
        <v>2.2973334560226599E-2</v>
      </c>
      <c r="L264" s="16">
        <v>6.9430227561052105E-2</v>
      </c>
      <c r="M264" s="16">
        <v>0.33088375722267999</v>
      </c>
      <c r="N264" s="16">
        <v>110</v>
      </c>
      <c r="O264" s="16">
        <v>0.74136174895254403</v>
      </c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 t="s">
        <v>402</v>
      </c>
      <c r="AI264" s="16"/>
      <c r="AJ264" s="16" t="s">
        <v>796</v>
      </c>
    </row>
    <row r="265" spans="1:36" ht="15" customHeight="1" x14ac:dyDescent="0.3">
      <c r="A265" s="16" t="s">
        <v>273</v>
      </c>
      <c r="B265" s="16" t="s">
        <v>336</v>
      </c>
      <c r="C265" s="16" t="s">
        <v>789</v>
      </c>
      <c r="D265" s="16" t="s">
        <v>324</v>
      </c>
      <c r="E265" s="16" t="s">
        <v>404</v>
      </c>
      <c r="F265" s="16" t="s">
        <v>790</v>
      </c>
      <c r="G265" s="16">
        <v>0.4</v>
      </c>
      <c r="H265" s="16">
        <v>2705</v>
      </c>
      <c r="I265" s="16">
        <v>113</v>
      </c>
      <c r="J265" s="16">
        <v>112</v>
      </c>
      <c r="K265" s="16">
        <v>-4.2542668272264203E-2</v>
      </c>
      <c r="L265" s="16">
        <v>4.6301401553338499E-2</v>
      </c>
      <c r="M265" s="16">
        <v>-0.91882031310123002</v>
      </c>
      <c r="N265" s="16">
        <v>111</v>
      </c>
      <c r="O265" s="16">
        <v>0.36018187995419199</v>
      </c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 t="s">
        <v>402</v>
      </c>
      <c r="AI265" s="16"/>
      <c r="AJ265" s="16" t="s">
        <v>797</v>
      </c>
    </row>
    <row r="266" spans="1:36" ht="15" customHeight="1" x14ac:dyDescent="0.3">
      <c r="A266" s="16" t="s">
        <v>273</v>
      </c>
      <c r="B266" s="16" t="s">
        <v>338</v>
      </c>
      <c r="C266" s="16" t="s">
        <v>789</v>
      </c>
      <c r="D266" s="16" t="s">
        <v>324</v>
      </c>
      <c r="E266" s="16" t="s">
        <v>404</v>
      </c>
      <c r="F266" s="16" t="s">
        <v>790</v>
      </c>
      <c r="G266" s="16">
        <v>0.4</v>
      </c>
      <c r="H266" s="16">
        <v>2705</v>
      </c>
      <c r="I266" s="16">
        <v>113</v>
      </c>
      <c r="J266" s="16">
        <v>112</v>
      </c>
      <c r="K266" s="16">
        <v>3.1965437950162802E-2</v>
      </c>
      <c r="L266" s="16">
        <v>4.4349239472322402E-2</v>
      </c>
      <c r="M266" s="16">
        <v>0.72076631596156104</v>
      </c>
      <c r="N266" s="16">
        <v>111</v>
      </c>
      <c r="O266" s="16">
        <v>0.47256854677618598</v>
      </c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 t="s">
        <v>402</v>
      </c>
      <c r="AI266" s="16"/>
      <c r="AJ266" s="16" t="s">
        <v>798</v>
      </c>
    </row>
    <row r="267" spans="1:36" ht="15" customHeight="1" x14ac:dyDescent="0.3">
      <c r="A267" s="16" t="s">
        <v>273</v>
      </c>
      <c r="B267" s="16" t="s">
        <v>340</v>
      </c>
      <c r="C267" s="16" t="s">
        <v>789</v>
      </c>
      <c r="D267" s="16" t="s">
        <v>324</v>
      </c>
      <c r="E267" s="16" t="s">
        <v>404</v>
      </c>
      <c r="F267" s="16" t="s">
        <v>790</v>
      </c>
      <c r="G267" s="16">
        <v>0.4</v>
      </c>
      <c r="H267" s="16">
        <v>2705</v>
      </c>
      <c r="I267" s="16">
        <v>113</v>
      </c>
      <c r="J267" s="16">
        <v>112</v>
      </c>
      <c r="K267" s="16">
        <v>2.1846638672350101E-2</v>
      </c>
      <c r="L267" s="16">
        <v>4.4363811310107297E-2</v>
      </c>
      <c r="M267" s="16">
        <v>0.49244278224068799</v>
      </c>
      <c r="N267" s="16">
        <v>111</v>
      </c>
      <c r="O267" s="16">
        <v>0.62337898563474703</v>
      </c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 t="s">
        <v>402</v>
      </c>
      <c r="AI267" s="16"/>
      <c r="AJ267" s="16" t="s">
        <v>799</v>
      </c>
    </row>
    <row r="268" spans="1:36" ht="15" customHeight="1" x14ac:dyDescent="0.3">
      <c r="A268" s="16" t="s">
        <v>273</v>
      </c>
      <c r="B268" s="16" t="s">
        <v>342</v>
      </c>
      <c r="C268" s="16" t="s">
        <v>789</v>
      </c>
      <c r="D268" s="16" t="s">
        <v>324</v>
      </c>
      <c r="E268" s="16" t="s">
        <v>404</v>
      </c>
      <c r="F268" s="16" t="s">
        <v>790</v>
      </c>
      <c r="G268" s="16">
        <v>0.4</v>
      </c>
      <c r="H268" s="16">
        <v>929</v>
      </c>
      <c r="I268" s="16">
        <v>40</v>
      </c>
      <c r="J268" s="16">
        <v>40</v>
      </c>
      <c r="K268" s="16">
        <v>-2.2805339477918001E-2</v>
      </c>
      <c r="L268" s="16">
        <v>2.7075050897265501E-2</v>
      </c>
      <c r="M268" s="16">
        <v>-0.84230089038249201</v>
      </c>
      <c r="N268" s="16">
        <v>38</v>
      </c>
      <c r="O268" s="16">
        <v>0.404889790647527</v>
      </c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 t="s">
        <v>402</v>
      </c>
      <c r="AI268" s="16"/>
      <c r="AJ268" s="16" t="s">
        <v>800</v>
      </c>
    </row>
    <row r="269" spans="1:36" ht="15" customHeight="1" x14ac:dyDescent="0.3">
      <c r="A269" s="16" t="s">
        <v>273</v>
      </c>
      <c r="B269" s="16" t="s">
        <v>449</v>
      </c>
      <c r="C269" s="16" t="s">
        <v>789</v>
      </c>
      <c r="D269" s="16" t="s">
        <v>324</v>
      </c>
      <c r="E269" s="16" t="s">
        <v>404</v>
      </c>
      <c r="F269" s="16" t="s">
        <v>790</v>
      </c>
      <c r="G269" s="16">
        <v>0.4</v>
      </c>
      <c r="H269" s="16">
        <v>2692</v>
      </c>
      <c r="I269" s="16">
        <v>113</v>
      </c>
      <c r="J269" s="16">
        <v>112</v>
      </c>
      <c r="K269" s="16">
        <v>-1.43012791964976E-2</v>
      </c>
      <c r="L269" s="16">
        <v>1.81168472953737E-2</v>
      </c>
      <c r="M269" s="16">
        <v>-0.78939116521391495</v>
      </c>
      <c r="N269" s="16">
        <v>111</v>
      </c>
      <c r="O269" s="16">
        <v>0.43156637932307701</v>
      </c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 t="s">
        <v>402</v>
      </c>
      <c r="AI269" s="16"/>
      <c r="AJ269" s="16" t="s">
        <v>801</v>
      </c>
    </row>
    <row r="270" spans="1:36" ht="15" customHeight="1" x14ac:dyDescent="0.3">
      <c r="A270" s="16" t="s">
        <v>273</v>
      </c>
      <c r="B270" s="16" t="s">
        <v>451</v>
      </c>
      <c r="C270" s="16" t="s">
        <v>789</v>
      </c>
      <c r="D270" s="16" t="s">
        <v>324</v>
      </c>
      <c r="E270" s="16" t="s">
        <v>404</v>
      </c>
      <c r="F270" s="16" t="s">
        <v>790</v>
      </c>
      <c r="G270" s="16">
        <v>0.4</v>
      </c>
      <c r="H270" s="16">
        <v>2692</v>
      </c>
      <c r="I270" s="16">
        <v>113</v>
      </c>
      <c r="J270" s="16">
        <v>112</v>
      </c>
      <c r="K270" s="16">
        <v>-2.4891386665903899E-2</v>
      </c>
      <c r="L270" s="16">
        <v>1.9145290195696298E-2</v>
      </c>
      <c r="M270" s="16">
        <v>-1.3001310720011601</v>
      </c>
      <c r="N270" s="16">
        <v>111</v>
      </c>
      <c r="O270" s="16">
        <v>0.19624924616745501</v>
      </c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 t="s">
        <v>402</v>
      </c>
      <c r="AI270" s="16"/>
      <c r="AJ270" s="16" t="s">
        <v>802</v>
      </c>
    </row>
    <row r="271" spans="1:36" ht="15" customHeight="1" x14ac:dyDescent="0.3">
      <c r="A271" s="16" t="s">
        <v>273</v>
      </c>
      <c r="B271" s="16" t="s">
        <v>453</v>
      </c>
      <c r="C271" s="16" t="s">
        <v>789</v>
      </c>
      <c r="D271" s="16" t="s">
        <v>324</v>
      </c>
      <c r="E271" s="16" t="s">
        <v>404</v>
      </c>
      <c r="F271" s="16" t="s">
        <v>790</v>
      </c>
      <c r="G271" s="16">
        <v>0.4</v>
      </c>
      <c r="H271" s="16">
        <v>2692</v>
      </c>
      <c r="I271" s="16">
        <v>113</v>
      </c>
      <c r="J271" s="16">
        <v>112</v>
      </c>
      <c r="K271" s="16">
        <v>-1.25923484080687E-2</v>
      </c>
      <c r="L271" s="16">
        <v>1.9350921470876001E-2</v>
      </c>
      <c r="M271" s="16">
        <v>-0.65073637072119594</v>
      </c>
      <c r="N271" s="16">
        <v>110</v>
      </c>
      <c r="O271" s="16">
        <v>0.51657364950626905</v>
      </c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 t="s">
        <v>402</v>
      </c>
      <c r="AI271" s="16"/>
      <c r="AJ271" s="16" t="s">
        <v>803</v>
      </c>
    </row>
    <row r="272" spans="1:36" ht="15" customHeight="1" x14ac:dyDescent="0.3">
      <c r="A272" s="16" t="s">
        <v>273</v>
      </c>
      <c r="B272" s="16" t="s">
        <v>455</v>
      </c>
      <c r="C272" s="16" t="s">
        <v>789</v>
      </c>
      <c r="D272" s="16" t="s">
        <v>324</v>
      </c>
      <c r="E272" s="16" t="s">
        <v>404</v>
      </c>
      <c r="F272" s="16" t="s">
        <v>790</v>
      </c>
      <c r="G272" s="16">
        <v>0.4</v>
      </c>
      <c r="H272" s="16">
        <v>2692</v>
      </c>
      <c r="I272" s="16">
        <v>113</v>
      </c>
      <c r="J272" s="16">
        <v>112</v>
      </c>
      <c r="K272" s="16">
        <v>-2.8414983911423001E-2</v>
      </c>
      <c r="L272" s="16">
        <v>2.0001895945463401E-2</v>
      </c>
      <c r="M272" s="16">
        <v>-1.4206145251879401</v>
      </c>
      <c r="N272" s="16">
        <v>111</v>
      </c>
      <c r="O272" s="16">
        <v>0.15823182717435699</v>
      </c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 t="s">
        <v>402</v>
      </c>
      <c r="AI272" s="16"/>
      <c r="AJ272" s="16" t="s">
        <v>804</v>
      </c>
    </row>
    <row r="273" spans="1:36" ht="15" customHeight="1" x14ac:dyDescent="0.3">
      <c r="A273" s="16" t="s">
        <v>273</v>
      </c>
      <c r="B273" s="16" t="s">
        <v>457</v>
      </c>
      <c r="C273" s="16" t="s">
        <v>789</v>
      </c>
      <c r="D273" s="16" t="s">
        <v>324</v>
      </c>
      <c r="E273" s="16" t="s">
        <v>404</v>
      </c>
      <c r="F273" s="16" t="s">
        <v>790</v>
      </c>
      <c r="G273" s="16">
        <v>0.4</v>
      </c>
      <c r="H273" s="16">
        <v>2692</v>
      </c>
      <c r="I273" s="16">
        <v>113</v>
      </c>
      <c r="J273" s="16">
        <v>112</v>
      </c>
      <c r="K273" s="16">
        <v>-7.4830924875319404E-3</v>
      </c>
      <c r="L273" s="16">
        <v>2.4036776612814299E-2</v>
      </c>
      <c r="M273" s="16">
        <v>-0.31131846869777902</v>
      </c>
      <c r="N273" s="16">
        <v>110</v>
      </c>
      <c r="O273" s="16">
        <v>0.75614775676287105</v>
      </c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 t="s">
        <v>402</v>
      </c>
      <c r="AI273" s="16"/>
      <c r="AJ273" s="16" t="s">
        <v>805</v>
      </c>
    </row>
    <row r="274" spans="1:36" ht="15" customHeight="1" x14ac:dyDescent="0.3">
      <c r="A274" s="16" t="s">
        <v>273</v>
      </c>
      <c r="B274" s="16" t="s">
        <v>459</v>
      </c>
      <c r="C274" s="16" t="s">
        <v>789</v>
      </c>
      <c r="D274" s="16" t="s">
        <v>324</v>
      </c>
      <c r="E274" s="16" t="s">
        <v>404</v>
      </c>
      <c r="F274" s="16" t="s">
        <v>790</v>
      </c>
      <c r="G274" s="16">
        <v>0.4</v>
      </c>
      <c r="H274" s="16">
        <v>2692</v>
      </c>
      <c r="I274" s="16">
        <v>113</v>
      </c>
      <c r="J274" s="16">
        <v>112</v>
      </c>
      <c r="K274" s="16">
        <v>-3.7669143711217801E-3</v>
      </c>
      <c r="L274" s="16">
        <v>2.5556609808662201E-2</v>
      </c>
      <c r="M274" s="16">
        <v>-0.147394916591989</v>
      </c>
      <c r="N274" s="16">
        <v>110</v>
      </c>
      <c r="O274" s="16">
        <v>0.88309014107247696</v>
      </c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 t="s">
        <v>402</v>
      </c>
      <c r="AI274" s="16"/>
      <c r="AJ274" s="16" t="s">
        <v>806</v>
      </c>
    </row>
    <row r="275" spans="1:36" ht="15" customHeight="1" x14ac:dyDescent="0.3">
      <c r="A275" s="16" t="s">
        <v>273</v>
      </c>
      <c r="B275" s="16" t="s">
        <v>461</v>
      </c>
      <c r="C275" s="16" t="s">
        <v>789</v>
      </c>
      <c r="D275" s="16" t="s">
        <v>324</v>
      </c>
      <c r="E275" s="16" t="s">
        <v>404</v>
      </c>
      <c r="F275" s="16" t="s">
        <v>790</v>
      </c>
      <c r="G275" s="16">
        <v>0.4</v>
      </c>
      <c r="H275" s="16">
        <v>2692</v>
      </c>
      <c r="I275" s="16">
        <v>113</v>
      </c>
      <c r="J275" s="16">
        <v>112</v>
      </c>
      <c r="K275" s="16">
        <v>-1.41997232797084E-2</v>
      </c>
      <c r="L275" s="16">
        <v>1.71390595667694E-2</v>
      </c>
      <c r="M275" s="16">
        <v>-0.82850072516463802</v>
      </c>
      <c r="N275" s="16">
        <v>111</v>
      </c>
      <c r="O275" s="16">
        <v>0.40916489946861101</v>
      </c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 t="s">
        <v>402</v>
      </c>
      <c r="AI275" s="16"/>
      <c r="AJ275" s="16" t="s">
        <v>807</v>
      </c>
    </row>
    <row r="276" spans="1:36" ht="15" customHeight="1" x14ac:dyDescent="0.3">
      <c r="A276" s="16" t="s">
        <v>273</v>
      </c>
      <c r="B276" s="16" t="s">
        <v>463</v>
      </c>
      <c r="C276" s="16" t="s">
        <v>789</v>
      </c>
      <c r="D276" s="16" t="s">
        <v>324</v>
      </c>
      <c r="E276" s="16" t="s">
        <v>404</v>
      </c>
      <c r="F276" s="16" t="s">
        <v>790</v>
      </c>
      <c r="G276" s="16">
        <v>0.4</v>
      </c>
      <c r="H276" s="16">
        <v>2692</v>
      </c>
      <c r="I276" s="16">
        <v>113</v>
      </c>
      <c r="J276" s="16">
        <v>112</v>
      </c>
      <c r="K276" s="16">
        <v>-1.47178467573279E-2</v>
      </c>
      <c r="L276" s="16">
        <v>1.6337511259610901E-2</v>
      </c>
      <c r="M276" s="16">
        <v>-0.90086222579769204</v>
      </c>
      <c r="N276" s="16">
        <v>111</v>
      </c>
      <c r="O276" s="16">
        <v>0.36961201149852502</v>
      </c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 t="s">
        <v>402</v>
      </c>
      <c r="AI276" s="16"/>
      <c r="AJ276" s="16" t="s">
        <v>808</v>
      </c>
    </row>
    <row r="277" spans="1:36" ht="15" customHeight="1" x14ac:dyDescent="0.3">
      <c r="A277" s="16" t="s">
        <v>273</v>
      </c>
      <c r="B277" s="16" t="s">
        <v>465</v>
      </c>
      <c r="C277" s="16" t="s">
        <v>789</v>
      </c>
      <c r="D277" s="16" t="s">
        <v>324</v>
      </c>
      <c r="E277" s="16" t="s">
        <v>404</v>
      </c>
      <c r="F277" s="16" t="s">
        <v>790</v>
      </c>
      <c r="G277" s="16">
        <v>0.4</v>
      </c>
      <c r="H277" s="16">
        <v>2692</v>
      </c>
      <c r="I277" s="16">
        <v>113</v>
      </c>
      <c r="J277" s="16">
        <v>112</v>
      </c>
      <c r="K277" s="16">
        <v>-1.3809523618625299E-2</v>
      </c>
      <c r="L277" s="16">
        <v>1.6267825442406798E-2</v>
      </c>
      <c r="M277" s="16">
        <v>-0.84888565269619598</v>
      </c>
      <c r="N277" s="16">
        <v>111</v>
      </c>
      <c r="O277" s="16">
        <v>0.39777194242410002</v>
      </c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 t="s">
        <v>402</v>
      </c>
      <c r="AI277" s="16"/>
      <c r="AJ277" s="16" t="s">
        <v>809</v>
      </c>
    </row>
    <row r="278" spans="1:36" ht="15" customHeight="1" x14ac:dyDescent="0.3">
      <c r="A278" s="16" t="s">
        <v>273</v>
      </c>
      <c r="B278" s="16" t="s">
        <v>467</v>
      </c>
      <c r="C278" s="16" t="s">
        <v>789</v>
      </c>
      <c r="D278" s="16" t="s">
        <v>324</v>
      </c>
      <c r="E278" s="16" t="s">
        <v>404</v>
      </c>
      <c r="F278" s="16" t="s">
        <v>790</v>
      </c>
      <c r="G278" s="16">
        <v>0.4</v>
      </c>
      <c r="H278" s="16">
        <v>924</v>
      </c>
      <c r="I278" s="16">
        <v>40</v>
      </c>
      <c r="J278" s="16">
        <v>40</v>
      </c>
      <c r="K278" s="16">
        <v>-2.6204171901176399E-2</v>
      </c>
      <c r="L278" s="16">
        <v>2.67006030977321E-2</v>
      </c>
      <c r="M278" s="16">
        <v>-0.98140749125633597</v>
      </c>
      <c r="N278" s="16">
        <v>38</v>
      </c>
      <c r="O278" s="16">
        <v>0.33259924458254497</v>
      </c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 t="s">
        <v>402</v>
      </c>
      <c r="AI278" s="16"/>
      <c r="AJ278" s="16" t="s">
        <v>810</v>
      </c>
    </row>
    <row r="279" spans="1:36" ht="15" customHeight="1" x14ac:dyDescent="0.3">
      <c r="A279" s="16" t="s">
        <v>273</v>
      </c>
      <c r="B279" s="16" t="s">
        <v>469</v>
      </c>
      <c r="C279" s="16" t="s">
        <v>789</v>
      </c>
      <c r="D279" s="16" t="s">
        <v>324</v>
      </c>
      <c r="E279" s="16" t="s">
        <v>404</v>
      </c>
      <c r="F279" s="16" t="s">
        <v>790</v>
      </c>
      <c r="G279" s="16">
        <v>0.4</v>
      </c>
      <c r="H279" s="16">
        <v>2705</v>
      </c>
      <c r="I279" s="16">
        <v>113</v>
      </c>
      <c r="J279" s="16">
        <v>112</v>
      </c>
      <c r="K279" s="16">
        <v>-1.10066654337514E-2</v>
      </c>
      <c r="L279" s="16">
        <v>1.8222731989394801E-2</v>
      </c>
      <c r="M279" s="16">
        <v>-0.60400742545942199</v>
      </c>
      <c r="N279" s="16">
        <v>111</v>
      </c>
      <c r="O279" s="16">
        <v>0.54707118853737202</v>
      </c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 t="s">
        <v>402</v>
      </c>
      <c r="AI279" s="16"/>
      <c r="AJ279" s="16" t="s">
        <v>811</v>
      </c>
    </row>
    <row r="280" spans="1:36" ht="15" customHeight="1" x14ac:dyDescent="0.3">
      <c r="A280" s="16" t="s">
        <v>273</v>
      </c>
      <c r="B280" s="16" t="s">
        <v>471</v>
      </c>
      <c r="C280" s="16" t="s">
        <v>789</v>
      </c>
      <c r="D280" s="16" t="s">
        <v>324</v>
      </c>
      <c r="E280" s="16" t="s">
        <v>404</v>
      </c>
      <c r="F280" s="16" t="s">
        <v>790</v>
      </c>
      <c r="G280" s="16">
        <v>0.4</v>
      </c>
      <c r="H280" s="16">
        <v>2705</v>
      </c>
      <c r="I280" s="16">
        <v>113</v>
      </c>
      <c r="J280" s="16">
        <v>112</v>
      </c>
      <c r="K280" s="16">
        <v>-1.9027980834234601E-2</v>
      </c>
      <c r="L280" s="16">
        <v>1.9295927629803301E-2</v>
      </c>
      <c r="M280" s="16">
        <v>-0.98611381630832495</v>
      </c>
      <c r="N280" s="16">
        <v>111</v>
      </c>
      <c r="O280" s="16">
        <v>0.32622190091171799</v>
      </c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 t="s">
        <v>402</v>
      </c>
      <c r="AI280" s="16"/>
      <c r="AJ280" s="16" t="s">
        <v>812</v>
      </c>
    </row>
    <row r="281" spans="1:36" ht="15" customHeight="1" x14ac:dyDescent="0.3">
      <c r="A281" s="16" t="s">
        <v>273</v>
      </c>
      <c r="B281" s="16" t="s">
        <v>473</v>
      </c>
      <c r="C281" s="16" t="s">
        <v>789</v>
      </c>
      <c r="D281" s="16" t="s">
        <v>324</v>
      </c>
      <c r="E281" s="16" t="s">
        <v>404</v>
      </c>
      <c r="F281" s="16" t="s">
        <v>790</v>
      </c>
      <c r="G281" s="16">
        <v>0.4</v>
      </c>
      <c r="H281" s="16">
        <v>2705</v>
      </c>
      <c r="I281" s="16">
        <v>113</v>
      </c>
      <c r="J281" s="16">
        <v>112</v>
      </c>
      <c r="K281" s="16">
        <v>-1.1942516664124001E-2</v>
      </c>
      <c r="L281" s="16">
        <v>1.9439039100467001E-2</v>
      </c>
      <c r="M281" s="16">
        <v>-0.61435735595784102</v>
      </c>
      <c r="N281" s="16">
        <v>110</v>
      </c>
      <c r="O281" s="16">
        <v>0.54024783175382396</v>
      </c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 t="s">
        <v>402</v>
      </c>
      <c r="AI281" s="16"/>
      <c r="AJ281" s="16" t="s">
        <v>813</v>
      </c>
    </row>
    <row r="282" spans="1:36" ht="15" customHeight="1" x14ac:dyDescent="0.3">
      <c r="A282" s="16" t="s">
        <v>273</v>
      </c>
      <c r="B282" s="16" t="s">
        <v>475</v>
      </c>
      <c r="C282" s="16" t="s">
        <v>789</v>
      </c>
      <c r="D282" s="16" t="s">
        <v>324</v>
      </c>
      <c r="E282" s="16" t="s">
        <v>404</v>
      </c>
      <c r="F282" s="16" t="s">
        <v>790</v>
      </c>
      <c r="G282" s="16">
        <v>0.4</v>
      </c>
      <c r="H282" s="16">
        <v>2705</v>
      </c>
      <c r="I282" s="16">
        <v>113</v>
      </c>
      <c r="J282" s="16">
        <v>112</v>
      </c>
      <c r="K282" s="16">
        <v>-2.2786730582078599E-2</v>
      </c>
      <c r="L282" s="16">
        <v>2.0160834447959099E-2</v>
      </c>
      <c r="M282" s="16">
        <v>-1.1302473933257899</v>
      </c>
      <c r="N282" s="16">
        <v>111</v>
      </c>
      <c r="O282" s="16">
        <v>0.26080834822608501</v>
      </c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 t="s">
        <v>402</v>
      </c>
      <c r="AI282" s="16"/>
      <c r="AJ282" s="16" t="s">
        <v>814</v>
      </c>
    </row>
    <row r="283" spans="1:36" ht="15" customHeight="1" x14ac:dyDescent="0.3">
      <c r="A283" s="16" t="s">
        <v>273</v>
      </c>
      <c r="B283" s="16" t="s">
        <v>477</v>
      </c>
      <c r="C283" s="16" t="s">
        <v>789</v>
      </c>
      <c r="D283" s="16" t="s">
        <v>324</v>
      </c>
      <c r="E283" s="16" t="s">
        <v>404</v>
      </c>
      <c r="F283" s="16" t="s">
        <v>790</v>
      </c>
      <c r="G283" s="16">
        <v>0.4</v>
      </c>
      <c r="H283" s="16">
        <v>2705</v>
      </c>
      <c r="I283" s="16">
        <v>113</v>
      </c>
      <c r="J283" s="16">
        <v>112</v>
      </c>
      <c r="K283" s="16">
        <v>-2.3855641777797299E-3</v>
      </c>
      <c r="L283" s="16">
        <v>2.4156843824071399E-2</v>
      </c>
      <c r="M283" s="16">
        <v>-9.8753139903260304E-2</v>
      </c>
      <c r="N283" s="16">
        <v>110</v>
      </c>
      <c r="O283" s="16">
        <v>0.92151401054593596</v>
      </c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 t="s">
        <v>402</v>
      </c>
      <c r="AI283" s="16"/>
      <c r="AJ283" s="16" t="s">
        <v>815</v>
      </c>
    </row>
    <row r="284" spans="1:36" ht="15" customHeight="1" x14ac:dyDescent="0.3">
      <c r="A284" s="16" t="s">
        <v>273</v>
      </c>
      <c r="B284" s="16" t="s">
        <v>479</v>
      </c>
      <c r="C284" s="16" t="s">
        <v>789</v>
      </c>
      <c r="D284" s="16" t="s">
        <v>324</v>
      </c>
      <c r="E284" s="16" t="s">
        <v>404</v>
      </c>
      <c r="F284" s="16" t="s">
        <v>790</v>
      </c>
      <c r="G284" s="16">
        <v>0.4</v>
      </c>
      <c r="H284" s="16">
        <v>2705</v>
      </c>
      <c r="I284" s="16">
        <v>113</v>
      </c>
      <c r="J284" s="16">
        <v>112</v>
      </c>
      <c r="K284" s="16">
        <v>1.1322723111537199E-3</v>
      </c>
      <c r="L284" s="16">
        <v>2.56773295167823E-2</v>
      </c>
      <c r="M284" s="16">
        <v>4.4096186498431902E-2</v>
      </c>
      <c r="N284" s="16">
        <v>110</v>
      </c>
      <c r="O284" s="16">
        <v>0.96490768096783397</v>
      </c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 t="s">
        <v>402</v>
      </c>
      <c r="AI284" s="16"/>
      <c r="AJ284" s="16" t="s">
        <v>816</v>
      </c>
    </row>
    <row r="285" spans="1:36" ht="15" customHeight="1" x14ac:dyDescent="0.3">
      <c r="A285" s="16" t="s">
        <v>273</v>
      </c>
      <c r="B285" s="16" t="s">
        <v>481</v>
      </c>
      <c r="C285" s="16" t="s">
        <v>789</v>
      </c>
      <c r="D285" s="16" t="s">
        <v>324</v>
      </c>
      <c r="E285" s="16" t="s">
        <v>404</v>
      </c>
      <c r="F285" s="16" t="s">
        <v>790</v>
      </c>
      <c r="G285" s="16">
        <v>0.4</v>
      </c>
      <c r="H285" s="16">
        <v>2705</v>
      </c>
      <c r="I285" s="16">
        <v>113</v>
      </c>
      <c r="J285" s="16">
        <v>112</v>
      </c>
      <c r="K285" s="16">
        <v>-1.1068354822940701E-2</v>
      </c>
      <c r="L285" s="16">
        <v>1.72377868928392E-2</v>
      </c>
      <c r="M285" s="16">
        <v>-0.64209836748466798</v>
      </c>
      <c r="N285" s="16">
        <v>111</v>
      </c>
      <c r="O285" s="16">
        <v>0.52213320998681001</v>
      </c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 t="s">
        <v>402</v>
      </c>
      <c r="AI285" s="16"/>
      <c r="AJ285" s="16" t="s">
        <v>817</v>
      </c>
    </row>
    <row r="286" spans="1:36" ht="15" customHeight="1" x14ac:dyDescent="0.3">
      <c r="A286" s="16" t="s">
        <v>273</v>
      </c>
      <c r="B286" s="16" t="s">
        <v>483</v>
      </c>
      <c r="C286" s="16" t="s">
        <v>789</v>
      </c>
      <c r="D286" s="16" t="s">
        <v>324</v>
      </c>
      <c r="E286" s="16" t="s">
        <v>404</v>
      </c>
      <c r="F286" s="16" t="s">
        <v>790</v>
      </c>
      <c r="G286" s="16">
        <v>0.4</v>
      </c>
      <c r="H286" s="16">
        <v>2705</v>
      </c>
      <c r="I286" s="16">
        <v>113</v>
      </c>
      <c r="J286" s="16">
        <v>112</v>
      </c>
      <c r="K286" s="16">
        <v>-4.1556047067353701E-3</v>
      </c>
      <c r="L286" s="16">
        <v>1.6472472219834201E-2</v>
      </c>
      <c r="M286" s="16">
        <v>-0.25227571497930201</v>
      </c>
      <c r="N286" s="16">
        <v>111</v>
      </c>
      <c r="O286" s="16">
        <v>0.80129449923753204</v>
      </c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 t="s">
        <v>402</v>
      </c>
      <c r="AI286" s="16"/>
      <c r="AJ286" s="16" t="s">
        <v>818</v>
      </c>
    </row>
    <row r="287" spans="1:36" ht="15" customHeight="1" x14ac:dyDescent="0.3">
      <c r="A287" s="16" t="s">
        <v>273</v>
      </c>
      <c r="B287" s="16" t="s">
        <v>485</v>
      </c>
      <c r="C287" s="16" t="s">
        <v>789</v>
      </c>
      <c r="D287" s="16" t="s">
        <v>324</v>
      </c>
      <c r="E287" s="16" t="s">
        <v>404</v>
      </c>
      <c r="F287" s="16" t="s">
        <v>790</v>
      </c>
      <c r="G287" s="16">
        <v>0.4</v>
      </c>
      <c r="H287" s="16">
        <v>2705</v>
      </c>
      <c r="I287" s="16">
        <v>113</v>
      </c>
      <c r="J287" s="16">
        <v>112</v>
      </c>
      <c r="K287" s="16">
        <v>-5.5463887411760704E-3</v>
      </c>
      <c r="L287" s="16">
        <v>1.6389449797523901E-2</v>
      </c>
      <c r="M287" s="16">
        <v>-0.33841213766761302</v>
      </c>
      <c r="N287" s="16">
        <v>111</v>
      </c>
      <c r="O287" s="16">
        <v>0.73569189663665302</v>
      </c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 t="s">
        <v>402</v>
      </c>
      <c r="AI287" s="16"/>
      <c r="AJ287" s="16" t="s">
        <v>819</v>
      </c>
    </row>
    <row r="288" spans="1:36" ht="15" customHeight="1" x14ac:dyDescent="0.3">
      <c r="A288" s="16" t="s">
        <v>273</v>
      </c>
      <c r="B288" s="16" t="s">
        <v>487</v>
      </c>
      <c r="C288" s="16" t="s">
        <v>789</v>
      </c>
      <c r="D288" s="16" t="s">
        <v>324</v>
      </c>
      <c r="E288" s="16" t="s">
        <v>404</v>
      </c>
      <c r="F288" s="16" t="s">
        <v>790</v>
      </c>
      <c r="G288" s="16">
        <v>0.4</v>
      </c>
      <c r="H288" s="16">
        <v>929</v>
      </c>
      <c r="I288" s="16">
        <v>40</v>
      </c>
      <c r="J288" s="16">
        <v>40</v>
      </c>
      <c r="K288" s="16">
        <v>-2.1428271809878999E-2</v>
      </c>
      <c r="L288" s="16">
        <v>2.5804071332041999E-2</v>
      </c>
      <c r="M288" s="16">
        <v>-0.83042212735129906</v>
      </c>
      <c r="N288" s="16">
        <v>38</v>
      </c>
      <c r="O288" s="16">
        <v>0.41148728989775102</v>
      </c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 t="s">
        <v>402</v>
      </c>
      <c r="AI288" s="16"/>
      <c r="AJ288" s="16" t="s">
        <v>820</v>
      </c>
    </row>
    <row r="289" spans="1:36" ht="15" customHeight="1" x14ac:dyDescent="0.3">
      <c r="A289" s="16" t="s">
        <v>273</v>
      </c>
      <c r="B289" s="16" t="s">
        <v>489</v>
      </c>
      <c r="C289" s="16" t="s">
        <v>789</v>
      </c>
      <c r="D289" s="16" t="s">
        <v>324</v>
      </c>
      <c r="E289" s="16" t="s">
        <v>404</v>
      </c>
      <c r="F289" s="16" t="s">
        <v>790</v>
      </c>
      <c r="G289" s="16">
        <v>0.4</v>
      </c>
      <c r="H289" s="16">
        <v>2607</v>
      </c>
      <c r="I289" s="16">
        <v>110</v>
      </c>
      <c r="J289" s="16">
        <v>109</v>
      </c>
      <c r="K289" s="16">
        <v>1.05744411085973E-2</v>
      </c>
      <c r="L289" s="16">
        <v>5.0682241045849397E-2</v>
      </c>
      <c r="M289" s="16">
        <v>0.208641940261307</v>
      </c>
      <c r="N289" s="16">
        <v>108</v>
      </c>
      <c r="O289" s="16">
        <v>0.835120761587551</v>
      </c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 t="s">
        <v>402</v>
      </c>
      <c r="AI289" s="16"/>
      <c r="AJ289" s="16" t="s">
        <v>821</v>
      </c>
    </row>
    <row r="290" spans="1:36" ht="15" customHeight="1" x14ac:dyDescent="0.3">
      <c r="A290" s="16" t="s">
        <v>273</v>
      </c>
      <c r="B290" s="16" t="s">
        <v>491</v>
      </c>
      <c r="C290" s="16" t="s">
        <v>789</v>
      </c>
      <c r="D290" s="16" t="s">
        <v>324</v>
      </c>
      <c r="E290" s="16" t="s">
        <v>404</v>
      </c>
      <c r="F290" s="16" t="s">
        <v>790</v>
      </c>
      <c r="G290" s="16">
        <v>0.4</v>
      </c>
      <c r="H290" s="16">
        <v>2607</v>
      </c>
      <c r="I290" s="16">
        <v>110</v>
      </c>
      <c r="J290" s="16">
        <v>109</v>
      </c>
      <c r="K290" s="16">
        <v>-1.9906593000808999E-3</v>
      </c>
      <c r="L290" s="16">
        <v>5.3688753945754703E-2</v>
      </c>
      <c r="M290" s="16">
        <v>-3.70777705530696E-2</v>
      </c>
      <c r="N290" s="16">
        <v>108</v>
      </c>
      <c r="O290" s="16">
        <v>0.97049144406279897</v>
      </c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 t="s">
        <v>402</v>
      </c>
      <c r="AI290" s="16"/>
      <c r="AJ290" s="16" t="s">
        <v>822</v>
      </c>
    </row>
    <row r="291" spans="1:36" ht="15" customHeight="1" x14ac:dyDescent="0.3">
      <c r="A291" s="16" t="s">
        <v>273</v>
      </c>
      <c r="B291" s="16" t="s">
        <v>493</v>
      </c>
      <c r="C291" s="16" t="s">
        <v>789</v>
      </c>
      <c r="D291" s="16" t="s">
        <v>324</v>
      </c>
      <c r="E291" s="16" t="s">
        <v>404</v>
      </c>
      <c r="F291" s="16" t="s">
        <v>790</v>
      </c>
      <c r="G291" s="16">
        <v>0.4</v>
      </c>
      <c r="H291" s="16">
        <v>2607</v>
      </c>
      <c r="I291" s="16">
        <v>110</v>
      </c>
      <c r="J291" s="16">
        <v>109</v>
      </c>
      <c r="K291" s="16">
        <v>-3.9982632765652303E-2</v>
      </c>
      <c r="L291" s="16">
        <v>5.4796032795369702E-2</v>
      </c>
      <c r="M291" s="16">
        <v>-0.72966291036001596</v>
      </c>
      <c r="N291" s="16">
        <v>107</v>
      </c>
      <c r="O291" s="16">
        <v>0.46719060858282302</v>
      </c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 t="s">
        <v>402</v>
      </c>
      <c r="AI291" s="16"/>
      <c r="AJ291" s="16" t="s">
        <v>823</v>
      </c>
    </row>
    <row r="292" spans="1:36" ht="15" customHeight="1" x14ac:dyDescent="0.3">
      <c r="A292" s="16" t="s">
        <v>273</v>
      </c>
      <c r="B292" s="16" t="s">
        <v>495</v>
      </c>
      <c r="C292" s="16" t="s">
        <v>789</v>
      </c>
      <c r="D292" s="16" t="s">
        <v>324</v>
      </c>
      <c r="E292" s="16" t="s">
        <v>404</v>
      </c>
      <c r="F292" s="16" t="s">
        <v>790</v>
      </c>
      <c r="G292" s="16">
        <v>0.4</v>
      </c>
      <c r="H292" s="16">
        <v>2607</v>
      </c>
      <c r="I292" s="16">
        <v>110</v>
      </c>
      <c r="J292" s="16">
        <v>109</v>
      </c>
      <c r="K292" s="16">
        <v>-6.8392593989292398E-3</v>
      </c>
      <c r="L292" s="16">
        <v>5.6091561875876099E-2</v>
      </c>
      <c r="M292" s="16">
        <v>-0.121930272044549</v>
      </c>
      <c r="N292" s="16">
        <v>108</v>
      </c>
      <c r="O292" s="16">
        <v>0.90318082776926201</v>
      </c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 t="s">
        <v>402</v>
      </c>
      <c r="AI292" s="16"/>
      <c r="AJ292" s="16" t="s">
        <v>824</v>
      </c>
    </row>
    <row r="293" spans="1:36" ht="15" customHeight="1" x14ac:dyDescent="0.3">
      <c r="A293" s="16" t="s">
        <v>273</v>
      </c>
      <c r="B293" s="16" t="s">
        <v>497</v>
      </c>
      <c r="C293" s="16" t="s">
        <v>789</v>
      </c>
      <c r="D293" s="16" t="s">
        <v>324</v>
      </c>
      <c r="E293" s="16" t="s">
        <v>404</v>
      </c>
      <c r="F293" s="16" t="s">
        <v>790</v>
      </c>
      <c r="G293" s="16">
        <v>0.4</v>
      </c>
      <c r="H293" s="16">
        <v>2607</v>
      </c>
      <c r="I293" s="16">
        <v>110</v>
      </c>
      <c r="J293" s="16">
        <v>109</v>
      </c>
      <c r="K293" s="16">
        <v>1.73715486107229E-2</v>
      </c>
      <c r="L293" s="16">
        <v>6.67879821482283E-2</v>
      </c>
      <c r="M293" s="16">
        <v>0.26009991696064</v>
      </c>
      <c r="N293" s="16">
        <v>107</v>
      </c>
      <c r="O293" s="16">
        <v>0.79528654786624198</v>
      </c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 t="s">
        <v>402</v>
      </c>
      <c r="AI293" s="16"/>
      <c r="AJ293" s="16" t="s">
        <v>825</v>
      </c>
    </row>
    <row r="294" spans="1:36" ht="15" customHeight="1" x14ac:dyDescent="0.3">
      <c r="A294" s="16" t="s">
        <v>273</v>
      </c>
      <c r="B294" s="16" t="s">
        <v>499</v>
      </c>
      <c r="C294" s="16" t="s">
        <v>789</v>
      </c>
      <c r="D294" s="16" t="s">
        <v>324</v>
      </c>
      <c r="E294" s="16" t="s">
        <v>404</v>
      </c>
      <c r="F294" s="16" t="s">
        <v>790</v>
      </c>
      <c r="G294" s="16">
        <v>0.4</v>
      </c>
      <c r="H294" s="16">
        <v>2607</v>
      </c>
      <c r="I294" s="16">
        <v>110</v>
      </c>
      <c r="J294" s="16">
        <v>109</v>
      </c>
      <c r="K294" s="16">
        <v>2.09627061062919E-2</v>
      </c>
      <c r="L294" s="16">
        <v>7.0980469177788802E-2</v>
      </c>
      <c r="M294" s="16">
        <v>0.29533062191777498</v>
      </c>
      <c r="N294" s="16">
        <v>107</v>
      </c>
      <c r="O294" s="16">
        <v>0.768313640229217</v>
      </c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 t="s">
        <v>402</v>
      </c>
      <c r="AI294" s="16"/>
      <c r="AJ294" s="16" t="s">
        <v>826</v>
      </c>
    </row>
    <row r="295" spans="1:36" ht="15" customHeight="1" x14ac:dyDescent="0.3">
      <c r="A295" s="16" t="s">
        <v>273</v>
      </c>
      <c r="B295" s="16" t="s">
        <v>501</v>
      </c>
      <c r="C295" s="16" t="s">
        <v>789</v>
      </c>
      <c r="D295" s="16" t="s">
        <v>324</v>
      </c>
      <c r="E295" s="16" t="s">
        <v>404</v>
      </c>
      <c r="F295" s="16" t="s">
        <v>790</v>
      </c>
      <c r="G295" s="16">
        <v>0.4</v>
      </c>
      <c r="H295" s="16">
        <v>2607</v>
      </c>
      <c r="I295" s="16">
        <v>110</v>
      </c>
      <c r="J295" s="16">
        <v>109</v>
      </c>
      <c r="K295" s="16">
        <v>-5.1481287934661002E-2</v>
      </c>
      <c r="L295" s="16">
        <v>4.8115695117108503E-2</v>
      </c>
      <c r="M295" s="16">
        <v>-1.0699479205145199</v>
      </c>
      <c r="N295" s="16">
        <v>108</v>
      </c>
      <c r="O295" s="16">
        <v>0.28702818180251799</v>
      </c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 t="s">
        <v>402</v>
      </c>
      <c r="AI295" s="16"/>
      <c r="AJ295" s="16" t="s">
        <v>827</v>
      </c>
    </row>
    <row r="296" spans="1:36" ht="15" customHeight="1" x14ac:dyDescent="0.3">
      <c r="A296" s="16" t="s">
        <v>273</v>
      </c>
      <c r="B296" s="16" t="s">
        <v>503</v>
      </c>
      <c r="C296" s="16" t="s">
        <v>789</v>
      </c>
      <c r="D296" s="16" t="s">
        <v>324</v>
      </c>
      <c r="E296" s="16" t="s">
        <v>404</v>
      </c>
      <c r="F296" s="16" t="s">
        <v>790</v>
      </c>
      <c r="G296" s="16">
        <v>0.4</v>
      </c>
      <c r="H296" s="16">
        <v>2607</v>
      </c>
      <c r="I296" s="16">
        <v>110</v>
      </c>
      <c r="J296" s="16">
        <v>109</v>
      </c>
      <c r="K296" s="16">
        <v>2.7089355668462E-2</v>
      </c>
      <c r="L296" s="16">
        <v>4.5966915727597597E-2</v>
      </c>
      <c r="M296" s="16">
        <v>0.589322891033084</v>
      </c>
      <c r="N296" s="16">
        <v>108</v>
      </c>
      <c r="O296" s="16">
        <v>0.55687545829334795</v>
      </c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 t="s">
        <v>402</v>
      </c>
      <c r="AI296" s="16"/>
      <c r="AJ296" s="16" t="s">
        <v>828</v>
      </c>
    </row>
    <row r="297" spans="1:36" ht="15" customHeight="1" x14ac:dyDescent="0.3">
      <c r="A297" s="16" t="s">
        <v>273</v>
      </c>
      <c r="B297" s="16" t="s">
        <v>505</v>
      </c>
      <c r="C297" s="16" t="s">
        <v>789</v>
      </c>
      <c r="D297" s="16" t="s">
        <v>324</v>
      </c>
      <c r="E297" s="16" t="s">
        <v>404</v>
      </c>
      <c r="F297" s="16" t="s">
        <v>790</v>
      </c>
      <c r="G297" s="16">
        <v>0.4</v>
      </c>
      <c r="H297" s="16">
        <v>2607</v>
      </c>
      <c r="I297" s="16">
        <v>110</v>
      </c>
      <c r="J297" s="16">
        <v>109</v>
      </c>
      <c r="K297" s="16">
        <v>1.7391874216488901E-2</v>
      </c>
      <c r="L297" s="16">
        <v>4.5865377674239899E-2</v>
      </c>
      <c r="M297" s="16">
        <v>0.37919396063878802</v>
      </c>
      <c r="N297" s="16">
        <v>108</v>
      </c>
      <c r="O297" s="16">
        <v>0.70528834489485004</v>
      </c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 t="s">
        <v>402</v>
      </c>
      <c r="AI297" s="16"/>
      <c r="AJ297" s="16" t="s">
        <v>829</v>
      </c>
    </row>
    <row r="298" spans="1:36" ht="15" customHeight="1" x14ac:dyDescent="0.3">
      <c r="A298" s="16" t="s">
        <v>273</v>
      </c>
      <c r="B298" s="16" t="s">
        <v>507</v>
      </c>
      <c r="C298" s="16" t="s">
        <v>789</v>
      </c>
      <c r="D298" s="16" t="s">
        <v>324</v>
      </c>
      <c r="E298" s="16" t="s">
        <v>404</v>
      </c>
      <c r="F298" s="16" t="s">
        <v>790</v>
      </c>
      <c r="G298" s="16">
        <v>0.4</v>
      </c>
      <c r="H298" s="16">
        <v>905</v>
      </c>
      <c r="I298" s="16">
        <v>38</v>
      </c>
      <c r="J298" s="16">
        <v>38</v>
      </c>
      <c r="K298" s="16">
        <v>-2.5430532512939599E-2</v>
      </c>
      <c r="L298" s="16">
        <v>2.8159432160398599E-2</v>
      </c>
      <c r="M298" s="16">
        <v>-0.90309109814733002</v>
      </c>
      <c r="N298" s="16">
        <v>36</v>
      </c>
      <c r="O298" s="16">
        <v>0.37248093677973998</v>
      </c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 t="s">
        <v>402</v>
      </c>
      <c r="AI298" s="16"/>
      <c r="AJ298" s="16" t="s">
        <v>830</v>
      </c>
    </row>
    <row r="299" spans="1:36" ht="15" customHeight="1" x14ac:dyDescent="0.3">
      <c r="A299" s="16" t="s">
        <v>273</v>
      </c>
      <c r="B299" s="16" t="s">
        <v>509</v>
      </c>
      <c r="C299" s="16" t="s">
        <v>789</v>
      </c>
      <c r="D299" s="16" t="s">
        <v>324</v>
      </c>
      <c r="E299" s="16" t="s">
        <v>404</v>
      </c>
      <c r="F299" s="16" t="s">
        <v>790</v>
      </c>
      <c r="G299" s="16">
        <v>0.4</v>
      </c>
      <c r="H299" s="16">
        <v>2594</v>
      </c>
      <c r="I299" s="16">
        <v>110</v>
      </c>
      <c r="J299" s="16">
        <v>109</v>
      </c>
      <c r="K299" s="16">
        <v>-2.10765423148194E-2</v>
      </c>
      <c r="L299" s="16">
        <v>1.9011334864644E-2</v>
      </c>
      <c r="M299" s="16">
        <v>-1.1086303231666299</v>
      </c>
      <c r="N299" s="16">
        <v>108</v>
      </c>
      <c r="O299" s="16">
        <v>0.27005239345294901</v>
      </c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 t="s">
        <v>402</v>
      </c>
      <c r="AI299" s="16"/>
      <c r="AJ299" s="16" t="s">
        <v>831</v>
      </c>
    </row>
    <row r="300" spans="1:36" ht="15" customHeight="1" x14ac:dyDescent="0.3">
      <c r="A300" s="16" t="s">
        <v>273</v>
      </c>
      <c r="B300" s="16" t="s">
        <v>511</v>
      </c>
      <c r="C300" s="16" t="s">
        <v>789</v>
      </c>
      <c r="D300" s="16" t="s">
        <v>324</v>
      </c>
      <c r="E300" s="16" t="s">
        <v>404</v>
      </c>
      <c r="F300" s="16" t="s">
        <v>790</v>
      </c>
      <c r="G300" s="16">
        <v>0.4</v>
      </c>
      <c r="H300" s="16">
        <v>2594</v>
      </c>
      <c r="I300" s="16">
        <v>110</v>
      </c>
      <c r="J300" s="16">
        <v>109</v>
      </c>
      <c r="K300" s="16">
        <v>-3.2001961403961401E-2</v>
      </c>
      <c r="L300" s="16">
        <v>2.0038419826466002E-2</v>
      </c>
      <c r="M300" s="16">
        <v>-1.5970301890618299</v>
      </c>
      <c r="N300" s="16">
        <v>108</v>
      </c>
      <c r="O300" s="16">
        <v>0.11318090229861499</v>
      </c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 t="s">
        <v>402</v>
      </c>
      <c r="AI300" s="16"/>
      <c r="AJ300" s="16" t="s">
        <v>832</v>
      </c>
    </row>
    <row r="301" spans="1:36" ht="15" customHeight="1" x14ac:dyDescent="0.3">
      <c r="A301" s="16" t="s">
        <v>273</v>
      </c>
      <c r="B301" s="16" t="s">
        <v>513</v>
      </c>
      <c r="C301" s="16" t="s">
        <v>789</v>
      </c>
      <c r="D301" s="16" t="s">
        <v>324</v>
      </c>
      <c r="E301" s="16" t="s">
        <v>404</v>
      </c>
      <c r="F301" s="16" t="s">
        <v>790</v>
      </c>
      <c r="G301" s="16">
        <v>0.4</v>
      </c>
      <c r="H301" s="16">
        <v>2594</v>
      </c>
      <c r="I301" s="16">
        <v>110</v>
      </c>
      <c r="J301" s="16">
        <v>109</v>
      </c>
      <c r="K301" s="16">
        <v>-1.30271901475702E-2</v>
      </c>
      <c r="L301" s="16">
        <v>2.0911433822969502E-2</v>
      </c>
      <c r="M301" s="16">
        <v>-0.622969723542386</v>
      </c>
      <c r="N301" s="16">
        <v>107</v>
      </c>
      <c r="O301" s="16">
        <v>0.53462996317142497</v>
      </c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 t="s">
        <v>402</v>
      </c>
      <c r="AI301" s="16"/>
      <c r="AJ301" s="16" t="s">
        <v>833</v>
      </c>
    </row>
    <row r="302" spans="1:36" ht="15" customHeight="1" x14ac:dyDescent="0.3">
      <c r="A302" s="16" t="s">
        <v>273</v>
      </c>
      <c r="B302" s="16" t="s">
        <v>515</v>
      </c>
      <c r="C302" s="16" t="s">
        <v>789</v>
      </c>
      <c r="D302" s="16" t="s">
        <v>324</v>
      </c>
      <c r="E302" s="16" t="s">
        <v>404</v>
      </c>
      <c r="F302" s="16" t="s">
        <v>790</v>
      </c>
      <c r="G302" s="16">
        <v>0.4</v>
      </c>
      <c r="H302" s="16">
        <v>2594</v>
      </c>
      <c r="I302" s="16">
        <v>110</v>
      </c>
      <c r="J302" s="16">
        <v>109</v>
      </c>
      <c r="K302" s="16">
        <v>-3.5829891311098601E-2</v>
      </c>
      <c r="L302" s="16">
        <v>2.09146648801826E-2</v>
      </c>
      <c r="M302" s="16">
        <v>-1.7131468047115901</v>
      </c>
      <c r="N302" s="16">
        <v>108</v>
      </c>
      <c r="O302" s="16">
        <v>8.9554798554750903E-2</v>
      </c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 t="s">
        <v>402</v>
      </c>
      <c r="AI302" s="16"/>
      <c r="AJ302" s="16" t="s">
        <v>834</v>
      </c>
    </row>
    <row r="303" spans="1:36" ht="15" customHeight="1" x14ac:dyDescent="0.3">
      <c r="A303" s="16" t="s">
        <v>273</v>
      </c>
      <c r="B303" s="16" t="s">
        <v>517</v>
      </c>
      <c r="C303" s="16" t="s">
        <v>789</v>
      </c>
      <c r="D303" s="16" t="s">
        <v>324</v>
      </c>
      <c r="E303" s="16" t="s">
        <v>404</v>
      </c>
      <c r="F303" s="16" t="s">
        <v>790</v>
      </c>
      <c r="G303" s="16">
        <v>0.4</v>
      </c>
      <c r="H303" s="16">
        <v>2594</v>
      </c>
      <c r="I303" s="16">
        <v>110</v>
      </c>
      <c r="J303" s="16">
        <v>109</v>
      </c>
      <c r="K303" s="16">
        <v>-1.01542059499687E-2</v>
      </c>
      <c r="L303" s="16">
        <v>2.5204557358077199E-2</v>
      </c>
      <c r="M303" s="16">
        <v>-0.40287182217523099</v>
      </c>
      <c r="N303" s="16">
        <v>107</v>
      </c>
      <c r="O303" s="16">
        <v>0.68784633287731001</v>
      </c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 t="s">
        <v>402</v>
      </c>
      <c r="AI303" s="16"/>
      <c r="AJ303" s="16" t="s">
        <v>835</v>
      </c>
    </row>
    <row r="304" spans="1:36" ht="15" customHeight="1" x14ac:dyDescent="0.3">
      <c r="A304" s="16" t="s">
        <v>273</v>
      </c>
      <c r="B304" s="16" t="s">
        <v>519</v>
      </c>
      <c r="C304" s="16" t="s">
        <v>789</v>
      </c>
      <c r="D304" s="16" t="s">
        <v>324</v>
      </c>
      <c r="E304" s="16" t="s">
        <v>404</v>
      </c>
      <c r="F304" s="16" t="s">
        <v>790</v>
      </c>
      <c r="G304" s="16">
        <v>0.4</v>
      </c>
      <c r="H304" s="16">
        <v>2594</v>
      </c>
      <c r="I304" s="16">
        <v>110</v>
      </c>
      <c r="J304" s="16">
        <v>109</v>
      </c>
      <c r="K304" s="16">
        <v>-6.38384662522248E-3</v>
      </c>
      <c r="L304" s="16">
        <v>2.6793745626778599E-2</v>
      </c>
      <c r="M304" s="16">
        <v>-0.23825883525751701</v>
      </c>
      <c r="N304" s="16">
        <v>107</v>
      </c>
      <c r="O304" s="16">
        <v>0.812136029710819</v>
      </c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 t="s">
        <v>402</v>
      </c>
      <c r="AI304" s="16"/>
      <c r="AJ304" s="16" t="s">
        <v>836</v>
      </c>
    </row>
    <row r="305" spans="1:36" ht="15" customHeight="1" x14ac:dyDescent="0.3">
      <c r="A305" s="16" t="s">
        <v>273</v>
      </c>
      <c r="B305" s="16" t="s">
        <v>521</v>
      </c>
      <c r="C305" s="16" t="s">
        <v>789</v>
      </c>
      <c r="D305" s="16" t="s">
        <v>324</v>
      </c>
      <c r="E305" s="16" t="s">
        <v>404</v>
      </c>
      <c r="F305" s="16" t="s">
        <v>790</v>
      </c>
      <c r="G305" s="16">
        <v>0.4</v>
      </c>
      <c r="H305" s="16">
        <v>2594</v>
      </c>
      <c r="I305" s="16">
        <v>110</v>
      </c>
      <c r="J305" s="16">
        <v>109</v>
      </c>
      <c r="K305" s="16">
        <v>-2.24442677275156E-2</v>
      </c>
      <c r="L305" s="16">
        <v>1.8243244801004001E-2</v>
      </c>
      <c r="M305" s="16">
        <v>-1.23027827408644</v>
      </c>
      <c r="N305" s="16">
        <v>108</v>
      </c>
      <c r="O305" s="16">
        <v>0.22126592375410201</v>
      </c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 t="s">
        <v>402</v>
      </c>
      <c r="AI305" s="16"/>
      <c r="AJ305" s="16" t="s">
        <v>837</v>
      </c>
    </row>
    <row r="306" spans="1:36" ht="15" customHeight="1" x14ac:dyDescent="0.3">
      <c r="A306" s="16" t="s">
        <v>273</v>
      </c>
      <c r="B306" s="16" t="s">
        <v>523</v>
      </c>
      <c r="C306" s="16" t="s">
        <v>789</v>
      </c>
      <c r="D306" s="16" t="s">
        <v>324</v>
      </c>
      <c r="E306" s="16" t="s">
        <v>404</v>
      </c>
      <c r="F306" s="16" t="s">
        <v>790</v>
      </c>
      <c r="G306" s="16">
        <v>0.4</v>
      </c>
      <c r="H306" s="16">
        <v>2594</v>
      </c>
      <c r="I306" s="16">
        <v>110</v>
      </c>
      <c r="J306" s="16">
        <v>109</v>
      </c>
      <c r="K306" s="16">
        <v>-2.1183185854650299E-2</v>
      </c>
      <c r="L306" s="16">
        <v>1.73094871014907E-2</v>
      </c>
      <c r="M306" s="16">
        <v>-1.2237904988430299</v>
      </c>
      <c r="N306" s="16">
        <v>108</v>
      </c>
      <c r="O306" s="16">
        <v>0.223694450016553</v>
      </c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 t="s">
        <v>402</v>
      </c>
      <c r="AI306" s="16"/>
      <c r="AJ306" s="16" t="s">
        <v>838</v>
      </c>
    </row>
    <row r="307" spans="1:36" ht="15" customHeight="1" x14ac:dyDescent="0.3">
      <c r="A307" s="16" t="s">
        <v>273</v>
      </c>
      <c r="B307" s="16" t="s">
        <v>525</v>
      </c>
      <c r="C307" s="16" t="s">
        <v>789</v>
      </c>
      <c r="D307" s="16" t="s">
        <v>324</v>
      </c>
      <c r="E307" s="16" t="s">
        <v>404</v>
      </c>
      <c r="F307" s="16" t="s">
        <v>790</v>
      </c>
      <c r="G307" s="16">
        <v>0.4</v>
      </c>
      <c r="H307" s="16">
        <v>2594</v>
      </c>
      <c r="I307" s="16">
        <v>110</v>
      </c>
      <c r="J307" s="16">
        <v>109</v>
      </c>
      <c r="K307" s="16">
        <v>-1.91463084768137E-2</v>
      </c>
      <c r="L307" s="16">
        <v>1.7208042733469299E-2</v>
      </c>
      <c r="M307" s="16">
        <v>-1.11263719955638</v>
      </c>
      <c r="N307" s="16">
        <v>108</v>
      </c>
      <c r="O307" s="16">
        <v>0.26833472208304199</v>
      </c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 t="s">
        <v>402</v>
      </c>
      <c r="AI307" s="16"/>
      <c r="AJ307" s="16" t="s">
        <v>839</v>
      </c>
    </row>
    <row r="308" spans="1:36" ht="15" customHeight="1" x14ac:dyDescent="0.3">
      <c r="A308" s="16" t="s">
        <v>273</v>
      </c>
      <c r="B308" s="16" t="s">
        <v>527</v>
      </c>
      <c r="C308" s="16" t="s">
        <v>789</v>
      </c>
      <c r="D308" s="16" t="s">
        <v>324</v>
      </c>
      <c r="E308" s="16" t="s">
        <v>404</v>
      </c>
      <c r="F308" s="16" t="s">
        <v>790</v>
      </c>
      <c r="G308" s="16">
        <v>0.4</v>
      </c>
      <c r="H308" s="16">
        <v>900</v>
      </c>
      <c r="I308" s="16">
        <v>38</v>
      </c>
      <c r="J308" s="16">
        <v>38</v>
      </c>
      <c r="K308" s="16">
        <v>-2.9082282026430501E-2</v>
      </c>
      <c r="L308" s="16">
        <v>2.7701378217222902E-2</v>
      </c>
      <c r="M308" s="16">
        <v>-1.04984964280041</v>
      </c>
      <c r="N308" s="16">
        <v>36</v>
      </c>
      <c r="O308" s="16">
        <v>0.30078419565863701</v>
      </c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 t="s">
        <v>402</v>
      </c>
      <c r="AI308" s="16"/>
      <c r="AJ308" s="16" t="s">
        <v>840</v>
      </c>
    </row>
    <row r="309" spans="1:36" ht="15" customHeight="1" x14ac:dyDescent="0.3">
      <c r="A309" s="16" t="s">
        <v>273</v>
      </c>
      <c r="B309" s="16" t="s">
        <v>529</v>
      </c>
      <c r="C309" s="16" t="s">
        <v>789</v>
      </c>
      <c r="D309" s="16" t="s">
        <v>324</v>
      </c>
      <c r="E309" s="16" t="s">
        <v>404</v>
      </c>
      <c r="F309" s="16" t="s">
        <v>790</v>
      </c>
      <c r="G309" s="16">
        <v>0.4</v>
      </c>
      <c r="H309" s="16">
        <v>2607</v>
      </c>
      <c r="I309" s="16">
        <v>110</v>
      </c>
      <c r="J309" s="16">
        <v>109</v>
      </c>
      <c r="K309" s="16">
        <v>-1.7262561114140498E-2</v>
      </c>
      <c r="L309" s="16">
        <v>1.9022735801338699E-2</v>
      </c>
      <c r="M309" s="16">
        <v>-0.90746995040144296</v>
      </c>
      <c r="N309" s="16">
        <v>108</v>
      </c>
      <c r="O309" s="16">
        <v>0.36617871845751498</v>
      </c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 t="s">
        <v>402</v>
      </c>
      <c r="AI309" s="16"/>
      <c r="AJ309" s="16" t="s">
        <v>841</v>
      </c>
    </row>
    <row r="310" spans="1:36" ht="15" customHeight="1" x14ac:dyDescent="0.3">
      <c r="A310" s="16" t="s">
        <v>273</v>
      </c>
      <c r="B310" s="16" t="s">
        <v>531</v>
      </c>
      <c r="C310" s="16" t="s">
        <v>789</v>
      </c>
      <c r="D310" s="16" t="s">
        <v>324</v>
      </c>
      <c r="E310" s="16" t="s">
        <v>404</v>
      </c>
      <c r="F310" s="16" t="s">
        <v>790</v>
      </c>
      <c r="G310" s="16">
        <v>0.4</v>
      </c>
      <c r="H310" s="16">
        <v>2607</v>
      </c>
      <c r="I310" s="16">
        <v>110</v>
      </c>
      <c r="J310" s="16">
        <v>109</v>
      </c>
      <c r="K310" s="16">
        <v>-2.5641968548030299E-2</v>
      </c>
      <c r="L310" s="16">
        <v>2.0098163096883399E-2</v>
      </c>
      <c r="M310" s="16">
        <v>-1.27583642467338</v>
      </c>
      <c r="N310" s="16">
        <v>108</v>
      </c>
      <c r="O310" s="16">
        <v>0.204750525999259</v>
      </c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 t="s">
        <v>402</v>
      </c>
      <c r="AI310" s="16"/>
      <c r="AJ310" s="16" t="s">
        <v>842</v>
      </c>
    </row>
    <row r="311" spans="1:36" ht="15" customHeight="1" x14ac:dyDescent="0.3">
      <c r="A311" s="16" t="s">
        <v>273</v>
      </c>
      <c r="B311" s="16" t="s">
        <v>533</v>
      </c>
      <c r="C311" s="16" t="s">
        <v>789</v>
      </c>
      <c r="D311" s="16" t="s">
        <v>324</v>
      </c>
      <c r="E311" s="16" t="s">
        <v>404</v>
      </c>
      <c r="F311" s="16" t="s">
        <v>790</v>
      </c>
      <c r="G311" s="16">
        <v>0.4</v>
      </c>
      <c r="H311" s="16">
        <v>2607</v>
      </c>
      <c r="I311" s="16">
        <v>110</v>
      </c>
      <c r="J311" s="16">
        <v>109</v>
      </c>
      <c r="K311" s="16">
        <v>-1.21110378206827E-2</v>
      </c>
      <c r="L311" s="16">
        <v>2.08869532831156E-2</v>
      </c>
      <c r="M311" s="16">
        <v>-0.57983745434394696</v>
      </c>
      <c r="N311" s="16">
        <v>107</v>
      </c>
      <c r="O311" s="16">
        <v>0.56324319103426901</v>
      </c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 t="s">
        <v>402</v>
      </c>
      <c r="AI311" s="16"/>
      <c r="AJ311" s="16" t="s">
        <v>843</v>
      </c>
    </row>
    <row r="312" spans="1:36" ht="15" customHeight="1" x14ac:dyDescent="0.3">
      <c r="A312" s="16" t="s">
        <v>273</v>
      </c>
      <c r="B312" s="16" t="s">
        <v>535</v>
      </c>
      <c r="C312" s="16" t="s">
        <v>789</v>
      </c>
      <c r="D312" s="16" t="s">
        <v>324</v>
      </c>
      <c r="E312" s="16" t="s">
        <v>404</v>
      </c>
      <c r="F312" s="16" t="s">
        <v>790</v>
      </c>
      <c r="G312" s="16">
        <v>0.4</v>
      </c>
      <c r="H312" s="16">
        <v>2607</v>
      </c>
      <c r="I312" s="16">
        <v>110</v>
      </c>
      <c r="J312" s="16">
        <v>109</v>
      </c>
      <c r="K312" s="16">
        <v>-2.9728102376779399E-2</v>
      </c>
      <c r="L312" s="16">
        <v>2.0977385259341699E-2</v>
      </c>
      <c r="M312" s="16">
        <v>-1.4171500408298401</v>
      </c>
      <c r="N312" s="16">
        <v>108</v>
      </c>
      <c r="O312" s="16">
        <v>0.15931742549738601</v>
      </c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 t="s">
        <v>402</v>
      </c>
      <c r="AI312" s="16"/>
      <c r="AJ312" s="16" t="s">
        <v>844</v>
      </c>
    </row>
    <row r="313" spans="1:36" ht="15" customHeight="1" x14ac:dyDescent="0.3">
      <c r="A313" s="16" t="s">
        <v>273</v>
      </c>
      <c r="B313" s="16" t="s">
        <v>537</v>
      </c>
      <c r="C313" s="16" t="s">
        <v>789</v>
      </c>
      <c r="D313" s="16" t="s">
        <v>324</v>
      </c>
      <c r="E313" s="16" t="s">
        <v>404</v>
      </c>
      <c r="F313" s="16" t="s">
        <v>790</v>
      </c>
      <c r="G313" s="16">
        <v>0.4</v>
      </c>
      <c r="H313" s="16">
        <v>2607</v>
      </c>
      <c r="I313" s="16">
        <v>110</v>
      </c>
      <c r="J313" s="16">
        <v>109</v>
      </c>
      <c r="K313" s="16">
        <v>-4.6292247734271196E-3</v>
      </c>
      <c r="L313" s="16">
        <v>2.51868084711739E-2</v>
      </c>
      <c r="M313" s="16">
        <v>-0.18379560787645</v>
      </c>
      <c r="N313" s="16">
        <v>107</v>
      </c>
      <c r="O313" s="16">
        <v>0.85452165722236195</v>
      </c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 t="s">
        <v>402</v>
      </c>
      <c r="AI313" s="16"/>
      <c r="AJ313" s="16" t="s">
        <v>845</v>
      </c>
    </row>
    <row r="314" spans="1:36" ht="15" customHeight="1" x14ac:dyDescent="0.3">
      <c r="A314" s="16" t="s">
        <v>273</v>
      </c>
      <c r="B314" s="16" t="s">
        <v>539</v>
      </c>
      <c r="C314" s="16" t="s">
        <v>789</v>
      </c>
      <c r="D314" s="16" t="s">
        <v>324</v>
      </c>
      <c r="E314" s="16" t="s">
        <v>404</v>
      </c>
      <c r="F314" s="16" t="s">
        <v>790</v>
      </c>
      <c r="G314" s="16">
        <v>0.4</v>
      </c>
      <c r="H314" s="16">
        <v>2607</v>
      </c>
      <c r="I314" s="16">
        <v>110</v>
      </c>
      <c r="J314" s="16">
        <v>109</v>
      </c>
      <c r="K314" s="16">
        <v>-1.07161754703251E-3</v>
      </c>
      <c r="L314" s="16">
        <v>2.6766558702334201E-2</v>
      </c>
      <c r="M314" s="16">
        <v>-4.0035686281145101E-2</v>
      </c>
      <c r="N314" s="16">
        <v>107</v>
      </c>
      <c r="O314" s="16">
        <v>0.96813928210243405</v>
      </c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 t="s">
        <v>402</v>
      </c>
      <c r="AI314" s="16"/>
      <c r="AJ314" s="16" t="s">
        <v>846</v>
      </c>
    </row>
    <row r="315" spans="1:36" ht="15" customHeight="1" x14ac:dyDescent="0.3">
      <c r="A315" s="16" t="s">
        <v>273</v>
      </c>
      <c r="B315" s="16" t="s">
        <v>541</v>
      </c>
      <c r="C315" s="16" t="s">
        <v>789</v>
      </c>
      <c r="D315" s="16" t="s">
        <v>324</v>
      </c>
      <c r="E315" s="16" t="s">
        <v>404</v>
      </c>
      <c r="F315" s="16" t="s">
        <v>790</v>
      </c>
      <c r="G315" s="16">
        <v>0.4</v>
      </c>
      <c r="H315" s="16">
        <v>2607</v>
      </c>
      <c r="I315" s="16">
        <v>110</v>
      </c>
      <c r="J315" s="16">
        <v>109</v>
      </c>
      <c r="K315" s="16">
        <v>-1.8339204243743999E-2</v>
      </c>
      <c r="L315" s="16">
        <v>1.82586051128244E-2</v>
      </c>
      <c r="M315" s="16">
        <v>-1.0044143093309501</v>
      </c>
      <c r="N315" s="16">
        <v>108</v>
      </c>
      <c r="O315" s="16">
        <v>0.317424061283892</v>
      </c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 t="s">
        <v>402</v>
      </c>
      <c r="AI315" s="16"/>
      <c r="AJ315" s="16" t="s">
        <v>847</v>
      </c>
    </row>
    <row r="316" spans="1:36" ht="15" customHeight="1" x14ac:dyDescent="0.3">
      <c r="A316" s="16" t="s">
        <v>273</v>
      </c>
      <c r="B316" s="16" t="s">
        <v>543</v>
      </c>
      <c r="C316" s="16" t="s">
        <v>789</v>
      </c>
      <c r="D316" s="16" t="s">
        <v>324</v>
      </c>
      <c r="E316" s="16" t="s">
        <v>404</v>
      </c>
      <c r="F316" s="16" t="s">
        <v>790</v>
      </c>
      <c r="G316" s="16">
        <v>0.4</v>
      </c>
      <c r="H316" s="16">
        <v>2607</v>
      </c>
      <c r="I316" s="16">
        <v>110</v>
      </c>
      <c r="J316" s="16">
        <v>109</v>
      </c>
      <c r="K316" s="16">
        <v>-9.6717595931566005E-3</v>
      </c>
      <c r="L316" s="16">
        <v>1.7384207577745801E-2</v>
      </c>
      <c r="M316" s="16">
        <v>-0.55635320447610104</v>
      </c>
      <c r="N316" s="16">
        <v>108</v>
      </c>
      <c r="O316" s="16">
        <v>0.57912034839622395</v>
      </c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 t="s">
        <v>402</v>
      </c>
      <c r="AI316" s="16"/>
      <c r="AJ316" s="16" t="s">
        <v>848</v>
      </c>
    </row>
    <row r="317" spans="1:36" ht="15" customHeight="1" x14ac:dyDescent="0.3">
      <c r="A317" s="16" t="s">
        <v>273</v>
      </c>
      <c r="B317" s="16" t="s">
        <v>545</v>
      </c>
      <c r="C317" s="16" t="s">
        <v>789</v>
      </c>
      <c r="D317" s="16" t="s">
        <v>324</v>
      </c>
      <c r="E317" s="16" t="s">
        <v>404</v>
      </c>
      <c r="F317" s="16" t="s">
        <v>790</v>
      </c>
      <c r="G317" s="16">
        <v>0.4</v>
      </c>
      <c r="H317" s="16">
        <v>2607</v>
      </c>
      <c r="I317" s="16">
        <v>110</v>
      </c>
      <c r="J317" s="16">
        <v>109</v>
      </c>
      <c r="K317" s="16">
        <v>-1.02140007931249E-2</v>
      </c>
      <c r="L317" s="16">
        <v>1.7256768930962799E-2</v>
      </c>
      <c r="M317" s="16">
        <v>-0.59188373176849496</v>
      </c>
      <c r="N317" s="16">
        <v>108</v>
      </c>
      <c r="O317" s="16">
        <v>0.55516546074085005</v>
      </c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 t="s">
        <v>402</v>
      </c>
      <c r="AI317" s="16"/>
      <c r="AJ317" s="16" t="s">
        <v>849</v>
      </c>
    </row>
    <row r="318" spans="1:36" ht="15" customHeight="1" x14ac:dyDescent="0.3">
      <c r="A318" s="16" t="s">
        <v>273</v>
      </c>
      <c r="B318" s="16" t="s">
        <v>547</v>
      </c>
      <c r="C318" s="16" t="s">
        <v>789</v>
      </c>
      <c r="D318" s="16" t="s">
        <v>324</v>
      </c>
      <c r="E318" s="16" t="s">
        <v>404</v>
      </c>
      <c r="F318" s="16" t="s">
        <v>790</v>
      </c>
      <c r="G318" s="16">
        <v>0.4</v>
      </c>
      <c r="H318" s="16">
        <v>905</v>
      </c>
      <c r="I318" s="16">
        <v>38</v>
      </c>
      <c r="J318" s="16">
        <v>38</v>
      </c>
      <c r="K318" s="16">
        <v>-2.3811218595856699E-2</v>
      </c>
      <c r="L318" s="16">
        <v>2.67940518921722E-2</v>
      </c>
      <c r="M318" s="16">
        <v>-0.88867554230620205</v>
      </c>
      <c r="N318" s="16">
        <v>36</v>
      </c>
      <c r="O318" s="16">
        <v>0.38007716175844403</v>
      </c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 t="s">
        <v>402</v>
      </c>
      <c r="AI318" s="16"/>
      <c r="AJ318" s="16" t="s">
        <v>850</v>
      </c>
    </row>
    <row r="319" spans="1:36" ht="15" customHeight="1" x14ac:dyDescent="0.3">
      <c r="A319" s="16" t="s">
        <v>273</v>
      </c>
      <c r="B319" s="16" t="s">
        <v>549</v>
      </c>
      <c r="C319" s="16" t="s">
        <v>789</v>
      </c>
      <c r="D319" s="16" t="s">
        <v>324</v>
      </c>
      <c r="E319" s="16" t="s">
        <v>404</v>
      </c>
      <c r="F319" s="16" t="s">
        <v>790</v>
      </c>
      <c r="G319" s="16">
        <v>0.4</v>
      </c>
      <c r="H319" s="16">
        <v>2705</v>
      </c>
      <c r="I319" s="16">
        <v>113</v>
      </c>
      <c r="J319" s="16">
        <v>112</v>
      </c>
      <c r="K319" s="16">
        <v>1.5895837266066699E-2</v>
      </c>
      <c r="L319" s="16">
        <v>4.9516036452114998E-2</v>
      </c>
      <c r="M319" s="16">
        <v>0.32102402383193501</v>
      </c>
      <c r="N319" s="16">
        <v>111</v>
      </c>
      <c r="O319" s="16">
        <v>0.74879582597954097</v>
      </c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 t="s">
        <v>402</v>
      </c>
      <c r="AI319" s="16"/>
      <c r="AJ319" s="16" t="s">
        <v>851</v>
      </c>
    </row>
    <row r="320" spans="1:36" ht="15" customHeight="1" x14ac:dyDescent="0.3">
      <c r="A320" s="16" t="s">
        <v>273</v>
      </c>
      <c r="B320" s="16" t="s">
        <v>551</v>
      </c>
      <c r="C320" s="16" t="s">
        <v>789</v>
      </c>
      <c r="D320" s="16" t="s">
        <v>324</v>
      </c>
      <c r="E320" s="16" t="s">
        <v>404</v>
      </c>
      <c r="F320" s="16" t="s">
        <v>790</v>
      </c>
      <c r="G320" s="16">
        <v>0.4</v>
      </c>
      <c r="H320" s="16">
        <v>2705</v>
      </c>
      <c r="I320" s="16">
        <v>113</v>
      </c>
      <c r="J320" s="16">
        <v>112</v>
      </c>
      <c r="K320" s="16">
        <v>3.79966857970145E-3</v>
      </c>
      <c r="L320" s="16">
        <v>5.2523790841998701E-2</v>
      </c>
      <c r="M320" s="16">
        <v>7.2341857257248399E-2</v>
      </c>
      <c r="N320" s="16">
        <v>111</v>
      </c>
      <c r="O320" s="16">
        <v>0.94246004557665197</v>
      </c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 t="s">
        <v>402</v>
      </c>
      <c r="AI320" s="16"/>
      <c r="AJ320" s="16" t="s">
        <v>852</v>
      </c>
    </row>
    <row r="321" spans="1:36" ht="15" customHeight="1" x14ac:dyDescent="0.3">
      <c r="A321" s="16" t="s">
        <v>273</v>
      </c>
      <c r="B321" s="16" t="s">
        <v>553</v>
      </c>
      <c r="C321" s="16" t="s">
        <v>789</v>
      </c>
      <c r="D321" s="16" t="s">
        <v>324</v>
      </c>
      <c r="E321" s="16" t="s">
        <v>404</v>
      </c>
      <c r="F321" s="16" t="s">
        <v>790</v>
      </c>
      <c r="G321" s="16">
        <v>0.4</v>
      </c>
      <c r="H321" s="16">
        <v>2705</v>
      </c>
      <c r="I321" s="16">
        <v>113</v>
      </c>
      <c r="J321" s="16">
        <v>112</v>
      </c>
      <c r="K321" s="16">
        <v>-4.1503532922226499E-2</v>
      </c>
      <c r="L321" s="16">
        <v>5.21782402670668E-2</v>
      </c>
      <c r="M321" s="16">
        <v>-0.79541841023761395</v>
      </c>
      <c r="N321" s="16">
        <v>110</v>
      </c>
      <c r="O321" s="16">
        <v>0.42808320183047999</v>
      </c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 t="s">
        <v>402</v>
      </c>
      <c r="AI321" s="16"/>
      <c r="AJ321" s="16" t="s">
        <v>853</v>
      </c>
    </row>
    <row r="322" spans="1:36" ht="15" customHeight="1" x14ac:dyDescent="0.3">
      <c r="A322" s="16" t="s">
        <v>273</v>
      </c>
      <c r="B322" s="16" t="s">
        <v>555</v>
      </c>
      <c r="C322" s="16" t="s">
        <v>789</v>
      </c>
      <c r="D322" s="16" t="s">
        <v>324</v>
      </c>
      <c r="E322" s="16" t="s">
        <v>404</v>
      </c>
      <c r="F322" s="16" t="s">
        <v>790</v>
      </c>
      <c r="G322" s="16">
        <v>0.4</v>
      </c>
      <c r="H322" s="16">
        <v>2705</v>
      </c>
      <c r="I322" s="16">
        <v>113</v>
      </c>
      <c r="J322" s="16">
        <v>112</v>
      </c>
      <c r="K322" s="16">
        <v>-6.9912680552506495E-4</v>
      </c>
      <c r="L322" s="16">
        <v>5.4911854054858301E-2</v>
      </c>
      <c r="M322" s="16">
        <v>-1.27318011303465E-2</v>
      </c>
      <c r="N322" s="16">
        <v>111</v>
      </c>
      <c r="O322" s="16">
        <v>0.98986462220326599</v>
      </c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 t="s">
        <v>402</v>
      </c>
      <c r="AI322" s="16"/>
      <c r="AJ322" s="16" t="s">
        <v>854</v>
      </c>
    </row>
    <row r="323" spans="1:36" ht="15" customHeight="1" x14ac:dyDescent="0.3">
      <c r="A323" s="16" t="s">
        <v>273</v>
      </c>
      <c r="B323" s="16" t="s">
        <v>557</v>
      </c>
      <c r="C323" s="16" t="s">
        <v>789</v>
      </c>
      <c r="D323" s="16" t="s">
        <v>324</v>
      </c>
      <c r="E323" s="16" t="s">
        <v>404</v>
      </c>
      <c r="F323" s="16" t="s">
        <v>790</v>
      </c>
      <c r="G323" s="16">
        <v>0.4</v>
      </c>
      <c r="H323" s="16">
        <v>2705</v>
      </c>
      <c r="I323" s="16">
        <v>113</v>
      </c>
      <c r="J323" s="16">
        <v>112</v>
      </c>
      <c r="K323" s="16">
        <v>1.9120457824039198E-2</v>
      </c>
      <c r="L323" s="16">
        <v>6.5454283880656799E-2</v>
      </c>
      <c r="M323" s="16">
        <v>0.29211927303187202</v>
      </c>
      <c r="N323" s="16">
        <v>110</v>
      </c>
      <c r="O323" s="16">
        <v>0.77074566669822397</v>
      </c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 t="s">
        <v>402</v>
      </c>
      <c r="AI323" s="16"/>
      <c r="AJ323" s="16" t="s">
        <v>855</v>
      </c>
    </row>
    <row r="324" spans="1:36" ht="15" customHeight="1" x14ac:dyDescent="0.3">
      <c r="A324" s="16" t="s">
        <v>273</v>
      </c>
      <c r="B324" s="16" t="s">
        <v>559</v>
      </c>
      <c r="C324" s="16" t="s">
        <v>789</v>
      </c>
      <c r="D324" s="16" t="s">
        <v>324</v>
      </c>
      <c r="E324" s="16" t="s">
        <v>404</v>
      </c>
      <c r="F324" s="16" t="s">
        <v>790</v>
      </c>
      <c r="G324" s="16">
        <v>0.4</v>
      </c>
      <c r="H324" s="16">
        <v>2705</v>
      </c>
      <c r="I324" s="16">
        <v>113</v>
      </c>
      <c r="J324" s="16">
        <v>112</v>
      </c>
      <c r="K324" s="16">
        <v>2.2865194121321101E-2</v>
      </c>
      <c r="L324" s="16">
        <v>6.9584555011640806E-2</v>
      </c>
      <c r="M324" s="16">
        <v>0.32859582298824702</v>
      </c>
      <c r="N324" s="16">
        <v>110</v>
      </c>
      <c r="O324" s="16">
        <v>0.74308593278071799</v>
      </c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 t="s">
        <v>402</v>
      </c>
      <c r="AI324" s="16"/>
      <c r="AJ324" s="16" t="s">
        <v>856</v>
      </c>
    </row>
    <row r="325" spans="1:36" ht="15" customHeight="1" x14ac:dyDescent="0.3">
      <c r="A325" s="16" t="s">
        <v>273</v>
      </c>
      <c r="B325" s="16" t="s">
        <v>561</v>
      </c>
      <c r="C325" s="16" t="s">
        <v>789</v>
      </c>
      <c r="D325" s="16" t="s">
        <v>324</v>
      </c>
      <c r="E325" s="16" t="s">
        <v>404</v>
      </c>
      <c r="F325" s="16" t="s">
        <v>790</v>
      </c>
      <c r="G325" s="16">
        <v>0.4</v>
      </c>
      <c r="H325" s="16">
        <v>2705</v>
      </c>
      <c r="I325" s="16">
        <v>113</v>
      </c>
      <c r="J325" s="16">
        <v>112</v>
      </c>
      <c r="K325" s="16">
        <v>-4.3976054595329203E-2</v>
      </c>
      <c r="L325" s="16">
        <v>4.6406215570465301E-2</v>
      </c>
      <c r="M325" s="16">
        <v>-0.94763285595986502</v>
      </c>
      <c r="N325" s="16">
        <v>111</v>
      </c>
      <c r="O325" s="16">
        <v>0.34537489370438701</v>
      </c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 t="s">
        <v>402</v>
      </c>
      <c r="AI325" s="16"/>
      <c r="AJ325" s="16" t="s">
        <v>857</v>
      </c>
    </row>
    <row r="326" spans="1:36" ht="15" customHeight="1" x14ac:dyDescent="0.3">
      <c r="A326" s="16" t="s">
        <v>273</v>
      </c>
      <c r="B326" s="16" t="s">
        <v>563</v>
      </c>
      <c r="C326" s="16" t="s">
        <v>789</v>
      </c>
      <c r="D326" s="16" t="s">
        <v>324</v>
      </c>
      <c r="E326" s="16" t="s">
        <v>404</v>
      </c>
      <c r="F326" s="16" t="s">
        <v>790</v>
      </c>
      <c r="G326" s="16">
        <v>0.4</v>
      </c>
      <c r="H326" s="16">
        <v>2705</v>
      </c>
      <c r="I326" s="16">
        <v>113</v>
      </c>
      <c r="J326" s="16">
        <v>112</v>
      </c>
      <c r="K326" s="16">
        <v>3.1105416812020802E-2</v>
      </c>
      <c r="L326" s="16">
        <v>4.4461229181845398E-2</v>
      </c>
      <c r="M326" s="16">
        <v>0.69960766682361397</v>
      </c>
      <c r="N326" s="16">
        <v>111</v>
      </c>
      <c r="O326" s="16">
        <v>0.48563591008956802</v>
      </c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 t="s">
        <v>402</v>
      </c>
      <c r="AI326" s="16"/>
      <c r="AJ326" s="16" t="s">
        <v>858</v>
      </c>
    </row>
    <row r="327" spans="1:36" ht="15" customHeight="1" x14ac:dyDescent="0.3">
      <c r="A327" s="16" t="s">
        <v>273</v>
      </c>
      <c r="B327" s="16" t="s">
        <v>565</v>
      </c>
      <c r="C327" s="16" t="s">
        <v>789</v>
      </c>
      <c r="D327" s="16" t="s">
        <v>324</v>
      </c>
      <c r="E327" s="16" t="s">
        <v>404</v>
      </c>
      <c r="F327" s="16" t="s">
        <v>790</v>
      </c>
      <c r="G327" s="16">
        <v>0.4</v>
      </c>
      <c r="H327" s="16">
        <v>2705</v>
      </c>
      <c r="I327" s="16">
        <v>113</v>
      </c>
      <c r="J327" s="16">
        <v>112</v>
      </c>
      <c r="K327" s="16">
        <v>2.1138629420837499E-2</v>
      </c>
      <c r="L327" s="16">
        <v>4.4469774654791301E-2</v>
      </c>
      <c r="M327" s="16">
        <v>0.47534824686951599</v>
      </c>
      <c r="N327" s="16">
        <v>111</v>
      </c>
      <c r="O327" s="16">
        <v>0.635472849318237</v>
      </c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 t="s">
        <v>402</v>
      </c>
      <c r="AI327" s="16"/>
      <c r="AJ327" s="16" t="s">
        <v>859</v>
      </c>
    </row>
    <row r="328" spans="1:36" ht="15" customHeight="1" x14ac:dyDescent="0.3">
      <c r="A328" s="16" t="s">
        <v>273</v>
      </c>
      <c r="B328" s="16" t="s">
        <v>567</v>
      </c>
      <c r="C328" s="16" t="s">
        <v>789</v>
      </c>
      <c r="D328" s="16" t="s">
        <v>324</v>
      </c>
      <c r="E328" s="16" t="s">
        <v>404</v>
      </c>
      <c r="F328" s="16" t="s">
        <v>790</v>
      </c>
      <c r="G328" s="16">
        <v>0.4</v>
      </c>
      <c r="H328" s="16">
        <v>929</v>
      </c>
      <c r="I328" s="16">
        <v>40</v>
      </c>
      <c r="J328" s="16">
        <v>40</v>
      </c>
      <c r="K328" s="16">
        <v>-2.3934814813518598E-2</v>
      </c>
      <c r="L328" s="16">
        <v>2.73843780524794E-2</v>
      </c>
      <c r="M328" s="16">
        <v>-0.87403171135199298</v>
      </c>
      <c r="N328" s="16">
        <v>38</v>
      </c>
      <c r="O328" s="16">
        <v>0.38759145652103699</v>
      </c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 t="s">
        <v>402</v>
      </c>
      <c r="AI328" s="16"/>
      <c r="AJ328" s="16" t="s">
        <v>860</v>
      </c>
    </row>
    <row r="329" spans="1:36" ht="15" customHeight="1" x14ac:dyDescent="0.3">
      <c r="A329" s="16" t="s">
        <v>273</v>
      </c>
      <c r="B329" s="16" t="s">
        <v>569</v>
      </c>
      <c r="C329" s="16" t="s">
        <v>789</v>
      </c>
      <c r="D329" s="16" t="s">
        <v>324</v>
      </c>
      <c r="E329" s="16" t="s">
        <v>404</v>
      </c>
      <c r="F329" s="16" t="s">
        <v>790</v>
      </c>
      <c r="G329" s="16">
        <v>0.4</v>
      </c>
      <c r="H329" s="16">
        <v>2692</v>
      </c>
      <c r="I329" s="16">
        <v>113</v>
      </c>
      <c r="J329" s="16">
        <v>112</v>
      </c>
      <c r="K329" s="16">
        <v>-1.4743100746135499E-2</v>
      </c>
      <c r="L329" s="16">
        <v>1.8186942652148701E-2</v>
      </c>
      <c r="M329" s="16">
        <v>-0.81064206492088298</v>
      </c>
      <c r="N329" s="16">
        <v>111</v>
      </c>
      <c r="O329" s="16">
        <v>0.41930591047113303</v>
      </c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 t="s">
        <v>402</v>
      </c>
      <c r="AI329" s="16"/>
      <c r="AJ329" s="16" t="s">
        <v>861</v>
      </c>
    </row>
    <row r="330" spans="1:36" ht="15" customHeight="1" x14ac:dyDescent="0.3">
      <c r="A330" s="16" t="s">
        <v>273</v>
      </c>
      <c r="B330" s="16" t="s">
        <v>571</v>
      </c>
      <c r="C330" s="16" t="s">
        <v>789</v>
      </c>
      <c r="D330" s="16" t="s">
        <v>324</v>
      </c>
      <c r="E330" s="16" t="s">
        <v>404</v>
      </c>
      <c r="F330" s="16" t="s">
        <v>790</v>
      </c>
      <c r="G330" s="16">
        <v>0.4</v>
      </c>
      <c r="H330" s="16">
        <v>2692</v>
      </c>
      <c r="I330" s="16">
        <v>113</v>
      </c>
      <c r="J330" s="16">
        <v>112</v>
      </c>
      <c r="K330" s="16">
        <v>-2.5307694250693898E-2</v>
      </c>
      <c r="L330" s="16">
        <v>1.9218271492322501E-2</v>
      </c>
      <c r="M330" s="16">
        <v>-1.3168559025094499</v>
      </c>
      <c r="N330" s="16">
        <v>111</v>
      </c>
      <c r="O330" s="16">
        <v>0.190599201006693</v>
      </c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 t="s">
        <v>402</v>
      </c>
      <c r="AI330" s="16"/>
      <c r="AJ330" s="16" t="s">
        <v>862</v>
      </c>
    </row>
    <row r="331" spans="1:36" ht="15" customHeight="1" x14ac:dyDescent="0.3">
      <c r="A331" s="16" t="s">
        <v>273</v>
      </c>
      <c r="B331" s="16" t="s">
        <v>573</v>
      </c>
      <c r="C331" s="16" t="s">
        <v>789</v>
      </c>
      <c r="D331" s="16" t="s">
        <v>324</v>
      </c>
      <c r="E331" s="16" t="s">
        <v>404</v>
      </c>
      <c r="F331" s="16" t="s">
        <v>790</v>
      </c>
      <c r="G331" s="16">
        <v>0.4</v>
      </c>
      <c r="H331" s="16">
        <v>2692</v>
      </c>
      <c r="I331" s="16">
        <v>113</v>
      </c>
      <c r="J331" s="16">
        <v>112</v>
      </c>
      <c r="K331" s="16">
        <v>-1.3766667071009899E-2</v>
      </c>
      <c r="L331" s="16">
        <v>1.9437609461131801E-2</v>
      </c>
      <c r="M331" s="16">
        <v>-0.70824897982122204</v>
      </c>
      <c r="N331" s="16">
        <v>110</v>
      </c>
      <c r="O331" s="16">
        <v>0.480288781863766</v>
      </c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 t="s">
        <v>402</v>
      </c>
      <c r="AI331" s="16"/>
      <c r="AJ331" s="16" t="s">
        <v>863</v>
      </c>
    </row>
    <row r="332" spans="1:36" ht="15" customHeight="1" x14ac:dyDescent="0.3">
      <c r="A332" s="16" t="s">
        <v>273</v>
      </c>
      <c r="B332" s="16" t="s">
        <v>575</v>
      </c>
      <c r="C332" s="16" t="s">
        <v>789</v>
      </c>
      <c r="D332" s="16" t="s">
        <v>324</v>
      </c>
      <c r="E332" s="16" t="s">
        <v>404</v>
      </c>
      <c r="F332" s="16" t="s">
        <v>790</v>
      </c>
      <c r="G332" s="16">
        <v>0.4</v>
      </c>
      <c r="H332" s="16">
        <v>2692</v>
      </c>
      <c r="I332" s="16">
        <v>113</v>
      </c>
      <c r="J332" s="16">
        <v>112</v>
      </c>
      <c r="K332" s="16">
        <v>-2.8821547857619201E-2</v>
      </c>
      <c r="L332" s="16">
        <v>2.0078140305990099E-2</v>
      </c>
      <c r="M332" s="16">
        <v>-1.43546899356115</v>
      </c>
      <c r="N332" s="16">
        <v>111</v>
      </c>
      <c r="O332" s="16">
        <v>0.15396544646643201</v>
      </c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 t="s">
        <v>402</v>
      </c>
      <c r="AI332" s="16"/>
      <c r="AJ332" s="16" t="s">
        <v>864</v>
      </c>
    </row>
    <row r="333" spans="1:36" ht="15" customHeight="1" x14ac:dyDescent="0.3">
      <c r="A333" s="16" t="s">
        <v>273</v>
      </c>
      <c r="B333" s="16" t="s">
        <v>577</v>
      </c>
      <c r="C333" s="16" t="s">
        <v>789</v>
      </c>
      <c r="D333" s="16" t="s">
        <v>324</v>
      </c>
      <c r="E333" s="16" t="s">
        <v>404</v>
      </c>
      <c r="F333" s="16" t="s">
        <v>790</v>
      </c>
      <c r="G333" s="16">
        <v>0.4</v>
      </c>
      <c r="H333" s="16">
        <v>2692</v>
      </c>
      <c r="I333" s="16">
        <v>113</v>
      </c>
      <c r="J333" s="16">
        <v>112</v>
      </c>
      <c r="K333" s="16">
        <v>-7.7556860632465403E-3</v>
      </c>
      <c r="L333" s="16">
        <v>2.4130697224574602E-2</v>
      </c>
      <c r="M333" s="16">
        <v>-0.32140331425435098</v>
      </c>
      <c r="N333" s="16">
        <v>110</v>
      </c>
      <c r="O333" s="16">
        <v>0.74851467321338305</v>
      </c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 t="s">
        <v>402</v>
      </c>
      <c r="AI333" s="16"/>
      <c r="AJ333" s="16" t="s">
        <v>865</v>
      </c>
    </row>
    <row r="334" spans="1:36" ht="15" customHeight="1" x14ac:dyDescent="0.3">
      <c r="A334" s="16" t="s">
        <v>273</v>
      </c>
      <c r="B334" s="16" t="s">
        <v>579</v>
      </c>
      <c r="C334" s="16" t="s">
        <v>789</v>
      </c>
      <c r="D334" s="16" t="s">
        <v>324</v>
      </c>
      <c r="E334" s="16" t="s">
        <v>404</v>
      </c>
      <c r="F334" s="16" t="s">
        <v>790</v>
      </c>
      <c r="G334" s="16">
        <v>0.4</v>
      </c>
      <c r="H334" s="16">
        <v>2692</v>
      </c>
      <c r="I334" s="16">
        <v>113</v>
      </c>
      <c r="J334" s="16">
        <v>112</v>
      </c>
      <c r="K334" s="16">
        <v>-3.8761067922329002E-3</v>
      </c>
      <c r="L334" s="16">
        <v>2.5657111233123201E-2</v>
      </c>
      <c r="M334" s="16">
        <v>-0.15107339080437401</v>
      </c>
      <c r="N334" s="16">
        <v>110</v>
      </c>
      <c r="O334" s="16">
        <v>0.88019452487987504</v>
      </c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 t="s">
        <v>402</v>
      </c>
      <c r="AI334" s="16"/>
      <c r="AJ334" s="16" t="s">
        <v>866</v>
      </c>
    </row>
    <row r="335" spans="1:36" ht="15" customHeight="1" x14ac:dyDescent="0.3">
      <c r="A335" s="16" t="s">
        <v>273</v>
      </c>
      <c r="B335" s="16" t="s">
        <v>581</v>
      </c>
      <c r="C335" s="16" t="s">
        <v>789</v>
      </c>
      <c r="D335" s="16" t="s">
        <v>324</v>
      </c>
      <c r="E335" s="16" t="s">
        <v>404</v>
      </c>
      <c r="F335" s="16" t="s">
        <v>790</v>
      </c>
      <c r="G335" s="16">
        <v>0.4</v>
      </c>
      <c r="H335" s="16">
        <v>2692</v>
      </c>
      <c r="I335" s="16">
        <v>113</v>
      </c>
      <c r="J335" s="16">
        <v>112</v>
      </c>
      <c r="K335" s="16">
        <v>-1.53421986597349E-2</v>
      </c>
      <c r="L335" s="16">
        <v>1.7207590910042599E-2</v>
      </c>
      <c r="M335" s="16">
        <v>-0.89159480487073905</v>
      </c>
      <c r="N335" s="16">
        <v>111</v>
      </c>
      <c r="O335" s="16">
        <v>0.37453880876819801</v>
      </c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 t="s">
        <v>402</v>
      </c>
      <c r="AI335" s="16"/>
      <c r="AJ335" s="16" t="s">
        <v>867</v>
      </c>
    </row>
    <row r="336" spans="1:36" ht="15" customHeight="1" x14ac:dyDescent="0.3">
      <c r="A336" s="16" t="s">
        <v>273</v>
      </c>
      <c r="B336" s="16" t="s">
        <v>583</v>
      </c>
      <c r="C336" s="16" t="s">
        <v>789</v>
      </c>
      <c r="D336" s="16" t="s">
        <v>324</v>
      </c>
      <c r="E336" s="16" t="s">
        <v>404</v>
      </c>
      <c r="F336" s="16" t="s">
        <v>790</v>
      </c>
      <c r="G336" s="16">
        <v>0.4</v>
      </c>
      <c r="H336" s="16">
        <v>2692</v>
      </c>
      <c r="I336" s="16">
        <v>113</v>
      </c>
      <c r="J336" s="16">
        <v>112</v>
      </c>
      <c r="K336" s="16">
        <v>-1.5494865759223399E-2</v>
      </c>
      <c r="L336" s="16">
        <v>1.64017016922537E-2</v>
      </c>
      <c r="M336" s="16">
        <v>-0.94471086293085005</v>
      </c>
      <c r="N336" s="16">
        <v>111</v>
      </c>
      <c r="O336" s="16">
        <v>0.34685835893161798</v>
      </c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 t="s">
        <v>402</v>
      </c>
      <c r="AI336" s="16"/>
      <c r="AJ336" s="16" t="s">
        <v>868</v>
      </c>
    </row>
    <row r="337" spans="1:36" ht="15" customHeight="1" x14ac:dyDescent="0.3">
      <c r="A337" s="16" t="s">
        <v>273</v>
      </c>
      <c r="B337" s="16" t="s">
        <v>585</v>
      </c>
      <c r="C337" s="16" t="s">
        <v>789</v>
      </c>
      <c r="D337" s="16" t="s">
        <v>324</v>
      </c>
      <c r="E337" s="16" t="s">
        <v>404</v>
      </c>
      <c r="F337" s="16" t="s">
        <v>790</v>
      </c>
      <c r="G337" s="16">
        <v>0.4</v>
      </c>
      <c r="H337" s="16">
        <v>2692</v>
      </c>
      <c r="I337" s="16">
        <v>113</v>
      </c>
      <c r="J337" s="16">
        <v>112</v>
      </c>
      <c r="K337" s="16">
        <v>-1.44290090153906E-2</v>
      </c>
      <c r="L337" s="16">
        <v>1.6330732694676098E-2</v>
      </c>
      <c r="M337" s="16">
        <v>-0.883549396414683</v>
      </c>
      <c r="N337" s="16">
        <v>111</v>
      </c>
      <c r="O337" s="16">
        <v>0.37884916460639401</v>
      </c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 t="s">
        <v>402</v>
      </c>
      <c r="AI337" s="16"/>
      <c r="AJ337" s="16" t="s">
        <v>869</v>
      </c>
    </row>
    <row r="338" spans="1:36" ht="15" customHeight="1" x14ac:dyDescent="0.3">
      <c r="A338" s="16" t="s">
        <v>273</v>
      </c>
      <c r="B338" s="16" t="s">
        <v>587</v>
      </c>
      <c r="C338" s="16" t="s">
        <v>789</v>
      </c>
      <c r="D338" s="16" t="s">
        <v>324</v>
      </c>
      <c r="E338" s="16" t="s">
        <v>404</v>
      </c>
      <c r="F338" s="16" t="s">
        <v>790</v>
      </c>
      <c r="G338" s="16">
        <v>0.4</v>
      </c>
      <c r="H338" s="16">
        <v>924</v>
      </c>
      <c r="I338" s="16">
        <v>40</v>
      </c>
      <c r="J338" s="16">
        <v>40</v>
      </c>
      <c r="K338" s="16">
        <v>-2.7350778194912499E-2</v>
      </c>
      <c r="L338" s="16">
        <v>2.70141923986832E-2</v>
      </c>
      <c r="M338" s="16">
        <v>-1.01245959128675</v>
      </c>
      <c r="N338" s="16">
        <v>38</v>
      </c>
      <c r="O338" s="16">
        <v>0.31772191248694298</v>
      </c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 t="s">
        <v>402</v>
      </c>
      <c r="AI338" s="16"/>
      <c r="AJ338" s="16" t="s">
        <v>870</v>
      </c>
    </row>
    <row r="339" spans="1:36" ht="15" customHeight="1" x14ac:dyDescent="0.3">
      <c r="A339" s="16" t="s">
        <v>273</v>
      </c>
      <c r="B339" s="16" t="s">
        <v>589</v>
      </c>
      <c r="C339" s="16" t="s">
        <v>789</v>
      </c>
      <c r="D339" s="16" t="s">
        <v>324</v>
      </c>
      <c r="E339" s="16" t="s">
        <v>404</v>
      </c>
      <c r="F339" s="16" t="s">
        <v>790</v>
      </c>
      <c r="G339" s="16">
        <v>0.4</v>
      </c>
      <c r="H339" s="16">
        <v>2705</v>
      </c>
      <c r="I339" s="16">
        <v>113</v>
      </c>
      <c r="J339" s="16">
        <v>112</v>
      </c>
      <c r="K339" s="16">
        <v>-1.1346721245054901E-2</v>
      </c>
      <c r="L339" s="16">
        <v>1.82352820504347E-2</v>
      </c>
      <c r="M339" s="16">
        <v>-0.62223996391568703</v>
      </c>
      <c r="N339" s="16">
        <v>111</v>
      </c>
      <c r="O339" s="16">
        <v>0.53506019405951499</v>
      </c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 t="s">
        <v>402</v>
      </c>
      <c r="AI339" s="16"/>
      <c r="AJ339" s="16" t="s">
        <v>871</v>
      </c>
    </row>
    <row r="340" spans="1:36" ht="15" customHeight="1" x14ac:dyDescent="0.3">
      <c r="A340" s="16" t="s">
        <v>273</v>
      </c>
      <c r="B340" s="16" t="s">
        <v>591</v>
      </c>
      <c r="C340" s="16" t="s">
        <v>789</v>
      </c>
      <c r="D340" s="16" t="s">
        <v>324</v>
      </c>
      <c r="E340" s="16" t="s">
        <v>404</v>
      </c>
      <c r="F340" s="16" t="s">
        <v>790</v>
      </c>
      <c r="G340" s="16">
        <v>0.4</v>
      </c>
      <c r="H340" s="16">
        <v>2705</v>
      </c>
      <c r="I340" s="16">
        <v>113</v>
      </c>
      <c r="J340" s="16">
        <v>112</v>
      </c>
      <c r="K340" s="16">
        <v>-1.9356632787475399E-2</v>
      </c>
      <c r="L340" s="16">
        <v>1.9308390322296899E-2</v>
      </c>
      <c r="M340" s="16">
        <v>-1.00249852340735</v>
      </c>
      <c r="N340" s="16">
        <v>111</v>
      </c>
      <c r="O340" s="16">
        <v>0.31828329809574402</v>
      </c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 t="s">
        <v>402</v>
      </c>
      <c r="AI340" s="16"/>
      <c r="AJ340" s="16" t="s">
        <v>872</v>
      </c>
    </row>
    <row r="341" spans="1:36" ht="15" customHeight="1" x14ac:dyDescent="0.3">
      <c r="A341" s="16" t="s">
        <v>273</v>
      </c>
      <c r="B341" s="16" t="s">
        <v>593</v>
      </c>
      <c r="C341" s="16" t="s">
        <v>789</v>
      </c>
      <c r="D341" s="16" t="s">
        <v>324</v>
      </c>
      <c r="E341" s="16" t="s">
        <v>404</v>
      </c>
      <c r="F341" s="16" t="s">
        <v>790</v>
      </c>
      <c r="G341" s="16">
        <v>0.4</v>
      </c>
      <c r="H341" s="16">
        <v>2705</v>
      </c>
      <c r="I341" s="16">
        <v>113</v>
      </c>
      <c r="J341" s="16">
        <v>112</v>
      </c>
      <c r="K341" s="16">
        <v>-1.27995913436723E-2</v>
      </c>
      <c r="L341" s="16">
        <v>1.9465530131759501E-2</v>
      </c>
      <c r="M341" s="16">
        <v>-0.65755164421588497</v>
      </c>
      <c r="N341" s="16">
        <v>110</v>
      </c>
      <c r="O341" s="16">
        <v>0.51219989112561704</v>
      </c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 t="s">
        <v>402</v>
      </c>
      <c r="AI341" s="16"/>
      <c r="AJ341" s="16" t="s">
        <v>873</v>
      </c>
    </row>
    <row r="342" spans="1:36" ht="15" customHeight="1" x14ac:dyDescent="0.3">
      <c r="A342" s="16" t="s">
        <v>273</v>
      </c>
      <c r="B342" s="16" t="s">
        <v>595</v>
      </c>
      <c r="C342" s="16" t="s">
        <v>789</v>
      </c>
      <c r="D342" s="16" t="s">
        <v>324</v>
      </c>
      <c r="E342" s="16" t="s">
        <v>404</v>
      </c>
      <c r="F342" s="16" t="s">
        <v>790</v>
      </c>
      <c r="G342" s="16">
        <v>0.4</v>
      </c>
      <c r="H342" s="16">
        <v>2705</v>
      </c>
      <c r="I342" s="16">
        <v>113</v>
      </c>
      <c r="J342" s="16">
        <v>112</v>
      </c>
      <c r="K342" s="16">
        <v>-2.3114138561875601E-2</v>
      </c>
      <c r="L342" s="16">
        <v>2.0173701660761802E-2</v>
      </c>
      <c r="M342" s="16">
        <v>-1.14575594259099</v>
      </c>
      <c r="N342" s="16">
        <v>111</v>
      </c>
      <c r="O342" s="16">
        <v>0.25436031237113899</v>
      </c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 t="s">
        <v>402</v>
      </c>
      <c r="AI342" s="16"/>
      <c r="AJ342" s="16" t="s">
        <v>874</v>
      </c>
    </row>
    <row r="343" spans="1:36" ht="15" customHeight="1" x14ac:dyDescent="0.3">
      <c r="A343" s="16" t="s">
        <v>273</v>
      </c>
      <c r="B343" s="16" t="s">
        <v>597</v>
      </c>
      <c r="C343" s="16" t="s">
        <v>789</v>
      </c>
      <c r="D343" s="16" t="s">
        <v>324</v>
      </c>
      <c r="E343" s="16" t="s">
        <v>404</v>
      </c>
      <c r="F343" s="16" t="s">
        <v>790</v>
      </c>
      <c r="G343" s="16">
        <v>0.4</v>
      </c>
      <c r="H343" s="16">
        <v>2705</v>
      </c>
      <c r="I343" s="16">
        <v>113</v>
      </c>
      <c r="J343" s="16">
        <v>112</v>
      </c>
      <c r="K343" s="16">
        <v>-2.6105722579851699E-3</v>
      </c>
      <c r="L343" s="16">
        <v>2.4173800459759399E-2</v>
      </c>
      <c r="M343" s="16">
        <v>-0.107991801385588</v>
      </c>
      <c r="N343" s="16">
        <v>110</v>
      </c>
      <c r="O343" s="16">
        <v>0.91419892907259703</v>
      </c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 t="s">
        <v>402</v>
      </c>
      <c r="AI343" s="16"/>
      <c r="AJ343" s="16" t="s">
        <v>875</v>
      </c>
    </row>
    <row r="344" spans="1:36" ht="15" customHeight="1" x14ac:dyDescent="0.3">
      <c r="A344" s="16" t="s">
        <v>273</v>
      </c>
      <c r="B344" s="16" t="s">
        <v>599</v>
      </c>
      <c r="C344" s="16" t="s">
        <v>789</v>
      </c>
      <c r="D344" s="16" t="s">
        <v>324</v>
      </c>
      <c r="E344" s="16" t="s">
        <v>404</v>
      </c>
      <c r="F344" s="16" t="s">
        <v>790</v>
      </c>
      <c r="G344" s="16">
        <v>0.4</v>
      </c>
      <c r="H344" s="16">
        <v>2705</v>
      </c>
      <c r="I344" s="16">
        <v>113</v>
      </c>
      <c r="J344" s="16">
        <v>112</v>
      </c>
      <c r="K344" s="16">
        <v>1.0579541990942099E-3</v>
      </c>
      <c r="L344" s="16">
        <v>2.5695618035095701E-2</v>
      </c>
      <c r="M344" s="16">
        <v>4.1172553143078099E-2</v>
      </c>
      <c r="N344" s="16">
        <v>110</v>
      </c>
      <c r="O344" s="16">
        <v>0.96723297299873201</v>
      </c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 t="s">
        <v>402</v>
      </c>
      <c r="AI344" s="16"/>
      <c r="AJ344" s="16" t="s">
        <v>876</v>
      </c>
    </row>
    <row r="345" spans="1:36" ht="15" customHeight="1" x14ac:dyDescent="0.3">
      <c r="A345" s="16" t="s">
        <v>273</v>
      </c>
      <c r="B345" s="16" t="s">
        <v>601</v>
      </c>
      <c r="C345" s="16" t="s">
        <v>789</v>
      </c>
      <c r="D345" s="16" t="s">
        <v>324</v>
      </c>
      <c r="E345" s="16" t="s">
        <v>404</v>
      </c>
      <c r="F345" s="16" t="s">
        <v>790</v>
      </c>
      <c r="G345" s="16">
        <v>0.4</v>
      </c>
      <c r="H345" s="16">
        <v>2705</v>
      </c>
      <c r="I345" s="16">
        <v>113</v>
      </c>
      <c r="J345" s="16">
        <v>112</v>
      </c>
      <c r="K345" s="16">
        <v>-1.1978282488572399E-2</v>
      </c>
      <c r="L345" s="16">
        <v>1.7253963718020699E-2</v>
      </c>
      <c r="M345" s="16">
        <v>-0.69423366620748195</v>
      </c>
      <c r="N345" s="16">
        <v>111</v>
      </c>
      <c r="O345" s="16">
        <v>0.48898612985170897</v>
      </c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 t="s">
        <v>402</v>
      </c>
      <c r="AI345" s="16"/>
      <c r="AJ345" s="16" t="s">
        <v>877</v>
      </c>
    </row>
    <row r="346" spans="1:36" ht="15" customHeight="1" x14ac:dyDescent="0.3">
      <c r="A346" s="16" t="s">
        <v>273</v>
      </c>
      <c r="B346" s="16" t="s">
        <v>603</v>
      </c>
      <c r="C346" s="16" t="s">
        <v>789</v>
      </c>
      <c r="D346" s="16" t="s">
        <v>324</v>
      </c>
      <c r="E346" s="16" t="s">
        <v>404</v>
      </c>
      <c r="F346" s="16" t="s">
        <v>790</v>
      </c>
      <c r="G346" s="16">
        <v>0.4</v>
      </c>
      <c r="H346" s="16">
        <v>2705</v>
      </c>
      <c r="I346" s="16">
        <v>113</v>
      </c>
      <c r="J346" s="16">
        <v>112</v>
      </c>
      <c r="K346" s="16">
        <v>-4.7473377114366899E-3</v>
      </c>
      <c r="L346" s="16">
        <v>1.64882061614877E-2</v>
      </c>
      <c r="M346" s="16">
        <v>-0.28792323827957</v>
      </c>
      <c r="N346" s="16">
        <v>111</v>
      </c>
      <c r="O346" s="16">
        <v>0.77394239913749996</v>
      </c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 t="s">
        <v>402</v>
      </c>
      <c r="AI346" s="16"/>
      <c r="AJ346" s="16" t="s">
        <v>878</v>
      </c>
    </row>
    <row r="347" spans="1:36" ht="15" customHeight="1" x14ac:dyDescent="0.3">
      <c r="A347" s="16" t="s">
        <v>273</v>
      </c>
      <c r="B347" s="16" t="s">
        <v>605</v>
      </c>
      <c r="C347" s="16" t="s">
        <v>789</v>
      </c>
      <c r="D347" s="16" t="s">
        <v>324</v>
      </c>
      <c r="E347" s="16" t="s">
        <v>404</v>
      </c>
      <c r="F347" s="16" t="s">
        <v>790</v>
      </c>
      <c r="G347" s="16">
        <v>0.4</v>
      </c>
      <c r="H347" s="16">
        <v>2705</v>
      </c>
      <c r="I347" s="16">
        <v>113</v>
      </c>
      <c r="J347" s="16">
        <v>112</v>
      </c>
      <c r="K347" s="16">
        <v>-6.0343151705209101E-3</v>
      </c>
      <c r="L347" s="16">
        <v>1.64023256923202E-2</v>
      </c>
      <c r="M347" s="16">
        <v>-0.367893875765817</v>
      </c>
      <c r="N347" s="16">
        <v>111</v>
      </c>
      <c r="O347" s="16">
        <v>0.71365296235576803</v>
      </c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 t="s">
        <v>402</v>
      </c>
      <c r="AI347" s="16"/>
      <c r="AJ347" s="16" t="s">
        <v>879</v>
      </c>
    </row>
    <row r="348" spans="1:36" ht="15" customHeight="1" x14ac:dyDescent="0.3">
      <c r="A348" s="16" t="s">
        <v>273</v>
      </c>
      <c r="B348" s="16" t="s">
        <v>607</v>
      </c>
      <c r="C348" s="16" t="s">
        <v>789</v>
      </c>
      <c r="D348" s="16" t="s">
        <v>324</v>
      </c>
      <c r="E348" s="16" t="s">
        <v>404</v>
      </c>
      <c r="F348" s="16" t="s">
        <v>790</v>
      </c>
      <c r="G348" s="16">
        <v>0.4</v>
      </c>
      <c r="H348" s="16">
        <v>929</v>
      </c>
      <c r="I348" s="16">
        <v>40</v>
      </c>
      <c r="J348" s="16">
        <v>40</v>
      </c>
      <c r="K348" s="16">
        <v>-2.223976718861E-2</v>
      </c>
      <c r="L348" s="16">
        <v>2.5831763122236E-2</v>
      </c>
      <c r="M348" s="16">
        <v>-0.86094654411978599</v>
      </c>
      <c r="N348" s="16">
        <v>38</v>
      </c>
      <c r="O348" s="16">
        <v>0.39466747828151799</v>
      </c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 t="s">
        <v>402</v>
      </c>
      <c r="AI348" s="16"/>
      <c r="AJ348" s="16" t="s">
        <v>880</v>
      </c>
    </row>
    <row r="349" spans="1:36" ht="15" customHeight="1" x14ac:dyDescent="0.3">
      <c r="A349" s="16" t="s">
        <v>273</v>
      </c>
      <c r="B349" s="16" t="s">
        <v>609</v>
      </c>
      <c r="C349" s="16" t="s">
        <v>789</v>
      </c>
      <c r="D349" s="16" t="s">
        <v>324</v>
      </c>
      <c r="E349" s="16" t="s">
        <v>404</v>
      </c>
      <c r="F349" s="16" t="s">
        <v>790</v>
      </c>
      <c r="G349" s="16">
        <v>0.4</v>
      </c>
      <c r="H349" s="16">
        <v>2607</v>
      </c>
      <c r="I349" s="16">
        <v>110</v>
      </c>
      <c r="J349" s="16">
        <v>109</v>
      </c>
      <c r="K349" s="16">
        <v>1.01803067015242E-2</v>
      </c>
      <c r="L349" s="16">
        <v>5.0794298912761701E-2</v>
      </c>
      <c r="M349" s="16">
        <v>0.20042223082965799</v>
      </c>
      <c r="N349" s="16">
        <v>108</v>
      </c>
      <c r="O349" s="16">
        <v>0.84152730409166299</v>
      </c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 t="s">
        <v>402</v>
      </c>
      <c r="AI349" s="16"/>
      <c r="AJ349" s="16" t="s">
        <v>881</v>
      </c>
    </row>
    <row r="350" spans="1:36" ht="15" customHeight="1" x14ac:dyDescent="0.3">
      <c r="A350" s="16" t="s">
        <v>273</v>
      </c>
      <c r="B350" s="16" t="s">
        <v>611</v>
      </c>
      <c r="C350" s="16" t="s">
        <v>789</v>
      </c>
      <c r="D350" s="16" t="s">
        <v>324</v>
      </c>
      <c r="E350" s="16" t="s">
        <v>404</v>
      </c>
      <c r="F350" s="16" t="s">
        <v>790</v>
      </c>
      <c r="G350" s="16">
        <v>0.4</v>
      </c>
      <c r="H350" s="16">
        <v>2607</v>
      </c>
      <c r="I350" s="16">
        <v>110</v>
      </c>
      <c r="J350" s="16">
        <v>109</v>
      </c>
      <c r="K350" s="16">
        <v>-2.363122212114E-3</v>
      </c>
      <c r="L350" s="16">
        <v>5.3805921271971403E-2</v>
      </c>
      <c r="M350" s="16">
        <v>-4.3919370884278497E-2</v>
      </c>
      <c r="N350" s="16">
        <v>108</v>
      </c>
      <c r="O350" s="16">
        <v>0.96504977450730001</v>
      </c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 t="s">
        <v>402</v>
      </c>
      <c r="AI350" s="16"/>
      <c r="AJ350" s="16" t="s">
        <v>882</v>
      </c>
    </row>
    <row r="351" spans="1:36" ht="15" customHeight="1" x14ac:dyDescent="0.3">
      <c r="A351" s="16" t="s">
        <v>273</v>
      </c>
      <c r="B351" s="16" t="s">
        <v>613</v>
      </c>
      <c r="C351" s="16" t="s">
        <v>789</v>
      </c>
      <c r="D351" s="16" t="s">
        <v>324</v>
      </c>
      <c r="E351" s="16" t="s">
        <v>404</v>
      </c>
      <c r="F351" s="16" t="s">
        <v>790</v>
      </c>
      <c r="G351" s="16">
        <v>0.4</v>
      </c>
      <c r="H351" s="16">
        <v>2607</v>
      </c>
      <c r="I351" s="16">
        <v>110</v>
      </c>
      <c r="J351" s="16">
        <v>109</v>
      </c>
      <c r="K351" s="16">
        <v>-4.1717201788460702E-2</v>
      </c>
      <c r="L351" s="16">
        <v>5.4931520856223499E-2</v>
      </c>
      <c r="M351" s="16">
        <v>-0.75944013816129996</v>
      </c>
      <c r="N351" s="16">
        <v>107</v>
      </c>
      <c r="O351" s="16">
        <v>0.44925920802922698</v>
      </c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 t="s">
        <v>402</v>
      </c>
      <c r="AI351" s="16"/>
      <c r="AJ351" s="16" t="s">
        <v>883</v>
      </c>
    </row>
    <row r="352" spans="1:36" ht="15" customHeight="1" x14ac:dyDescent="0.3">
      <c r="A352" s="16" t="s">
        <v>273</v>
      </c>
      <c r="B352" s="16" t="s">
        <v>615</v>
      </c>
      <c r="C352" s="16" t="s">
        <v>789</v>
      </c>
      <c r="D352" s="16" t="s">
        <v>324</v>
      </c>
      <c r="E352" s="16" t="s">
        <v>404</v>
      </c>
      <c r="F352" s="16" t="s">
        <v>790</v>
      </c>
      <c r="G352" s="16">
        <v>0.4</v>
      </c>
      <c r="H352" s="16">
        <v>2607</v>
      </c>
      <c r="I352" s="16">
        <v>110</v>
      </c>
      <c r="J352" s="16">
        <v>109</v>
      </c>
      <c r="K352" s="16">
        <v>-7.2032539165766902E-3</v>
      </c>
      <c r="L352" s="16">
        <v>5.6213416438467001E-2</v>
      </c>
      <c r="M352" s="16">
        <v>-0.128141187157013</v>
      </c>
      <c r="N352" s="16">
        <v>108</v>
      </c>
      <c r="O352" s="16">
        <v>0.89827554990442404</v>
      </c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 t="s">
        <v>402</v>
      </c>
      <c r="AI352" s="16"/>
      <c r="AJ352" s="16" t="s">
        <v>884</v>
      </c>
    </row>
    <row r="353" spans="1:36" ht="15" customHeight="1" x14ac:dyDescent="0.3">
      <c r="A353" s="16" t="s">
        <v>273</v>
      </c>
      <c r="B353" s="16" t="s">
        <v>617</v>
      </c>
      <c r="C353" s="16" t="s">
        <v>789</v>
      </c>
      <c r="D353" s="16" t="s">
        <v>324</v>
      </c>
      <c r="E353" s="16" t="s">
        <v>404</v>
      </c>
      <c r="F353" s="16" t="s">
        <v>790</v>
      </c>
      <c r="G353" s="16">
        <v>0.4</v>
      </c>
      <c r="H353" s="16">
        <v>2607</v>
      </c>
      <c r="I353" s="16">
        <v>110</v>
      </c>
      <c r="J353" s="16">
        <v>109</v>
      </c>
      <c r="K353" s="16">
        <v>1.7169899159083801E-2</v>
      </c>
      <c r="L353" s="16">
        <v>6.6932813908752595E-2</v>
      </c>
      <c r="M353" s="16">
        <v>0.25652438850831699</v>
      </c>
      <c r="N353" s="16">
        <v>107</v>
      </c>
      <c r="O353" s="16">
        <v>0.79803852834798605</v>
      </c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 t="s">
        <v>402</v>
      </c>
      <c r="AI353" s="16"/>
      <c r="AJ353" s="16" t="s">
        <v>885</v>
      </c>
    </row>
    <row r="354" spans="1:36" ht="15" customHeight="1" x14ac:dyDescent="0.3">
      <c r="A354" s="16" t="s">
        <v>273</v>
      </c>
      <c r="B354" s="16" t="s">
        <v>619</v>
      </c>
      <c r="C354" s="16" t="s">
        <v>789</v>
      </c>
      <c r="D354" s="16" t="s">
        <v>324</v>
      </c>
      <c r="E354" s="16" t="s">
        <v>404</v>
      </c>
      <c r="F354" s="16" t="s">
        <v>790</v>
      </c>
      <c r="G354" s="16">
        <v>0.4</v>
      </c>
      <c r="H354" s="16">
        <v>2607</v>
      </c>
      <c r="I354" s="16">
        <v>110</v>
      </c>
      <c r="J354" s="16">
        <v>109</v>
      </c>
      <c r="K354" s="16">
        <v>2.09316804717007E-2</v>
      </c>
      <c r="L354" s="16">
        <v>7.1133845104256105E-2</v>
      </c>
      <c r="M354" s="16">
        <v>0.29425768339982999</v>
      </c>
      <c r="N354" s="16">
        <v>107</v>
      </c>
      <c r="O354" s="16">
        <v>0.76913108925201301</v>
      </c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 t="s">
        <v>402</v>
      </c>
      <c r="AI354" s="16"/>
      <c r="AJ354" s="16" t="s">
        <v>886</v>
      </c>
    </row>
    <row r="355" spans="1:36" ht="15" customHeight="1" x14ac:dyDescent="0.3">
      <c r="A355" s="16" t="s">
        <v>273</v>
      </c>
      <c r="B355" s="16" t="s">
        <v>621</v>
      </c>
      <c r="C355" s="16" t="s">
        <v>789</v>
      </c>
      <c r="D355" s="16" t="s">
        <v>324</v>
      </c>
      <c r="E355" s="16" t="s">
        <v>404</v>
      </c>
      <c r="F355" s="16" t="s">
        <v>790</v>
      </c>
      <c r="G355" s="16">
        <v>0.4</v>
      </c>
      <c r="H355" s="16">
        <v>2607</v>
      </c>
      <c r="I355" s="16">
        <v>110</v>
      </c>
      <c r="J355" s="16">
        <v>109</v>
      </c>
      <c r="K355" s="16">
        <v>-5.2759091504755599E-2</v>
      </c>
      <c r="L355" s="16">
        <v>4.8222397400921199E-2</v>
      </c>
      <c r="M355" s="16">
        <v>-1.09407856822456</v>
      </c>
      <c r="N355" s="16">
        <v>108</v>
      </c>
      <c r="O355" s="16">
        <v>0.27635468251147499</v>
      </c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 t="s">
        <v>402</v>
      </c>
      <c r="AI355" s="16"/>
      <c r="AJ355" s="16" t="s">
        <v>887</v>
      </c>
    </row>
    <row r="356" spans="1:36" ht="15" customHeight="1" x14ac:dyDescent="0.3">
      <c r="A356" s="16" t="s">
        <v>273</v>
      </c>
      <c r="B356" s="16" t="s">
        <v>623</v>
      </c>
      <c r="C356" s="16" t="s">
        <v>789</v>
      </c>
      <c r="D356" s="16" t="s">
        <v>324</v>
      </c>
      <c r="E356" s="16" t="s">
        <v>404</v>
      </c>
      <c r="F356" s="16" t="s">
        <v>790</v>
      </c>
      <c r="G356" s="16">
        <v>0.4</v>
      </c>
      <c r="H356" s="16">
        <v>2607</v>
      </c>
      <c r="I356" s="16">
        <v>110</v>
      </c>
      <c r="J356" s="16">
        <v>109</v>
      </c>
      <c r="K356" s="16">
        <v>2.6371389184877699E-2</v>
      </c>
      <c r="L356" s="16">
        <v>4.6078594014643801E-2</v>
      </c>
      <c r="M356" s="16">
        <v>0.57231323456824301</v>
      </c>
      <c r="N356" s="16">
        <v>108</v>
      </c>
      <c r="O356" s="16">
        <v>0.56829922344533701</v>
      </c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 t="s">
        <v>402</v>
      </c>
      <c r="AI356" s="16"/>
      <c r="AJ356" s="16" t="s">
        <v>888</v>
      </c>
    </row>
    <row r="357" spans="1:36" ht="15" customHeight="1" x14ac:dyDescent="0.3">
      <c r="A357" s="16" t="s">
        <v>273</v>
      </c>
      <c r="B357" s="16" t="s">
        <v>625</v>
      </c>
      <c r="C357" s="16" t="s">
        <v>789</v>
      </c>
      <c r="D357" s="16" t="s">
        <v>324</v>
      </c>
      <c r="E357" s="16" t="s">
        <v>404</v>
      </c>
      <c r="F357" s="16" t="s">
        <v>790</v>
      </c>
      <c r="G357" s="16">
        <v>0.4</v>
      </c>
      <c r="H357" s="16">
        <v>2607</v>
      </c>
      <c r="I357" s="16">
        <v>110</v>
      </c>
      <c r="J357" s="16">
        <v>109</v>
      </c>
      <c r="K357" s="16">
        <v>1.6801105443643501E-2</v>
      </c>
      <c r="L357" s="16">
        <v>4.5971112481003003E-2</v>
      </c>
      <c r="M357" s="16">
        <v>0.36547093461326102</v>
      </c>
      <c r="N357" s="16">
        <v>108</v>
      </c>
      <c r="O357" s="16">
        <v>0.71547470477628905</v>
      </c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 t="s">
        <v>402</v>
      </c>
      <c r="AI357" s="16"/>
      <c r="AJ357" s="16" t="s">
        <v>889</v>
      </c>
    </row>
    <row r="358" spans="1:36" ht="15" customHeight="1" x14ac:dyDescent="0.3">
      <c r="A358" s="16" t="s">
        <v>273</v>
      </c>
      <c r="B358" s="16" t="s">
        <v>627</v>
      </c>
      <c r="C358" s="16" t="s">
        <v>789</v>
      </c>
      <c r="D358" s="16" t="s">
        <v>324</v>
      </c>
      <c r="E358" s="16" t="s">
        <v>404</v>
      </c>
      <c r="F358" s="16" t="s">
        <v>790</v>
      </c>
      <c r="G358" s="16">
        <v>0.4</v>
      </c>
      <c r="H358" s="16">
        <v>905</v>
      </c>
      <c r="I358" s="16">
        <v>38</v>
      </c>
      <c r="J358" s="16">
        <v>38</v>
      </c>
      <c r="K358" s="16">
        <v>-2.66788774428426E-2</v>
      </c>
      <c r="L358" s="16">
        <v>2.8481962963217498E-2</v>
      </c>
      <c r="M358" s="16">
        <v>-0.93669377624346295</v>
      </c>
      <c r="N358" s="16">
        <v>36</v>
      </c>
      <c r="O358" s="16">
        <v>0.35515778031357798</v>
      </c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 t="s">
        <v>402</v>
      </c>
      <c r="AI358" s="16"/>
      <c r="AJ358" s="16" t="s">
        <v>890</v>
      </c>
    </row>
    <row r="359" spans="1:36" ht="15" customHeight="1" x14ac:dyDescent="0.3">
      <c r="A359" s="16" t="s">
        <v>273</v>
      </c>
      <c r="B359" s="16" t="s">
        <v>629</v>
      </c>
      <c r="C359" s="16" t="s">
        <v>789</v>
      </c>
      <c r="D359" s="16" t="s">
        <v>324</v>
      </c>
      <c r="E359" s="16" t="s">
        <v>404</v>
      </c>
      <c r="F359" s="16" t="s">
        <v>790</v>
      </c>
      <c r="G359" s="16">
        <v>0.4</v>
      </c>
      <c r="H359" s="16">
        <v>2594</v>
      </c>
      <c r="I359" s="16">
        <v>110</v>
      </c>
      <c r="J359" s="16">
        <v>109</v>
      </c>
      <c r="K359" s="16">
        <v>-2.1449248364821899E-2</v>
      </c>
      <c r="L359" s="16">
        <v>1.9083599239973301E-2</v>
      </c>
      <c r="M359" s="16">
        <v>-1.12396241899135</v>
      </c>
      <c r="N359" s="16">
        <v>108</v>
      </c>
      <c r="O359" s="16">
        <v>0.26352102106000802</v>
      </c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 t="s">
        <v>402</v>
      </c>
      <c r="AI359" s="16"/>
      <c r="AJ359" s="16" t="s">
        <v>891</v>
      </c>
    </row>
    <row r="360" spans="1:36" ht="15" customHeight="1" x14ac:dyDescent="0.3">
      <c r="A360" s="16" t="s">
        <v>273</v>
      </c>
      <c r="B360" s="16" t="s">
        <v>631</v>
      </c>
      <c r="C360" s="16" t="s">
        <v>789</v>
      </c>
      <c r="D360" s="16" t="s">
        <v>324</v>
      </c>
      <c r="E360" s="16" t="s">
        <v>404</v>
      </c>
      <c r="F360" s="16" t="s">
        <v>790</v>
      </c>
      <c r="G360" s="16">
        <v>0.4</v>
      </c>
      <c r="H360" s="16">
        <v>2594</v>
      </c>
      <c r="I360" s="16">
        <v>110</v>
      </c>
      <c r="J360" s="16">
        <v>109</v>
      </c>
      <c r="K360" s="16">
        <v>-3.2352751311398101E-2</v>
      </c>
      <c r="L360" s="16">
        <v>2.0113940337323499E-2</v>
      </c>
      <c r="M360" s="16">
        <v>-1.6084740617115301</v>
      </c>
      <c r="N360" s="16">
        <v>108</v>
      </c>
      <c r="O360" s="16">
        <v>0.110650867053196</v>
      </c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 t="s">
        <v>402</v>
      </c>
      <c r="AI360" s="16"/>
      <c r="AJ360" s="16" t="s">
        <v>892</v>
      </c>
    </row>
    <row r="361" spans="1:36" ht="15" customHeight="1" x14ac:dyDescent="0.3">
      <c r="A361" s="16" t="s">
        <v>273</v>
      </c>
      <c r="B361" s="16" t="s">
        <v>633</v>
      </c>
      <c r="C361" s="16" t="s">
        <v>789</v>
      </c>
      <c r="D361" s="16" t="s">
        <v>324</v>
      </c>
      <c r="E361" s="16" t="s">
        <v>404</v>
      </c>
      <c r="F361" s="16" t="s">
        <v>790</v>
      </c>
      <c r="G361" s="16">
        <v>0.4</v>
      </c>
      <c r="H361" s="16">
        <v>2594</v>
      </c>
      <c r="I361" s="16">
        <v>110</v>
      </c>
      <c r="J361" s="16">
        <v>109</v>
      </c>
      <c r="K361" s="16">
        <v>-1.44250715446306E-2</v>
      </c>
      <c r="L361" s="16">
        <v>2.1004882908835499E-2</v>
      </c>
      <c r="M361" s="16">
        <v>-0.686748486398983</v>
      </c>
      <c r="N361" s="16">
        <v>107</v>
      </c>
      <c r="O361" s="16">
        <v>0.49372688512283602</v>
      </c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 t="s">
        <v>402</v>
      </c>
      <c r="AI361" s="16"/>
      <c r="AJ361" s="16" t="s">
        <v>893</v>
      </c>
    </row>
    <row r="362" spans="1:36" ht="15" customHeight="1" x14ac:dyDescent="0.3">
      <c r="A362" s="16" t="s">
        <v>273</v>
      </c>
      <c r="B362" s="16" t="s">
        <v>635</v>
      </c>
      <c r="C362" s="16" t="s">
        <v>789</v>
      </c>
      <c r="D362" s="16" t="s">
        <v>324</v>
      </c>
      <c r="E362" s="16" t="s">
        <v>404</v>
      </c>
      <c r="F362" s="16" t="s">
        <v>790</v>
      </c>
      <c r="G362" s="16">
        <v>0.4</v>
      </c>
      <c r="H362" s="16">
        <v>2594</v>
      </c>
      <c r="I362" s="16">
        <v>110</v>
      </c>
      <c r="J362" s="16">
        <v>109</v>
      </c>
      <c r="K362" s="16">
        <v>-3.6173018476078601E-2</v>
      </c>
      <c r="L362" s="16">
        <v>2.09937890020215E-2</v>
      </c>
      <c r="M362" s="16">
        <v>-1.7230342970768899</v>
      </c>
      <c r="N362" s="16">
        <v>108</v>
      </c>
      <c r="O362" s="16">
        <v>8.7744337040122994E-2</v>
      </c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 t="s">
        <v>402</v>
      </c>
      <c r="AI362" s="16"/>
      <c r="AJ362" s="16" t="s">
        <v>894</v>
      </c>
    </row>
    <row r="363" spans="1:36" ht="15" customHeight="1" x14ac:dyDescent="0.3">
      <c r="A363" s="16" t="s">
        <v>273</v>
      </c>
      <c r="B363" s="16" t="s">
        <v>637</v>
      </c>
      <c r="C363" s="16" t="s">
        <v>789</v>
      </c>
      <c r="D363" s="16" t="s">
        <v>324</v>
      </c>
      <c r="E363" s="16" t="s">
        <v>404</v>
      </c>
      <c r="F363" s="16" t="s">
        <v>790</v>
      </c>
      <c r="G363" s="16">
        <v>0.4</v>
      </c>
      <c r="H363" s="16">
        <v>2594</v>
      </c>
      <c r="I363" s="16">
        <v>110</v>
      </c>
      <c r="J363" s="16">
        <v>109</v>
      </c>
      <c r="K363" s="16">
        <v>-1.03638692728892E-2</v>
      </c>
      <c r="L363" s="16">
        <v>2.5301771622913801E-2</v>
      </c>
      <c r="M363" s="16">
        <v>-0.40961041888084698</v>
      </c>
      <c r="N363" s="16">
        <v>107</v>
      </c>
      <c r="O363" s="16">
        <v>0.68291060867362396</v>
      </c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 t="s">
        <v>402</v>
      </c>
      <c r="AI363" s="16"/>
      <c r="AJ363" s="16" t="s">
        <v>895</v>
      </c>
    </row>
    <row r="364" spans="1:36" ht="15" customHeight="1" x14ac:dyDescent="0.3">
      <c r="A364" s="16" t="s">
        <v>273</v>
      </c>
      <c r="B364" s="16" t="s">
        <v>639</v>
      </c>
      <c r="C364" s="16" t="s">
        <v>789</v>
      </c>
      <c r="D364" s="16" t="s">
        <v>324</v>
      </c>
      <c r="E364" s="16" t="s">
        <v>404</v>
      </c>
      <c r="F364" s="16" t="s">
        <v>790</v>
      </c>
      <c r="G364" s="16">
        <v>0.4</v>
      </c>
      <c r="H364" s="16">
        <v>2594</v>
      </c>
      <c r="I364" s="16">
        <v>110</v>
      </c>
      <c r="J364" s="16">
        <v>109</v>
      </c>
      <c r="K364" s="16">
        <v>-6.4302905637005801E-3</v>
      </c>
      <c r="L364" s="16">
        <v>2.6897815114552501E-2</v>
      </c>
      <c r="M364" s="16">
        <v>-0.23906367622482499</v>
      </c>
      <c r="N364" s="16">
        <v>107</v>
      </c>
      <c r="O364" s="16">
        <v>0.81151350781898801</v>
      </c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 t="s">
        <v>402</v>
      </c>
      <c r="AI364" s="16"/>
      <c r="AJ364" s="16" t="s">
        <v>896</v>
      </c>
    </row>
    <row r="365" spans="1:36" ht="15" customHeight="1" x14ac:dyDescent="0.3">
      <c r="A365" s="16" t="s">
        <v>273</v>
      </c>
      <c r="B365" s="16" t="s">
        <v>641</v>
      </c>
      <c r="C365" s="16" t="s">
        <v>789</v>
      </c>
      <c r="D365" s="16" t="s">
        <v>324</v>
      </c>
      <c r="E365" s="16" t="s">
        <v>404</v>
      </c>
      <c r="F365" s="16" t="s">
        <v>790</v>
      </c>
      <c r="G365" s="16">
        <v>0.4</v>
      </c>
      <c r="H365" s="16">
        <v>2594</v>
      </c>
      <c r="I365" s="16">
        <v>110</v>
      </c>
      <c r="J365" s="16">
        <v>109</v>
      </c>
      <c r="K365" s="16">
        <v>-2.3460751017664299E-2</v>
      </c>
      <c r="L365" s="16">
        <v>1.8314318944740102E-2</v>
      </c>
      <c r="M365" s="16">
        <v>-1.28100592156621</v>
      </c>
      <c r="N365" s="16">
        <v>108</v>
      </c>
      <c r="O365" s="16">
        <v>0.20293549724252299</v>
      </c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 t="s">
        <v>402</v>
      </c>
      <c r="AI365" s="16"/>
      <c r="AJ365" s="16" t="s">
        <v>897</v>
      </c>
    </row>
    <row r="366" spans="1:36" ht="15" customHeight="1" x14ac:dyDescent="0.3">
      <c r="A366" s="16" t="s">
        <v>273</v>
      </c>
      <c r="B366" s="16" t="s">
        <v>643</v>
      </c>
      <c r="C366" s="16" t="s">
        <v>789</v>
      </c>
      <c r="D366" s="16" t="s">
        <v>324</v>
      </c>
      <c r="E366" s="16" t="s">
        <v>404</v>
      </c>
      <c r="F366" s="16" t="s">
        <v>790</v>
      </c>
      <c r="G366" s="16">
        <v>0.4</v>
      </c>
      <c r="H366" s="16">
        <v>2594</v>
      </c>
      <c r="I366" s="16">
        <v>110</v>
      </c>
      <c r="J366" s="16">
        <v>109</v>
      </c>
      <c r="K366" s="16">
        <v>-2.1846097022708202E-2</v>
      </c>
      <c r="L366" s="16">
        <v>1.7376726490345301E-2</v>
      </c>
      <c r="M366" s="16">
        <v>-1.2572044012343799</v>
      </c>
      <c r="N366" s="16">
        <v>108</v>
      </c>
      <c r="O366" s="16">
        <v>0.21139160079611299</v>
      </c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 t="s">
        <v>402</v>
      </c>
      <c r="AI366" s="16"/>
      <c r="AJ366" s="16" t="s">
        <v>898</v>
      </c>
    </row>
    <row r="367" spans="1:36" ht="15" customHeight="1" x14ac:dyDescent="0.3">
      <c r="A367" s="16" t="s">
        <v>273</v>
      </c>
      <c r="B367" s="16" t="s">
        <v>645</v>
      </c>
      <c r="C367" s="16" t="s">
        <v>789</v>
      </c>
      <c r="D367" s="16" t="s">
        <v>324</v>
      </c>
      <c r="E367" s="16" t="s">
        <v>404</v>
      </c>
      <c r="F367" s="16" t="s">
        <v>790</v>
      </c>
      <c r="G367" s="16">
        <v>0.4</v>
      </c>
      <c r="H367" s="16">
        <v>2594</v>
      </c>
      <c r="I367" s="16">
        <v>110</v>
      </c>
      <c r="J367" s="16">
        <v>109</v>
      </c>
      <c r="K367" s="16">
        <v>-1.9670676891415401E-2</v>
      </c>
      <c r="L367" s="16">
        <v>1.7273785523772602E-2</v>
      </c>
      <c r="M367" s="16">
        <v>-1.13875889360465</v>
      </c>
      <c r="N367" s="16">
        <v>108</v>
      </c>
      <c r="O367" s="16">
        <v>0.25732337931482702</v>
      </c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 t="s">
        <v>402</v>
      </c>
      <c r="AI367" s="16"/>
      <c r="AJ367" s="16" t="s">
        <v>899</v>
      </c>
    </row>
    <row r="368" spans="1:36" ht="15" customHeight="1" x14ac:dyDescent="0.3">
      <c r="A368" s="16" t="s">
        <v>273</v>
      </c>
      <c r="B368" s="16" t="s">
        <v>647</v>
      </c>
      <c r="C368" s="16" t="s">
        <v>789</v>
      </c>
      <c r="D368" s="16" t="s">
        <v>324</v>
      </c>
      <c r="E368" s="16" t="s">
        <v>404</v>
      </c>
      <c r="F368" s="16" t="s">
        <v>790</v>
      </c>
      <c r="G368" s="16">
        <v>0.4</v>
      </c>
      <c r="H368" s="16">
        <v>900</v>
      </c>
      <c r="I368" s="16">
        <v>38</v>
      </c>
      <c r="J368" s="16">
        <v>38</v>
      </c>
      <c r="K368" s="16">
        <v>-3.0344512599078999E-2</v>
      </c>
      <c r="L368" s="16">
        <v>2.8028815623989501E-2</v>
      </c>
      <c r="M368" s="16">
        <v>-1.08261843832986</v>
      </c>
      <c r="N368" s="16">
        <v>36</v>
      </c>
      <c r="O368" s="16">
        <v>0.28617621289318301</v>
      </c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 t="s">
        <v>402</v>
      </c>
      <c r="AI368" s="16"/>
      <c r="AJ368" s="16" t="s">
        <v>900</v>
      </c>
    </row>
    <row r="369" spans="1:36" ht="15" customHeight="1" x14ac:dyDescent="0.3">
      <c r="A369" s="16" t="s">
        <v>273</v>
      </c>
      <c r="B369" s="16" t="s">
        <v>649</v>
      </c>
      <c r="C369" s="16" t="s">
        <v>789</v>
      </c>
      <c r="D369" s="16" t="s">
        <v>324</v>
      </c>
      <c r="E369" s="16" t="s">
        <v>404</v>
      </c>
      <c r="F369" s="16" t="s">
        <v>790</v>
      </c>
      <c r="G369" s="16">
        <v>0.4</v>
      </c>
      <c r="H369" s="16">
        <v>2607</v>
      </c>
      <c r="I369" s="16">
        <v>110</v>
      </c>
      <c r="J369" s="16">
        <v>109</v>
      </c>
      <c r="K369" s="16">
        <v>-1.7532444496325801E-2</v>
      </c>
      <c r="L369" s="16">
        <v>1.9036984722831E-2</v>
      </c>
      <c r="M369" s="16">
        <v>-0.92096751410947797</v>
      </c>
      <c r="N369" s="16">
        <v>108</v>
      </c>
      <c r="O369" s="16">
        <v>0.359120037490755</v>
      </c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 t="s">
        <v>402</v>
      </c>
      <c r="AI369" s="16"/>
      <c r="AJ369" s="16" t="s">
        <v>901</v>
      </c>
    </row>
    <row r="370" spans="1:36" ht="15" customHeight="1" x14ac:dyDescent="0.3">
      <c r="A370" s="16" t="s">
        <v>273</v>
      </c>
      <c r="B370" s="16" t="s">
        <v>651</v>
      </c>
      <c r="C370" s="16" t="s">
        <v>789</v>
      </c>
      <c r="D370" s="16" t="s">
        <v>324</v>
      </c>
      <c r="E370" s="16" t="s">
        <v>404</v>
      </c>
      <c r="F370" s="16" t="s">
        <v>790</v>
      </c>
      <c r="G370" s="16">
        <v>0.4</v>
      </c>
      <c r="H370" s="16">
        <v>2607</v>
      </c>
      <c r="I370" s="16">
        <v>110</v>
      </c>
      <c r="J370" s="16">
        <v>109</v>
      </c>
      <c r="K370" s="16">
        <v>-2.5904535811693299E-2</v>
      </c>
      <c r="L370" s="16">
        <v>2.0112556495944602E-2</v>
      </c>
      <c r="M370" s="16">
        <v>-1.2879782745130699</v>
      </c>
      <c r="N370" s="16">
        <v>108</v>
      </c>
      <c r="O370" s="16">
        <v>0.200506337892537</v>
      </c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 t="s">
        <v>402</v>
      </c>
      <c r="AI370" s="16"/>
      <c r="AJ370" s="16" t="s">
        <v>902</v>
      </c>
    </row>
    <row r="371" spans="1:36" ht="15" customHeight="1" x14ac:dyDescent="0.3">
      <c r="A371" s="16" t="s">
        <v>273</v>
      </c>
      <c r="B371" s="16" t="s">
        <v>653</v>
      </c>
      <c r="C371" s="16" t="s">
        <v>789</v>
      </c>
      <c r="D371" s="16" t="s">
        <v>324</v>
      </c>
      <c r="E371" s="16" t="s">
        <v>404</v>
      </c>
      <c r="F371" s="16" t="s">
        <v>790</v>
      </c>
      <c r="G371" s="16">
        <v>0.4</v>
      </c>
      <c r="H371" s="16">
        <v>2607</v>
      </c>
      <c r="I371" s="16">
        <v>110</v>
      </c>
      <c r="J371" s="16">
        <v>109</v>
      </c>
      <c r="K371" s="16">
        <v>-1.31485936909457E-2</v>
      </c>
      <c r="L371" s="16">
        <v>2.09179992163862E-2</v>
      </c>
      <c r="M371" s="16">
        <v>-0.62857797989808195</v>
      </c>
      <c r="N371" s="16">
        <v>107</v>
      </c>
      <c r="O371" s="16">
        <v>0.53096489943508696</v>
      </c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 t="s">
        <v>402</v>
      </c>
      <c r="AI371" s="16"/>
      <c r="AJ371" s="16" t="s">
        <v>903</v>
      </c>
    </row>
    <row r="372" spans="1:36" ht="15" customHeight="1" x14ac:dyDescent="0.3">
      <c r="A372" s="16" t="s">
        <v>273</v>
      </c>
      <c r="B372" s="16" t="s">
        <v>655</v>
      </c>
      <c r="C372" s="16" t="s">
        <v>789</v>
      </c>
      <c r="D372" s="16" t="s">
        <v>324</v>
      </c>
      <c r="E372" s="16" t="s">
        <v>404</v>
      </c>
      <c r="F372" s="16" t="s">
        <v>790</v>
      </c>
      <c r="G372" s="16">
        <v>0.4</v>
      </c>
      <c r="H372" s="16">
        <v>2607</v>
      </c>
      <c r="I372" s="16">
        <v>110</v>
      </c>
      <c r="J372" s="16">
        <v>109</v>
      </c>
      <c r="K372" s="16">
        <v>-2.9991881453686E-2</v>
      </c>
      <c r="L372" s="16">
        <v>2.09922658541025E-2</v>
      </c>
      <c r="M372" s="16">
        <v>-1.42871101491051</v>
      </c>
      <c r="N372" s="16">
        <v>108</v>
      </c>
      <c r="O372" s="16">
        <v>0.15597313409906999</v>
      </c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 t="s">
        <v>402</v>
      </c>
      <c r="AI372" s="16"/>
      <c r="AJ372" s="16" t="s">
        <v>904</v>
      </c>
    </row>
    <row r="373" spans="1:36" ht="15" customHeight="1" x14ac:dyDescent="0.3">
      <c r="A373" s="16" t="s">
        <v>273</v>
      </c>
      <c r="B373" s="16" t="s">
        <v>657</v>
      </c>
      <c r="C373" s="16" t="s">
        <v>789</v>
      </c>
      <c r="D373" s="16" t="s">
        <v>324</v>
      </c>
      <c r="E373" s="16" t="s">
        <v>404</v>
      </c>
      <c r="F373" s="16" t="s">
        <v>790</v>
      </c>
      <c r="G373" s="16">
        <v>0.4</v>
      </c>
      <c r="H373" s="16">
        <v>2607</v>
      </c>
      <c r="I373" s="16">
        <v>110</v>
      </c>
      <c r="J373" s="16">
        <v>109</v>
      </c>
      <c r="K373" s="16">
        <v>-4.79129216402007E-3</v>
      </c>
      <c r="L373" s="16">
        <v>2.5205993017528201E-2</v>
      </c>
      <c r="M373" s="16">
        <v>-0.19008543566159899</v>
      </c>
      <c r="N373" s="16">
        <v>107</v>
      </c>
      <c r="O373" s="16">
        <v>0.849602336197255</v>
      </c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 t="s">
        <v>402</v>
      </c>
      <c r="AI373" s="16"/>
      <c r="AJ373" s="16" t="s">
        <v>905</v>
      </c>
    </row>
    <row r="374" spans="1:36" ht="15" customHeight="1" x14ac:dyDescent="0.3">
      <c r="A374" s="16" t="s">
        <v>273</v>
      </c>
      <c r="B374" s="16" t="s">
        <v>659</v>
      </c>
      <c r="C374" s="16" t="s">
        <v>789</v>
      </c>
      <c r="D374" s="16" t="s">
        <v>324</v>
      </c>
      <c r="E374" s="16" t="s">
        <v>404</v>
      </c>
      <c r="F374" s="16" t="s">
        <v>790</v>
      </c>
      <c r="G374" s="16">
        <v>0.4</v>
      </c>
      <c r="H374" s="16">
        <v>2607</v>
      </c>
      <c r="I374" s="16">
        <v>110</v>
      </c>
      <c r="J374" s="16">
        <v>109</v>
      </c>
      <c r="K374" s="16">
        <v>-1.08329925871235E-3</v>
      </c>
      <c r="L374" s="16">
        <v>2.6787222164992401E-2</v>
      </c>
      <c r="M374" s="16">
        <v>-4.0440895739017498E-2</v>
      </c>
      <c r="N374" s="16">
        <v>107</v>
      </c>
      <c r="O374" s="16">
        <v>0.96781698969877294</v>
      </c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 t="s">
        <v>402</v>
      </c>
      <c r="AI374" s="16"/>
      <c r="AJ374" s="16" t="s">
        <v>906</v>
      </c>
    </row>
    <row r="375" spans="1:36" ht="15" customHeight="1" x14ac:dyDescent="0.3">
      <c r="A375" s="16" t="s">
        <v>273</v>
      </c>
      <c r="B375" s="16" t="s">
        <v>661</v>
      </c>
      <c r="C375" s="16" t="s">
        <v>789</v>
      </c>
      <c r="D375" s="16" t="s">
        <v>324</v>
      </c>
      <c r="E375" s="16" t="s">
        <v>404</v>
      </c>
      <c r="F375" s="16" t="s">
        <v>790</v>
      </c>
      <c r="G375" s="16">
        <v>0.4</v>
      </c>
      <c r="H375" s="16">
        <v>2607</v>
      </c>
      <c r="I375" s="16">
        <v>110</v>
      </c>
      <c r="J375" s="16">
        <v>109</v>
      </c>
      <c r="K375" s="16">
        <v>-1.9116579381105801E-2</v>
      </c>
      <c r="L375" s="16">
        <v>1.8276508871838602E-2</v>
      </c>
      <c r="M375" s="16">
        <v>-1.0459644954711</v>
      </c>
      <c r="N375" s="16">
        <v>108</v>
      </c>
      <c r="O375" s="16">
        <v>0.29791278655294801</v>
      </c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 t="s">
        <v>402</v>
      </c>
      <c r="AI375" s="16"/>
      <c r="AJ375" s="16" t="s">
        <v>907</v>
      </c>
    </row>
    <row r="376" spans="1:36" ht="15" customHeight="1" x14ac:dyDescent="0.3">
      <c r="A376" s="16" t="s">
        <v>273</v>
      </c>
      <c r="B376" s="16" t="s">
        <v>663</v>
      </c>
      <c r="C376" s="16" t="s">
        <v>789</v>
      </c>
      <c r="D376" s="16" t="s">
        <v>324</v>
      </c>
      <c r="E376" s="16" t="s">
        <v>404</v>
      </c>
      <c r="F376" s="16" t="s">
        <v>790</v>
      </c>
      <c r="G376" s="16">
        <v>0.4</v>
      </c>
      <c r="H376" s="16">
        <v>2607</v>
      </c>
      <c r="I376" s="16">
        <v>110</v>
      </c>
      <c r="J376" s="16">
        <v>109</v>
      </c>
      <c r="K376" s="16">
        <v>-1.01465574407625E-2</v>
      </c>
      <c r="L376" s="16">
        <v>1.7401643248727599E-2</v>
      </c>
      <c r="M376" s="16">
        <v>-0.58308041923019804</v>
      </c>
      <c r="N376" s="16">
        <v>108</v>
      </c>
      <c r="O376" s="16">
        <v>0.56105473101105496</v>
      </c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 t="s">
        <v>402</v>
      </c>
      <c r="AI376" s="16"/>
      <c r="AJ376" s="16" t="s">
        <v>908</v>
      </c>
    </row>
    <row r="377" spans="1:36" ht="15" customHeight="1" x14ac:dyDescent="0.3">
      <c r="A377" s="16" t="s">
        <v>273</v>
      </c>
      <c r="B377" s="16" t="s">
        <v>665</v>
      </c>
      <c r="C377" s="16" t="s">
        <v>789</v>
      </c>
      <c r="D377" s="16" t="s">
        <v>324</v>
      </c>
      <c r="E377" s="16" t="s">
        <v>404</v>
      </c>
      <c r="F377" s="16" t="s">
        <v>790</v>
      </c>
      <c r="G377" s="16">
        <v>0.4</v>
      </c>
      <c r="H377" s="16">
        <v>2607</v>
      </c>
      <c r="I377" s="16">
        <v>110</v>
      </c>
      <c r="J377" s="16">
        <v>109</v>
      </c>
      <c r="K377" s="16">
        <v>-1.0606635994032901E-2</v>
      </c>
      <c r="L377" s="16">
        <v>1.72712160544135E-2</v>
      </c>
      <c r="M377" s="16">
        <v>-0.61412213017406503</v>
      </c>
      <c r="N377" s="16">
        <v>108</v>
      </c>
      <c r="O377" s="16">
        <v>0.54042612462982897</v>
      </c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 t="s">
        <v>402</v>
      </c>
      <c r="AI377" s="16"/>
      <c r="AJ377" s="16" t="s">
        <v>909</v>
      </c>
    </row>
    <row r="378" spans="1:36" ht="15" customHeight="1" x14ac:dyDescent="0.3">
      <c r="A378" s="16" t="s">
        <v>273</v>
      </c>
      <c r="B378" s="16" t="s">
        <v>667</v>
      </c>
      <c r="C378" s="16" t="s">
        <v>789</v>
      </c>
      <c r="D378" s="16" t="s">
        <v>324</v>
      </c>
      <c r="E378" s="16" t="s">
        <v>404</v>
      </c>
      <c r="F378" s="16" t="s">
        <v>790</v>
      </c>
      <c r="G378" s="16">
        <v>0.4</v>
      </c>
      <c r="H378" s="16">
        <v>905</v>
      </c>
      <c r="I378" s="16">
        <v>38</v>
      </c>
      <c r="J378" s="16">
        <v>38</v>
      </c>
      <c r="K378" s="16">
        <v>-2.4710308318984901E-2</v>
      </c>
      <c r="L378" s="16">
        <v>2.6820392839236401E-2</v>
      </c>
      <c r="M378" s="16">
        <v>-0.92132536861411995</v>
      </c>
      <c r="N378" s="16">
        <v>36</v>
      </c>
      <c r="O378" s="16">
        <v>0.36301391561229701</v>
      </c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 t="s">
        <v>402</v>
      </c>
      <c r="AI378" s="16"/>
      <c r="AJ378" s="16" t="s">
        <v>910</v>
      </c>
    </row>
    <row r="379" spans="1:36" ht="15" customHeight="1" x14ac:dyDescent="0.3">
      <c r="A379" s="16" t="s">
        <v>273</v>
      </c>
      <c r="B379" s="16" t="s">
        <v>669</v>
      </c>
      <c r="C379" s="16" t="s">
        <v>789</v>
      </c>
      <c r="D379" s="16" t="s">
        <v>324</v>
      </c>
      <c r="E379" s="16" t="s">
        <v>404</v>
      </c>
      <c r="F379" s="16" t="s">
        <v>790</v>
      </c>
      <c r="G379" s="16">
        <v>0.4</v>
      </c>
      <c r="H379" s="16">
        <v>2704</v>
      </c>
      <c r="I379" s="16">
        <v>113</v>
      </c>
      <c r="J379" s="16">
        <v>112</v>
      </c>
      <c r="K379" s="16">
        <v>1.5240971478390901E-2</v>
      </c>
      <c r="L379" s="16">
        <v>4.9648454968634799E-2</v>
      </c>
      <c r="M379" s="16">
        <v>0.306977759690998</v>
      </c>
      <c r="N379" s="16">
        <v>111</v>
      </c>
      <c r="O379" s="16">
        <v>0.75943544960652198</v>
      </c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 t="s">
        <v>402</v>
      </c>
      <c r="AI379" s="16"/>
      <c r="AJ379" s="16" t="s">
        <v>911</v>
      </c>
    </row>
    <row r="380" spans="1:36" ht="15" customHeight="1" x14ac:dyDescent="0.3">
      <c r="A380" s="16" t="s">
        <v>273</v>
      </c>
      <c r="B380" s="16" t="s">
        <v>671</v>
      </c>
      <c r="C380" s="16" t="s">
        <v>789</v>
      </c>
      <c r="D380" s="16" t="s">
        <v>324</v>
      </c>
      <c r="E380" s="16" t="s">
        <v>404</v>
      </c>
      <c r="F380" s="16" t="s">
        <v>790</v>
      </c>
      <c r="G380" s="16">
        <v>0.4</v>
      </c>
      <c r="H380" s="16">
        <v>2704</v>
      </c>
      <c r="I380" s="16">
        <v>113</v>
      </c>
      <c r="J380" s="16">
        <v>112</v>
      </c>
      <c r="K380" s="16">
        <v>3.17929160098975E-3</v>
      </c>
      <c r="L380" s="16">
        <v>5.2661737720257999E-2</v>
      </c>
      <c r="M380" s="16">
        <v>6.0371946286283201E-2</v>
      </c>
      <c r="N380" s="16">
        <v>111</v>
      </c>
      <c r="O380" s="16">
        <v>0.95196796525471095</v>
      </c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 t="s">
        <v>402</v>
      </c>
      <c r="AI380" s="16"/>
      <c r="AJ380" s="16" t="s">
        <v>912</v>
      </c>
    </row>
    <row r="381" spans="1:36" ht="15" customHeight="1" x14ac:dyDescent="0.3">
      <c r="A381" s="16" t="s">
        <v>273</v>
      </c>
      <c r="B381" s="16" t="s">
        <v>673</v>
      </c>
      <c r="C381" s="16" t="s">
        <v>789</v>
      </c>
      <c r="D381" s="16" t="s">
        <v>324</v>
      </c>
      <c r="E381" s="16" t="s">
        <v>404</v>
      </c>
      <c r="F381" s="16" t="s">
        <v>790</v>
      </c>
      <c r="G381" s="16">
        <v>0.4</v>
      </c>
      <c r="H381" s="16">
        <v>2704</v>
      </c>
      <c r="I381" s="16">
        <v>113</v>
      </c>
      <c r="J381" s="16">
        <v>112</v>
      </c>
      <c r="K381" s="16">
        <v>-4.2905691699466598E-2</v>
      </c>
      <c r="L381" s="16">
        <v>5.2339694387904603E-2</v>
      </c>
      <c r="M381" s="16">
        <v>-0.81975434135094705</v>
      </c>
      <c r="N381" s="16">
        <v>110</v>
      </c>
      <c r="O381" s="16">
        <v>0.41412885778398401</v>
      </c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 t="s">
        <v>402</v>
      </c>
      <c r="AI381" s="16"/>
      <c r="AJ381" s="16" t="s">
        <v>913</v>
      </c>
    </row>
    <row r="382" spans="1:36" ht="15" customHeight="1" x14ac:dyDescent="0.3">
      <c r="A382" s="16" t="s">
        <v>273</v>
      </c>
      <c r="B382" s="16" t="s">
        <v>675</v>
      </c>
      <c r="C382" s="16" t="s">
        <v>789</v>
      </c>
      <c r="D382" s="16" t="s">
        <v>324</v>
      </c>
      <c r="E382" s="16" t="s">
        <v>404</v>
      </c>
      <c r="F382" s="16" t="s">
        <v>790</v>
      </c>
      <c r="G382" s="16">
        <v>0.4</v>
      </c>
      <c r="H382" s="16">
        <v>2704</v>
      </c>
      <c r="I382" s="16">
        <v>113</v>
      </c>
      <c r="J382" s="16">
        <v>112</v>
      </c>
      <c r="K382" s="16">
        <v>-1.3040605058643299E-3</v>
      </c>
      <c r="L382" s="16">
        <v>5.5055139286039202E-2</v>
      </c>
      <c r="M382" s="16">
        <v>-2.3686444585837501E-2</v>
      </c>
      <c r="N382" s="16">
        <v>111</v>
      </c>
      <c r="O382" s="16">
        <v>0.98114524748325904</v>
      </c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 t="s">
        <v>402</v>
      </c>
      <c r="AI382" s="16"/>
      <c r="AJ382" s="16" t="s">
        <v>914</v>
      </c>
    </row>
    <row r="383" spans="1:36" ht="15" customHeight="1" x14ac:dyDescent="0.3">
      <c r="A383" s="16" t="s">
        <v>273</v>
      </c>
      <c r="B383" s="16" t="s">
        <v>677</v>
      </c>
      <c r="C383" s="16" t="s">
        <v>789</v>
      </c>
      <c r="D383" s="16" t="s">
        <v>324</v>
      </c>
      <c r="E383" s="16" t="s">
        <v>404</v>
      </c>
      <c r="F383" s="16" t="s">
        <v>790</v>
      </c>
      <c r="G383" s="16">
        <v>0.4</v>
      </c>
      <c r="H383" s="16">
        <v>2704</v>
      </c>
      <c r="I383" s="16">
        <v>113</v>
      </c>
      <c r="J383" s="16">
        <v>112</v>
      </c>
      <c r="K383" s="16">
        <v>1.8695756929252801E-2</v>
      </c>
      <c r="L383" s="16">
        <v>6.5624841794040406E-2</v>
      </c>
      <c r="M383" s="16">
        <v>0.28488841143310201</v>
      </c>
      <c r="N383" s="16">
        <v>110</v>
      </c>
      <c r="O383" s="16">
        <v>0.77626530564495999</v>
      </c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 t="s">
        <v>402</v>
      </c>
      <c r="AI383" s="16"/>
      <c r="AJ383" s="16" t="s">
        <v>915</v>
      </c>
    </row>
    <row r="384" spans="1:36" ht="15" customHeight="1" x14ac:dyDescent="0.3">
      <c r="A384" s="16" t="s">
        <v>273</v>
      </c>
      <c r="B384" s="16" t="s">
        <v>679</v>
      </c>
      <c r="C384" s="16" t="s">
        <v>789</v>
      </c>
      <c r="D384" s="16" t="s">
        <v>324</v>
      </c>
      <c r="E384" s="16" t="s">
        <v>404</v>
      </c>
      <c r="F384" s="16" t="s">
        <v>790</v>
      </c>
      <c r="G384" s="16">
        <v>0.4</v>
      </c>
      <c r="H384" s="16">
        <v>2704</v>
      </c>
      <c r="I384" s="16">
        <v>113</v>
      </c>
      <c r="J384" s="16">
        <v>112</v>
      </c>
      <c r="K384" s="16">
        <v>2.2623853994319199E-2</v>
      </c>
      <c r="L384" s="16">
        <v>6.9765222522994594E-2</v>
      </c>
      <c r="M384" s="16">
        <v>0.324285556272144</v>
      </c>
      <c r="N384" s="16">
        <v>110</v>
      </c>
      <c r="O384" s="16">
        <v>0.74633768802747102</v>
      </c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 t="s">
        <v>402</v>
      </c>
      <c r="AI384" s="16"/>
      <c r="AJ384" s="16" t="s">
        <v>916</v>
      </c>
    </row>
    <row r="385" spans="1:36" ht="15" customHeight="1" x14ac:dyDescent="0.3">
      <c r="A385" s="16" t="s">
        <v>273</v>
      </c>
      <c r="B385" s="16" t="s">
        <v>681</v>
      </c>
      <c r="C385" s="16" t="s">
        <v>789</v>
      </c>
      <c r="D385" s="16" t="s">
        <v>324</v>
      </c>
      <c r="E385" s="16" t="s">
        <v>404</v>
      </c>
      <c r="F385" s="16" t="s">
        <v>790</v>
      </c>
      <c r="G385" s="16">
        <v>0.4</v>
      </c>
      <c r="H385" s="16">
        <v>2704</v>
      </c>
      <c r="I385" s="16">
        <v>113</v>
      </c>
      <c r="J385" s="16">
        <v>112</v>
      </c>
      <c r="K385" s="16">
        <v>-4.5275289245680597E-2</v>
      </c>
      <c r="L385" s="16">
        <v>4.6534823622475303E-2</v>
      </c>
      <c r="M385" s="16">
        <v>-0.97293350917126198</v>
      </c>
      <c r="N385" s="16">
        <v>111</v>
      </c>
      <c r="O385" s="16">
        <v>0.33270179999681498</v>
      </c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 t="s">
        <v>402</v>
      </c>
      <c r="AI385" s="16"/>
      <c r="AJ385" s="16" t="s">
        <v>917</v>
      </c>
    </row>
    <row r="386" spans="1:36" ht="15" customHeight="1" x14ac:dyDescent="0.3">
      <c r="A386" s="16" t="s">
        <v>273</v>
      </c>
      <c r="B386" s="16" t="s">
        <v>683</v>
      </c>
      <c r="C386" s="16" t="s">
        <v>789</v>
      </c>
      <c r="D386" s="16" t="s">
        <v>324</v>
      </c>
      <c r="E386" s="16" t="s">
        <v>404</v>
      </c>
      <c r="F386" s="16" t="s">
        <v>790</v>
      </c>
      <c r="G386" s="16">
        <v>0.4</v>
      </c>
      <c r="H386" s="16">
        <v>2704</v>
      </c>
      <c r="I386" s="16">
        <v>113</v>
      </c>
      <c r="J386" s="16">
        <v>112</v>
      </c>
      <c r="K386" s="16">
        <v>3.0438179754148701E-2</v>
      </c>
      <c r="L386" s="16">
        <v>4.4591848436053398E-2</v>
      </c>
      <c r="M386" s="16">
        <v>0.68259515632769396</v>
      </c>
      <c r="N386" s="16">
        <v>111</v>
      </c>
      <c r="O386" s="16">
        <v>0.49628478367277901</v>
      </c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 t="s">
        <v>402</v>
      </c>
      <c r="AI386" s="16"/>
      <c r="AJ386" s="16" t="s">
        <v>918</v>
      </c>
    </row>
    <row r="387" spans="1:36" ht="15" customHeight="1" x14ac:dyDescent="0.3">
      <c r="A387" s="16" t="s">
        <v>273</v>
      </c>
      <c r="B387" s="16" t="s">
        <v>685</v>
      </c>
      <c r="C387" s="16" t="s">
        <v>789</v>
      </c>
      <c r="D387" s="16" t="s">
        <v>324</v>
      </c>
      <c r="E387" s="16" t="s">
        <v>404</v>
      </c>
      <c r="F387" s="16" t="s">
        <v>790</v>
      </c>
      <c r="G387" s="16">
        <v>0.4</v>
      </c>
      <c r="H387" s="16">
        <v>2704</v>
      </c>
      <c r="I387" s="16">
        <v>113</v>
      </c>
      <c r="J387" s="16">
        <v>112</v>
      </c>
      <c r="K387" s="16">
        <v>2.0677506049463799E-2</v>
      </c>
      <c r="L387" s="16">
        <v>4.4593240343995602E-2</v>
      </c>
      <c r="M387" s="16">
        <v>0.46369148978535601</v>
      </c>
      <c r="N387" s="16">
        <v>111</v>
      </c>
      <c r="O387" s="16">
        <v>0.64377679561715895</v>
      </c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 t="s">
        <v>402</v>
      </c>
      <c r="AI387" s="16"/>
      <c r="AJ387" s="16" t="s">
        <v>919</v>
      </c>
    </row>
    <row r="388" spans="1:36" ht="15" customHeight="1" x14ac:dyDescent="0.3">
      <c r="A388" s="16" t="s">
        <v>273</v>
      </c>
      <c r="B388" s="16" t="s">
        <v>687</v>
      </c>
      <c r="C388" s="16" t="s">
        <v>789</v>
      </c>
      <c r="D388" s="16" t="s">
        <v>324</v>
      </c>
      <c r="E388" s="16" t="s">
        <v>404</v>
      </c>
      <c r="F388" s="16" t="s">
        <v>790</v>
      </c>
      <c r="G388" s="16">
        <v>0.4</v>
      </c>
      <c r="H388" s="16">
        <v>929</v>
      </c>
      <c r="I388" s="16">
        <v>40</v>
      </c>
      <c r="J388" s="16">
        <v>40</v>
      </c>
      <c r="K388" s="16">
        <v>-2.51018712092059E-2</v>
      </c>
      <c r="L388" s="16">
        <v>2.7732068472971699E-2</v>
      </c>
      <c r="M388" s="16">
        <v>-0.90515683075248099</v>
      </c>
      <c r="N388" s="16">
        <v>38</v>
      </c>
      <c r="O388" s="16">
        <v>0.37108571921296502</v>
      </c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 t="s">
        <v>402</v>
      </c>
      <c r="AI388" s="16"/>
      <c r="AJ388" s="16" t="s">
        <v>920</v>
      </c>
    </row>
    <row r="389" spans="1:36" ht="15" customHeight="1" x14ac:dyDescent="0.3">
      <c r="A389" s="16" t="s">
        <v>273</v>
      </c>
      <c r="B389" s="16" t="s">
        <v>689</v>
      </c>
      <c r="C389" s="16" t="s">
        <v>789</v>
      </c>
      <c r="D389" s="16" t="s">
        <v>324</v>
      </c>
      <c r="E389" s="16" t="s">
        <v>404</v>
      </c>
      <c r="F389" s="16" t="s">
        <v>790</v>
      </c>
      <c r="G389" s="16">
        <v>0.4</v>
      </c>
      <c r="H389" s="16">
        <v>2691</v>
      </c>
      <c r="I389" s="16">
        <v>113</v>
      </c>
      <c r="J389" s="16">
        <v>112</v>
      </c>
      <c r="K389" s="16">
        <v>-1.52881837037046E-2</v>
      </c>
      <c r="L389" s="16">
        <v>1.82737876878671E-2</v>
      </c>
      <c r="M389" s="16">
        <v>-0.83661821866603103</v>
      </c>
      <c r="N389" s="16">
        <v>111</v>
      </c>
      <c r="O389" s="16">
        <v>0.404604708792551</v>
      </c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 t="s">
        <v>402</v>
      </c>
      <c r="AI389" s="16"/>
      <c r="AJ389" s="16" t="s">
        <v>921</v>
      </c>
    </row>
    <row r="390" spans="1:36" ht="15" customHeight="1" x14ac:dyDescent="0.3">
      <c r="A390" s="16" t="s">
        <v>273</v>
      </c>
      <c r="B390" s="16" t="s">
        <v>691</v>
      </c>
      <c r="C390" s="16" t="s">
        <v>789</v>
      </c>
      <c r="D390" s="16" t="s">
        <v>324</v>
      </c>
      <c r="E390" s="16" t="s">
        <v>404</v>
      </c>
      <c r="F390" s="16" t="s">
        <v>790</v>
      </c>
      <c r="G390" s="16">
        <v>0.4</v>
      </c>
      <c r="H390" s="16">
        <v>2691</v>
      </c>
      <c r="I390" s="16">
        <v>113</v>
      </c>
      <c r="J390" s="16">
        <v>112</v>
      </c>
      <c r="K390" s="16">
        <v>-2.58221701917093E-2</v>
      </c>
      <c r="L390" s="16">
        <v>1.9308552843583699E-2</v>
      </c>
      <c r="M390" s="16">
        <v>-1.3373436321661001</v>
      </c>
      <c r="N390" s="16">
        <v>111</v>
      </c>
      <c r="O390" s="16">
        <v>0.183844482954129</v>
      </c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 t="s">
        <v>402</v>
      </c>
      <c r="AI390" s="16"/>
      <c r="AJ390" s="16" t="s">
        <v>922</v>
      </c>
    </row>
    <row r="391" spans="1:36" ht="15" customHeight="1" x14ac:dyDescent="0.3">
      <c r="A391" s="16" t="s">
        <v>273</v>
      </c>
      <c r="B391" s="16" t="s">
        <v>693</v>
      </c>
      <c r="C391" s="16" t="s">
        <v>789</v>
      </c>
      <c r="D391" s="16" t="s">
        <v>324</v>
      </c>
      <c r="E391" s="16" t="s">
        <v>404</v>
      </c>
      <c r="F391" s="16" t="s">
        <v>790</v>
      </c>
      <c r="G391" s="16">
        <v>0.4</v>
      </c>
      <c r="H391" s="16">
        <v>2691</v>
      </c>
      <c r="I391" s="16">
        <v>113</v>
      </c>
      <c r="J391" s="16">
        <v>112</v>
      </c>
      <c r="K391" s="16">
        <v>-1.4883044068846499E-2</v>
      </c>
      <c r="L391" s="16">
        <v>1.95452381989536E-2</v>
      </c>
      <c r="M391" s="16">
        <v>-0.76146649722812498</v>
      </c>
      <c r="N391" s="16">
        <v>110</v>
      </c>
      <c r="O391" s="16">
        <v>0.44800792042484899</v>
      </c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 t="s">
        <v>402</v>
      </c>
      <c r="AI391" s="16"/>
      <c r="AJ391" s="16" t="s">
        <v>923</v>
      </c>
    </row>
    <row r="392" spans="1:36" ht="15" customHeight="1" x14ac:dyDescent="0.3">
      <c r="A392" s="16" t="s">
        <v>273</v>
      </c>
      <c r="B392" s="16" t="s">
        <v>695</v>
      </c>
      <c r="C392" s="16" t="s">
        <v>789</v>
      </c>
      <c r="D392" s="16" t="s">
        <v>324</v>
      </c>
      <c r="E392" s="16" t="s">
        <v>404</v>
      </c>
      <c r="F392" s="16" t="s">
        <v>790</v>
      </c>
      <c r="G392" s="16">
        <v>0.4</v>
      </c>
      <c r="H392" s="16">
        <v>2691</v>
      </c>
      <c r="I392" s="16">
        <v>113</v>
      </c>
      <c r="J392" s="16">
        <v>112</v>
      </c>
      <c r="K392" s="16">
        <v>-2.9324094239783199E-2</v>
      </c>
      <c r="L392" s="16">
        <v>2.0172370552106099E-2</v>
      </c>
      <c r="M392" s="16">
        <v>-1.45367616384191</v>
      </c>
      <c r="N392" s="16">
        <v>111</v>
      </c>
      <c r="O392" s="16">
        <v>0.14885766066224199</v>
      </c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 t="s">
        <v>402</v>
      </c>
      <c r="AI392" s="16"/>
      <c r="AJ392" s="16" t="s">
        <v>924</v>
      </c>
    </row>
    <row r="393" spans="1:36" ht="15" customHeight="1" x14ac:dyDescent="0.3">
      <c r="A393" s="16" t="s">
        <v>273</v>
      </c>
      <c r="B393" s="16" t="s">
        <v>697</v>
      </c>
      <c r="C393" s="16" t="s">
        <v>789</v>
      </c>
      <c r="D393" s="16" t="s">
        <v>324</v>
      </c>
      <c r="E393" s="16" t="s">
        <v>404</v>
      </c>
      <c r="F393" s="16" t="s">
        <v>790</v>
      </c>
      <c r="G393" s="16">
        <v>0.4</v>
      </c>
      <c r="H393" s="16">
        <v>2691</v>
      </c>
      <c r="I393" s="16">
        <v>113</v>
      </c>
      <c r="J393" s="16">
        <v>112</v>
      </c>
      <c r="K393" s="16">
        <v>-8.1156410162076306E-3</v>
      </c>
      <c r="L393" s="16">
        <v>2.4247028657238798E-2</v>
      </c>
      <c r="M393" s="16">
        <v>-0.33470662038355498</v>
      </c>
      <c r="N393" s="16">
        <v>110</v>
      </c>
      <c r="O393" s="16">
        <v>0.73848378397324299</v>
      </c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 t="s">
        <v>402</v>
      </c>
      <c r="AI393" s="16"/>
      <c r="AJ393" s="16" t="s">
        <v>925</v>
      </c>
    </row>
    <row r="394" spans="1:36" ht="15" customHeight="1" x14ac:dyDescent="0.3">
      <c r="A394" s="16" t="s">
        <v>273</v>
      </c>
      <c r="B394" s="16" t="s">
        <v>699</v>
      </c>
      <c r="C394" s="16" t="s">
        <v>789</v>
      </c>
      <c r="D394" s="16" t="s">
        <v>324</v>
      </c>
      <c r="E394" s="16" t="s">
        <v>404</v>
      </c>
      <c r="F394" s="16" t="s">
        <v>790</v>
      </c>
      <c r="G394" s="16">
        <v>0.4</v>
      </c>
      <c r="H394" s="16">
        <v>2691</v>
      </c>
      <c r="I394" s="16">
        <v>113</v>
      </c>
      <c r="J394" s="16">
        <v>112</v>
      </c>
      <c r="K394" s="16">
        <v>-4.0614955080492997E-3</v>
      </c>
      <c r="L394" s="16">
        <v>2.57816174997532E-2</v>
      </c>
      <c r="M394" s="16">
        <v>-0.15753454988183699</v>
      </c>
      <c r="N394" s="16">
        <v>110</v>
      </c>
      <c r="O394" s="16">
        <v>0.87511239124025797</v>
      </c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 t="s">
        <v>402</v>
      </c>
      <c r="AI394" s="16"/>
      <c r="AJ394" s="16" t="s">
        <v>926</v>
      </c>
    </row>
    <row r="395" spans="1:36" ht="15" customHeight="1" x14ac:dyDescent="0.3">
      <c r="A395" s="16" t="s">
        <v>273</v>
      </c>
      <c r="B395" s="16" t="s">
        <v>701</v>
      </c>
      <c r="C395" s="16" t="s">
        <v>789</v>
      </c>
      <c r="D395" s="16" t="s">
        <v>324</v>
      </c>
      <c r="E395" s="16" t="s">
        <v>404</v>
      </c>
      <c r="F395" s="16" t="s">
        <v>790</v>
      </c>
      <c r="G395" s="16">
        <v>0.4</v>
      </c>
      <c r="H395" s="16">
        <v>2691</v>
      </c>
      <c r="I395" s="16">
        <v>113</v>
      </c>
      <c r="J395" s="16">
        <v>112</v>
      </c>
      <c r="K395" s="16">
        <v>-1.64115037400514E-2</v>
      </c>
      <c r="L395" s="16">
        <v>1.7293956816578099E-2</v>
      </c>
      <c r="M395" s="16">
        <v>-0.94897332716358396</v>
      </c>
      <c r="N395" s="16">
        <v>111</v>
      </c>
      <c r="O395" s="16">
        <v>0.3446957242525</v>
      </c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 t="s">
        <v>402</v>
      </c>
      <c r="AI395" s="16"/>
      <c r="AJ395" s="16" t="s">
        <v>927</v>
      </c>
    </row>
    <row r="396" spans="1:36" ht="15" customHeight="1" x14ac:dyDescent="0.3">
      <c r="A396" s="16" t="s">
        <v>273</v>
      </c>
      <c r="B396" s="16" t="s">
        <v>703</v>
      </c>
      <c r="C396" s="16" t="s">
        <v>789</v>
      </c>
      <c r="D396" s="16" t="s">
        <v>324</v>
      </c>
      <c r="E396" s="16" t="s">
        <v>404</v>
      </c>
      <c r="F396" s="16" t="s">
        <v>790</v>
      </c>
      <c r="G396" s="16">
        <v>0.4</v>
      </c>
      <c r="H396" s="16">
        <v>2691</v>
      </c>
      <c r="I396" s="16">
        <v>113</v>
      </c>
      <c r="J396" s="16">
        <v>112</v>
      </c>
      <c r="K396" s="16">
        <v>-1.6170983418387901E-2</v>
      </c>
      <c r="L396" s="16">
        <v>1.6483202612996399E-2</v>
      </c>
      <c r="M396" s="16">
        <v>-0.98105834151657201</v>
      </c>
      <c r="N396" s="16">
        <v>111</v>
      </c>
      <c r="O396" s="16">
        <v>0.32869745499530401</v>
      </c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 t="s">
        <v>402</v>
      </c>
      <c r="AI396" s="16"/>
      <c r="AJ396" s="16" t="s">
        <v>928</v>
      </c>
    </row>
    <row r="397" spans="1:36" ht="15" customHeight="1" x14ac:dyDescent="0.3">
      <c r="A397" s="16" t="s">
        <v>273</v>
      </c>
      <c r="B397" s="16" t="s">
        <v>705</v>
      </c>
      <c r="C397" s="16" t="s">
        <v>789</v>
      </c>
      <c r="D397" s="16" t="s">
        <v>324</v>
      </c>
      <c r="E397" s="16" t="s">
        <v>404</v>
      </c>
      <c r="F397" s="16" t="s">
        <v>790</v>
      </c>
      <c r="G397" s="16">
        <v>0.4</v>
      </c>
      <c r="H397" s="16">
        <v>2691</v>
      </c>
      <c r="I397" s="16">
        <v>113</v>
      </c>
      <c r="J397" s="16">
        <v>112</v>
      </c>
      <c r="K397" s="16">
        <v>-1.49161883220119E-2</v>
      </c>
      <c r="L397" s="16">
        <v>1.6410992562498401E-2</v>
      </c>
      <c r="M397" s="16">
        <v>-0.90891445262717296</v>
      </c>
      <c r="N397" s="16">
        <v>111</v>
      </c>
      <c r="O397" s="16">
        <v>0.36536455202299201</v>
      </c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 t="s">
        <v>402</v>
      </c>
      <c r="AI397" s="16"/>
      <c r="AJ397" s="16" t="s">
        <v>929</v>
      </c>
    </row>
    <row r="398" spans="1:36" ht="15" customHeight="1" x14ac:dyDescent="0.3">
      <c r="A398" s="16" t="s">
        <v>273</v>
      </c>
      <c r="B398" s="16" t="s">
        <v>707</v>
      </c>
      <c r="C398" s="16" t="s">
        <v>789</v>
      </c>
      <c r="D398" s="16" t="s">
        <v>324</v>
      </c>
      <c r="E398" s="16" t="s">
        <v>404</v>
      </c>
      <c r="F398" s="16" t="s">
        <v>790</v>
      </c>
      <c r="G398" s="16">
        <v>0.4</v>
      </c>
      <c r="H398" s="16">
        <v>924</v>
      </c>
      <c r="I398" s="16">
        <v>40</v>
      </c>
      <c r="J398" s="16">
        <v>40</v>
      </c>
      <c r="K398" s="16">
        <v>-2.85351819177566E-2</v>
      </c>
      <c r="L398" s="16">
        <v>2.7366363296247399E-2</v>
      </c>
      <c r="M398" s="16">
        <v>-1.0427100454984299</v>
      </c>
      <c r="N398" s="16">
        <v>38</v>
      </c>
      <c r="O398" s="16">
        <v>0.30367112339846197</v>
      </c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 t="s">
        <v>402</v>
      </c>
      <c r="AI398" s="16"/>
      <c r="AJ398" s="16" t="s">
        <v>930</v>
      </c>
    </row>
    <row r="399" spans="1:36" ht="15" customHeight="1" x14ac:dyDescent="0.3">
      <c r="A399" s="16" t="s">
        <v>273</v>
      </c>
      <c r="B399" s="16" t="s">
        <v>709</v>
      </c>
      <c r="C399" s="16" t="s">
        <v>789</v>
      </c>
      <c r="D399" s="16" t="s">
        <v>324</v>
      </c>
      <c r="E399" s="16" t="s">
        <v>404</v>
      </c>
      <c r="F399" s="16" t="s">
        <v>790</v>
      </c>
      <c r="G399" s="16">
        <v>0.4</v>
      </c>
      <c r="H399" s="16">
        <v>2704</v>
      </c>
      <c r="I399" s="16">
        <v>113</v>
      </c>
      <c r="J399" s="16">
        <v>112</v>
      </c>
      <c r="K399" s="16">
        <v>-1.1800575235498101E-2</v>
      </c>
      <c r="L399" s="16">
        <v>1.8264491967627201E-2</v>
      </c>
      <c r="M399" s="16">
        <v>-0.64609381177499503</v>
      </c>
      <c r="N399" s="16">
        <v>111</v>
      </c>
      <c r="O399" s="16">
        <v>0.51955214434338803</v>
      </c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 t="s">
        <v>402</v>
      </c>
      <c r="AI399" s="16"/>
      <c r="AJ399" s="16" t="s">
        <v>931</v>
      </c>
    </row>
    <row r="400" spans="1:36" ht="15" customHeight="1" x14ac:dyDescent="0.3">
      <c r="A400" s="16" t="s">
        <v>273</v>
      </c>
      <c r="B400" s="16" t="s">
        <v>711</v>
      </c>
      <c r="C400" s="16" t="s">
        <v>789</v>
      </c>
      <c r="D400" s="16" t="s">
        <v>324</v>
      </c>
      <c r="E400" s="16" t="s">
        <v>404</v>
      </c>
      <c r="F400" s="16" t="s">
        <v>790</v>
      </c>
      <c r="G400" s="16">
        <v>0.4</v>
      </c>
      <c r="H400" s="16">
        <v>2704</v>
      </c>
      <c r="I400" s="16">
        <v>113</v>
      </c>
      <c r="J400" s="16">
        <v>112</v>
      </c>
      <c r="K400" s="16">
        <v>-1.97936074716707E-2</v>
      </c>
      <c r="L400" s="16">
        <v>1.93381116603593E-2</v>
      </c>
      <c r="M400" s="16">
        <v>-1.0235543066102499</v>
      </c>
      <c r="N400" s="16">
        <v>111</v>
      </c>
      <c r="O400" s="16">
        <v>0.30827136932392002</v>
      </c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 t="s">
        <v>402</v>
      </c>
      <c r="AI400" s="16"/>
      <c r="AJ400" s="16" t="s">
        <v>932</v>
      </c>
    </row>
    <row r="401" spans="1:36" ht="15" customHeight="1" x14ac:dyDescent="0.3">
      <c r="A401" s="16" t="s">
        <v>273</v>
      </c>
      <c r="B401" s="16" t="s">
        <v>713</v>
      </c>
      <c r="C401" s="16" t="s">
        <v>789</v>
      </c>
      <c r="D401" s="16" t="s">
        <v>324</v>
      </c>
      <c r="E401" s="16" t="s">
        <v>404</v>
      </c>
      <c r="F401" s="16" t="s">
        <v>790</v>
      </c>
      <c r="G401" s="16">
        <v>0.4</v>
      </c>
      <c r="H401" s="16">
        <v>2704</v>
      </c>
      <c r="I401" s="16">
        <v>113</v>
      </c>
      <c r="J401" s="16">
        <v>112</v>
      </c>
      <c r="K401" s="16">
        <v>-1.36020868672231E-2</v>
      </c>
      <c r="L401" s="16">
        <v>1.9512779789489201E-2</v>
      </c>
      <c r="M401" s="16">
        <v>-0.69708606431104003</v>
      </c>
      <c r="N401" s="16">
        <v>110</v>
      </c>
      <c r="O401" s="16">
        <v>0.48721956526479998</v>
      </c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 t="s">
        <v>402</v>
      </c>
      <c r="AI401" s="16"/>
      <c r="AJ401" s="16" t="s">
        <v>933</v>
      </c>
    </row>
    <row r="402" spans="1:36" ht="15" customHeight="1" x14ac:dyDescent="0.3">
      <c r="A402" s="16" t="s">
        <v>273</v>
      </c>
      <c r="B402" s="16" t="s">
        <v>715</v>
      </c>
      <c r="C402" s="16" t="s">
        <v>789</v>
      </c>
      <c r="D402" s="16" t="s">
        <v>324</v>
      </c>
      <c r="E402" s="16" t="s">
        <v>404</v>
      </c>
      <c r="F402" s="16" t="s">
        <v>790</v>
      </c>
      <c r="G402" s="16">
        <v>0.4</v>
      </c>
      <c r="H402" s="16">
        <v>2704</v>
      </c>
      <c r="I402" s="16">
        <v>113</v>
      </c>
      <c r="J402" s="16">
        <v>112</v>
      </c>
      <c r="K402" s="16">
        <v>-2.3547486332077601E-2</v>
      </c>
      <c r="L402" s="16">
        <v>2.0204472878038102E-2</v>
      </c>
      <c r="M402" s="16">
        <v>-1.16545907800808</v>
      </c>
      <c r="N402" s="16">
        <v>111</v>
      </c>
      <c r="O402" s="16">
        <v>0.246331547508221</v>
      </c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 t="s">
        <v>402</v>
      </c>
      <c r="AI402" s="16"/>
      <c r="AJ402" s="16" t="s">
        <v>934</v>
      </c>
    </row>
    <row r="403" spans="1:36" ht="15" customHeight="1" x14ac:dyDescent="0.3">
      <c r="A403" s="16" t="s">
        <v>273</v>
      </c>
      <c r="B403" s="16" t="s">
        <v>717</v>
      </c>
      <c r="C403" s="16" t="s">
        <v>789</v>
      </c>
      <c r="D403" s="16" t="s">
        <v>324</v>
      </c>
      <c r="E403" s="16" t="s">
        <v>404</v>
      </c>
      <c r="F403" s="16" t="s">
        <v>790</v>
      </c>
      <c r="G403" s="16">
        <v>0.4</v>
      </c>
      <c r="H403" s="16">
        <v>2704</v>
      </c>
      <c r="I403" s="16">
        <v>113</v>
      </c>
      <c r="J403" s="16">
        <v>112</v>
      </c>
      <c r="K403" s="16">
        <v>-2.9331753498780702E-3</v>
      </c>
      <c r="L403" s="16">
        <v>2.4213088024840901E-2</v>
      </c>
      <c r="M403" s="16">
        <v>-0.121140077088426</v>
      </c>
      <c r="N403" s="16">
        <v>110</v>
      </c>
      <c r="O403" s="16">
        <v>0.90380109561077404</v>
      </c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 t="s">
        <v>402</v>
      </c>
      <c r="AI403" s="16"/>
      <c r="AJ403" s="16" t="s">
        <v>935</v>
      </c>
    </row>
    <row r="404" spans="1:36" ht="15" customHeight="1" x14ac:dyDescent="0.3">
      <c r="A404" s="16" t="s">
        <v>273</v>
      </c>
      <c r="B404" s="16" t="s">
        <v>719</v>
      </c>
      <c r="C404" s="16" t="s">
        <v>789</v>
      </c>
      <c r="D404" s="16" t="s">
        <v>324</v>
      </c>
      <c r="E404" s="16" t="s">
        <v>404</v>
      </c>
      <c r="F404" s="16" t="s">
        <v>790</v>
      </c>
      <c r="G404" s="16">
        <v>0.4</v>
      </c>
      <c r="H404" s="16">
        <v>2704</v>
      </c>
      <c r="I404" s="16">
        <v>113</v>
      </c>
      <c r="J404" s="16">
        <v>112</v>
      </c>
      <c r="K404" s="16">
        <v>8.9694411658920704E-4</v>
      </c>
      <c r="L404" s="16">
        <v>2.5737795631655201E-2</v>
      </c>
      <c r="M404" s="16">
        <v>3.4849298262592698E-2</v>
      </c>
      <c r="N404" s="16">
        <v>110</v>
      </c>
      <c r="O404" s="16">
        <v>0.97226307057727401</v>
      </c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 t="s">
        <v>402</v>
      </c>
      <c r="AI404" s="16"/>
      <c r="AJ404" s="16" t="s">
        <v>936</v>
      </c>
    </row>
    <row r="405" spans="1:36" ht="15" customHeight="1" x14ac:dyDescent="0.3">
      <c r="A405" s="16" t="s">
        <v>273</v>
      </c>
      <c r="B405" s="16" t="s">
        <v>721</v>
      </c>
      <c r="C405" s="16" t="s">
        <v>789</v>
      </c>
      <c r="D405" s="16" t="s">
        <v>324</v>
      </c>
      <c r="E405" s="16" t="s">
        <v>404</v>
      </c>
      <c r="F405" s="16" t="s">
        <v>790</v>
      </c>
      <c r="G405" s="16">
        <v>0.4</v>
      </c>
      <c r="H405" s="16">
        <v>2704</v>
      </c>
      <c r="I405" s="16">
        <v>113</v>
      </c>
      <c r="J405" s="16">
        <v>112</v>
      </c>
      <c r="K405" s="16">
        <v>-1.28133503833415E-2</v>
      </c>
      <c r="L405" s="16">
        <v>1.7287756489693901E-2</v>
      </c>
      <c r="M405" s="16">
        <v>-0.74118063792604805</v>
      </c>
      <c r="N405" s="16">
        <v>111</v>
      </c>
      <c r="O405" s="16">
        <v>0.46014909430405099</v>
      </c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 t="s">
        <v>402</v>
      </c>
      <c r="AI405" s="16"/>
      <c r="AJ405" s="16" t="s">
        <v>937</v>
      </c>
    </row>
    <row r="406" spans="1:36" ht="15" customHeight="1" x14ac:dyDescent="0.3">
      <c r="A406" s="16" t="s">
        <v>273</v>
      </c>
      <c r="B406" s="16" t="s">
        <v>723</v>
      </c>
      <c r="C406" s="16" t="s">
        <v>789</v>
      </c>
      <c r="D406" s="16" t="s">
        <v>324</v>
      </c>
      <c r="E406" s="16" t="s">
        <v>404</v>
      </c>
      <c r="F406" s="16" t="s">
        <v>790</v>
      </c>
      <c r="G406" s="16">
        <v>0.4</v>
      </c>
      <c r="H406" s="16">
        <v>2704</v>
      </c>
      <c r="I406" s="16">
        <v>113</v>
      </c>
      <c r="J406" s="16">
        <v>112</v>
      </c>
      <c r="K406" s="16">
        <v>-5.2332499445956401E-3</v>
      </c>
      <c r="L406" s="16">
        <v>1.6520481965834201E-2</v>
      </c>
      <c r="M406" s="16">
        <v>-0.31677344253142597</v>
      </c>
      <c r="N406" s="16">
        <v>111</v>
      </c>
      <c r="O406" s="16">
        <v>0.75201050878426501</v>
      </c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 t="s">
        <v>402</v>
      </c>
      <c r="AI406" s="16"/>
      <c r="AJ406" s="16" t="s">
        <v>938</v>
      </c>
    </row>
    <row r="407" spans="1:36" ht="15" customHeight="1" x14ac:dyDescent="0.3">
      <c r="A407" s="16" t="s">
        <v>273</v>
      </c>
      <c r="B407" s="16" t="s">
        <v>725</v>
      </c>
      <c r="C407" s="16" t="s">
        <v>789</v>
      </c>
      <c r="D407" s="16" t="s">
        <v>324</v>
      </c>
      <c r="E407" s="16" t="s">
        <v>404</v>
      </c>
      <c r="F407" s="16" t="s">
        <v>790</v>
      </c>
      <c r="G407" s="16">
        <v>0.4</v>
      </c>
      <c r="H407" s="16">
        <v>2704</v>
      </c>
      <c r="I407" s="16">
        <v>113</v>
      </c>
      <c r="J407" s="16">
        <v>112</v>
      </c>
      <c r="K407" s="16">
        <v>-6.3817722103973202E-3</v>
      </c>
      <c r="L407" s="16">
        <v>1.6431765384338201E-2</v>
      </c>
      <c r="M407" s="16">
        <v>-0.38838019294506498</v>
      </c>
      <c r="N407" s="16">
        <v>111</v>
      </c>
      <c r="O407" s="16">
        <v>0.69847860293202102</v>
      </c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 t="s">
        <v>402</v>
      </c>
      <c r="AI407" s="16"/>
      <c r="AJ407" s="16" t="s">
        <v>939</v>
      </c>
    </row>
    <row r="408" spans="1:36" ht="15" customHeight="1" x14ac:dyDescent="0.3">
      <c r="A408" s="16" t="s">
        <v>273</v>
      </c>
      <c r="B408" s="16" t="s">
        <v>727</v>
      </c>
      <c r="C408" s="16" t="s">
        <v>789</v>
      </c>
      <c r="D408" s="16" t="s">
        <v>324</v>
      </c>
      <c r="E408" s="16" t="s">
        <v>404</v>
      </c>
      <c r="F408" s="16" t="s">
        <v>790</v>
      </c>
      <c r="G408" s="16">
        <v>0.4</v>
      </c>
      <c r="H408" s="16">
        <v>929</v>
      </c>
      <c r="I408" s="16">
        <v>40</v>
      </c>
      <c r="J408" s="16">
        <v>40</v>
      </c>
      <c r="K408" s="16">
        <v>-2.30865808385004E-2</v>
      </c>
      <c r="L408" s="16">
        <v>2.58820751261289E-2</v>
      </c>
      <c r="M408" s="16">
        <v>-0.89199110681792604</v>
      </c>
      <c r="N408" s="16">
        <v>38</v>
      </c>
      <c r="O408" s="16">
        <v>0.378011460453899</v>
      </c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 t="s">
        <v>402</v>
      </c>
      <c r="AI408" s="16"/>
      <c r="AJ408" s="16" t="s">
        <v>940</v>
      </c>
    </row>
    <row r="409" spans="1:36" ht="15" customHeight="1" x14ac:dyDescent="0.3">
      <c r="A409" s="16" t="s">
        <v>273</v>
      </c>
      <c r="B409" s="16" t="s">
        <v>729</v>
      </c>
      <c r="C409" s="16" t="s">
        <v>789</v>
      </c>
      <c r="D409" s="16" t="s">
        <v>324</v>
      </c>
      <c r="E409" s="16" t="s">
        <v>404</v>
      </c>
      <c r="F409" s="16" t="s">
        <v>790</v>
      </c>
      <c r="G409" s="16">
        <v>0.4</v>
      </c>
      <c r="H409" s="16">
        <v>2606</v>
      </c>
      <c r="I409" s="16">
        <v>110</v>
      </c>
      <c r="J409" s="16">
        <v>109</v>
      </c>
      <c r="K409" s="16">
        <v>9.6101066953756999E-3</v>
      </c>
      <c r="L409" s="16">
        <v>5.0925524984315101E-2</v>
      </c>
      <c r="M409" s="16">
        <v>0.18870903536754099</v>
      </c>
      <c r="N409" s="16">
        <v>108</v>
      </c>
      <c r="O409" s="16">
        <v>0.85067502294106601</v>
      </c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 t="s">
        <v>402</v>
      </c>
      <c r="AI409" s="16"/>
      <c r="AJ409" s="16" t="s">
        <v>941</v>
      </c>
    </row>
    <row r="410" spans="1:36" ht="15" customHeight="1" x14ac:dyDescent="0.3">
      <c r="A410" s="16" t="s">
        <v>273</v>
      </c>
      <c r="B410" s="16" t="s">
        <v>731</v>
      </c>
      <c r="C410" s="16" t="s">
        <v>789</v>
      </c>
      <c r="D410" s="16" t="s">
        <v>324</v>
      </c>
      <c r="E410" s="16" t="s">
        <v>404</v>
      </c>
      <c r="F410" s="16" t="s">
        <v>790</v>
      </c>
      <c r="G410" s="16">
        <v>0.4</v>
      </c>
      <c r="H410" s="16">
        <v>2606</v>
      </c>
      <c r="I410" s="16">
        <v>110</v>
      </c>
      <c r="J410" s="16">
        <v>109</v>
      </c>
      <c r="K410" s="16">
        <v>-2.9026493366063099E-3</v>
      </c>
      <c r="L410" s="16">
        <v>5.39426704965075E-2</v>
      </c>
      <c r="M410" s="16">
        <v>-5.3809893167863103E-2</v>
      </c>
      <c r="N410" s="16">
        <v>108</v>
      </c>
      <c r="O410" s="16">
        <v>0.95718603861084905</v>
      </c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 t="s">
        <v>402</v>
      </c>
      <c r="AI410" s="16"/>
      <c r="AJ410" s="16" t="s">
        <v>942</v>
      </c>
    </row>
    <row r="411" spans="1:36" ht="15" customHeight="1" x14ac:dyDescent="0.3">
      <c r="A411" s="16" t="s">
        <v>273</v>
      </c>
      <c r="B411" s="16" t="s">
        <v>733</v>
      </c>
      <c r="C411" s="16" t="s">
        <v>789</v>
      </c>
      <c r="D411" s="16" t="s">
        <v>324</v>
      </c>
      <c r="E411" s="16" t="s">
        <v>404</v>
      </c>
      <c r="F411" s="16" t="s">
        <v>790</v>
      </c>
      <c r="G411" s="16">
        <v>0.4</v>
      </c>
      <c r="H411" s="16">
        <v>2606</v>
      </c>
      <c r="I411" s="16">
        <v>110</v>
      </c>
      <c r="J411" s="16">
        <v>109</v>
      </c>
      <c r="K411" s="16">
        <v>-4.3357056460061098E-2</v>
      </c>
      <c r="L411" s="16">
        <v>5.5098940772811703E-2</v>
      </c>
      <c r="M411" s="16">
        <v>-0.786894554630992</v>
      </c>
      <c r="N411" s="16">
        <v>107</v>
      </c>
      <c r="O411" s="16">
        <v>0.43308303506407703</v>
      </c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 t="s">
        <v>402</v>
      </c>
      <c r="AI411" s="16"/>
      <c r="AJ411" s="16" t="s">
        <v>943</v>
      </c>
    </row>
    <row r="412" spans="1:36" ht="15" customHeight="1" x14ac:dyDescent="0.3">
      <c r="A412" s="16" t="s">
        <v>273</v>
      </c>
      <c r="B412" s="16" t="s">
        <v>735</v>
      </c>
      <c r="C412" s="16" t="s">
        <v>789</v>
      </c>
      <c r="D412" s="16" t="s">
        <v>324</v>
      </c>
      <c r="E412" s="16" t="s">
        <v>404</v>
      </c>
      <c r="F412" s="16" t="s">
        <v>790</v>
      </c>
      <c r="G412" s="16">
        <v>0.4</v>
      </c>
      <c r="H412" s="16">
        <v>2606</v>
      </c>
      <c r="I412" s="16">
        <v>110</v>
      </c>
      <c r="J412" s="16">
        <v>109</v>
      </c>
      <c r="K412" s="16">
        <v>-7.7295109654232901E-3</v>
      </c>
      <c r="L412" s="16">
        <v>5.6355430279058302E-2</v>
      </c>
      <c r="M412" s="16">
        <v>-0.13715645372856999</v>
      </c>
      <c r="N412" s="16">
        <v>108</v>
      </c>
      <c r="O412" s="16">
        <v>0.89116249835463202</v>
      </c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 t="s">
        <v>402</v>
      </c>
      <c r="AI412" s="16"/>
      <c r="AJ412" s="16" t="s">
        <v>944</v>
      </c>
    </row>
    <row r="413" spans="1:36" ht="15" customHeight="1" x14ac:dyDescent="0.3">
      <c r="A413" s="16" t="s">
        <v>273</v>
      </c>
      <c r="B413" s="16" t="s">
        <v>737</v>
      </c>
      <c r="C413" s="16" t="s">
        <v>789</v>
      </c>
      <c r="D413" s="16" t="s">
        <v>324</v>
      </c>
      <c r="E413" s="16" t="s">
        <v>404</v>
      </c>
      <c r="F413" s="16" t="s">
        <v>790</v>
      </c>
      <c r="G413" s="16">
        <v>0.4</v>
      </c>
      <c r="H413" s="16">
        <v>2606</v>
      </c>
      <c r="I413" s="16">
        <v>110</v>
      </c>
      <c r="J413" s="16">
        <v>109</v>
      </c>
      <c r="K413" s="16">
        <v>1.6821063347715898E-2</v>
      </c>
      <c r="L413" s="16">
        <v>6.7101836126025702E-2</v>
      </c>
      <c r="M413" s="16">
        <v>0.250679628440029</v>
      </c>
      <c r="N413" s="16">
        <v>107</v>
      </c>
      <c r="O413" s="16">
        <v>0.80254254084518495</v>
      </c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 t="s">
        <v>402</v>
      </c>
      <c r="AI413" s="16"/>
      <c r="AJ413" s="16" t="s">
        <v>945</v>
      </c>
    </row>
    <row r="414" spans="1:36" ht="15" customHeight="1" x14ac:dyDescent="0.3">
      <c r="A414" s="16" t="s">
        <v>273</v>
      </c>
      <c r="B414" s="16" t="s">
        <v>739</v>
      </c>
      <c r="C414" s="16" t="s">
        <v>789</v>
      </c>
      <c r="D414" s="16" t="s">
        <v>324</v>
      </c>
      <c r="E414" s="16" t="s">
        <v>404</v>
      </c>
      <c r="F414" s="16" t="s">
        <v>790</v>
      </c>
      <c r="G414" s="16">
        <v>0.4</v>
      </c>
      <c r="H414" s="16">
        <v>2606</v>
      </c>
      <c r="I414" s="16">
        <v>110</v>
      </c>
      <c r="J414" s="16">
        <v>109</v>
      </c>
      <c r="K414" s="16">
        <v>2.07655208340977E-2</v>
      </c>
      <c r="L414" s="16">
        <v>7.1312837796029593E-2</v>
      </c>
      <c r="M414" s="16">
        <v>0.291189096884513</v>
      </c>
      <c r="N414" s="16">
        <v>107</v>
      </c>
      <c r="O414" s="16">
        <v>0.77147041399623195</v>
      </c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 t="s">
        <v>402</v>
      </c>
      <c r="AI414" s="16"/>
      <c r="AJ414" s="16" t="s">
        <v>946</v>
      </c>
    </row>
    <row r="415" spans="1:36" ht="15" customHeight="1" x14ac:dyDescent="0.3">
      <c r="A415" s="16" t="s">
        <v>273</v>
      </c>
      <c r="B415" s="16" t="s">
        <v>741</v>
      </c>
      <c r="C415" s="16" t="s">
        <v>789</v>
      </c>
      <c r="D415" s="16" t="s">
        <v>324</v>
      </c>
      <c r="E415" s="16" t="s">
        <v>404</v>
      </c>
      <c r="F415" s="16" t="s">
        <v>790</v>
      </c>
      <c r="G415" s="16">
        <v>0.4</v>
      </c>
      <c r="H415" s="16">
        <v>2606</v>
      </c>
      <c r="I415" s="16">
        <v>110</v>
      </c>
      <c r="J415" s="16">
        <v>109</v>
      </c>
      <c r="K415" s="16">
        <v>-5.3897779416309799E-2</v>
      </c>
      <c r="L415" s="16">
        <v>4.8353614411189898E-2</v>
      </c>
      <c r="M415" s="16">
        <v>-1.1146587503877901</v>
      </c>
      <c r="N415" s="16">
        <v>108</v>
      </c>
      <c r="O415" s="16">
        <v>0.26747101586640099</v>
      </c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 t="s">
        <v>402</v>
      </c>
      <c r="AI415" s="16"/>
      <c r="AJ415" s="16" t="s">
        <v>947</v>
      </c>
    </row>
    <row r="416" spans="1:36" ht="15" customHeight="1" x14ac:dyDescent="0.3">
      <c r="A416" s="16" t="s">
        <v>273</v>
      </c>
      <c r="B416" s="16" t="s">
        <v>743</v>
      </c>
      <c r="C416" s="16" t="s">
        <v>789</v>
      </c>
      <c r="D416" s="16" t="s">
        <v>324</v>
      </c>
      <c r="E416" s="16" t="s">
        <v>404</v>
      </c>
      <c r="F416" s="16" t="s">
        <v>790</v>
      </c>
      <c r="G416" s="16">
        <v>0.4</v>
      </c>
      <c r="H416" s="16">
        <v>2606</v>
      </c>
      <c r="I416" s="16">
        <v>110</v>
      </c>
      <c r="J416" s="16">
        <v>109</v>
      </c>
      <c r="K416" s="16">
        <v>2.5853450259669401E-2</v>
      </c>
      <c r="L416" s="16">
        <v>4.6209078466265201E-2</v>
      </c>
      <c r="M416" s="16">
        <v>0.55948854895567002</v>
      </c>
      <c r="N416" s="16">
        <v>108</v>
      </c>
      <c r="O416" s="16">
        <v>0.57698681468951996</v>
      </c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 t="s">
        <v>402</v>
      </c>
      <c r="AI416" s="16"/>
      <c r="AJ416" s="16" t="s">
        <v>948</v>
      </c>
    </row>
    <row r="417" spans="1:36" ht="15" customHeight="1" x14ac:dyDescent="0.3">
      <c r="A417" s="16" t="s">
        <v>273</v>
      </c>
      <c r="B417" s="16" t="s">
        <v>745</v>
      </c>
      <c r="C417" s="16" t="s">
        <v>789</v>
      </c>
      <c r="D417" s="16" t="s">
        <v>324</v>
      </c>
      <c r="E417" s="16" t="s">
        <v>404</v>
      </c>
      <c r="F417" s="16" t="s">
        <v>790</v>
      </c>
      <c r="G417" s="16">
        <v>0.4</v>
      </c>
      <c r="H417" s="16">
        <v>2606</v>
      </c>
      <c r="I417" s="16">
        <v>110</v>
      </c>
      <c r="J417" s="16">
        <v>109</v>
      </c>
      <c r="K417" s="16">
        <v>1.64657274574244E-2</v>
      </c>
      <c r="L417" s="16">
        <v>4.6094389711639101E-2</v>
      </c>
      <c r="M417" s="16">
        <v>0.35721760414731601</v>
      </c>
      <c r="N417" s="16">
        <v>108</v>
      </c>
      <c r="O417" s="16">
        <v>0.72162597540837703</v>
      </c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 t="s">
        <v>402</v>
      </c>
      <c r="AI417" s="16"/>
      <c r="AJ417" s="16" t="s">
        <v>949</v>
      </c>
    </row>
    <row r="418" spans="1:36" ht="15" customHeight="1" x14ac:dyDescent="0.3">
      <c r="A418" s="16" t="s">
        <v>273</v>
      </c>
      <c r="B418" s="16" t="s">
        <v>747</v>
      </c>
      <c r="C418" s="16" t="s">
        <v>789</v>
      </c>
      <c r="D418" s="16" t="s">
        <v>324</v>
      </c>
      <c r="E418" s="16" t="s">
        <v>404</v>
      </c>
      <c r="F418" s="16" t="s">
        <v>790</v>
      </c>
      <c r="G418" s="16">
        <v>0.4</v>
      </c>
      <c r="H418" s="16">
        <v>905</v>
      </c>
      <c r="I418" s="16">
        <v>38</v>
      </c>
      <c r="J418" s="16">
        <v>38</v>
      </c>
      <c r="K418" s="16">
        <v>-2.7968692965617801E-2</v>
      </c>
      <c r="L418" s="16">
        <v>2.8845197114977902E-2</v>
      </c>
      <c r="M418" s="16">
        <v>-0.96961351500333304</v>
      </c>
      <c r="N418" s="16">
        <v>36</v>
      </c>
      <c r="O418" s="16">
        <v>0.33870885039656701</v>
      </c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 t="s">
        <v>402</v>
      </c>
      <c r="AI418" s="16"/>
      <c r="AJ418" s="16" t="s">
        <v>950</v>
      </c>
    </row>
    <row r="419" spans="1:36" ht="15" customHeight="1" x14ac:dyDescent="0.3">
      <c r="A419" s="16" t="s">
        <v>273</v>
      </c>
      <c r="B419" s="16" t="s">
        <v>749</v>
      </c>
      <c r="C419" s="16" t="s">
        <v>789</v>
      </c>
      <c r="D419" s="16" t="s">
        <v>324</v>
      </c>
      <c r="E419" s="16" t="s">
        <v>404</v>
      </c>
      <c r="F419" s="16" t="s">
        <v>790</v>
      </c>
      <c r="G419" s="16">
        <v>0.4</v>
      </c>
      <c r="H419" s="16">
        <v>2593</v>
      </c>
      <c r="I419" s="16">
        <v>110</v>
      </c>
      <c r="J419" s="16">
        <v>109</v>
      </c>
      <c r="K419" s="16">
        <v>-2.1927158812225601E-2</v>
      </c>
      <c r="L419" s="16">
        <v>1.9171483222621501E-2</v>
      </c>
      <c r="M419" s="16">
        <v>-1.14373825736929</v>
      </c>
      <c r="N419" s="16">
        <v>108</v>
      </c>
      <c r="O419" s="16">
        <v>0.25526097203749498</v>
      </c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 t="s">
        <v>402</v>
      </c>
      <c r="AI419" s="16"/>
      <c r="AJ419" s="16" t="s">
        <v>951</v>
      </c>
    </row>
    <row r="420" spans="1:36" ht="15" customHeight="1" x14ac:dyDescent="0.3">
      <c r="A420" s="16" t="s">
        <v>273</v>
      </c>
      <c r="B420" s="16" t="s">
        <v>751</v>
      </c>
      <c r="C420" s="16" t="s">
        <v>789</v>
      </c>
      <c r="D420" s="16" t="s">
        <v>324</v>
      </c>
      <c r="E420" s="16" t="s">
        <v>404</v>
      </c>
      <c r="F420" s="16" t="s">
        <v>790</v>
      </c>
      <c r="G420" s="16">
        <v>0.4</v>
      </c>
      <c r="H420" s="16">
        <v>2593</v>
      </c>
      <c r="I420" s="16">
        <v>110</v>
      </c>
      <c r="J420" s="16">
        <v>109</v>
      </c>
      <c r="K420" s="16">
        <v>-3.2803305507532902E-2</v>
      </c>
      <c r="L420" s="16">
        <v>2.0205635470673101E-2</v>
      </c>
      <c r="M420" s="16">
        <v>-1.62347309269952</v>
      </c>
      <c r="N420" s="16">
        <v>108</v>
      </c>
      <c r="O420" s="16">
        <v>0.10740364885940901</v>
      </c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 t="s">
        <v>402</v>
      </c>
      <c r="AI420" s="16"/>
      <c r="AJ420" s="16" t="s">
        <v>952</v>
      </c>
    </row>
    <row r="421" spans="1:36" ht="15" customHeight="1" x14ac:dyDescent="0.3">
      <c r="A421" s="16" t="s">
        <v>273</v>
      </c>
      <c r="B421" s="16" t="s">
        <v>753</v>
      </c>
      <c r="C421" s="16" t="s">
        <v>789</v>
      </c>
      <c r="D421" s="16" t="s">
        <v>324</v>
      </c>
      <c r="E421" s="16" t="s">
        <v>404</v>
      </c>
      <c r="F421" s="16" t="s">
        <v>790</v>
      </c>
      <c r="G421" s="16">
        <v>0.4</v>
      </c>
      <c r="H421" s="16">
        <v>2593</v>
      </c>
      <c r="I421" s="16">
        <v>110</v>
      </c>
      <c r="J421" s="16">
        <v>109</v>
      </c>
      <c r="K421" s="16">
        <v>-1.57704784465456E-2</v>
      </c>
      <c r="L421" s="16">
        <v>2.1119022377971901E-2</v>
      </c>
      <c r="M421" s="16">
        <v>-0.74674282569987704</v>
      </c>
      <c r="N421" s="16">
        <v>107</v>
      </c>
      <c r="O421" s="16">
        <v>0.45685650126240401</v>
      </c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 t="s">
        <v>402</v>
      </c>
      <c r="AI421" s="16"/>
      <c r="AJ421" s="16" t="s">
        <v>953</v>
      </c>
    </row>
    <row r="422" spans="1:36" ht="15" customHeight="1" x14ac:dyDescent="0.3">
      <c r="A422" s="16" t="s">
        <v>273</v>
      </c>
      <c r="B422" s="16" t="s">
        <v>755</v>
      </c>
      <c r="C422" s="16" t="s">
        <v>789</v>
      </c>
      <c r="D422" s="16" t="s">
        <v>324</v>
      </c>
      <c r="E422" s="16" t="s">
        <v>404</v>
      </c>
      <c r="F422" s="16" t="s">
        <v>790</v>
      </c>
      <c r="G422" s="16">
        <v>0.4</v>
      </c>
      <c r="H422" s="16">
        <v>2593</v>
      </c>
      <c r="I422" s="16">
        <v>110</v>
      </c>
      <c r="J422" s="16">
        <v>109</v>
      </c>
      <c r="K422" s="16">
        <v>-3.6613399406479903E-2</v>
      </c>
      <c r="L422" s="16">
        <v>2.1089311222604299E-2</v>
      </c>
      <c r="M422" s="16">
        <v>-1.73611167382443</v>
      </c>
      <c r="N422" s="16">
        <v>108</v>
      </c>
      <c r="O422" s="16">
        <v>8.5395878870367301E-2</v>
      </c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 t="s">
        <v>402</v>
      </c>
      <c r="AI422" s="16"/>
      <c r="AJ422" s="16" t="s">
        <v>954</v>
      </c>
    </row>
    <row r="423" spans="1:36" ht="15" customHeight="1" x14ac:dyDescent="0.3">
      <c r="A423" s="16" t="s">
        <v>273</v>
      </c>
      <c r="B423" s="16" t="s">
        <v>757</v>
      </c>
      <c r="C423" s="16" t="s">
        <v>789</v>
      </c>
      <c r="D423" s="16" t="s">
        <v>324</v>
      </c>
      <c r="E423" s="16" t="s">
        <v>404</v>
      </c>
      <c r="F423" s="16" t="s">
        <v>790</v>
      </c>
      <c r="G423" s="16">
        <v>0.4</v>
      </c>
      <c r="H423" s="16">
        <v>2593</v>
      </c>
      <c r="I423" s="16">
        <v>110</v>
      </c>
      <c r="J423" s="16">
        <v>109</v>
      </c>
      <c r="K423" s="16">
        <v>-1.0661703592713E-2</v>
      </c>
      <c r="L423" s="16">
        <v>2.5419496574612701E-2</v>
      </c>
      <c r="M423" s="16">
        <v>-0.41943016304111902</v>
      </c>
      <c r="N423" s="16">
        <v>107</v>
      </c>
      <c r="O423" s="16">
        <v>0.67574267764251805</v>
      </c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 t="s">
        <v>402</v>
      </c>
      <c r="AI423" s="16"/>
      <c r="AJ423" s="16" t="s">
        <v>955</v>
      </c>
    </row>
    <row r="424" spans="1:36" ht="15" customHeight="1" x14ac:dyDescent="0.3">
      <c r="A424" s="16" t="s">
        <v>273</v>
      </c>
      <c r="B424" s="16" t="s">
        <v>759</v>
      </c>
      <c r="C424" s="16" t="s">
        <v>789</v>
      </c>
      <c r="D424" s="16" t="s">
        <v>324</v>
      </c>
      <c r="E424" s="16" t="s">
        <v>404</v>
      </c>
      <c r="F424" s="16" t="s">
        <v>790</v>
      </c>
      <c r="G424" s="16">
        <v>0.4</v>
      </c>
      <c r="H424" s="16">
        <v>2593</v>
      </c>
      <c r="I424" s="16">
        <v>110</v>
      </c>
      <c r="J424" s="16">
        <v>109</v>
      </c>
      <c r="K424" s="16">
        <v>-6.55368075341303E-3</v>
      </c>
      <c r="L424" s="16">
        <v>2.7023716910647599E-2</v>
      </c>
      <c r="M424" s="16">
        <v>-0.242515889841594</v>
      </c>
      <c r="N424" s="16">
        <v>107</v>
      </c>
      <c r="O424" s="16">
        <v>0.80884469283736005</v>
      </c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 t="s">
        <v>402</v>
      </c>
      <c r="AI424" s="16"/>
      <c r="AJ424" s="16" t="s">
        <v>956</v>
      </c>
    </row>
    <row r="425" spans="1:36" ht="15" customHeight="1" x14ac:dyDescent="0.3">
      <c r="A425" s="16" t="s">
        <v>273</v>
      </c>
      <c r="B425" s="16" t="s">
        <v>761</v>
      </c>
      <c r="C425" s="16" t="s">
        <v>789</v>
      </c>
      <c r="D425" s="16" t="s">
        <v>324</v>
      </c>
      <c r="E425" s="16" t="s">
        <v>404</v>
      </c>
      <c r="F425" s="16" t="s">
        <v>790</v>
      </c>
      <c r="G425" s="16">
        <v>0.4</v>
      </c>
      <c r="H425" s="16">
        <v>2593</v>
      </c>
      <c r="I425" s="16">
        <v>110</v>
      </c>
      <c r="J425" s="16">
        <v>109</v>
      </c>
      <c r="K425" s="16">
        <v>-2.43998300152653E-2</v>
      </c>
      <c r="L425" s="16">
        <v>1.8403130976408302E-2</v>
      </c>
      <c r="M425" s="16">
        <v>-1.3258521088908399</v>
      </c>
      <c r="N425" s="16">
        <v>108</v>
      </c>
      <c r="O425" s="16">
        <v>0.187686150791149</v>
      </c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 t="s">
        <v>402</v>
      </c>
      <c r="AI425" s="16"/>
      <c r="AJ425" s="16" t="s">
        <v>957</v>
      </c>
    </row>
    <row r="426" spans="1:36" ht="15" customHeight="1" x14ac:dyDescent="0.3">
      <c r="A426" s="16" t="s">
        <v>273</v>
      </c>
      <c r="B426" s="16" t="s">
        <v>763</v>
      </c>
      <c r="C426" s="16" t="s">
        <v>789</v>
      </c>
      <c r="D426" s="16" t="s">
        <v>324</v>
      </c>
      <c r="E426" s="16" t="s">
        <v>404</v>
      </c>
      <c r="F426" s="16" t="s">
        <v>790</v>
      </c>
      <c r="G426" s="16">
        <v>0.4</v>
      </c>
      <c r="H426" s="16">
        <v>2593</v>
      </c>
      <c r="I426" s="16">
        <v>110</v>
      </c>
      <c r="J426" s="16">
        <v>109</v>
      </c>
      <c r="K426" s="16">
        <v>-2.2403418451431501E-2</v>
      </c>
      <c r="L426" s="16">
        <v>1.74608359799918E-2</v>
      </c>
      <c r="M426" s="16">
        <v>-1.2830667716656501</v>
      </c>
      <c r="N426" s="16">
        <v>108</v>
      </c>
      <c r="O426" s="16">
        <v>0.20221524758121201</v>
      </c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 t="s">
        <v>402</v>
      </c>
      <c r="AI426" s="16"/>
      <c r="AJ426" s="16" t="s">
        <v>958</v>
      </c>
    </row>
    <row r="427" spans="1:36" ht="15" customHeight="1" x14ac:dyDescent="0.3">
      <c r="A427" s="16" t="s">
        <v>273</v>
      </c>
      <c r="B427" s="16" t="s">
        <v>765</v>
      </c>
      <c r="C427" s="16" t="s">
        <v>789</v>
      </c>
      <c r="D427" s="16" t="s">
        <v>324</v>
      </c>
      <c r="E427" s="16" t="s">
        <v>404</v>
      </c>
      <c r="F427" s="16" t="s">
        <v>790</v>
      </c>
      <c r="G427" s="16">
        <v>0.4</v>
      </c>
      <c r="H427" s="16">
        <v>2593</v>
      </c>
      <c r="I427" s="16">
        <v>110</v>
      </c>
      <c r="J427" s="16">
        <v>109</v>
      </c>
      <c r="K427" s="16">
        <v>-2.00570759935721E-2</v>
      </c>
      <c r="L427" s="16">
        <v>1.7356417673476E-2</v>
      </c>
      <c r="M427" s="16">
        <v>-1.15559998444975</v>
      </c>
      <c r="N427" s="16">
        <v>108</v>
      </c>
      <c r="O427" s="16">
        <v>0.25039497040898101</v>
      </c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 t="s">
        <v>402</v>
      </c>
      <c r="AI427" s="16"/>
      <c r="AJ427" s="16" t="s">
        <v>959</v>
      </c>
    </row>
    <row r="428" spans="1:36" ht="15" customHeight="1" x14ac:dyDescent="0.3">
      <c r="A428" s="16" t="s">
        <v>273</v>
      </c>
      <c r="B428" s="16" t="s">
        <v>767</v>
      </c>
      <c r="C428" s="16" t="s">
        <v>789</v>
      </c>
      <c r="D428" s="16" t="s">
        <v>324</v>
      </c>
      <c r="E428" s="16" t="s">
        <v>404</v>
      </c>
      <c r="F428" s="16" t="s">
        <v>790</v>
      </c>
      <c r="G428" s="16">
        <v>0.4</v>
      </c>
      <c r="H428" s="16">
        <v>900</v>
      </c>
      <c r="I428" s="16">
        <v>38</v>
      </c>
      <c r="J428" s="16">
        <v>38</v>
      </c>
      <c r="K428" s="16">
        <v>-3.1648480488767498E-2</v>
      </c>
      <c r="L428" s="16">
        <v>2.8397215069339499E-2</v>
      </c>
      <c r="M428" s="16">
        <v>-1.1144924039730399</v>
      </c>
      <c r="N428" s="16">
        <v>36</v>
      </c>
      <c r="O428" s="16">
        <v>0.27245338484259601</v>
      </c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 t="s">
        <v>402</v>
      </c>
      <c r="AI428" s="16"/>
      <c r="AJ428" s="16" t="s">
        <v>960</v>
      </c>
    </row>
    <row r="429" spans="1:36" ht="15" customHeight="1" x14ac:dyDescent="0.3">
      <c r="A429" s="16" t="s">
        <v>273</v>
      </c>
      <c r="B429" s="16" t="s">
        <v>769</v>
      </c>
      <c r="C429" s="16" t="s">
        <v>789</v>
      </c>
      <c r="D429" s="16" t="s">
        <v>324</v>
      </c>
      <c r="E429" s="16" t="s">
        <v>404</v>
      </c>
      <c r="F429" s="16" t="s">
        <v>790</v>
      </c>
      <c r="G429" s="16">
        <v>0.4</v>
      </c>
      <c r="H429" s="16">
        <v>2606</v>
      </c>
      <c r="I429" s="16">
        <v>110</v>
      </c>
      <c r="J429" s="16">
        <v>109</v>
      </c>
      <c r="K429" s="16">
        <v>-1.79190313909342E-2</v>
      </c>
      <c r="L429" s="16">
        <v>1.9066706369322999E-2</v>
      </c>
      <c r="M429" s="16">
        <v>-0.93980738171772804</v>
      </c>
      <c r="N429" s="16">
        <v>108</v>
      </c>
      <c r="O429" s="16">
        <v>0.34941358649967202</v>
      </c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 t="s">
        <v>402</v>
      </c>
      <c r="AI429" s="16"/>
      <c r="AJ429" s="16" t="s">
        <v>961</v>
      </c>
    </row>
    <row r="430" spans="1:36" ht="15" customHeight="1" x14ac:dyDescent="0.3">
      <c r="A430" s="16" t="s">
        <v>273</v>
      </c>
      <c r="B430" s="16" t="s">
        <v>771</v>
      </c>
      <c r="C430" s="16" t="s">
        <v>789</v>
      </c>
      <c r="D430" s="16" t="s">
        <v>324</v>
      </c>
      <c r="E430" s="16" t="s">
        <v>404</v>
      </c>
      <c r="F430" s="16" t="s">
        <v>790</v>
      </c>
      <c r="G430" s="16">
        <v>0.4</v>
      </c>
      <c r="H430" s="16">
        <v>2606</v>
      </c>
      <c r="I430" s="16">
        <v>110</v>
      </c>
      <c r="J430" s="16">
        <v>109</v>
      </c>
      <c r="K430" s="16">
        <v>-2.6277869900156299E-2</v>
      </c>
      <c r="L430" s="16">
        <v>2.0142951403183802E-2</v>
      </c>
      <c r="M430" s="16">
        <v>-1.30456899657728</v>
      </c>
      <c r="N430" s="16">
        <v>108</v>
      </c>
      <c r="O430" s="16">
        <v>0.19481279746501501</v>
      </c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 t="s">
        <v>402</v>
      </c>
      <c r="AI430" s="16"/>
      <c r="AJ430" s="16" t="s">
        <v>962</v>
      </c>
    </row>
    <row r="431" spans="1:36" ht="15" customHeight="1" x14ac:dyDescent="0.3">
      <c r="A431" s="16" t="s">
        <v>273</v>
      </c>
      <c r="B431" s="16" t="s">
        <v>773</v>
      </c>
      <c r="C431" s="16" t="s">
        <v>789</v>
      </c>
      <c r="D431" s="16" t="s">
        <v>324</v>
      </c>
      <c r="E431" s="16" t="s">
        <v>404</v>
      </c>
      <c r="F431" s="16" t="s">
        <v>790</v>
      </c>
      <c r="G431" s="16">
        <v>0.4</v>
      </c>
      <c r="H431" s="16">
        <v>2606</v>
      </c>
      <c r="I431" s="16">
        <v>110</v>
      </c>
      <c r="J431" s="16">
        <v>109</v>
      </c>
      <c r="K431" s="16">
        <v>-1.41380170217635E-2</v>
      </c>
      <c r="L431" s="16">
        <v>2.0969853476095601E-2</v>
      </c>
      <c r="M431" s="16">
        <v>-0.674206762478337</v>
      </c>
      <c r="N431" s="16">
        <v>107</v>
      </c>
      <c r="O431" s="16">
        <v>0.50163386013206002</v>
      </c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 t="s">
        <v>402</v>
      </c>
      <c r="AI431" s="16"/>
      <c r="AJ431" s="16" t="s">
        <v>963</v>
      </c>
    </row>
    <row r="432" spans="1:36" ht="15" customHeight="1" x14ac:dyDescent="0.3">
      <c r="A432" s="16" t="s">
        <v>273</v>
      </c>
      <c r="B432" s="16" t="s">
        <v>775</v>
      </c>
      <c r="C432" s="16" t="s">
        <v>789</v>
      </c>
      <c r="D432" s="16" t="s">
        <v>324</v>
      </c>
      <c r="E432" s="16" t="s">
        <v>404</v>
      </c>
      <c r="F432" s="16" t="s">
        <v>790</v>
      </c>
      <c r="G432" s="16">
        <v>0.4</v>
      </c>
      <c r="H432" s="16">
        <v>2606</v>
      </c>
      <c r="I432" s="16">
        <v>110</v>
      </c>
      <c r="J432" s="16">
        <v>109</v>
      </c>
      <c r="K432" s="16">
        <v>-3.0363735373069401E-2</v>
      </c>
      <c r="L432" s="16">
        <v>2.1023737255264598E-2</v>
      </c>
      <c r="M432" s="16">
        <v>-1.44425964824432</v>
      </c>
      <c r="N432" s="16">
        <v>108</v>
      </c>
      <c r="O432" s="16">
        <v>0.15156080826330701</v>
      </c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 t="s">
        <v>402</v>
      </c>
      <c r="AI432" s="16"/>
      <c r="AJ432" s="16" t="s">
        <v>964</v>
      </c>
    </row>
    <row r="433" spans="1:36" ht="15" customHeight="1" x14ac:dyDescent="0.3">
      <c r="A433" s="16" t="s">
        <v>273</v>
      </c>
      <c r="B433" s="16" t="s">
        <v>777</v>
      </c>
      <c r="C433" s="16" t="s">
        <v>789</v>
      </c>
      <c r="D433" s="16" t="s">
        <v>324</v>
      </c>
      <c r="E433" s="16" t="s">
        <v>404</v>
      </c>
      <c r="F433" s="16" t="s">
        <v>790</v>
      </c>
      <c r="G433" s="16">
        <v>0.4</v>
      </c>
      <c r="H433" s="16">
        <v>2606</v>
      </c>
      <c r="I433" s="16">
        <v>110</v>
      </c>
      <c r="J433" s="16">
        <v>109</v>
      </c>
      <c r="K433" s="16">
        <v>-5.0525958627688798E-3</v>
      </c>
      <c r="L433" s="16">
        <v>2.52461734103426E-2</v>
      </c>
      <c r="M433" s="16">
        <v>-0.20013313624388701</v>
      </c>
      <c r="N433" s="16">
        <v>107</v>
      </c>
      <c r="O433" s="16">
        <v>0.84175633752266399</v>
      </c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 t="s">
        <v>402</v>
      </c>
      <c r="AI433" s="16"/>
      <c r="AJ433" s="16" t="s">
        <v>965</v>
      </c>
    </row>
    <row r="434" spans="1:36" ht="15" customHeight="1" x14ac:dyDescent="0.3">
      <c r="A434" s="16" t="s">
        <v>273</v>
      </c>
      <c r="B434" s="16" t="s">
        <v>779</v>
      </c>
      <c r="C434" s="16" t="s">
        <v>789</v>
      </c>
      <c r="D434" s="16" t="s">
        <v>324</v>
      </c>
      <c r="E434" s="16" t="s">
        <v>404</v>
      </c>
      <c r="F434" s="16" t="s">
        <v>790</v>
      </c>
      <c r="G434" s="16">
        <v>0.4</v>
      </c>
      <c r="H434" s="16">
        <v>2606</v>
      </c>
      <c r="I434" s="16">
        <v>110</v>
      </c>
      <c r="J434" s="16">
        <v>109</v>
      </c>
      <c r="K434" s="16">
        <v>-1.1832294479184201E-3</v>
      </c>
      <c r="L434" s="16">
        <v>2.6830351910542002E-2</v>
      </c>
      <c r="M434" s="16">
        <v>-4.4100407324643098E-2</v>
      </c>
      <c r="N434" s="16">
        <v>107</v>
      </c>
      <c r="O434" s="16">
        <v>0.96490656324969604</v>
      </c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 t="s">
        <v>402</v>
      </c>
      <c r="AI434" s="16"/>
      <c r="AJ434" s="16" t="s">
        <v>966</v>
      </c>
    </row>
    <row r="435" spans="1:36" ht="15" customHeight="1" x14ac:dyDescent="0.3">
      <c r="A435" s="16" t="s">
        <v>273</v>
      </c>
      <c r="B435" s="16" t="s">
        <v>781</v>
      </c>
      <c r="C435" s="16" t="s">
        <v>789</v>
      </c>
      <c r="D435" s="16" t="s">
        <v>324</v>
      </c>
      <c r="E435" s="16" t="s">
        <v>404</v>
      </c>
      <c r="F435" s="16" t="s">
        <v>790</v>
      </c>
      <c r="G435" s="16">
        <v>0.4</v>
      </c>
      <c r="H435" s="16">
        <v>2606</v>
      </c>
      <c r="I435" s="16">
        <v>110</v>
      </c>
      <c r="J435" s="16">
        <v>109</v>
      </c>
      <c r="K435" s="16">
        <v>-1.98162390542879E-2</v>
      </c>
      <c r="L435" s="16">
        <v>1.83120622709388E-2</v>
      </c>
      <c r="M435" s="16">
        <v>-1.0821413099788499</v>
      </c>
      <c r="N435" s="16">
        <v>108</v>
      </c>
      <c r="O435" s="16">
        <v>0.28160001039670901</v>
      </c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 t="s">
        <v>402</v>
      </c>
      <c r="AI435" s="16"/>
      <c r="AJ435" s="16" t="s">
        <v>967</v>
      </c>
    </row>
    <row r="436" spans="1:36" ht="15" customHeight="1" x14ac:dyDescent="0.3">
      <c r="A436" s="16" t="s">
        <v>273</v>
      </c>
      <c r="B436" s="16" t="s">
        <v>783</v>
      </c>
      <c r="C436" s="16" t="s">
        <v>789</v>
      </c>
      <c r="D436" s="16" t="s">
        <v>324</v>
      </c>
      <c r="E436" s="16" t="s">
        <v>404</v>
      </c>
      <c r="F436" s="16" t="s">
        <v>790</v>
      </c>
      <c r="G436" s="16">
        <v>0.4</v>
      </c>
      <c r="H436" s="16">
        <v>2606</v>
      </c>
      <c r="I436" s="16">
        <v>110</v>
      </c>
      <c r="J436" s="16">
        <v>109</v>
      </c>
      <c r="K436" s="16">
        <v>-1.0511665262969001E-2</v>
      </c>
      <c r="L436" s="16">
        <v>1.7435447291278001E-2</v>
      </c>
      <c r="M436" s="16">
        <v>-0.602890484388514</v>
      </c>
      <c r="N436" s="16">
        <v>108</v>
      </c>
      <c r="O436" s="16">
        <v>0.54784547319487498</v>
      </c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 t="s">
        <v>402</v>
      </c>
      <c r="AI436" s="16"/>
      <c r="AJ436" s="16" t="s">
        <v>968</v>
      </c>
    </row>
    <row r="437" spans="1:36" ht="15" customHeight="1" x14ac:dyDescent="0.3">
      <c r="A437" s="16" t="s">
        <v>273</v>
      </c>
      <c r="B437" s="16" t="s">
        <v>785</v>
      </c>
      <c r="C437" s="16" t="s">
        <v>789</v>
      </c>
      <c r="D437" s="16" t="s">
        <v>324</v>
      </c>
      <c r="E437" s="16" t="s">
        <v>404</v>
      </c>
      <c r="F437" s="16" t="s">
        <v>790</v>
      </c>
      <c r="G437" s="16">
        <v>0.4</v>
      </c>
      <c r="H437" s="16">
        <v>2606</v>
      </c>
      <c r="I437" s="16">
        <v>110</v>
      </c>
      <c r="J437" s="16">
        <v>109</v>
      </c>
      <c r="K437" s="16">
        <v>-1.08538008884863E-2</v>
      </c>
      <c r="L437" s="16">
        <v>1.73019610931795E-2</v>
      </c>
      <c r="M437" s="16">
        <v>-0.62731622329013803</v>
      </c>
      <c r="N437" s="16">
        <v>108</v>
      </c>
      <c r="O437" s="16">
        <v>0.53177599097255401</v>
      </c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 t="s">
        <v>402</v>
      </c>
      <c r="AI437" s="16"/>
      <c r="AJ437" s="16" t="s">
        <v>969</v>
      </c>
    </row>
    <row r="438" spans="1:36" ht="15" customHeight="1" x14ac:dyDescent="0.3">
      <c r="A438" s="16" t="s">
        <v>273</v>
      </c>
      <c r="B438" s="16" t="s">
        <v>787</v>
      </c>
      <c r="C438" s="16" t="s">
        <v>789</v>
      </c>
      <c r="D438" s="16" t="s">
        <v>324</v>
      </c>
      <c r="E438" s="16" t="s">
        <v>404</v>
      </c>
      <c r="F438" s="16" t="s">
        <v>790</v>
      </c>
      <c r="G438" s="16">
        <v>0.4</v>
      </c>
      <c r="H438" s="16">
        <v>905</v>
      </c>
      <c r="I438" s="16">
        <v>38</v>
      </c>
      <c r="J438" s="16">
        <v>38</v>
      </c>
      <c r="K438" s="16">
        <v>-2.5648709249860999E-2</v>
      </c>
      <c r="L438" s="16">
        <v>2.68708373879528E-2</v>
      </c>
      <c r="M438" s="16">
        <v>-0.95451842008318999</v>
      </c>
      <c r="N438" s="16">
        <v>36</v>
      </c>
      <c r="O438" s="16">
        <v>0.34618715215201501</v>
      </c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 t="s">
        <v>402</v>
      </c>
      <c r="AI438" s="16"/>
      <c r="AJ438" s="16" t="s">
        <v>970</v>
      </c>
    </row>
    <row r="439" spans="1:36" ht="15" customHeight="1" x14ac:dyDescent="0.3">
      <c r="A439" s="16" t="s">
        <v>273</v>
      </c>
      <c r="B439" s="16" t="s">
        <v>322</v>
      </c>
      <c r="C439" s="16" t="s">
        <v>323</v>
      </c>
      <c r="D439" s="16" t="s">
        <v>324</v>
      </c>
      <c r="E439" s="16" t="s">
        <v>404</v>
      </c>
      <c r="F439" s="16" t="s">
        <v>401</v>
      </c>
      <c r="G439" s="16">
        <v>0.6</v>
      </c>
      <c r="H439" s="16">
        <v>2705</v>
      </c>
      <c r="I439" s="16">
        <v>113</v>
      </c>
      <c r="J439" s="16">
        <v>112</v>
      </c>
      <c r="K439" s="16">
        <v>1.01759067104026E-2</v>
      </c>
      <c r="L439" s="16">
        <v>1.81072824212575E-2</v>
      </c>
      <c r="M439" s="16">
        <v>0.56197868203879797</v>
      </c>
      <c r="N439" s="16">
        <v>14.9920663728925</v>
      </c>
      <c r="O439" s="16">
        <v>0.58243572563051604</v>
      </c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 t="s">
        <v>408</v>
      </c>
      <c r="AI439" s="16" t="s">
        <v>971</v>
      </c>
      <c r="AJ439" s="16" t="s">
        <v>972</v>
      </c>
    </row>
    <row r="440" spans="1:36" ht="15" customHeight="1" x14ac:dyDescent="0.3">
      <c r="A440" s="16" t="s">
        <v>273</v>
      </c>
      <c r="B440" s="16" t="s">
        <v>326</v>
      </c>
      <c r="C440" s="16" t="s">
        <v>323</v>
      </c>
      <c r="D440" s="16" t="s">
        <v>324</v>
      </c>
      <c r="E440" s="16" t="s">
        <v>404</v>
      </c>
      <c r="F440" s="16" t="s">
        <v>401</v>
      </c>
      <c r="G440" s="16">
        <v>0.6</v>
      </c>
      <c r="H440" s="16">
        <v>2705</v>
      </c>
      <c r="I440" s="16">
        <v>113</v>
      </c>
      <c r="J440" s="16">
        <v>112</v>
      </c>
      <c r="K440" s="16">
        <v>9.8055409007067607E-3</v>
      </c>
      <c r="L440" s="16">
        <v>1.7748027487859599E-2</v>
      </c>
      <c r="M440" s="16">
        <v>0.55248623585996703</v>
      </c>
      <c r="N440" s="16">
        <v>12.263709778995601</v>
      </c>
      <c r="O440" s="16">
        <v>0.59054305378376004</v>
      </c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 t="s">
        <v>408</v>
      </c>
      <c r="AI440" s="16" t="s">
        <v>973</v>
      </c>
      <c r="AJ440" s="16" t="s">
        <v>974</v>
      </c>
    </row>
    <row r="441" spans="1:36" ht="15" customHeight="1" x14ac:dyDescent="0.3">
      <c r="A441" s="16" t="s">
        <v>273</v>
      </c>
      <c r="B441" s="16" t="s">
        <v>328</v>
      </c>
      <c r="C441" s="16" t="s">
        <v>323</v>
      </c>
      <c r="D441" s="16" t="s">
        <v>324</v>
      </c>
      <c r="E441" s="16" t="s">
        <v>404</v>
      </c>
      <c r="F441" s="16" t="s">
        <v>401</v>
      </c>
      <c r="G441" s="16">
        <v>0.6</v>
      </c>
      <c r="H441" s="16">
        <v>2705</v>
      </c>
      <c r="I441" s="16">
        <v>113</v>
      </c>
      <c r="J441" s="16">
        <v>112</v>
      </c>
      <c r="K441" s="16">
        <v>-1.9403455244936401E-2</v>
      </c>
      <c r="L441" s="16">
        <v>2.09317506949428E-2</v>
      </c>
      <c r="M441" s="16">
        <v>-0.92698673549672805</v>
      </c>
      <c r="N441" s="16">
        <v>41.602909518717901</v>
      </c>
      <c r="O441" s="16">
        <v>0.35928021253577103</v>
      </c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 t="s">
        <v>408</v>
      </c>
      <c r="AI441" s="16" t="s">
        <v>975</v>
      </c>
      <c r="AJ441" s="16" t="s">
        <v>976</v>
      </c>
    </row>
    <row r="442" spans="1:36" ht="15" customHeight="1" x14ac:dyDescent="0.3">
      <c r="A442" s="16" t="s">
        <v>273</v>
      </c>
      <c r="B442" s="16" t="s">
        <v>330</v>
      </c>
      <c r="C442" s="16" t="s">
        <v>323</v>
      </c>
      <c r="D442" s="16" t="s">
        <v>324</v>
      </c>
      <c r="E442" s="16" t="s">
        <v>404</v>
      </c>
      <c r="F442" s="16" t="s">
        <v>401</v>
      </c>
      <c r="G442" s="16">
        <v>0.6</v>
      </c>
      <c r="H442" s="16">
        <v>2705</v>
      </c>
      <c r="I442" s="16">
        <v>113</v>
      </c>
      <c r="J442" s="16">
        <v>112</v>
      </c>
      <c r="K442" s="16">
        <v>8.0340693802523292E-3</v>
      </c>
      <c r="L442" s="16">
        <v>1.800013275341E-2</v>
      </c>
      <c r="M442" s="16">
        <v>0.44633389599475698</v>
      </c>
      <c r="N442" s="16">
        <v>10.8521828308988</v>
      </c>
      <c r="O442" s="16">
        <v>0.66413079969344402</v>
      </c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 t="s">
        <v>408</v>
      </c>
      <c r="AI442" s="16" t="s">
        <v>977</v>
      </c>
      <c r="AJ442" s="16" t="s">
        <v>978</v>
      </c>
    </row>
    <row r="443" spans="1:36" ht="15" customHeight="1" x14ac:dyDescent="0.3">
      <c r="A443" s="16" t="s">
        <v>273</v>
      </c>
      <c r="B443" s="16" t="s">
        <v>332</v>
      </c>
      <c r="C443" s="16" t="s">
        <v>323</v>
      </c>
      <c r="D443" s="16" t="s">
        <v>324</v>
      </c>
      <c r="E443" s="16" t="s">
        <v>404</v>
      </c>
      <c r="F443" s="16" t="s">
        <v>401</v>
      </c>
      <c r="G443" s="16">
        <v>0.6</v>
      </c>
      <c r="H443" s="16">
        <v>2705</v>
      </c>
      <c r="I443" s="16">
        <v>113</v>
      </c>
      <c r="J443" s="16">
        <v>112</v>
      </c>
      <c r="K443" s="16">
        <v>3.1230425951205699E-3</v>
      </c>
      <c r="L443" s="16">
        <v>2.22382657452244E-2</v>
      </c>
      <c r="M443" s="16">
        <v>0.140435528152245</v>
      </c>
      <c r="N443" s="16">
        <v>18.7761441211637</v>
      </c>
      <c r="O443" s="16">
        <v>0.88981150913840201</v>
      </c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 t="s">
        <v>408</v>
      </c>
      <c r="AI443" s="16" t="s">
        <v>979</v>
      </c>
      <c r="AJ443" s="16" t="s">
        <v>980</v>
      </c>
    </row>
    <row r="444" spans="1:36" ht="15" customHeight="1" x14ac:dyDescent="0.3">
      <c r="A444" s="16" t="s">
        <v>273</v>
      </c>
      <c r="B444" s="16" t="s">
        <v>334</v>
      </c>
      <c r="C444" s="16" t="s">
        <v>323</v>
      </c>
      <c r="D444" s="16" t="s">
        <v>324</v>
      </c>
      <c r="E444" s="16" t="s">
        <v>404</v>
      </c>
      <c r="F444" s="16" t="s">
        <v>401</v>
      </c>
      <c r="G444" s="16">
        <v>0.6</v>
      </c>
      <c r="H444" s="16">
        <v>2705</v>
      </c>
      <c r="I444" s="16">
        <v>113</v>
      </c>
      <c r="J444" s="16">
        <v>112</v>
      </c>
      <c r="K444" s="16">
        <v>4.2056665621964997E-3</v>
      </c>
      <c r="L444" s="16">
        <v>2.2784454357159801E-2</v>
      </c>
      <c r="M444" s="16">
        <v>0.184584914620741</v>
      </c>
      <c r="N444" s="16">
        <v>15.443904167078101</v>
      </c>
      <c r="O444" s="16">
        <v>0.85595666796786096</v>
      </c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 t="s">
        <v>408</v>
      </c>
      <c r="AI444" s="16" t="s">
        <v>981</v>
      </c>
      <c r="AJ444" s="16" t="s">
        <v>982</v>
      </c>
    </row>
    <row r="445" spans="1:36" ht="15" customHeight="1" x14ac:dyDescent="0.3">
      <c r="A445" s="16" t="s">
        <v>273</v>
      </c>
      <c r="B445" s="16" t="s">
        <v>336</v>
      </c>
      <c r="C445" s="16" t="s">
        <v>323</v>
      </c>
      <c r="D445" s="16" t="s">
        <v>324</v>
      </c>
      <c r="E445" s="16" t="s">
        <v>404</v>
      </c>
      <c r="F445" s="16" t="s">
        <v>401</v>
      </c>
      <c r="G445" s="16">
        <v>0.6</v>
      </c>
      <c r="H445" s="16">
        <v>2705</v>
      </c>
      <c r="I445" s="16">
        <v>113</v>
      </c>
      <c r="J445" s="16">
        <v>112</v>
      </c>
      <c r="K445" s="16">
        <v>-6.3644566569005696E-3</v>
      </c>
      <c r="L445" s="16">
        <v>2.0619186647117201E-2</v>
      </c>
      <c r="M445" s="16">
        <v>-0.30866671735523499</v>
      </c>
      <c r="N445" s="16">
        <v>17.755887810728598</v>
      </c>
      <c r="O445" s="16">
        <v>0.76116726839259996</v>
      </c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 t="s">
        <v>408</v>
      </c>
      <c r="AI445" s="16" t="s">
        <v>983</v>
      </c>
      <c r="AJ445" s="16" t="s">
        <v>984</v>
      </c>
    </row>
    <row r="446" spans="1:36" ht="15" customHeight="1" x14ac:dyDescent="0.3">
      <c r="A446" s="16" t="s">
        <v>273</v>
      </c>
      <c r="B446" s="16" t="s">
        <v>338</v>
      </c>
      <c r="C446" s="16" t="s">
        <v>323</v>
      </c>
      <c r="D446" s="16" t="s">
        <v>324</v>
      </c>
      <c r="E446" s="16" t="s">
        <v>404</v>
      </c>
      <c r="F446" s="16" t="s">
        <v>401</v>
      </c>
      <c r="G446" s="16">
        <v>0.6</v>
      </c>
      <c r="H446" s="16">
        <v>2705</v>
      </c>
      <c r="I446" s="16">
        <v>113</v>
      </c>
      <c r="J446" s="16">
        <v>112</v>
      </c>
      <c r="K446" s="16">
        <v>3.9789555352768798E-2</v>
      </c>
      <c r="L446" s="16">
        <v>2.6140797507343098E-2</v>
      </c>
      <c r="M446" s="16">
        <v>1.5221247684425701</v>
      </c>
      <c r="N446" s="16">
        <v>22.010830067898699</v>
      </c>
      <c r="O446" s="16">
        <v>0.14221586082545001</v>
      </c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 t="s">
        <v>408</v>
      </c>
      <c r="AI446" s="16" t="s">
        <v>985</v>
      </c>
      <c r="AJ446" s="16" t="s">
        <v>986</v>
      </c>
    </row>
    <row r="447" spans="1:36" ht="15" customHeight="1" x14ac:dyDescent="0.3">
      <c r="A447" s="16" t="s">
        <v>273</v>
      </c>
      <c r="B447" s="16" t="s">
        <v>340</v>
      </c>
      <c r="C447" s="16" t="s">
        <v>323</v>
      </c>
      <c r="D447" s="16" t="s">
        <v>324</v>
      </c>
      <c r="E447" s="16" t="s">
        <v>404</v>
      </c>
      <c r="F447" s="16" t="s">
        <v>401</v>
      </c>
      <c r="G447" s="16">
        <v>0.6</v>
      </c>
      <c r="H447" s="16">
        <v>2705</v>
      </c>
      <c r="I447" s="16">
        <v>113</v>
      </c>
      <c r="J447" s="16">
        <v>112</v>
      </c>
      <c r="K447" s="16">
        <v>2.13188918890692E-2</v>
      </c>
      <c r="L447" s="16">
        <v>2.17628822200088E-2</v>
      </c>
      <c r="M447" s="16">
        <v>0.97959873483433402</v>
      </c>
      <c r="N447" s="16">
        <v>22.304971547207099</v>
      </c>
      <c r="O447" s="16">
        <v>0.33779063598521097</v>
      </c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 t="s">
        <v>408</v>
      </c>
      <c r="AI447" s="16" t="s">
        <v>987</v>
      </c>
      <c r="AJ447" s="16" t="s">
        <v>988</v>
      </c>
    </row>
    <row r="448" spans="1:36" ht="15" customHeight="1" x14ac:dyDescent="0.3">
      <c r="A448" s="16" t="s">
        <v>273</v>
      </c>
      <c r="B448" s="16" t="s">
        <v>342</v>
      </c>
      <c r="C448" s="16" t="s">
        <v>323</v>
      </c>
      <c r="D448" s="16" t="s">
        <v>324</v>
      </c>
      <c r="E448" s="16" t="s">
        <v>404</v>
      </c>
      <c r="F448" s="16" t="s">
        <v>401</v>
      </c>
      <c r="G448" s="16">
        <v>0.6</v>
      </c>
      <c r="H448" s="16">
        <v>929</v>
      </c>
      <c r="I448" s="16">
        <v>40</v>
      </c>
      <c r="J448" s="16">
        <v>40</v>
      </c>
      <c r="K448" s="16">
        <v>-1.2921000363889301E-2</v>
      </c>
      <c r="L448" s="16">
        <v>1.7331989345217201E-2</v>
      </c>
      <c r="M448" s="16">
        <v>-0.74550013310819996</v>
      </c>
      <c r="N448" s="16">
        <v>23.4744834169779</v>
      </c>
      <c r="O448" s="16">
        <v>0.46336936745305102</v>
      </c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 t="s">
        <v>408</v>
      </c>
      <c r="AI448" s="16" t="s">
        <v>989</v>
      </c>
      <c r="AJ448" s="16" t="s">
        <v>990</v>
      </c>
    </row>
    <row r="449" spans="1:36" ht="15" customHeight="1" x14ac:dyDescent="0.3">
      <c r="A449" s="16" t="s">
        <v>273</v>
      </c>
      <c r="B449" s="16" t="s">
        <v>449</v>
      </c>
      <c r="C449" s="16" t="s">
        <v>323</v>
      </c>
      <c r="D449" s="16" t="s">
        <v>324</v>
      </c>
      <c r="E449" s="16" t="s">
        <v>404</v>
      </c>
      <c r="F449" s="16" t="s">
        <v>401</v>
      </c>
      <c r="G449" s="16">
        <v>0.6</v>
      </c>
      <c r="H449" s="16">
        <v>2692</v>
      </c>
      <c r="I449" s="16">
        <v>113</v>
      </c>
      <c r="J449" s="16">
        <v>112</v>
      </c>
      <c r="K449" s="16">
        <v>-1.3577323472341699E-2</v>
      </c>
      <c r="L449" s="16">
        <v>1.05512165204301E-2</v>
      </c>
      <c r="M449" s="16">
        <v>-1.2868017110683101</v>
      </c>
      <c r="N449" s="16">
        <v>39.863554194236698</v>
      </c>
      <c r="O449" s="16">
        <v>0.20558598918464699</v>
      </c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 t="s">
        <v>402</v>
      </c>
      <c r="AI449" s="16"/>
      <c r="AJ449" s="16" t="s">
        <v>991</v>
      </c>
    </row>
    <row r="450" spans="1:36" ht="15" customHeight="1" x14ac:dyDescent="0.3">
      <c r="A450" s="16" t="s">
        <v>273</v>
      </c>
      <c r="B450" s="16" t="s">
        <v>451</v>
      </c>
      <c r="C450" s="16" t="s">
        <v>323</v>
      </c>
      <c r="D450" s="16" t="s">
        <v>324</v>
      </c>
      <c r="E450" s="16" t="s">
        <v>404</v>
      </c>
      <c r="F450" s="16" t="s">
        <v>401</v>
      </c>
      <c r="G450" s="16">
        <v>0.6</v>
      </c>
      <c r="H450" s="16">
        <v>2692</v>
      </c>
      <c r="I450" s="16">
        <v>113</v>
      </c>
      <c r="J450" s="16">
        <v>112</v>
      </c>
      <c r="K450" s="16">
        <v>-1.25378732681232E-2</v>
      </c>
      <c r="L450" s="16">
        <v>1.1138405175540199E-2</v>
      </c>
      <c r="M450" s="16">
        <v>-1.1256434893979499</v>
      </c>
      <c r="N450" s="16">
        <v>30.306500810675001</v>
      </c>
      <c r="O450" s="16">
        <v>0.26915190084843499</v>
      </c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 t="s">
        <v>402</v>
      </c>
      <c r="AI450" s="16"/>
      <c r="AJ450" s="16" t="s">
        <v>992</v>
      </c>
    </row>
    <row r="451" spans="1:36" ht="15" customHeight="1" x14ac:dyDescent="0.3">
      <c r="A451" s="16" t="s">
        <v>273</v>
      </c>
      <c r="B451" s="16" t="s">
        <v>453</v>
      </c>
      <c r="C451" s="16" t="s">
        <v>323</v>
      </c>
      <c r="D451" s="16" t="s">
        <v>324</v>
      </c>
      <c r="E451" s="16" t="s">
        <v>404</v>
      </c>
      <c r="F451" s="16" t="s">
        <v>401</v>
      </c>
      <c r="G451" s="16">
        <v>0.6</v>
      </c>
      <c r="H451" s="16">
        <v>2692</v>
      </c>
      <c r="I451" s="16">
        <v>113</v>
      </c>
      <c r="J451" s="16">
        <v>112</v>
      </c>
      <c r="K451" s="16">
        <v>1.5117051228474201E-3</v>
      </c>
      <c r="L451" s="16">
        <v>1.0326905178196601E-2</v>
      </c>
      <c r="M451" s="16">
        <v>0.146385107325195</v>
      </c>
      <c r="N451" s="16">
        <v>35.092800746007299</v>
      </c>
      <c r="O451" s="16">
        <v>0.88445508008570795</v>
      </c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 t="s">
        <v>402</v>
      </c>
      <c r="AI451" s="16"/>
      <c r="AJ451" s="16" t="s">
        <v>993</v>
      </c>
    </row>
    <row r="452" spans="1:36" ht="15" customHeight="1" x14ac:dyDescent="0.3">
      <c r="A452" s="16" t="s">
        <v>273</v>
      </c>
      <c r="B452" s="16" t="s">
        <v>455</v>
      </c>
      <c r="C452" s="16" t="s">
        <v>323</v>
      </c>
      <c r="D452" s="16" t="s">
        <v>324</v>
      </c>
      <c r="E452" s="16" t="s">
        <v>404</v>
      </c>
      <c r="F452" s="16" t="s">
        <v>401</v>
      </c>
      <c r="G452" s="16">
        <v>0.6</v>
      </c>
      <c r="H452" s="16">
        <v>2692</v>
      </c>
      <c r="I452" s="16">
        <v>113</v>
      </c>
      <c r="J452" s="16">
        <v>112</v>
      </c>
      <c r="K452" s="16">
        <v>-1.29326965225322E-2</v>
      </c>
      <c r="L452" s="16">
        <v>1.16065049226364E-2</v>
      </c>
      <c r="M452" s="16">
        <v>-1.1142627870091499</v>
      </c>
      <c r="N452" s="16">
        <v>26.484371628086599</v>
      </c>
      <c r="O452" s="16">
        <v>0.27517665347029502</v>
      </c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 t="s">
        <v>402</v>
      </c>
      <c r="AI452" s="16"/>
      <c r="AJ452" s="16" t="s">
        <v>994</v>
      </c>
    </row>
    <row r="453" spans="1:36" ht="15" customHeight="1" x14ac:dyDescent="0.3">
      <c r="A453" s="16" t="s">
        <v>273</v>
      </c>
      <c r="B453" s="16" t="s">
        <v>457</v>
      </c>
      <c r="C453" s="16" t="s">
        <v>323</v>
      </c>
      <c r="D453" s="16" t="s">
        <v>324</v>
      </c>
      <c r="E453" s="16" t="s">
        <v>404</v>
      </c>
      <c r="F453" s="16" t="s">
        <v>401</v>
      </c>
      <c r="G453" s="16">
        <v>0.6</v>
      </c>
      <c r="H453" s="16">
        <v>2692</v>
      </c>
      <c r="I453" s="16">
        <v>113</v>
      </c>
      <c r="J453" s="16">
        <v>112</v>
      </c>
      <c r="K453" s="16">
        <v>-1.3806517753753401E-2</v>
      </c>
      <c r="L453" s="16">
        <v>1.48168991424893E-2</v>
      </c>
      <c r="M453" s="16">
        <v>-0.93180885021761894</v>
      </c>
      <c r="N453" s="16">
        <v>17.860824989366598</v>
      </c>
      <c r="O453" s="16">
        <v>0.363860799948445</v>
      </c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 t="s">
        <v>402</v>
      </c>
      <c r="AI453" s="16"/>
      <c r="AJ453" s="16" t="s">
        <v>995</v>
      </c>
    </row>
    <row r="454" spans="1:36" ht="15" customHeight="1" x14ac:dyDescent="0.3">
      <c r="A454" s="16" t="s">
        <v>273</v>
      </c>
      <c r="B454" s="16" t="s">
        <v>459</v>
      </c>
      <c r="C454" s="16" t="s">
        <v>323</v>
      </c>
      <c r="D454" s="16" t="s">
        <v>324</v>
      </c>
      <c r="E454" s="16" t="s">
        <v>404</v>
      </c>
      <c r="F454" s="16" t="s">
        <v>401</v>
      </c>
      <c r="G454" s="16">
        <v>0.6</v>
      </c>
      <c r="H454" s="16">
        <v>2692</v>
      </c>
      <c r="I454" s="16">
        <v>113</v>
      </c>
      <c r="J454" s="16">
        <v>112</v>
      </c>
      <c r="K454" s="16">
        <v>-1.36823402546033E-2</v>
      </c>
      <c r="L454" s="16">
        <v>1.60102904869629E-2</v>
      </c>
      <c r="M454" s="16">
        <v>-0.85459662744687503</v>
      </c>
      <c r="N454" s="16">
        <v>14.6909910577909</v>
      </c>
      <c r="O454" s="16">
        <v>0.40649539855331901</v>
      </c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 t="s">
        <v>402</v>
      </c>
      <c r="AI454" s="16"/>
      <c r="AJ454" s="16" t="s">
        <v>996</v>
      </c>
    </row>
    <row r="455" spans="1:36" ht="15" customHeight="1" x14ac:dyDescent="0.3">
      <c r="A455" s="16" t="s">
        <v>273</v>
      </c>
      <c r="B455" s="16" t="s">
        <v>461</v>
      </c>
      <c r="C455" s="16" t="s">
        <v>323</v>
      </c>
      <c r="D455" s="16" t="s">
        <v>324</v>
      </c>
      <c r="E455" s="16" t="s">
        <v>404</v>
      </c>
      <c r="F455" s="16" t="s">
        <v>401</v>
      </c>
      <c r="G455" s="16">
        <v>0.6</v>
      </c>
      <c r="H455" s="16">
        <v>2692</v>
      </c>
      <c r="I455" s="16">
        <v>113</v>
      </c>
      <c r="J455" s="16">
        <v>112</v>
      </c>
      <c r="K455" s="16">
        <v>3.2967756978683799E-3</v>
      </c>
      <c r="L455" s="16">
        <v>8.96093771817753E-3</v>
      </c>
      <c r="M455" s="16">
        <v>0.36790521277486099</v>
      </c>
      <c r="N455" s="16">
        <v>45.250471733134397</v>
      </c>
      <c r="O455" s="16">
        <v>0.71465930464455096</v>
      </c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 t="s">
        <v>402</v>
      </c>
      <c r="AI455" s="16"/>
      <c r="AJ455" s="16" t="s">
        <v>997</v>
      </c>
    </row>
    <row r="456" spans="1:36" ht="15" customHeight="1" x14ac:dyDescent="0.3">
      <c r="A456" s="16" t="s">
        <v>273</v>
      </c>
      <c r="B456" s="16" t="s">
        <v>463</v>
      </c>
      <c r="C456" s="16" t="s">
        <v>323</v>
      </c>
      <c r="D456" s="16" t="s">
        <v>324</v>
      </c>
      <c r="E456" s="16" t="s">
        <v>404</v>
      </c>
      <c r="F456" s="16" t="s">
        <v>401</v>
      </c>
      <c r="G456" s="16">
        <v>0.6</v>
      </c>
      <c r="H456" s="16">
        <v>2692</v>
      </c>
      <c r="I456" s="16">
        <v>113</v>
      </c>
      <c r="J456" s="16">
        <v>112</v>
      </c>
      <c r="K456" s="16">
        <v>1.12771605127861E-2</v>
      </c>
      <c r="L456" s="16">
        <v>8.6894801830660201E-3</v>
      </c>
      <c r="M456" s="16">
        <v>1.2977946062599901</v>
      </c>
      <c r="N456" s="16">
        <v>60.459427362443002</v>
      </c>
      <c r="O456" s="16">
        <v>0.19928756097086101</v>
      </c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 t="s">
        <v>402</v>
      </c>
      <c r="AI456" s="16"/>
      <c r="AJ456" s="16" t="s">
        <v>998</v>
      </c>
    </row>
    <row r="457" spans="1:36" ht="15" customHeight="1" x14ac:dyDescent="0.3">
      <c r="A457" s="16" t="s">
        <v>273</v>
      </c>
      <c r="B457" s="16" t="s">
        <v>465</v>
      </c>
      <c r="C457" s="16" t="s">
        <v>323</v>
      </c>
      <c r="D457" s="16" t="s">
        <v>324</v>
      </c>
      <c r="E457" s="16" t="s">
        <v>404</v>
      </c>
      <c r="F457" s="16" t="s">
        <v>401</v>
      </c>
      <c r="G457" s="16">
        <v>0.6</v>
      </c>
      <c r="H457" s="16">
        <v>2692</v>
      </c>
      <c r="I457" s="16">
        <v>113</v>
      </c>
      <c r="J457" s="16">
        <v>112</v>
      </c>
      <c r="K457" s="16">
        <v>-4.4632835904882102E-4</v>
      </c>
      <c r="L457" s="16">
        <v>9.0170099410675705E-3</v>
      </c>
      <c r="M457" s="16">
        <v>-4.9498488075968301E-2</v>
      </c>
      <c r="N457" s="16">
        <v>68.532558234231999</v>
      </c>
      <c r="O457" s="16">
        <v>0.96066602043267002</v>
      </c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 t="s">
        <v>402</v>
      </c>
      <c r="AI457" s="16"/>
      <c r="AJ457" s="16" t="s">
        <v>999</v>
      </c>
    </row>
    <row r="458" spans="1:36" ht="15" customHeight="1" x14ac:dyDescent="0.3">
      <c r="A458" s="16" t="s">
        <v>273</v>
      </c>
      <c r="B458" s="16" t="s">
        <v>467</v>
      </c>
      <c r="C458" s="16" t="s">
        <v>323</v>
      </c>
      <c r="D458" s="16" t="s">
        <v>324</v>
      </c>
      <c r="E458" s="16" t="s">
        <v>404</v>
      </c>
      <c r="F458" s="16" t="s">
        <v>401</v>
      </c>
      <c r="G458" s="16">
        <v>0.6</v>
      </c>
      <c r="H458" s="16">
        <v>924</v>
      </c>
      <c r="I458" s="16">
        <v>40</v>
      </c>
      <c r="J458" s="16">
        <v>40</v>
      </c>
      <c r="K458" s="16">
        <v>-2.0562780626897301E-2</v>
      </c>
      <c r="L458" s="16">
        <v>1.9321277179491399E-2</v>
      </c>
      <c r="M458" s="16">
        <v>-1.0642557650755999</v>
      </c>
      <c r="N458" s="16">
        <v>24.023131688542499</v>
      </c>
      <c r="O458" s="16">
        <v>0.297793750639469</v>
      </c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 t="s">
        <v>402</v>
      </c>
      <c r="AI458" s="16"/>
      <c r="AJ458" s="16" t="s">
        <v>1000</v>
      </c>
    </row>
    <row r="459" spans="1:36" ht="15" customHeight="1" x14ac:dyDescent="0.3">
      <c r="A459" s="16" t="s">
        <v>273</v>
      </c>
      <c r="B459" s="16" t="s">
        <v>469</v>
      </c>
      <c r="C459" s="16" t="s">
        <v>323</v>
      </c>
      <c r="D459" s="16" t="s">
        <v>324</v>
      </c>
      <c r="E459" s="16" t="s">
        <v>404</v>
      </c>
      <c r="F459" s="16" t="s">
        <v>401</v>
      </c>
      <c r="G459" s="16">
        <v>0.6</v>
      </c>
      <c r="H459" s="16">
        <v>2705</v>
      </c>
      <c r="I459" s="16">
        <v>113</v>
      </c>
      <c r="J459" s="16">
        <v>112</v>
      </c>
      <c r="K459" s="16">
        <v>-9.9159664334550601E-3</v>
      </c>
      <c r="L459" s="16">
        <v>1.11055863745812E-2</v>
      </c>
      <c r="M459" s="16">
        <v>-0.89288094288754105</v>
      </c>
      <c r="N459" s="16">
        <v>34.899025296579602</v>
      </c>
      <c r="O459" s="16">
        <v>0.37803677181732198</v>
      </c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 t="s">
        <v>402</v>
      </c>
      <c r="AI459" s="16"/>
      <c r="AJ459" s="16" t="s">
        <v>1001</v>
      </c>
    </row>
    <row r="460" spans="1:36" ht="15" customHeight="1" x14ac:dyDescent="0.3">
      <c r="A460" s="16" t="s">
        <v>273</v>
      </c>
      <c r="B460" s="16" t="s">
        <v>471</v>
      </c>
      <c r="C460" s="16" t="s">
        <v>323</v>
      </c>
      <c r="D460" s="16" t="s">
        <v>324</v>
      </c>
      <c r="E460" s="16" t="s">
        <v>404</v>
      </c>
      <c r="F460" s="16" t="s">
        <v>401</v>
      </c>
      <c r="G460" s="16">
        <v>0.6</v>
      </c>
      <c r="H460" s="16">
        <v>2705</v>
      </c>
      <c r="I460" s="16">
        <v>113</v>
      </c>
      <c r="J460" s="16">
        <v>112</v>
      </c>
      <c r="K460" s="16">
        <v>-7.9066787077897906E-3</v>
      </c>
      <c r="L460" s="16">
        <v>1.1465949410914E-2</v>
      </c>
      <c r="M460" s="16">
        <v>-0.68957906793690604</v>
      </c>
      <c r="N460" s="16">
        <v>26.782574829810201</v>
      </c>
      <c r="O460" s="16">
        <v>0.49639076882373001</v>
      </c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 t="s">
        <v>402</v>
      </c>
      <c r="AI460" s="16"/>
      <c r="AJ460" s="16" t="s">
        <v>1002</v>
      </c>
    </row>
    <row r="461" spans="1:36" ht="15" customHeight="1" x14ac:dyDescent="0.3">
      <c r="A461" s="16" t="s">
        <v>273</v>
      </c>
      <c r="B461" s="16" t="s">
        <v>473</v>
      </c>
      <c r="C461" s="16" t="s">
        <v>323</v>
      </c>
      <c r="D461" s="16" t="s">
        <v>324</v>
      </c>
      <c r="E461" s="16" t="s">
        <v>404</v>
      </c>
      <c r="F461" s="16" t="s">
        <v>401</v>
      </c>
      <c r="G461" s="16">
        <v>0.6</v>
      </c>
      <c r="H461" s="16">
        <v>2705</v>
      </c>
      <c r="I461" s="16">
        <v>113</v>
      </c>
      <c r="J461" s="16">
        <v>112</v>
      </c>
      <c r="K461" s="16">
        <v>1.9189242389521901E-3</v>
      </c>
      <c r="L461" s="16">
        <v>1.0587140801111099E-2</v>
      </c>
      <c r="M461" s="16">
        <v>0.18125046931942199</v>
      </c>
      <c r="N461" s="16">
        <v>36.113197326168901</v>
      </c>
      <c r="O461" s="16">
        <v>0.85718443961362101</v>
      </c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 t="s">
        <v>402</v>
      </c>
      <c r="AI461" s="16"/>
      <c r="AJ461" s="16" t="s">
        <v>1003</v>
      </c>
    </row>
    <row r="462" spans="1:36" ht="15" customHeight="1" x14ac:dyDescent="0.3">
      <c r="A462" s="16" t="s">
        <v>273</v>
      </c>
      <c r="B462" s="16" t="s">
        <v>475</v>
      </c>
      <c r="C462" s="16" t="s">
        <v>323</v>
      </c>
      <c r="D462" s="16" t="s">
        <v>324</v>
      </c>
      <c r="E462" s="16" t="s">
        <v>404</v>
      </c>
      <c r="F462" s="16" t="s">
        <v>401</v>
      </c>
      <c r="G462" s="16">
        <v>0.6</v>
      </c>
      <c r="H462" s="16">
        <v>2705</v>
      </c>
      <c r="I462" s="16">
        <v>113</v>
      </c>
      <c r="J462" s="16">
        <v>112</v>
      </c>
      <c r="K462" s="16">
        <v>-8.5228568981006794E-3</v>
      </c>
      <c r="L462" s="16">
        <v>1.1982199636179899E-2</v>
      </c>
      <c r="M462" s="16">
        <v>-0.71129318129254004</v>
      </c>
      <c r="N462" s="16">
        <v>23.381278005869</v>
      </c>
      <c r="O462" s="16">
        <v>0.48393899025333897</v>
      </c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 t="s">
        <v>402</v>
      </c>
      <c r="AI462" s="16"/>
      <c r="AJ462" s="16" t="s">
        <v>1004</v>
      </c>
    </row>
    <row r="463" spans="1:36" ht="15" customHeight="1" x14ac:dyDescent="0.3">
      <c r="A463" s="16" t="s">
        <v>273</v>
      </c>
      <c r="B463" s="16" t="s">
        <v>477</v>
      </c>
      <c r="C463" s="16" t="s">
        <v>323</v>
      </c>
      <c r="D463" s="16" t="s">
        <v>324</v>
      </c>
      <c r="E463" s="16" t="s">
        <v>404</v>
      </c>
      <c r="F463" s="16" t="s">
        <v>401</v>
      </c>
      <c r="G463" s="16">
        <v>0.6</v>
      </c>
      <c r="H463" s="16">
        <v>2705</v>
      </c>
      <c r="I463" s="16">
        <v>113</v>
      </c>
      <c r="J463" s="16">
        <v>112</v>
      </c>
      <c r="K463" s="16">
        <v>-1.02689988884617E-2</v>
      </c>
      <c r="L463" s="16">
        <v>1.5020299879508399E-2</v>
      </c>
      <c r="M463" s="16">
        <v>-0.68367469163989503</v>
      </c>
      <c r="N463" s="16">
        <v>18.006840558294702</v>
      </c>
      <c r="O463" s="16">
        <v>0.50288419060504197</v>
      </c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 t="s">
        <v>402</v>
      </c>
      <c r="AI463" s="16"/>
      <c r="AJ463" s="16" t="s">
        <v>1005</v>
      </c>
    </row>
    <row r="464" spans="1:36" ht="15" customHeight="1" x14ac:dyDescent="0.3">
      <c r="A464" s="16" t="s">
        <v>273</v>
      </c>
      <c r="B464" s="16" t="s">
        <v>479</v>
      </c>
      <c r="C464" s="16" t="s">
        <v>323</v>
      </c>
      <c r="D464" s="16" t="s">
        <v>324</v>
      </c>
      <c r="E464" s="16" t="s">
        <v>404</v>
      </c>
      <c r="F464" s="16" t="s">
        <v>401</v>
      </c>
      <c r="G464" s="16">
        <v>0.6</v>
      </c>
      <c r="H464" s="16">
        <v>2705</v>
      </c>
      <c r="I464" s="16">
        <v>113</v>
      </c>
      <c r="J464" s="16">
        <v>112</v>
      </c>
      <c r="K464" s="16">
        <v>-9.9213761185421405E-3</v>
      </c>
      <c r="L464" s="16">
        <v>1.6233108167087399E-2</v>
      </c>
      <c r="M464" s="16">
        <v>-0.61118154431187099</v>
      </c>
      <c r="N464" s="16">
        <v>14.812347677184199</v>
      </c>
      <c r="O464" s="16">
        <v>0.55034445986831904</v>
      </c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 t="s">
        <v>402</v>
      </c>
      <c r="AI464" s="16"/>
      <c r="AJ464" s="16" t="s">
        <v>1006</v>
      </c>
    </row>
    <row r="465" spans="1:36" ht="15" customHeight="1" x14ac:dyDescent="0.3">
      <c r="A465" s="16" t="s">
        <v>273</v>
      </c>
      <c r="B465" s="16" t="s">
        <v>481</v>
      </c>
      <c r="C465" s="16" t="s">
        <v>323</v>
      </c>
      <c r="D465" s="16" t="s">
        <v>324</v>
      </c>
      <c r="E465" s="16" t="s">
        <v>404</v>
      </c>
      <c r="F465" s="16" t="s">
        <v>401</v>
      </c>
      <c r="G465" s="16">
        <v>0.6</v>
      </c>
      <c r="H465" s="16">
        <v>2705</v>
      </c>
      <c r="I465" s="16">
        <v>113</v>
      </c>
      <c r="J465" s="16">
        <v>112</v>
      </c>
      <c r="K465" s="16">
        <v>5.9631617424015402E-3</v>
      </c>
      <c r="L465" s="16">
        <v>9.4179824416051605E-3</v>
      </c>
      <c r="M465" s="16">
        <v>0.63316764279135795</v>
      </c>
      <c r="N465" s="16">
        <v>39.4485619103489</v>
      </c>
      <c r="O465" s="16">
        <v>0.53027795196581595</v>
      </c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 t="s">
        <v>402</v>
      </c>
      <c r="AI465" s="16"/>
      <c r="AJ465" s="16" t="s">
        <v>1007</v>
      </c>
    </row>
    <row r="466" spans="1:36" ht="15" customHeight="1" x14ac:dyDescent="0.3">
      <c r="A466" s="16" t="s">
        <v>273</v>
      </c>
      <c r="B466" s="16" t="s">
        <v>483</v>
      </c>
      <c r="C466" s="16" t="s">
        <v>323</v>
      </c>
      <c r="D466" s="16" t="s">
        <v>324</v>
      </c>
      <c r="E466" s="16" t="s">
        <v>404</v>
      </c>
      <c r="F466" s="16" t="s">
        <v>401</v>
      </c>
      <c r="G466" s="16">
        <v>0.6</v>
      </c>
      <c r="H466" s="16">
        <v>2705</v>
      </c>
      <c r="I466" s="16">
        <v>113</v>
      </c>
      <c r="J466" s="16">
        <v>112</v>
      </c>
      <c r="K466" s="16">
        <v>1.7482830336814401E-2</v>
      </c>
      <c r="L466" s="16">
        <v>9.1456641180240796E-3</v>
      </c>
      <c r="M466" s="16">
        <v>1.9115976829238299</v>
      </c>
      <c r="N466" s="16">
        <v>52.662861478591402</v>
      </c>
      <c r="O466" s="16">
        <v>6.1376031240635003E-2</v>
      </c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 t="s">
        <v>402</v>
      </c>
      <c r="AI466" s="16"/>
      <c r="AJ466" s="16" t="s">
        <v>1008</v>
      </c>
    </row>
    <row r="467" spans="1:36" ht="15" customHeight="1" x14ac:dyDescent="0.3">
      <c r="A467" s="16" t="s">
        <v>273</v>
      </c>
      <c r="B467" s="16" t="s">
        <v>485</v>
      </c>
      <c r="C467" s="16" t="s">
        <v>323</v>
      </c>
      <c r="D467" s="16" t="s">
        <v>324</v>
      </c>
      <c r="E467" s="16" t="s">
        <v>404</v>
      </c>
      <c r="F467" s="16" t="s">
        <v>401</v>
      </c>
      <c r="G467" s="16">
        <v>0.6</v>
      </c>
      <c r="H467" s="16">
        <v>2705</v>
      </c>
      <c r="I467" s="16">
        <v>113</v>
      </c>
      <c r="J467" s="16">
        <v>112</v>
      </c>
      <c r="K467" s="16">
        <v>5.0008471372869796E-3</v>
      </c>
      <c r="L467" s="16">
        <v>9.1886844092571099E-3</v>
      </c>
      <c r="M467" s="16">
        <v>0.54423973166919204</v>
      </c>
      <c r="N467" s="16">
        <v>58.0525200149253</v>
      </c>
      <c r="O467" s="16">
        <v>0.58836089980728901</v>
      </c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 t="s">
        <v>402</v>
      </c>
      <c r="AI467" s="16"/>
      <c r="AJ467" s="16" t="s">
        <v>1009</v>
      </c>
    </row>
    <row r="468" spans="1:36" ht="15" customHeight="1" x14ac:dyDescent="0.3">
      <c r="A468" s="16" t="s">
        <v>273</v>
      </c>
      <c r="B468" s="16" t="s">
        <v>487</v>
      </c>
      <c r="C468" s="16" t="s">
        <v>323</v>
      </c>
      <c r="D468" s="16" t="s">
        <v>324</v>
      </c>
      <c r="E468" s="16" t="s">
        <v>404</v>
      </c>
      <c r="F468" s="16" t="s">
        <v>401</v>
      </c>
      <c r="G468" s="16">
        <v>0.6</v>
      </c>
      <c r="H468" s="16">
        <v>929</v>
      </c>
      <c r="I468" s="16">
        <v>40</v>
      </c>
      <c r="J468" s="16">
        <v>40</v>
      </c>
      <c r="K468" s="16">
        <v>-1.63573223351061E-2</v>
      </c>
      <c r="L468" s="16">
        <v>1.8896320631204801E-2</v>
      </c>
      <c r="M468" s="16">
        <v>-0.86563530828822299</v>
      </c>
      <c r="N468" s="16">
        <v>23.944261045793102</v>
      </c>
      <c r="O468" s="16">
        <v>0.39528098442583098</v>
      </c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 t="s">
        <v>402</v>
      </c>
      <c r="AI468" s="16"/>
      <c r="AJ468" s="16" t="s">
        <v>1010</v>
      </c>
    </row>
    <row r="469" spans="1:36" ht="15" customHeight="1" x14ac:dyDescent="0.3">
      <c r="A469" s="16" t="s">
        <v>273</v>
      </c>
      <c r="B469" s="16" t="s">
        <v>489</v>
      </c>
      <c r="C469" s="16" t="s">
        <v>323</v>
      </c>
      <c r="D469" s="16" t="s">
        <v>324</v>
      </c>
      <c r="E469" s="16" t="s">
        <v>404</v>
      </c>
      <c r="F469" s="16" t="s">
        <v>401</v>
      </c>
      <c r="G469" s="16">
        <v>0.6</v>
      </c>
      <c r="H469" s="16">
        <v>2607</v>
      </c>
      <c r="I469" s="16">
        <v>110</v>
      </c>
      <c r="J469" s="16">
        <v>109</v>
      </c>
      <c r="K469" s="16">
        <v>6.09469701854765E-3</v>
      </c>
      <c r="L469" s="16">
        <v>1.91576202120202E-2</v>
      </c>
      <c r="M469" s="16">
        <v>0.31813434816520703</v>
      </c>
      <c r="N469" s="16">
        <v>14.277555730472701</v>
      </c>
      <c r="O469" s="16">
        <v>0.75498870854879596</v>
      </c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 t="s">
        <v>402</v>
      </c>
      <c r="AI469" s="16"/>
      <c r="AJ469" s="16" t="s">
        <v>1011</v>
      </c>
    </row>
    <row r="470" spans="1:36" ht="15" customHeight="1" x14ac:dyDescent="0.3">
      <c r="A470" s="16" t="s">
        <v>273</v>
      </c>
      <c r="B470" s="16" t="s">
        <v>491</v>
      </c>
      <c r="C470" s="16" t="s">
        <v>323</v>
      </c>
      <c r="D470" s="16" t="s">
        <v>324</v>
      </c>
      <c r="E470" s="16" t="s">
        <v>404</v>
      </c>
      <c r="F470" s="16" t="s">
        <v>401</v>
      </c>
      <c r="G470" s="16">
        <v>0.6</v>
      </c>
      <c r="H470" s="16">
        <v>2607</v>
      </c>
      <c r="I470" s="16">
        <v>110</v>
      </c>
      <c r="J470" s="16">
        <v>109</v>
      </c>
      <c r="K470" s="16">
        <v>5.6947619222893096E-3</v>
      </c>
      <c r="L470" s="16">
        <v>1.88554212965895E-2</v>
      </c>
      <c r="M470" s="16">
        <v>0.30202252353382197</v>
      </c>
      <c r="N470" s="16">
        <v>11.7241504663606</v>
      </c>
      <c r="O470" s="16">
        <v>0.76792538849186898</v>
      </c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 t="s">
        <v>402</v>
      </c>
      <c r="AI470" s="16"/>
      <c r="AJ470" s="16" t="s">
        <v>1012</v>
      </c>
    </row>
    <row r="471" spans="1:36" ht="15" customHeight="1" x14ac:dyDescent="0.3">
      <c r="A471" s="16" t="s">
        <v>273</v>
      </c>
      <c r="B471" s="16" t="s">
        <v>493</v>
      </c>
      <c r="C471" s="16" t="s">
        <v>323</v>
      </c>
      <c r="D471" s="16" t="s">
        <v>324</v>
      </c>
      <c r="E471" s="16" t="s">
        <v>404</v>
      </c>
      <c r="F471" s="16" t="s">
        <v>401</v>
      </c>
      <c r="G471" s="16">
        <v>0.6</v>
      </c>
      <c r="H471" s="16">
        <v>2607</v>
      </c>
      <c r="I471" s="16">
        <v>110</v>
      </c>
      <c r="J471" s="16">
        <v>109</v>
      </c>
      <c r="K471" s="16">
        <v>-1.8021592478881E-2</v>
      </c>
      <c r="L471" s="16">
        <v>2.1842827153631901E-2</v>
      </c>
      <c r="M471" s="16">
        <v>-0.82505768837183102</v>
      </c>
      <c r="N471" s="16">
        <v>37.452123425860997</v>
      </c>
      <c r="O471" s="16">
        <v>0.41456322598195999</v>
      </c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 t="s">
        <v>402</v>
      </c>
      <c r="AI471" s="16"/>
      <c r="AJ471" s="16" t="s">
        <v>1013</v>
      </c>
    </row>
    <row r="472" spans="1:36" ht="15" customHeight="1" x14ac:dyDescent="0.3">
      <c r="A472" s="16" t="s">
        <v>273</v>
      </c>
      <c r="B472" s="16" t="s">
        <v>495</v>
      </c>
      <c r="C472" s="16" t="s">
        <v>323</v>
      </c>
      <c r="D472" s="16" t="s">
        <v>324</v>
      </c>
      <c r="E472" s="16" t="s">
        <v>404</v>
      </c>
      <c r="F472" s="16" t="s">
        <v>401</v>
      </c>
      <c r="G472" s="16">
        <v>0.6</v>
      </c>
      <c r="H472" s="16">
        <v>2607</v>
      </c>
      <c r="I472" s="16">
        <v>110</v>
      </c>
      <c r="J472" s="16">
        <v>109</v>
      </c>
      <c r="K472" s="16">
        <v>3.85427210372386E-3</v>
      </c>
      <c r="L472" s="16">
        <v>1.9207730023561E-2</v>
      </c>
      <c r="M472" s="16">
        <v>0.20066255091028701</v>
      </c>
      <c r="N472" s="16">
        <v>10.389151519438</v>
      </c>
      <c r="O472" s="16">
        <v>0.84483645210215796</v>
      </c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 t="s">
        <v>402</v>
      </c>
      <c r="AI472" s="16"/>
      <c r="AJ472" s="16" t="s">
        <v>1014</v>
      </c>
    </row>
    <row r="473" spans="1:36" ht="15" customHeight="1" x14ac:dyDescent="0.3">
      <c r="A473" s="16" t="s">
        <v>273</v>
      </c>
      <c r="B473" s="16" t="s">
        <v>497</v>
      </c>
      <c r="C473" s="16" t="s">
        <v>323</v>
      </c>
      <c r="D473" s="16" t="s">
        <v>324</v>
      </c>
      <c r="E473" s="16" t="s">
        <v>404</v>
      </c>
      <c r="F473" s="16" t="s">
        <v>401</v>
      </c>
      <c r="G473" s="16">
        <v>0.6</v>
      </c>
      <c r="H473" s="16">
        <v>2607</v>
      </c>
      <c r="I473" s="16">
        <v>110</v>
      </c>
      <c r="J473" s="16">
        <v>109</v>
      </c>
      <c r="K473" s="16">
        <v>-3.1081196629570299E-3</v>
      </c>
      <c r="L473" s="16">
        <v>2.2832995027486098E-2</v>
      </c>
      <c r="M473" s="16">
        <v>-0.13612404589128599</v>
      </c>
      <c r="N473" s="16">
        <v>18.941527247344499</v>
      </c>
      <c r="O473" s="16">
        <v>0.89315954392922503</v>
      </c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 t="s">
        <v>402</v>
      </c>
      <c r="AI473" s="16"/>
      <c r="AJ473" s="16" t="s">
        <v>1015</v>
      </c>
    </row>
    <row r="474" spans="1:36" ht="15" customHeight="1" x14ac:dyDescent="0.3">
      <c r="A474" s="16" t="s">
        <v>273</v>
      </c>
      <c r="B474" s="16" t="s">
        <v>499</v>
      </c>
      <c r="C474" s="16" t="s">
        <v>323</v>
      </c>
      <c r="D474" s="16" t="s">
        <v>324</v>
      </c>
      <c r="E474" s="16" t="s">
        <v>404</v>
      </c>
      <c r="F474" s="16" t="s">
        <v>401</v>
      </c>
      <c r="G474" s="16">
        <v>0.6</v>
      </c>
      <c r="H474" s="16">
        <v>2607</v>
      </c>
      <c r="I474" s="16">
        <v>110</v>
      </c>
      <c r="J474" s="16">
        <v>109</v>
      </c>
      <c r="K474" s="16">
        <v>-2.4633963267420901E-3</v>
      </c>
      <c r="L474" s="16">
        <v>2.3353232564029699E-2</v>
      </c>
      <c r="M474" s="16">
        <v>-0.105484168839923</v>
      </c>
      <c r="N474" s="16">
        <v>15.5604288440839</v>
      </c>
      <c r="O474" s="16">
        <v>0.91733945058334598</v>
      </c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 t="s">
        <v>402</v>
      </c>
      <c r="AI474" s="16"/>
      <c r="AJ474" s="16" t="s">
        <v>1016</v>
      </c>
    </row>
    <row r="475" spans="1:36" ht="15" customHeight="1" x14ac:dyDescent="0.3">
      <c r="A475" s="16" t="s">
        <v>273</v>
      </c>
      <c r="B475" s="16" t="s">
        <v>501</v>
      </c>
      <c r="C475" s="16" t="s">
        <v>323</v>
      </c>
      <c r="D475" s="16" t="s">
        <v>324</v>
      </c>
      <c r="E475" s="16" t="s">
        <v>404</v>
      </c>
      <c r="F475" s="16" t="s">
        <v>401</v>
      </c>
      <c r="G475" s="16">
        <v>0.6</v>
      </c>
      <c r="H475" s="16">
        <v>2607</v>
      </c>
      <c r="I475" s="16">
        <v>110</v>
      </c>
      <c r="J475" s="16">
        <v>109</v>
      </c>
      <c r="K475" s="16">
        <v>-1.2717106978012999E-2</v>
      </c>
      <c r="L475" s="16">
        <v>2.2388131503595299E-2</v>
      </c>
      <c r="M475" s="16">
        <v>-0.56802895659116703</v>
      </c>
      <c r="N475" s="16">
        <v>16.054813996921101</v>
      </c>
      <c r="O475" s="16">
        <v>0.57787386653170303</v>
      </c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 t="s">
        <v>402</v>
      </c>
      <c r="AI475" s="16"/>
      <c r="AJ475" s="16" t="s">
        <v>1017</v>
      </c>
    </row>
    <row r="476" spans="1:36" ht="15" customHeight="1" x14ac:dyDescent="0.3">
      <c r="A476" s="16" t="s">
        <v>273</v>
      </c>
      <c r="B476" s="16" t="s">
        <v>503</v>
      </c>
      <c r="C476" s="16" t="s">
        <v>323</v>
      </c>
      <c r="D476" s="16" t="s">
        <v>324</v>
      </c>
      <c r="E476" s="16" t="s">
        <v>404</v>
      </c>
      <c r="F476" s="16" t="s">
        <v>401</v>
      </c>
      <c r="G476" s="16">
        <v>0.6</v>
      </c>
      <c r="H476" s="16">
        <v>2607</v>
      </c>
      <c r="I476" s="16">
        <v>110</v>
      </c>
      <c r="J476" s="16">
        <v>109</v>
      </c>
      <c r="K476" s="16">
        <v>3.5833628048753098E-2</v>
      </c>
      <c r="L476" s="16">
        <v>2.7354811025066001E-2</v>
      </c>
      <c r="M476" s="16">
        <v>1.30995706809737</v>
      </c>
      <c r="N476" s="16">
        <v>19.995672545245998</v>
      </c>
      <c r="O476" s="16">
        <v>0.20506099038679501</v>
      </c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 t="s">
        <v>402</v>
      </c>
      <c r="AI476" s="16"/>
      <c r="AJ476" s="16" t="s">
        <v>1018</v>
      </c>
    </row>
    <row r="477" spans="1:36" ht="15" customHeight="1" x14ac:dyDescent="0.3">
      <c r="A477" s="16" t="s">
        <v>273</v>
      </c>
      <c r="B477" s="16" t="s">
        <v>505</v>
      </c>
      <c r="C477" s="16" t="s">
        <v>323</v>
      </c>
      <c r="D477" s="16" t="s">
        <v>324</v>
      </c>
      <c r="E477" s="16" t="s">
        <v>404</v>
      </c>
      <c r="F477" s="16" t="s">
        <v>401</v>
      </c>
      <c r="G477" s="16">
        <v>0.6</v>
      </c>
      <c r="H477" s="16">
        <v>2607</v>
      </c>
      <c r="I477" s="16">
        <v>110</v>
      </c>
      <c r="J477" s="16">
        <v>109</v>
      </c>
      <c r="K477" s="16">
        <v>1.7698917714139499E-2</v>
      </c>
      <c r="L477" s="16">
        <v>2.26830642670106E-2</v>
      </c>
      <c r="M477" s="16">
        <v>0.78027013924569799</v>
      </c>
      <c r="N477" s="16">
        <v>20.5811061509749</v>
      </c>
      <c r="O477" s="16">
        <v>0.44411372034220598</v>
      </c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 t="s">
        <v>402</v>
      </c>
      <c r="AI477" s="16"/>
      <c r="AJ477" s="16" t="s">
        <v>1019</v>
      </c>
    </row>
    <row r="478" spans="1:36" ht="15" customHeight="1" x14ac:dyDescent="0.3">
      <c r="A478" s="16" t="s">
        <v>273</v>
      </c>
      <c r="B478" s="16" t="s">
        <v>507</v>
      </c>
      <c r="C478" s="16" t="s">
        <v>323</v>
      </c>
      <c r="D478" s="16" t="s">
        <v>324</v>
      </c>
      <c r="E478" s="16" t="s">
        <v>404</v>
      </c>
      <c r="F478" s="16" t="s">
        <v>401</v>
      </c>
      <c r="G478" s="16">
        <v>0.6</v>
      </c>
      <c r="H478" s="16">
        <v>905</v>
      </c>
      <c r="I478" s="16">
        <v>38</v>
      </c>
      <c r="J478" s="16">
        <v>38</v>
      </c>
      <c r="K478" s="16">
        <v>-1.88251830072446E-2</v>
      </c>
      <c r="L478" s="16">
        <v>1.8050432628308799E-2</v>
      </c>
      <c r="M478" s="16">
        <v>-1.0429214299119201</v>
      </c>
      <c r="N478" s="16">
        <v>24.060681616050701</v>
      </c>
      <c r="O478" s="16">
        <v>0.30735082777218597</v>
      </c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 t="s">
        <v>402</v>
      </c>
      <c r="AI478" s="16"/>
      <c r="AJ478" s="16" t="s">
        <v>1020</v>
      </c>
    </row>
    <row r="479" spans="1:36" ht="15" customHeight="1" x14ac:dyDescent="0.3">
      <c r="A479" s="16" t="s">
        <v>273</v>
      </c>
      <c r="B479" s="16" t="s">
        <v>509</v>
      </c>
      <c r="C479" s="16" t="s">
        <v>323</v>
      </c>
      <c r="D479" s="16" t="s">
        <v>324</v>
      </c>
      <c r="E479" s="16" t="s">
        <v>404</v>
      </c>
      <c r="F479" s="16" t="s">
        <v>401</v>
      </c>
      <c r="G479" s="16">
        <v>0.6</v>
      </c>
      <c r="H479" s="16">
        <v>2594</v>
      </c>
      <c r="I479" s="16">
        <v>110</v>
      </c>
      <c r="J479" s="16">
        <v>109</v>
      </c>
      <c r="K479" s="16">
        <v>-1.7837478378403299E-2</v>
      </c>
      <c r="L479" s="16">
        <v>1.1002613661141299E-2</v>
      </c>
      <c r="M479" s="16">
        <v>-1.62120373647228</v>
      </c>
      <c r="N479" s="16">
        <v>38.769770352527999</v>
      </c>
      <c r="O479" s="16">
        <v>0.113079946405774</v>
      </c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 t="s">
        <v>402</v>
      </c>
      <c r="AI479" s="16"/>
      <c r="AJ479" s="16" t="s">
        <v>1021</v>
      </c>
    </row>
    <row r="480" spans="1:36" ht="15" customHeight="1" x14ac:dyDescent="0.3">
      <c r="A480" s="16" t="s">
        <v>273</v>
      </c>
      <c r="B480" s="16" t="s">
        <v>511</v>
      </c>
      <c r="C480" s="16" t="s">
        <v>323</v>
      </c>
      <c r="D480" s="16" t="s">
        <v>324</v>
      </c>
      <c r="E480" s="16" t="s">
        <v>404</v>
      </c>
      <c r="F480" s="16" t="s">
        <v>401</v>
      </c>
      <c r="G480" s="16">
        <v>0.6</v>
      </c>
      <c r="H480" s="16">
        <v>2594</v>
      </c>
      <c r="I480" s="16">
        <v>110</v>
      </c>
      <c r="J480" s="16">
        <v>109</v>
      </c>
      <c r="K480" s="16">
        <v>-1.6963533796876599E-2</v>
      </c>
      <c r="L480" s="16">
        <v>1.16483842239471E-2</v>
      </c>
      <c r="M480" s="16">
        <v>-1.4562993004645599</v>
      </c>
      <c r="N480" s="16">
        <v>29.471915855256899</v>
      </c>
      <c r="O480" s="16">
        <v>0.155881582404753</v>
      </c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 t="s">
        <v>402</v>
      </c>
      <c r="AI480" s="16"/>
      <c r="AJ480" s="16" t="s">
        <v>1022</v>
      </c>
    </row>
    <row r="481" spans="1:36" ht="15" customHeight="1" x14ac:dyDescent="0.3">
      <c r="A481" s="16" t="s">
        <v>273</v>
      </c>
      <c r="B481" s="16" t="s">
        <v>513</v>
      </c>
      <c r="C481" s="16" t="s">
        <v>323</v>
      </c>
      <c r="D481" s="16" t="s">
        <v>324</v>
      </c>
      <c r="E481" s="16" t="s">
        <v>404</v>
      </c>
      <c r="F481" s="16" t="s">
        <v>401</v>
      </c>
      <c r="G481" s="16">
        <v>0.6</v>
      </c>
      <c r="H481" s="16">
        <v>2594</v>
      </c>
      <c r="I481" s="16">
        <v>110</v>
      </c>
      <c r="J481" s="16">
        <v>109</v>
      </c>
      <c r="K481" s="16">
        <v>7.6585576313499602E-4</v>
      </c>
      <c r="L481" s="16">
        <v>1.11743244415823E-2</v>
      </c>
      <c r="M481" s="16">
        <v>6.8537097445019901E-2</v>
      </c>
      <c r="N481" s="16">
        <v>31.5937730872784</v>
      </c>
      <c r="O481" s="16">
        <v>0.94579003158536601</v>
      </c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 t="s">
        <v>402</v>
      </c>
      <c r="AI481" s="16"/>
      <c r="AJ481" s="16" t="s">
        <v>1023</v>
      </c>
    </row>
    <row r="482" spans="1:36" ht="15" customHeight="1" x14ac:dyDescent="0.3">
      <c r="A482" s="16" t="s">
        <v>273</v>
      </c>
      <c r="B482" s="16" t="s">
        <v>515</v>
      </c>
      <c r="C482" s="16" t="s">
        <v>323</v>
      </c>
      <c r="D482" s="16" t="s">
        <v>324</v>
      </c>
      <c r="E482" s="16" t="s">
        <v>404</v>
      </c>
      <c r="F482" s="16" t="s">
        <v>401</v>
      </c>
      <c r="G482" s="16">
        <v>0.6</v>
      </c>
      <c r="H482" s="16">
        <v>2594</v>
      </c>
      <c r="I482" s="16">
        <v>110</v>
      </c>
      <c r="J482" s="16">
        <v>109</v>
      </c>
      <c r="K482" s="16">
        <v>-1.7528039915939798E-2</v>
      </c>
      <c r="L482" s="16">
        <v>1.21698180803633E-2</v>
      </c>
      <c r="M482" s="16">
        <v>-1.4402877512378101</v>
      </c>
      <c r="N482" s="16">
        <v>25.6974602633355</v>
      </c>
      <c r="O482" s="16">
        <v>0.16185929751734299</v>
      </c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 t="s">
        <v>402</v>
      </c>
      <c r="AI482" s="16"/>
      <c r="AJ482" s="16" t="s">
        <v>1024</v>
      </c>
    </row>
    <row r="483" spans="1:36" ht="15" customHeight="1" x14ac:dyDescent="0.3">
      <c r="A483" s="16" t="s">
        <v>273</v>
      </c>
      <c r="B483" s="16" t="s">
        <v>517</v>
      </c>
      <c r="C483" s="16" t="s">
        <v>323</v>
      </c>
      <c r="D483" s="16" t="s">
        <v>324</v>
      </c>
      <c r="E483" s="16" t="s">
        <v>404</v>
      </c>
      <c r="F483" s="16" t="s">
        <v>401</v>
      </c>
      <c r="G483" s="16">
        <v>0.6</v>
      </c>
      <c r="H483" s="16">
        <v>2594</v>
      </c>
      <c r="I483" s="16">
        <v>110</v>
      </c>
      <c r="J483" s="16">
        <v>109</v>
      </c>
      <c r="K483" s="16">
        <v>-1.96428535629871E-2</v>
      </c>
      <c r="L483" s="16">
        <v>1.4723616306835699E-2</v>
      </c>
      <c r="M483" s="16">
        <v>-1.3341052329560901</v>
      </c>
      <c r="N483" s="16">
        <v>18.100875986408901</v>
      </c>
      <c r="O483" s="16">
        <v>0.19871249082320699</v>
      </c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 t="s">
        <v>402</v>
      </c>
      <c r="AI483" s="16"/>
      <c r="AJ483" s="16" t="s">
        <v>1025</v>
      </c>
    </row>
    <row r="484" spans="1:36" ht="15" customHeight="1" x14ac:dyDescent="0.3">
      <c r="A484" s="16" t="s">
        <v>273</v>
      </c>
      <c r="B484" s="16" t="s">
        <v>519</v>
      </c>
      <c r="C484" s="16" t="s">
        <v>323</v>
      </c>
      <c r="D484" s="16" t="s">
        <v>324</v>
      </c>
      <c r="E484" s="16" t="s">
        <v>404</v>
      </c>
      <c r="F484" s="16" t="s">
        <v>401</v>
      </c>
      <c r="G484" s="16">
        <v>0.6</v>
      </c>
      <c r="H484" s="16">
        <v>2594</v>
      </c>
      <c r="I484" s="16">
        <v>110</v>
      </c>
      <c r="J484" s="16">
        <v>109</v>
      </c>
      <c r="K484" s="16">
        <v>-1.9928753324227898E-2</v>
      </c>
      <c r="L484" s="16">
        <v>1.5815492510725799E-2</v>
      </c>
      <c r="M484" s="16">
        <v>-1.2600779464005001</v>
      </c>
      <c r="N484" s="16">
        <v>14.8643645889341</v>
      </c>
      <c r="O484" s="16">
        <v>0.22706540465928299</v>
      </c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 t="s">
        <v>402</v>
      </c>
      <c r="AI484" s="16"/>
      <c r="AJ484" s="16" t="s">
        <v>1026</v>
      </c>
    </row>
    <row r="485" spans="1:36" ht="15" customHeight="1" x14ac:dyDescent="0.3">
      <c r="A485" s="16" t="s">
        <v>273</v>
      </c>
      <c r="B485" s="16" t="s">
        <v>521</v>
      </c>
      <c r="C485" s="16" t="s">
        <v>323</v>
      </c>
      <c r="D485" s="16" t="s">
        <v>324</v>
      </c>
      <c r="E485" s="16" t="s">
        <v>404</v>
      </c>
      <c r="F485" s="16" t="s">
        <v>401</v>
      </c>
      <c r="G485" s="16">
        <v>0.6</v>
      </c>
      <c r="H485" s="16">
        <v>2594</v>
      </c>
      <c r="I485" s="16">
        <v>110</v>
      </c>
      <c r="J485" s="16">
        <v>109</v>
      </c>
      <c r="K485" s="16">
        <v>-2.1428755668218302E-3</v>
      </c>
      <c r="L485" s="16">
        <v>1.0026314570966E-2</v>
      </c>
      <c r="M485" s="16">
        <v>-0.213725148124429</v>
      </c>
      <c r="N485" s="16">
        <v>40.333364739068003</v>
      </c>
      <c r="O485" s="16">
        <v>0.83183815401640204</v>
      </c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 t="s">
        <v>402</v>
      </c>
      <c r="AI485" s="16"/>
      <c r="AJ485" s="16" t="s">
        <v>1027</v>
      </c>
    </row>
    <row r="486" spans="1:36" ht="15" customHeight="1" x14ac:dyDescent="0.3">
      <c r="A486" s="16" t="s">
        <v>273</v>
      </c>
      <c r="B486" s="16" t="s">
        <v>523</v>
      </c>
      <c r="C486" s="16" t="s">
        <v>323</v>
      </c>
      <c r="D486" s="16" t="s">
        <v>324</v>
      </c>
      <c r="E486" s="16" t="s">
        <v>404</v>
      </c>
      <c r="F486" s="16" t="s">
        <v>401</v>
      </c>
      <c r="G486" s="16">
        <v>0.6</v>
      </c>
      <c r="H486" s="16">
        <v>2594</v>
      </c>
      <c r="I486" s="16">
        <v>110</v>
      </c>
      <c r="J486" s="16">
        <v>109</v>
      </c>
      <c r="K486" s="16">
        <v>7.17860547928428E-3</v>
      </c>
      <c r="L486" s="16">
        <v>9.4162407481891801E-3</v>
      </c>
      <c r="M486" s="16">
        <v>0.76236426736060103</v>
      </c>
      <c r="N486" s="16">
        <v>54.850671037831297</v>
      </c>
      <c r="O486" s="16">
        <v>0.44910868010781901</v>
      </c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 t="s">
        <v>402</v>
      </c>
      <c r="AI486" s="16"/>
      <c r="AJ486" s="16" t="s">
        <v>1028</v>
      </c>
    </row>
    <row r="487" spans="1:36" ht="15" customHeight="1" x14ac:dyDescent="0.3">
      <c r="A487" s="16" t="s">
        <v>273</v>
      </c>
      <c r="B487" s="16" t="s">
        <v>525</v>
      </c>
      <c r="C487" s="16" t="s">
        <v>323</v>
      </c>
      <c r="D487" s="16" t="s">
        <v>324</v>
      </c>
      <c r="E487" s="16" t="s">
        <v>404</v>
      </c>
      <c r="F487" s="16" t="s">
        <v>401</v>
      </c>
      <c r="G487" s="16">
        <v>0.6</v>
      </c>
      <c r="H487" s="16">
        <v>2594</v>
      </c>
      <c r="I487" s="16">
        <v>110</v>
      </c>
      <c r="J487" s="16">
        <v>109</v>
      </c>
      <c r="K487" s="16">
        <v>-4.1758798612726898E-3</v>
      </c>
      <c r="L487" s="16">
        <v>9.5448600572320304E-3</v>
      </c>
      <c r="M487" s="16">
        <v>-0.43750037572407102</v>
      </c>
      <c r="N487" s="16">
        <v>63.630317033991602</v>
      </c>
      <c r="O487" s="16">
        <v>0.66322991214909899</v>
      </c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 t="s">
        <v>402</v>
      </c>
      <c r="AI487" s="16"/>
      <c r="AJ487" s="16" t="s">
        <v>1029</v>
      </c>
    </row>
    <row r="488" spans="1:36" ht="15" customHeight="1" x14ac:dyDescent="0.3">
      <c r="A488" s="16" t="s">
        <v>273</v>
      </c>
      <c r="B488" s="16" t="s">
        <v>527</v>
      </c>
      <c r="C488" s="16" t="s">
        <v>323</v>
      </c>
      <c r="D488" s="16" t="s">
        <v>324</v>
      </c>
      <c r="E488" s="16" t="s">
        <v>404</v>
      </c>
      <c r="F488" s="16" t="s">
        <v>401</v>
      </c>
      <c r="G488" s="16">
        <v>0.6</v>
      </c>
      <c r="H488" s="16">
        <v>900</v>
      </c>
      <c r="I488" s="16">
        <v>38</v>
      </c>
      <c r="J488" s="16">
        <v>38</v>
      </c>
      <c r="K488" s="16">
        <v>-2.6597809787658099E-2</v>
      </c>
      <c r="L488" s="16">
        <v>1.92930285694774E-2</v>
      </c>
      <c r="M488" s="16">
        <v>-1.3786228373567699</v>
      </c>
      <c r="N488" s="16">
        <v>24.6054734712955</v>
      </c>
      <c r="O488" s="16">
        <v>0.18041721973129901</v>
      </c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 t="s">
        <v>402</v>
      </c>
      <c r="AI488" s="16"/>
      <c r="AJ488" s="16" t="s">
        <v>1030</v>
      </c>
    </row>
    <row r="489" spans="1:36" ht="15" customHeight="1" x14ac:dyDescent="0.3">
      <c r="A489" s="16" t="s">
        <v>273</v>
      </c>
      <c r="B489" s="16" t="s">
        <v>529</v>
      </c>
      <c r="C489" s="16" t="s">
        <v>323</v>
      </c>
      <c r="D489" s="16" t="s">
        <v>324</v>
      </c>
      <c r="E489" s="16" t="s">
        <v>404</v>
      </c>
      <c r="F489" s="16" t="s">
        <v>401</v>
      </c>
      <c r="G489" s="16">
        <v>0.6</v>
      </c>
      <c r="H489" s="16">
        <v>2607</v>
      </c>
      <c r="I489" s="16">
        <v>110</v>
      </c>
      <c r="J489" s="16">
        <v>109</v>
      </c>
      <c r="K489" s="16">
        <v>-1.38711446995754E-2</v>
      </c>
      <c r="L489" s="16">
        <v>1.1562811900026801E-2</v>
      </c>
      <c r="M489" s="16">
        <v>-1.1996342083142599</v>
      </c>
      <c r="N489" s="16">
        <v>33.729106073744703</v>
      </c>
      <c r="O489" s="16">
        <v>0.23864069196652801</v>
      </c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 t="s">
        <v>402</v>
      </c>
      <c r="AI489" s="16"/>
      <c r="AJ489" s="16" t="s">
        <v>1031</v>
      </c>
    </row>
    <row r="490" spans="1:36" ht="15" customHeight="1" x14ac:dyDescent="0.3">
      <c r="A490" s="16" t="s">
        <v>273</v>
      </c>
      <c r="B490" s="16" t="s">
        <v>531</v>
      </c>
      <c r="C490" s="16" t="s">
        <v>323</v>
      </c>
      <c r="D490" s="16" t="s">
        <v>324</v>
      </c>
      <c r="E490" s="16" t="s">
        <v>404</v>
      </c>
      <c r="F490" s="16" t="s">
        <v>401</v>
      </c>
      <c r="G490" s="16">
        <v>0.6</v>
      </c>
      <c r="H490" s="16">
        <v>2607</v>
      </c>
      <c r="I490" s="16">
        <v>110</v>
      </c>
      <c r="J490" s="16">
        <v>109</v>
      </c>
      <c r="K490" s="16">
        <v>-1.20003542678126E-2</v>
      </c>
      <c r="L490" s="16">
        <v>1.19807464426172E-2</v>
      </c>
      <c r="M490" s="16">
        <v>-1.00163661131544</v>
      </c>
      <c r="N490" s="16">
        <v>25.873041913034299</v>
      </c>
      <c r="O490" s="16">
        <v>0.32579547455041102</v>
      </c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 t="s">
        <v>402</v>
      </c>
      <c r="AI490" s="16"/>
      <c r="AJ490" s="16" t="s">
        <v>1032</v>
      </c>
    </row>
    <row r="491" spans="1:36" ht="15" customHeight="1" x14ac:dyDescent="0.3">
      <c r="A491" s="16" t="s">
        <v>273</v>
      </c>
      <c r="B491" s="16" t="s">
        <v>533</v>
      </c>
      <c r="C491" s="16" t="s">
        <v>323</v>
      </c>
      <c r="D491" s="16" t="s">
        <v>324</v>
      </c>
      <c r="E491" s="16" t="s">
        <v>404</v>
      </c>
      <c r="F491" s="16" t="s">
        <v>401</v>
      </c>
      <c r="G491" s="16">
        <v>0.6</v>
      </c>
      <c r="H491" s="16">
        <v>2607</v>
      </c>
      <c r="I491" s="16">
        <v>110</v>
      </c>
      <c r="J491" s="16">
        <v>109</v>
      </c>
      <c r="K491" s="16">
        <v>1.5380091020255099E-3</v>
      </c>
      <c r="L491" s="16">
        <v>1.14267427005356E-2</v>
      </c>
      <c r="M491" s="16">
        <v>0.13459733384505301</v>
      </c>
      <c r="N491" s="16">
        <v>32.447327081796701</v>
      </c>
      <c r="O491" s="16">
        <v>0.89376170796457999</v>
      </c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 t="s">
        <v>402</v>
      </c>
      <c r="AI491" s="16"/>
      <c r="AJ491" s="16" t="s">
        <v>1033</v>
      </c>
    </row>
    <row r="492" spans="1:36" ht="15" customHeight="1" x14ac:dyDescent="0.3">
      <c r="A492" s="16" t="s">
        <v>273</v>
      </c>
      <c r="B492" s="16" t="s">
        <v>535</v>
      </c>
      <c r="C492" s="16" t="s">
        <v>323</v>
      </c>
      <c r="D492" s="16" t="s">
        <v>324</v>
      </c>
      <c r="E492" s="16" t="s">
        <v>404</v>
      </c>
      <c r="F492" s="16" t="s">
        <v>401</v>
      </c>
      <c r="G492" s="16">
        <v>0.6</v>
      </c>
      <c r="H492" s="16">
        <v>2607</v>
      </c>
      <c r="I492" s="16">
        <v>110</v>
      </c>
      <c r="J492" s="16">
        <v>109</v>
      </c>
      <c r="K492" s="16">
        <v>-1.2779670698330799E-2</v>
      </c>
      <c r="L492" s="16">
        <v>1.25509130549554E-2</v>
      </c>
      <c r="M492" s="16">
        <v>-1.01822637463694</v>
      </c>
      <c r="N492" s="16">
        <v>22.560244868285199</v>
      </c>
      <c r="O492" s="16">
        <v>0.31936634111756801</v>
      </c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 t="s">
        <v>402</v>
      </c>
      <c r="AI492" s="16"/>
      <c r="AJ492" s="16" t="s">
        <v>1034</v>
      </c>
    </row>
    <row r="493" spans="1:36" ht="15" customHeight="1" x14ac:dyDescent="0.3">
      <c r="A493" s="16" t="s">
        <v>273</v>
      </c>
      <c r="B493" s="16" t="s">
        <v>537</v>
      </c>
      <c r="C493" s="16" t="s">
        <v>323</v>
      </c>
      <c r="D493" s="16" t="s">
        <v>324</v>
      </c>
      <c r="E493" s="16" t="s">
        <v>404</v>
      </c>
      <c r="F493" s="16" t="s">
        <v>401</v>
      </c>
      <c r="G493" s="16">
        <v>0.6</v>
      </c>
      <c r="H493" s="16">
        <v>2607</v>
      </c>
      <c r="I493" s="16">
        <v>110</v>
      </c>
      <c r="J493" s="16">
        <v>109</v>
      </c>
      <c r="K493" s="16">
        <v>-1.58230716306988E-2</v>
      </c>
      <c r="L493" s="16">
        <v>1.4792715336520001E-2</v>
      </c>
      <c r="M493" s="16">
        <v>-1.0696529521956699</v>
      </c>
      <c r="N493" s="16">
        <v>18.222207962097201</v>
      </c>
      <c r="O493" s="16">
        <v>0.298740530379978</v>
      </c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 t="s">
        <v>402</v>
      </c>
      <c r="AI493" s="16"/>
      <c r="AJ493" s="16" t="s">
        <v>1035</v>
      </c>
    </row>
    <row r="494" spans="1:36" ht="15" customHeight="1" x14ac:dyDescent="0.3">
      <c r="A494" s="16" t="s">
        <v>273</v>
      </c>
      <c r="B494" s="16" t="s">
        <v>539</v>
      </c>
      <c r="C494" s="16" t="s">
        <v>323</v>
      </c>
      <c r="D494" s="16" t="s">
        <v>324</v>
      </c>
      <c r="E494" s="16" t="s">
        <v>404</v>
      </c>
      <c r="F494" s="16" t="s">
        <v>401</v>
      </c>
      <c r="G494" s="16">
        <v>0.6</v>
      </c>
      <c r="H494" s="16">
        <v>2607</v>
      </c>
      <c r="I494" s="16">
        <v>110</v>
      </c>
      <c r="J494" s="16">
        <v>109</v>
      </c>
      <c r="K494" s="16">
        <v>-1.5905330322822701E-2</v>
      </c>
      <c r="L494" s="16">
        <v>1.5884859760673501E-2</v>
      </c>
      <c r="M494" s="16">
        <v>-1.0012886838447099</v>
      </c>
      <c r="N494" s="16">
        <v>14.9675642222345</v>
      </c>
      <c r="O494" s="16">
        <v>0.33260091441276302</v>
      </c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 t="s">
        <v>402</v>
      </c>
      <c r="AI494" s="16"/>
      <c r="AJ494" s="16" t="s">
        <v>1036</v>
      </c>
    </row>
    <row r="495" spans="1:36" ht="15" customHeight="1" x14ac:dyDescent="0.3">
      <c r="A495" s="16" t="s">
        <v>273</v>
      </c>
      <c r="B495" s="16" t="s">
        <v>541</v>
      </c>
      <c r="C495" s="16" t="s">
        <v>323</v>
      </c>
      <c r="D495" s="16" t="s">
        <v>324</v>
      </c>
      <c r="E495" s="16" t="s">
        <v>404</v>
      </c>
      <c r="F495" s="16" t="s">
        <v>401</v>
      </c>
      <c r="G495" s="16">
        <v>0.6</v>
      </c>
      <c r="H495" s="16">
        <v>2607</v>
      </c>
      <c r="I495" s="16">
        <v>110</v>
      </c>
      <c r="J495" s="16">
        <v>109</v>
      </c>
      <c r="K495" s="16">
        <v>1.19520835373979E-3</v>
      </c>
      <c r="L495" s="16">
        <v>1.0436187238348899E-2</v>
      </c>
      <c r="M495" s="16">
        <v>0.114525384265612</v>
      </c>
      <c r="N495" s="16">
        <v>35.0096084274902</v>
      </c>
      <c r="O495" s="16">
        <v>0.90947563525592501</v>
      </c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 t="s">
        <v>402</v>
      </c>
      <c r="AI495" s="16"/>
      <c r="AJ495" s="16" t="s">
        <v>1037</v>
      </c>
    </row>
    <row r="496" spans="1:36" ht="15" customHeight="1" x14ac:dyDescent="0.3">
      <c r="A496" s="16" t="s">
        <v>273</v>
      </c>
      <c r="B496" s="16" t="s">
        <v>543</v>
      </c>
      <c r="C496" s="16" t="s">
        <v>323</v>
      </c>
      <c r="D496" s="16" t="s">
        <v>324</v>
      </c>
      <c r="E496" s="16" t="s">
        <v>404</v>
      </c>
      <c r="F496" s="16" t="s">
        <v>401</v>
      </c>
      <c r="G496" s="16">
        <v>0.6</v>
      </c>
      <c r="H496" s="16">
        <v>2607</v>
      </c>
      <c r="I496" s="16">
        <v>110</v>
      </c>
      <c r="J496" s="16">
        <v>109</v>
      </c>
      <c r="K496" s="16">
        <v>1.40748820783508E-2</v>
      </c>
      <c r="L496" s="16">
        <v>9.8103079764198901E-3</v>
      </c>
      <c r="M496" s="16">
        <v>1.4347033867011401</v>
      </c>
      <c r="N496" s="16">
        <v>47.433960832083002</v>
      </c>
      <c r="O496" s="16">
        <v>0.157932370189143</v>
      </c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 t="s">
        <v>402</v>
      </c>
      <c r="AI496" s="16"/>
      <c r="AJ496" s="16" t="s">
        <v>1038</v>
      </c>
    </row>
    <row r="497" spans="1:36" ht="15" customHeight="1" x14ac:dyDescent="0.3">
      <c r="A497" s="16" t="s">
        <v>273</v>
      </c>
      <c r="B497" s="16" t="s">
        <v>545</v>
      </c>
      <c r="C497" s="16" t="s">
        <v>323</v>
      </c>
      <c r="D497" s="16" t="s">
        <v>324</v>
      </c>
      <c r="E497" s="16" t="s">
        <v>404</v>
      </c>
      <c r="F497" s="16" t="s">
        <v>401</v>
      </c>
      <c r="G497" s="16">
        <v>0.6</v>
      </c>
      <c r="H497" s="16">
        <v>2607</v>
      </c>
      <c r="I497" s="16">
        <v>110</v>
      </c>
      <c r="J497" s="16">
        <v>109</v>
      </c>
      <c r="K497" s="16">
        <v>1.7933123104797899E-3</v>
      </c>
      <c r="L497" s="16">
        <v>9.6893748015223907E-3</v>
      </c>
      <c r="M497" s="16">
        <v>0.18508029126895001</v>
      </c>
      <c r="N497" s="16">
        <v>53.476940512496803</v>
      </c>
      <c r="O497" s="16">
        <v>0.85386622163079395</v>
      </c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 t="s">
        <v>402</v>
      </c>
      <c r="AI497" s="16"/>
      <c r="AJ497" s="16" t="s">
        <v>1039</v>
      </c>
    </row>
    <row r="498" spans="1:36" ht="15" customHeight="1" x14ac:dyDescent="0.3">
      <c r="A498" s="16" t="s">
        <v>273</v>
      </c>
      <c r="B498" s="16" t="s">
        <v>547</v>
      </c>
      <c r="C498" s="16" t="s">
        <v>323</v>
      </c>
      <c r="D498" s="16" t="s">
        <v>324</v>
      </c>
      <c r="E498" s="16" t="s">
        <v>404</v>
      </c>
      <c r="F498" s="16" t="s">
        <v>401</v>
      </c>
      <c r="G498" s="16">
        <v>0.6</v>
      </c>
      <c r="H498" s="16">
        <v>905</v>
      </c>
      <c r="I498" s="16">
        <v>38</v>
      </c>
      <c r="J498" s="16">
        <v>38</v>
      </c>
      <c r="K498" s="16">
        <v>-2.1982184440367099E-2</v>
      </c>
      <c r="L498" s="16">
        <v>1.88124645364263E-2</v>
      </c>
      <c r="M498" s="16">
        <v>-1.16849041218408</v>
      </c>
      <c r="N498" s="16">
        <v>24.533448433838501</v>
      </c>
      <c r="O498" s="16">
        <v>0.25383856085686402</v>
      </c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 t="s">
        <v>402</v>
      </c>
      <c r="AI498" s="16"/>
      <c r="AJ498" s="16" t="s">
        <v>1040</v>
      </c>
    </row>
    <row r="499" spans="1:36" ht="15" customHeight="1" x14ac:dyDescent="0.3">
      <c r="A499" s="16" t="s">
        <v>273</v>
      </c>
      <c r="B499" s="16" t="s">
        <v>549</v>
      </c>
      <c r="C499" s="16" t="s">
        <v>323</v>
      </c>
      <c r="D499" s="16" t="s">
        <v>324</v>
      </c>
      <c r="E499" s="16" t="s">
        <v>404</v>
      </c>
      <c r="F499" s="16" t="s">
        <v>401</v>
      </c>
      <c r="G499" s="16">
        <v>0.6</v>
      </c>
      <c r="H499" s="16">
        <v>2705</v>
      </c>
      <c r="I499" s="16">
        <v>113</v>
      </c>
      <c r="J499" s="16">
        <v>112</v>
      </c>
      <c r="K499" s="16">
        <v>1.0126179032339399E-2</v>
      </c>
      <c r="L499" s="16">
        <v>1.8142167465517101E-2</v>
      </c>
      <c r="M499" s="16">
        <v>0.55815706979809898</v>
      </c>
      <c r="N499" s="16">
        <v>14.8296509235327</v>
      </c>
      <c r="O499" s="16">
        <v>0.58506608780065295</v>
      </c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 t="s">
        <v>402</v>
      </c>
      <c r="AI499" s="16"/>
      <c r="AJ499" s="16" t="s">
        <v>1041</v>
      </c>
    </row>
    <row r="500" spans="1:36" ht="15" customHeight="1" x14ac:dyDescent="0.3">
      <c r="A500" s="16" t="s">
        <v>273</v>
      </c>
      <c r="B500" s="16" t="s">
        <v>551</v>
      </c>
      <c r="C500" s="16" t="s">
        <v>323</v>
      </c>
      <c r="D500" s="16" t="s">
        <v>324</v>
      </c>
      <c r="E500" s="16" t="s">
        <v>404</v>
      </c>
      <c r="F500" s="16" t="s">
        <v>401</v>
      </c>
      <c r="G500" s="16">
        <v>0.6</v>
      </c>
      <c r="H500" s="16">
        <v>2705</v>
      </c>
      <c r="I500" s="16">
        <v>113</v>
      </c>
      <c r="J500" s="16">
        <v>112</v>
      </c>
      <c r="K500" s="16">
        <v>9.7812097412000101E-3</v>
      </c>
      <c r="L500" s="16">
        <v>1.77858460201753E-2</v>
      </c>
      <c r="M500" s="16">
        <v>0.54994346235229596</v>
      </c>
      <c r="N500" s="16">
        <v>12.136906743067501</v>
      </c>
      <c r="O500" s="16">
        <v>0.59233478171355303</v>
      </c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 t="s">
        <v>402</v>
      </c>
      <c r="AI500" s="16"/>
      <c r="AJ500" s="16" t="s">
        <v>1042</v>
      </c>
    </row>
    <row r="501" spans="1:36" ht="15" customHeight="1" x14ac:dyDescent="0.3">
      <c r="A501" s="16" t="s">
        <v>273</v>
      </c>
      <c r="B501" s="16" t="s">
        <v>553</v>
      </c>
      <c r="C501" s="16" t="s">
        <v>323</v>
      </c>
      <c r="D501" s="16" t="s">
        <v>324</v>
      </c>
      <c r="E501" s="16" t="s">
        <v>404</v>
      </c>
      <c r="F501" s="16" t="s">
        <v>401</v>
      </c>
      <c r="G501" s="16">
        <v>0.6</v>
      </c>
      <c r="H501" s="16">
        <v>2705</v>
      </c>
      <c r="I501" s="16">
        <v>113</v>
      </c>
      <c r="J501" s="16">
        <v>112</v>
      </c>
      <c r="K501" s="16">
        <v>-2.0022869827965001E-2</v>
      </c>
      <c r="L501" s="16">
        <v>2.1020916849179699E-2</v>
      </c>
      <c r="M501" s="16">
        <v>-0.952521242133468</v>
      </c>
      <c r="N501" s="16">
        <v>41.507640533232802</v>
      </c>
      <c r="O501" s="16">
        <v>0.346346871278508</v>
      </c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 t="s">
        <v>402</v>
      </c>
      <c r="AI501" s="16"/>
      <c r="AJ501" s="16" t="s">
        <v>1043</v>
      </c>
    </row>
    <row r="502" spans="1:36" ht="15" customHeight="1" x14ac:dyDescent="0.3">
      <c r="A502" s="16" t="s">
        <v>273</v>
      </c>
      <c r="B502" s="16" t="s">
        <v>555</v>
      </c>
      <c r="C502" s="16" t="s">
        <v>323</v>
      </c>
      <c r="D502" s="16" t="s">
        <v>324</v>
      </c>
      <c r="E502" s="16" t="s">
        <v>404</v>
      </c>
      <c r="F502" s="16" t="s">
        <v>401</v>
      </c>
      <c r="G502" s="16">
        <v>0.6</v>
      </c>
      <c r="H502" s="16">
        <v>2705</v>
      </c>
      <c r="I502" s="16">
        <v>113</v>
      </c>
      <c r="J502" s="16">
        <v>112</v>
      </c>
      <c r="K502" s="16">
        <v>8.0227215863048606E-3</v>
      </c>
      <c r="L502" s="16">
        <v>1.80437567983051E-2</v>
      </c>
      <c r="M502" s="16">
        <v>0.444625898918039</v>
      </c>
      <c r="N502" s="16">
        <v>10.7415342228079</v>
      </c>
      <c r="O502" s="16">
        <v>0.66541552997180098</v>
      </c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 t="s">
        <v>402</v>
      </c>
      <c r="AI502" s="16"/>
      <c r="AJ502" s="16" t="s">
        <v>1044</v>
      </c>
    </row>
    <row r="503" spans="1:36" ht="15" customHeight="1" x14ac:dyDescent="0.3">
      <c r="A503" s="16" t="s">
        <v>273</v>
      </c>
      <c r="B503" s="16" t="s">
        <v>557</v>
      </c>
      <c r="C503" s="16" t="s">
        <v>323</v>
      </c>
      <c r="D503" s="16" t="s">
        <v>324</v>
      </c>
      <c r="E503" s="16" t="s">
        <v>404</v>
      </c>
      <c r="F503" s="16" t="s">
        <v>401</v>
      </c>
      <c r="G503" s="16">
        <v>0.6</v>
      </c>
      <c r="H503" s="16">
        <v>2705</v>
      </c>
      <c r="I503" s="16">
        <v>113</v>
      </c>
      <c r="J503" s="16">
        <v>112</v>
      </c>
      <c r="K503" s="16">
        <v>3.07427840520514E-3</v>
      </c>
      <c r="L503" s="16">
        <v>2.2317936674675298E-2</v>
      </c>
      <c r="M503" s="16">
        <v>0.13774922162466799</v>
      </c>
      <c r="N503" s="16">
        <v>18.775997508419099</v>
      </c>
      <c r="O503" s="16">
        <v>0.89190511776179404</v>
      </c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 t="s">
        <v>402</v>
      </c>
      <c r="AI503" s="16"/>
      <c r="AJ503" s="16" t="s">
        <v>1045</v>
      </c>
    </row>
    <row r="504" spans="1:36" ht="15" customHeight="1" x14ac:dyDescent="0.3">
      <c r="A504" s="16" t="s">
        <v>273</v>
      </c>
      <c r="B504" s="16" t="s">
        <v>559</v>
      </c>
      <c r="C504" s="16" t="s">
        <v>323</v>
      </c>
      <c r="D504" s="16" t="s">
        <v>324</v>
      </c>
      <c r="E504" s="16" t="s">
        <v>404</v>
      </c>
      <c r="F504" s="16" t="s">
        <v>401</v>
      </c>
      <c r="G504" s="16">
        <v>0.6</v>
      </c>
      <c r="H504" s="16">
        <v>2705</v>
      </c>
      <c r="I504" s="16">
        <v>113</v>
      </c>
      <c r="J504" s="16">
        <v>112</v>
      </c>
      <c r="K504" s="16">
        <v>4.1297563666900204E-3</v>
      </c>
      <c r="L504" s="16">
        <v>2.2888142907543801E-2</v>
      </c>
      <c r="M504" s="16">
        <v>0.18043212956910001</v>
      </c>
      <c r="N504" s="16">
        <v>15.4434704653665</v>
      </c>
      <c r="O504" s="16">
        <v>0.85915976175264397</v>
      </c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 t="s">
        <v>402</v>
      </c>
      <c r="AI504" s="16"/>
      <c r="AJ504" s="16" t="s">
        <v>1046</v>
      </c>
    </row>
    <row r="505" spans="1:36" ht="15" customHeight="1" x14ac:dyDescent="0.3">
      <c r="A505" s="16" t="s">
        <v>273</v>
      </c>
      <c r="B505" s="16" t="s">
        <v>561</v>
      </c>
      <c r="C505" s="16" t="s">
        <v>323</v>
      </c>
      <c r="D505" s="16" t="s">
        <v>324</v>
      </c>
      <c r="E505" s="16" t="s">
        <v>404</v>
      </c>
      <c r="F505" s="16" t="s">
        <v>401</v>
      </c>
      <c r="G505" s="16">
        <v>0.6</v>
      </c>
      <c r="H505" s="16">
        <v>2705</v>
      </c>
      <c r="I505" s="16">
        <v>113</v>
      </c>
      <c r="J505" s="16">
        <v>112</v>
      </c>
      <c r="K505" s="16">
        <v>-6.7302056054774698E-3</v>
      </c>
      <c r="L505" s="16">
        <v>2.0714967459666001E-2</v>
      </c>
      <c r="M505" s="16">
        <v>-0.32489578458579899</v>
      </c>
      <c r="N505" s="16">
        <v>17.537092970409699</v>
      </c>
      <c r="O505" s="16">
        <v>0.74910366037807297</v>
      </c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 t="s">
        <v>402</v>
      </c>
      <c r="AI505" s="16"/>
      <c r="AJ505" s="16" t="s">
        <v>1047</v>
      </c>
    </row>
    <row r="506" spans="1:36" ht="15" customHeight="1" x14ac:dyDescent="0.3">
      <c r="A506" s="16" t="s">
        <v>273</v>
      </c>
      <c r="B506" s="16" t="s">
        <v>563</v>
      </c>
      <c r="C506" s="16" t="s">
        <v>323</v>
      </c>
      <c r="D506" s="16" t="s">
        <v>324</v>
      </c>
      <c r="E506" s="16" t="s">
        <v>404</v>
      </c>
      <c r="F506" s="16" t="s">
        <v>401</v>
      </c>
      <c r="G506" s="16">
        <v>0.6</v>
      </c>
      <c r="H506" s="16">
        <v>2705</v>
      </c>
      <c r="I506" s="16">
        <v>113</v>
      </c>
      <c r="J506" s="16">
        <v>112</v>
      </c>
      <c r="K506" s="16">
        <v>3.9538451825790397E-2</v>
      </c>
      <c r="L506" s="16">
        <v>2.61745000488963E-2</v>
      </c>
      <c r="M506" s="16">
        <v>1.5105714245517301</v>
      </c>
      <c r="N506" s="16">
        <v>21.722267854276001</v>
      </c>
      <c r="O506" s="16">
        <v>0.14530866551081301</v>
      </c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 t="s">
        <v>402</v>
      </c>
      <c r="AI506" s="16"/>
      <c r="AJ506" s="16" t="s">
        <v>1048</v>
      </c>
    </row>
    <row r="507" spans="1:36" ht="15" customHeight="1" x14ac:dyDescent="0.3">
      <c r="A507" s="16" t="s">
        <v>273</v>
      </c>
      <c r="B507" s="16" t="s">
        <v>565</v>
      </c>
      <c r="C507" s="16" t="s">
        <v>323</v>
      </c>
      <c r="D507" s="16" t="s">
        <v>324</v>
      </c>
      <c r="E507" s="16" t="s">
        <v>404</v>
      </c>
      <c r="F507" s="16" t="s">
        <v>401</v>
      </c>
      <c r="G507" s="16">
        <v>0.6</v>
      </c>
      <c r="H507" s="16">
        <v>2705</v>
      </c>
      <c r="I507" s="16">
        <v>113</v>
      </c>
      <c r="J507" s="16">
        <v>112</v>
      </c>
      <c r="K507" s="16">
        <v>2.11059259499051E-2</v>
      </c>
      <c r="L507" s="16">
        <v>2.1793941427045601E-2</v>
      </c>
      <c r="M507" s="16">
        <v>0.96843088344329198</v>
      </c>
      <c r="N507" s="16">
        <v>22.027512325658101</v>
      </c>
      <c r="O507" s="16">
        <v>0.34334308709046302</v>
      </c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 t="s">
        <v>402</v>
      </c>
      <c r="AI507" s="16"/>
      <c r="AJ507" s="16" t="s">
        <v>1049</v>
      </c>
    </row>
    <row r="508" spans="1:36" ht="15" customHeight="1" x14ac:dyDescent="0.3">
      <c r="A508" s="16" t="s">
        <v>273</v>
      </c>
      <c r="B508" s="16" t="s">
        <v>567</v>
      </c>
      <c r="C508" s="16" t="s">
        <v>323</v>
      </c>
      <c r="D508" s="16" t="s">
        <v>324</v>
      </c>
      <c r="E508" s="16" t="s">
        <v>404</v>
      </c>
      <c r="F508" s="16" t="s">
        <v>401</v>
      </c>
      <c r="G508" s="16">
        <v>0.6</v>
      </c>
      <c r="H508" s="16">
        <v>929</v>
      </c>
      <c r="I508" s="16">
        <v>40</v>
      </c>
      <c r="J508" s="16">
        <v>40</v>
      </c>
      <c r="K508" s="16">
        <v>-1.3520536805512901E-2</v>
      </c>
      <c r="L508" s="16">
        <v>1.7507040691291199E-2</v>
      </c>
      <c r="M508" s="16">
        <v>-0.77229139087102705</v>
      </c>
      <c r="N508" s="16">
        <v>23.5190077186965</v>
      </c>
      <c r="O508" s="16">
        <v>0.44763352671295098</v>
      </c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 t="s">
        <v>402</v>
      </c>
      <c r="AI508" s="16"/>
      <c r="AJ508" s="16" t="s">
        <v>1050</v>
      </c>
    </row>
    <row r="509" spans="1:36" ht="15" customHeight="1" x14ac:dyDescent="0.3">
      <c r="A509" s="16" t="s">
        <v>273</v>
      </c>
      <c r="B509" s="16" t="s">
        <v>569</v>
      </c>
      <c r="C509" s="16" t="s">
        <v>323</v>
      </c>
      <c r="D509" s="16" t="s">
        <v>324</v>
      </c>
      <c r="E509" s="16" t="s">
        <v>404</v>
      </c>
      <c r="F509" s="16" t="s">
        <v>401</v>
      </c>
      <c r="G509" s="16">
        <v>0.6</v>
      </c>
      <c r="H509" s="16">
        <v>2692</v>
      </c>
      <c r="I509" s="16">
        <v>113</v>
      </c>
      <c r="J509" s="16">
        <v>112</v>
      </c>
      <c r="K509" s="16">
        <v>-1.36869818609062E-2</v>
      </c>
      <c r="L509" s="16">
        <v>1.0634486595897301E-2</v>
      </c>
      <c r="M509" s="16">
        <v>-1.28703738892167</v>
      </c>
      <c r="N509" s="16">
        <v>39.451753803656402</v>
      </c>
      <c r="O509" s="16">
        <v>0.205581602689872</v>
      </c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 t="s">
        <v>402</v>
      </c>
      <c r="AI509" s="16"/>
      <c r="AJ509" s="16" t="s">
        <v>1051</v>
      </c>
    </row>
    <row r="510" spans="1:36" ht="15" customHeight="1" x14ac:dyDescent="0.3">
      <c r="A510" s="16" t="s">
        <v>273</v>
      </c>
      <c r="B510" s="16" t="s">
        <v>571</v>
      </c>
      <c r="C510" s="16" t="s">
        <v>323</v>
      </c>
      <c r="D510" s="16" t="s">
        <v>324</v>
      </c>
      <c r="E510" s="16" t="s">
        <v>404</v>
      </c>
      <c r="F510" s="16" t="s">
        <v>401</v>
      </c>
      <c r="G510" s="16">
        <v>0.6</v>
      </c>
      <c r="H510" s="16">
        <v>2692</v>
      </c>
      <c r="I510" s="16">
        <v>113</v>
      </c>
      <c r="J510" s="16">
        <v>112</v>
      </c>
      <c r="K510" s="16">
        <v>-1.2619383969081899E-2</v>
      </c>
      <c r="L510" s="16">
        <v>1.1237507651238999E-2</v>
      </c>
      <c r="M510" s="16">
        <v>-1.1229700001753</v>
      </c>
      <c r="N510" s="16">
        <v>30.011860397151001</v>
      </c>
      <c r="O510" s="16">
        <v>0.270353639844848</v>
      </c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 t="s">
        <v>402</v>
      </c>
      <c r="AI510" s="16"/>
      <c r="AJ510" s="16" t="s">
        <v>1052</v>
      </c>
    </row>
    <row r="511" spans="1:36" ht="15" customHeight="1" x14ac:dyDescent="0.3">
      <c r="A511" s="16" t="s">
        <v>273</v>
      </c>
      <c r="B511" s="16" t="s">
        <v>573</v>
      </c>
      <c r="C511" s="16" t="s">
        <v>323</v>
      </c>
      <c r="D511" s="16" t="s">
        <v>324</v>
      </c>
      <c r="E511" s="16" t="s">
        <v>404</v>
      </c>
      <c r="F511" s="16" t="s">
        <v>401</v>
      </c>
      <c r="G511" s="16">
        <v>0.6</v>
      </c>
      <c r="H511" s="16">
        <v>2692</v>
      </c>
      <c r="I511" s="16">
        <v>113</v>
      </c>
      <c r="J511" s="16">
        <v>112</v>
      </c>
      <c r="K511" s="16">
        <v>9.29468180156177E-4</v>
      </c>
      <c r="L511" s="16">
        <v>1.05053945775694E-2</v>
      </c>
      <c r="M511" s="16">
        <v>8.8475323158325694E-2</v>
      </c>
      <c r="N511" s="16">
        <v>35.1213888195742</v>
      </c>
      <c r="O511" s="16">
        <v>0.93000147761491803</v>
      </c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 t="s">
        <v>402</v>
      </c>
      <c r="AI511" s="16"/>
      <c r="AJ511" s="16" t="s">
        <v>1053</v>
      </c>
    </row>
    <row r="512" spans="1:36" ht="15" customHeight="1" x14ac:dyDescent="0.3">
      <c r="A512" s="16" t="s">
        <v>273</v>
      </c>
      <c r="B512" s="16" t="s">
        <v>575</v>
      </c>
      <c r="C512" s="16" t="s">
        <v>323</v>
      </c>
      <c r="D512" s="16" t="s">
        <v>324</v>
      </c>
      <c r="E512" s="16" t="s">
        <v>404</v>
      </c>
      <c r="F512" s="16" t="s">
        <v>401</v>
      </c>
      <c r="G512" s="16">
        <v>0.6</v>
      </c>
      <c r="H512" s="16">
        <v>2692</v>
      </c>
      <c r="I512" s="16">
        <v>113</v>
      </c>
      <c r="J512" s="16">
        <v>112</v>
      </c>
      <c r="K512" s="16">
        <v>-1.3020818263916101E-2</v>
      </c>
      <c r="L512" s="16">
        <v>1.17169467193982E-2</v>
      </c>
      <c r="M512" s="16">
        <v>-1.11128082902001</v>
      </c>
      <c r="N512" s="16">
        <v>26.218433828282699</v>
      </c>
      <c r="O512" s="16">
        <v>0.27653477185113001</v>
      </c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 t="s">
        <v>402</v>
      </c>
      <c r="AI512" s="16"/>
      <c r="AJ512" s="16" t="s">
        <v>1054</v>
      </c>
    </row>
    <row r="513" spans="1:36" ht="15" customHeight="1" x14ac:dyDescent="0.3">
      <c r="A513" s="16" t="s">
        <v>273</v>
      </c>
      <c r="B513" s="16" t="s">
        <v>577</v>
      </c>
      <c r="C513" s="16" t="s">
        <v>323</v>
      </c>
      <c r="D513" s="16" t="s">
        <v>324</v>
      </c>
      <c r="E513" s="16" t="s">
        <v>404</v>
      </c>
      <c r="F513" s="16" t="s">
        <v>401</v>
      </c>
      <c r="G513" s="16">
        <v>0.6</v>
      </c>
      <c r="H513" s="16">
        <v>2692</v>
      </c>
      <c r="I513" s="16">
        <v>113</v>
      </c>
      <c r="J513" s="16">
        <v>112</v>
      </c>
      <c r="K513" s="16">
        <v>-1.4003372017177201E-2</v>
      </c>
      <c r="L513" s="16">
        <v>1.4946260793555899E-2</v>
      </c>
      <c r="M513" s="16">
        <v>-0.93691473811394799</v>
      </c>
      <c r="N513" s="16">
        <v>17.8693989762392</v>
      </c>
      <c r="O513" s="16">
        <v>0.361293448756007</v>
      </c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 t="s">
        <v>402</v>
      </c>
      <c r="AI513" s="16"/>
      <c r="AJ513" s="16" t="s">
        <v>1055</v>
      </c>
    </row>
    <row r="514" spans="1:36" ht="15" customHeight="1" x14ac:dyDescent="0.3">
      <c r="A514" s="16" t="s">
        <v>273</v>
      </c>
      <c r="B514" s="16" t="s">
        <v>579</v>
      </c>
      <c r="C514" s="16" t="s">
        <v>323</v>
      </c>
      <c r="D514" s="16" t="s">
        <v>324</v>
      </c>
      <c r="E514" s="16" t="s">
        <v>404</v>
      </c>
      <c r="F514" s="16" t="s">
        <v>401</v>
      </c>
      <c r="G514" s="16">
        <v>0.6</v>
      </c>
      <c r="H514" s="16">
        <v>2692</v>
      </c>
      <c r="I514" s="16">
        <v>113</v>
      </c>
      <c r="J514" s="16">
        <v>112</v>
      </c>
      <c r="K514" s="16">
        <v>-1.3803869437310601E-2</v>
      </c>
      <c r="L514" s="16">
        <v>1.6176605939822099E-2</v>
      </c>
      <c r="M514" s="16">
        <v>-0.85332297075553298</v>
      </c>
      <c r="N514" s="16">
        <v>14.6952249890948</v>
      </c>
      <c r="O514" s="16">
        <v>0.40717469993382499</v>
      </c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 t="s">
        <v>402</v>
      </c>
      <c r="AI514" s="16"/>
      <c r="AJ514" s="16" t="s">
        <v>1056</v>
      </c>
    </row>
    <row r="515" spans="1:36" ht="15" customHeight="1" x14ac:dyDescent="0.3">
      <c r="A515" s="16" t="s">
        <v>273</v>
      </c>
      <c r="B515" s="16" t="s">
        <v>581</v>
      </c>
      <c r="C515" s="16" t="s">
        <v>323</v>
      </c>
      <c r="D515" s="16" t="s">
        <v>324</v>
      </c>
      <c r="E515" s="16" t="s">
        <v>404</v>
      </c>
      <c r="F515" s="16" t="s">
        <v>401</v>
      </c>
      <c r="G515" s="16">
        <v>0.6</v>
      </c>
      <c r="H515" s="16">
        <v>2692</v>
      </c>
      <c r="I515" s="16">
        <v>113</v>
      </c>
      <c r="J515" s="16">
        <v>112</v>
      </c>
      <c r="K515" s="16">
        <v>2.82285531924988E-3</v>
      </c>
      <c r="L515" s="16">
        <v>9.0611899980502404E-3</v>
      </c>
      <c r="M515" s="16">
        <v>0.31153251613279198</v>
      </c>
      <c r="N515" s="16">
        <v>44.677117549151703</v>
      </c>
      <c r="O515" s="16">
        <v>0.75684495854706901</v>
      </c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 t="s">
        <v>402</v>
      </c>
      <c r="AI515" s="16"/>
      <c r="AJ515" s="16" t="s">
        <v>1057</v>
      </c>
    </row>
    <row r="516" spans="1:36" ht="15" customHeight="1" x14ac:dyDescent="0.3">
      <c r="A516" s="16" t="s">
        <v>273</v>
      </c>
      <c r="B516" s="16" t="s">
        <v>583</v>
      </c>
      <c r="C516" s="16" t="s">
        <v>323</v>
      </c>
      <c r="D516" s="16" t="s">
        <v>324</v>
      </c>
      <c r="E516" s="16" t="s">
        <v>404</v>
      </c>
      <c r="F516" s="16" t="s">
        <v>401</v>
      </c>
      <c r="G516" s="16">
        <v>0.6</v>
      </c>
      <c r="H516" s="16">
        <v>2692</v>
      </c>
      <c r="I516" s="16">
        <v>113</v>
      </c>
      <c r="J516" s="16">
        <v>112</v>
      </c>
      <c r="K516" s="16">
        <v>1.0935153085044899E-2</v>
      </c>
      <c r="L516" s="16">
        <v>8.7563583696547292E-3</v>
      </c>
      <c r="M516" s="16">
        <v>1.2488242969749599</v>
      </c>
      <c r="N516" s="16">
        <v>59.613228144804403</v>
      </c>
      <c r="O516" s="16">
        <v>0.21661127380165701</v>
      </c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 t="s">
        <v>402</v>
      </c>
      <c r="AI516" s="16"/>
      <c r="AJ516" s="16" t="s">
        <v>1058</v>
      </c>
    </row>
    <row r="517" spans="1:36" ht="15" customHeight="1" x14ac:dyDescent="0.3">
      <c r="A517" s="16" t="s">
        <v>273</v>
      </c>
      <c r="B517" s="16" t="s">
        <v>585</v>
      </c>
      <c r="C517" s="16" t="s">
        <v>323</v>
      </c>
      <c r="D517" s="16" t="s">
        <v>324</v>
      </c>
      <c r="E517" s="16" t="s">
        <v>404</v>
      </c>
      <c r="F517" s="16" t="s">
        <v>401</v>
      </c>
      <c r="G517" s="16">
        <v>0.6</v>
      </c>
      <c r="H517" s="16">
        <v>2692</v>
      </c>
      <c r="I517" s="16">
        <v>113</v>
      </c>
      <c r="J517" s="16">
        <v>112</v>
      </c>
      <c r="K517" s="16">
        <v>-7.0987778706763105E-4</v>
      </c>
      <c r="L517" s="16">
        <v>9.0751462176910398E-3</v>
      </c>
      <c r="M517" s="16">
        <v>-7.8222187283748607E-2</v>
      </c>
      <c r="N517" s="16">
        <v>67.552616101571999</v>
      </c>
      <c r="O517" s="16">
        <v>0.93788255478268601</v>
      </c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 t="s">
        <v>402</v>
      </c>
      <c r="AI517" s="16"/>
      <c r="AJ517" s="16" t="s">
        <v>1059</v>
      </c>
    </row>
    <row r="518" spans="1:36" ht="15" customHeight="1" x14ac:dyDescent="0.3">
      <c r="A518" s="16" t="s">
        <v>273</v>
      </c>
      <c r="B518" s="16" t="s">
        <v>587</v>
      </c>
      <c r="C518" s="16" t="s">
        <v>323</v>
      </c>
      <c r="D518" s="16" t="s">
        <v>324</v>
      </c>
      <c r="E518" s="16" t="s">
        <v>404</v>
      </c>
      <c r="F518" s="16" t="s">
        <v>401</v>
      </c>
      <c r="G518" s="16">
        <v>0.6</v>
      </c>
      <c r="H518" s="16">
        <v>924</v>
      </c>
      <c r="I518" s="16">
        <v>40</v>
      </c>
      <c r="J518" s="16">
        <v>40</v>
      </c>
      <c r="K518" s="16">
        <v>-2.1620667717790299E-2</v>
      </c>
      <c r="L518" s="16">
        <v>1.97061336334792E-2</v>
      </c>
      <c r="M518" s="16">
        <v>-1.0971542221280099</v>
      </c>
      <c r="N518" s="16">
        <v>24.067614416105201</v>
      </c>
      <c r="O518" s="16">
        <v>0.28343038923958902</v>
      </c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 t="s">
        <v>402</v>
      </c>
      <c r="AI518" s="16"/>
      <c r="AJ518" s="16" t="s">
        <v>1060</v>
      </c>
    </row>
    <row r="519" spans="1:36" ht="15" customHeight="1" x14ac:dyDescent="0.3">
      <c r="A519" s="16" t="s">
        <v>273</v>
      </c>
      <c r="B519" s="16" t="s">
        <v>589</v>
      </c>
      <c r="C519" s="16" t="s">
        <v>323</v>
      </c>
      <c r="D519" s="16" t="s">
        <v>324</v>
      </c>
      <c r="E519" s="16" t="s">
        <v>404</v>
      </c>
      <c r="F519" s="16" t="s">
        <v>401</v>
      </c>
      <c r="G519" s="16">
        <v>0.6</v>
      </c>
      <c r="H519" s="16">
        <v>2705</v>
      </c>
      <c r="I519" s="16">
        <v>113</v>
      </c>
      <c r="J519" s="16">
        <v>112</v>
      </c>
      <c r="K519" s="16">
        <v>-9.9997410141808903E-3</v>
      </c>
      <c r="L519" s="16">
        <v>1.11645000507781E-2</v>
      </c>
      <c r="M519" s="16">
        <v>-0.89567297852123495</v>
      </c>
      <c r="N519" s="16">
        <v>34.577711859390298</v>
      </c>
      <c r="O519" s="16">
        <v>0.37662065135235701</v>
      </c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 t="s">
        <v>402</v>
      </c>
      <c r="AI519" s="16"/>
      <c r="AJ519" s="16" t="s">
        <v>1061</v>
      </c>
    </row>
    <row r="520" spans="1:36" ht="15" customHeight="1" x14ac:dyDescent="0.3">
      <c r="A520" s="16" t="s">
        <v>273</v>
      </c>
      <c r="B520" s="16" t="s">
        <v>591</v>
      </c>
      <c r="C520" s="16" t="s">
        <v>323</v>
      </c>
      <c r="D520" s="16" t="s">
        <v>324</v>
      </c>
      <c r="E520" s="16" t="s">
        <v>404</v>
      </c>
      <c r="F520" s="16" t="s">
        <v>401</v>
      </c>
      <c r="G520" s="16">
        <v>0.6</v>
      </c>
      <c r="H520" s="16">
        <v>2705</v>
      </c>
      <c r="I520" s="16">
        <v>113</v>
      </c>
      <c r="J520" s="16">
        <v>112</v>
      </c>
      <c r="K520" s="16">
        <v>-7.9711014697642392E-3</v>
      </c>
      <c r="L520" s="16">
        <v>1.15381043580563E-2</v>
      </c>
      <c r="M520" s="16">
        <v>-0.69085017975231999</v>
      </c>
      <c r="N520" s="16">
        <v>26.543956145165701</v>
      </c>
      <c r="O520" s="16">
        <v>0.495657303991415</v>
      </c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 t="s">
        <v>402</v>
      </c>
      <c r="AI520" s="16"/>
      <c r="AJ520" s="16" t="s">
        <v>1062</v>
      </c>
    </row>
    <row r="521" spans="1:36" ht="15" customHeight="1" x14ac:dyDescent="0.3">
      <c r="A521" s="16" t="s">
        <v>273</v>
      </c>
      <c r="B521" s="16" t="s">
        <v>593</v>
      </c>
      <c r="C521" s="16" t="s">
        <v>323</v>
      </c>
      <c r="D521" s="16" t="s">
        <v>324</v>
      </c>
      <c r="E521" s="16" t="s">
        <v>404</v>
      </c>
      <c r="F521" s="16" t="s">
        <v>401</v>
      </c>
      <c r="G521" s="16">
        <v>0.6</v>
      </c>
      <c r="H521" s="16">
        <v>2705</v>
      </c>
      <c r="I521" s="16">
        <v>113</v>
      </c>
      <c r="J521" s="16">
        <v>112</v>
      </c>
      <c r="K521" s="16">
        <v>1.52983571975651E-3</v>
      </c>
      <c r="L521" s="16">
        <v>1.0615785191878E-2</v>
      </c>
      <c r="M521" s="16">
        <v>0.14410952106745401</v>
      </c>
      <c r="N521" s="16">
        <v>36.070211898051099</v>
      </c>
      <c r="O521" s="16">
        <v>0.88621614579701202</v>
      </c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 t="s">
        <v>402</v>
      </c>
      <c r="AI521" s="16"/>
      <c r="AJ521" s="16" t="s">
        <v>1063</v>
      </c>
    </row>
    <row r="522" spans="1:36" ht="15" customHeight="1" x14ac:dyDescent="0.3">
      <c r="A522" s="16" t="s">
        <v>273</v>
      </c>
      <c r="B522" s="16" t="s">
        <v>595</v>
      </c>
      <c r="C522" s="16" t="s">
        <v>323</v>
      </c>
      <c r="D522" s="16" t="s">
        <v>324</v>
      </c>
      <c r="E522" s="16" t="s">
        <v>404</v>
      </c>
      <c r="F522" s="16" t="s">
        <v>401</v>
      </c>
      <c r="G522" s="16">
        <v>0.6</v>
      </c>
      <c r="H522" s="16">
        <v>2705</v>
      </c>
      <c r="I522" s="16">
        <v>113</v>
      </c>
      <c r="J522" s="16">
        <v>112</v>
      </c>
      <c r="K522" s="16">
        <v>-8.5880252041287495E-3</v>
      </c>
      <c r="L522" s="16">
        <v>1.2064357407125199E-2</v>
      </c>
      <c r="M522" s="16">
        <v>-0.71185102648373499</v>
      </c>
      <c r="N522" s="16">
        <v>23.170489997108898</v>
      </c>
      <c r="O522" s="16">
        <v>0.48366335942903699</v>
      </c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 t="s">
        <v>402</v>
      </c>
      <c r="AI522" s="16"/>
      <c r="AJ522" s="16" t="s">
        <v>1064</v>
      </c>
    </row>
    <row r="523" spans="1:36" ht="15" customHeight="1" x14ac:dyDescent="0.3">
      <c r="A523" s="16" t="s">
        <v>273</v>
      </c>
      <c r="B523" s="16" t="s">
        <v>597</v>
      </c>
      <c r="C523" s="16" t="s">
        <v>323</v>
      </c>
      <c r="D523" s="16" t="s">
        <v>324</v>
      </c>
      <c r="E523" s="16" t="s">
        <v>404</v>
      </c>
      <c r="F523" s="16" t="s">
        <v>401</v>
      </c>
      <c r="G523" s="16">
        <v>0.6</v>
      </c>
      <c r="H523" s="16">
        <v>2705</v>
      </c>
      <c r="I523" s="16">
        <v>113</v>
      </c>
      <c r="J523" s="16">
        <v>112</v>
      </c>
      <c r="K523" s="16">
        <v>-1.0418327700003701E-2</v>
      </c>
      <c r="L523" s="16">
        <v>1.5124923772120101E-2</v>
      </c>
      <c r="M523" s="16">
        <v>-0.68881852609451799</v>
      </c>
      <c r="N523" s="16">
        <v>18.004056418042801</v>
      </c>
      <c r="O523" s="16">
        <v>0.49971854453671199</v>
      </c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 t="s">
        <v>402</v>
      </c>
      <c r="AI523" s="16"/>
      <c r="AJ523" s="16" t="s">
        <v>1065</v>
      </c>
    </row>
    <row r="524" spans="1:36" ht="15" customHeight="1" x14ac:dyDescent="0.3">
      <c r="A524" s="16" t="s">
        <v>273</v>
      </c>
      <c r="B524" s="16" t="s">
        <v>599</v>
      </c>
      <c r="C524" s="16" t="s">
        <v>323</v>
      </c>
      <c r="D524" s="16" t="s">
        <v>324</v>
      </c>
      <c r="E524" s="16" t="s">
        <v>404</v>
      </c>
      <c r="F524" s="16" t="s">
        <v>401</v>
      </c>
      <c r="G524" s="16">
        <v>0.6</v>
      </c>
      <c r="H524" s="16">
        <v>2705</v>
      </c>
      <c r="I524" s="16">
        <v>113</v>
      </c>
      <c r="J524" s="16">
        <v>112</v>
      </c>
      <c r="K524" s="16">
        <v>-1.0001102317891499E-2</v>
      </c>
      <c r="L524" s="16">
        <v>1.6369132847977301E-2</v>
      </c>
      <c r="M524" s="16">
        <v>-0.61097325134894098</v>
      </c>
      <c r="N524" s="16">
        <v>14.8073555060295</v>
      </c>
      <c r="O524" s="16">
        <v>0.550481757946502</v>
      </c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 t="s">
        <v>402</v>
      </c>
      <c r="AI524" s="16"/>
      <c r="AJ524" s="16" t="s">
        <v>1066</v>
      </c>
    </row>
    <row r="525" spans="1:36" ht="15" customHeight="1" x14ac:dyDescent="0.3">
      <c r="A525" s="16" t="s">
        <v>273</v>
      </c>
      <c r="B525" s="16" t="s">
        <v>601</v>
      </c>
      <c r="C525" s="16" t="s">
        <v>323</v>
      </c>
      <c r="D525" s="16" t="s">
        <v>324</v>
      </c>
      <c r="E525" s="16" t="s">
        <v>404</v>
      </c>
      <c r="F525" s="16" t="s">
        <v>401</v>
      </c>
      <c r="G525" s="16">
        <v>0.6</v>
      </c>
      <c r="H525" s="16">
        <v>2705</v>
      </c>
      <c r="I525" s="16">
        <v>113</v>
      </c>
      <c r="J525" s="16">
        <v>112</v>
      </c>
      <c r="K525" s="16">
        <v>5.5924224088963002E-3</v>
      </c>
      <c r="L525" s="16">
        <v>9.4476686861456691E-3</v>
      </c>
      <c r="M525" s="16">
        <v>0.59193676182751698</v>
      </c>
      <c r="N525" s="16">
        <v>39.011215034892103</v>
      </c>
      <c r="O525" s="16">
        <v>0.55730815793052002</v>
      </c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 t="s">
        <v>402</v>
      </c>
      <c r="AI525" s="16"/>
      <c r="AJ525" s="16" t="s">
        <v>1067</v>
      </c>
    </row>
    <row r="526" spans="1:36" ht="15" customHeight="1" x14ac:dyDescent="0.3">
      <c r="A526" s="16" t="s">
        <v>273</v>
      </c>
      <c r="B526" s="16" t="s">
        <v>603</v>
      </c>
      <c r="C526" s="16" t="s">
        <v>323</v>
      </c>
      <c r="D526" s="16" t="s">
        <v>324</v>
      </c>
      <c r="E526" s="16" t="s">
        <v>404</v>
      </c>
      <c r="F526" s="16" t="s">
        <v>401</v>
      </c>
      <c r="G526" s="16">
        <v>0.6</v>
      </c>
      <c r="H526" s="16">
        <v>2705</v>
      </c>
      <c r="I526" s="16">
        <v>113</v>
      </c>
      <c r="J526" s="16">
        <v>112</v>
      </c>
      <c r="K526" s="16">
        <v>1.72293741613209E-2</v>
      </c>
      <c r="L526" s="16">
        <v>9.1625898361479205E-3</v>
      </c>
      <c r="M526" s="16">
        <v>1.8804043910541699</v>
      </c>
      <c r="N526" s="16">
        <v>52.025957747451301</v>
      </c>
      <c r="O526" s="16">
        <v>6.5656414299417806E-2</v>
      </c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 t="s">
        <v>402</v>
      </c>
      <c r="AI526" s="16"/>
      <c r="AJ526" s="16" t="s">
        <v>1068</v>
      </c>
    </row>
    <row r="527" spans="1:36" ht="15" customHeight="1" x14ac:dyDescent="0.3">
      <c r="A527" s="16" t="s">
        <v>273</v>
      </c>
      <c r="B527" s="16" t="s">
        <v>605</v>
      </c>
      <c r="C527" s="16" t="s">
        <v>323</v>
      </c>
      <c r="D527" s="16" t="s">
        <v>324</v>
      </c>
      <c r="E527" s="16" t="s">
        <v>404</v>
      </c>
      <c r="F527" s="16" t="s">
        <v>401</v>
      </c>
      <c r="G527" s="16">
        <v>0.6</v>
      </c>
      <c r="H527" s="16">
        <v>2705</v>
      </c>
      <c r="I527" s="16">
        <v>113</v>
      </c>
      <c r="J527" s="16">
        <v>112</v>
      </c>
      <c r="K527" s="16">
        <v>4.8171841235235199E-3</v>
      </c>
      <c r="L527" s="16">
        <v>9.2135902804554807E-3</v>
      </c>
      <c r="M527" s="16">
        <v>0.52283463632435201</v>
      </c>
      <c r="N527" s="16">
        <v>57.370741920661402</v>
      </c>
      <c r="O527" s="16">
        <v>0.60310273977322204</v>
      </c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 t="s">
        <v>402</v>
      </c>
      <c r="AI527" s="16"/>
      <c r="AJ527" s="16" t="s">
        <v>1069</v>
      </c>
    </row>
    <row r="528" spans="1:36" ht="15" customHeight="1" x14ac:dyDescent="0.3">
      <c r="A528" s="16" t="s">
        <v>273</v>
      </c>
      <c r="B528" s="16" t="s">
        <v>607</v>
      </c>
      <c r="C528" s="16" t="s">
        <v>323</v>
      </c>
      <c r="D528" s="16" t="s">
        <v>324</v>
      </c>
      <c r="E528" s="16" t="s">
        <v>404</v>
      </c>
      <c r="F528" s="16" t="s">
        <v>401</v>
      </c>
      <c r="G528" s="16">
        <v>0.6</v>
      </c>
      <c r="H528" s="16">
        <v>929</v>
      </c>
      <c r="I528" s="16">
        <v>40</v>
      </c>
      <c r="J528" s="16">
        <v>40</v>
      </c>
      <c r="K528" s="16">
        <v>-1.69248961423498E-2</v>
      </c>
      <c r="L528" s="16">
        <v>1.9071348372618001E-2</v>
      </c>
      <c r="M528" s="16">
        <v>-0.88745146969524202</v>
      </c>
      <c r="N528" s="16">
        <v>23.9448499804801</v>
      </c>
      <c r="O528" s="16">
        <v>0.38366344878299802</v>
      </c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 t="s">
        <v>402</v>
      </c>
      <c r="AI528" s="16"/>
      <c r="AJ528" s="16" t="s">
        <v>1070</v>
      </c>
    </row>
    <row r="529" spans="1:36" ht="15" customHeight="1" x14ac:dyDescent="0.3">
      <c r="A529" s="16" t="s">
        <v>273</v>
      </c>
      <c r="B529" s="16" t="s">
        <v>609</v>
      </c>
      <c r="C529" s="16" t="s">
        <v>323</v>
      </c>
      <c r="D529" s="16" t="s">
        <v>324</v>
      </c>
      <c r="E529" s="16" t="s">
        <v>404</v>
      </c>
      <c r="F529" s="16" t="s">
        <v>401</v>
      </c>
      <c r="G529" s="16">
        <v>0.6</v>
      </c>
      <c r="H529" s="16">
        <v>2607</v>
      </c>
      <c r="I529" s="16">
        <v>110</v>
      </c>
      <c r="J529" s="16">
        <v>109</v>
      </c>
      <c r="K529" s="16">
        <v>6.06673894674176E-3</v>
      </c>
      <c r="L529" s="16">
        <v>1.9195428510401999E-2</v>
      </c>
      <c r="M529" s="16">
        <v>0.31605123810881303</v>
      </c>
      <c r="N529" s="16">
        <v>14.1242671087864</v>
      </c>
      <c r="O529" s="16">
        <v>0.75658579779162904</v>
      </c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 t="s">
        <v>402</v>
      </c>
      <c r="AI529" s="16"/>
      <c r="AJ529" s="16" t="s">
        <v>1071</v>
      </c>
    </row>
    <row r="530" spans="1:36" ht="15" customHeight="1" x14ac:dyDescent="0.3">
      <c r="A530" s="16" t="s">
        <v>273</v>
      </c>
      <c r="B530" s="16" t="s">
        <v>611</v>
      </c>
      <c r="C530" s="16" t="s">
        <v>323</v>
      </c>
      <c r="D530" s="16" t="s">
        <v>324</v>
      </c>
      <c r="E530" s="16" t="s">
        <v>404</v>
      </c>
      <c r="F530" s="16" t="s">
        <v>401</v>
      </c>
      <c r="G530" s="16">
        <v>0.6</v>
      </c>
      <c r="H530" s="16">
        <v>2607</v>
      </c>
      <c r="I530" s="16">
        <v>110</v>
      </c>
      <c r="J530" s="16">
        <v>109</v>
      </c>
      <c r="K530" s="16">
        <v>5.6922283574084498E-3</v>
      </c>
      <c r="L530" s="16">
        <v>1.8896082122480701E-2</v>
      </c>
      <c r="M530" s="16">
        <v>0.30123854884375201</v>
      </c>
      <c r="N530" s="16">
        <v>11.604186236531</v>
      </c>
      <c r="O530" s="16">
        <v>0.76856213255708405</v>
      </c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 t="s">
        <v>402</v>
      </c>
      <c r="AI530" s="16"/>
      <c r="AJ530" s="16" t="s">
        <v>1072</v>
      </c>
    </row>
    <row r="531" spans="1:36" ht="15" customHeight="1" x14ac:dyDescent="0.3">
      <c r="A531" s="16" t="s">
        <v>273</v>
      </c>
      <c r="B531" s="16" t="s">
        <v>613</v>
      </c>
      <c r="C531" s="16" t="s">
        <v>323</v>
      </c>
      <c r="D531" s="16" t="s">
        <v>324</v>
      </c>
      <c r="E531" s="16" t="s">
        <v>404</v>
      </c>
      <c r="F531" s="16" t="s">
        <v>401</v>
      </c>
      <c r="G531" s="16">
        <v>0.6</v>
      </c>
      <c r="H531" s="16">
        <v>2607</v>
      </c>
      <c r="I531" s="16">
        <v>110</v>
      </c>
      <c r="J531" s="16">
        <v>109</v>
      </c>
      <c r="K531" s="16">
        <v>-1.8714144830903799E-2</v>
      </c>
      <c r="L531" s="16">
        <v>2.19367745552611E-2</v>
      </c>
      <c r="M531" s="16">
        <v>-0.85309464177428895</v>
      </c>
      <c r="N531" s="16">
        <v>37.3621392729533</v>
      </c>
      <c r="O531" s="16">
        <v>0.39904299187930298</v>
      </c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 t="s">
        <v>402</v>
      </c>
      <c r="AI531" s="16"/>
      <c r="AJ531" s="16" t="s">
        <v>1073</v>
      </c>
    </row>
    <row r="532" spans="1:36" ht="15" customHeight="1" x14ac:dyDescent="0.3">
      <c r="A532" s="16" t="s">
        <v>273</v>
      </c>
      <c r="B532" s="16" t="s">
        <v>615</v>
      </c>
      <c r="C532" s="16" t="s">
        <v>323</v>
      </c>
      <c r="D532" s="16" t="s">
        <v>324</v>
      </c>
      <c r="E532" s="16" t="s">
        <v>404</v>
      </c>
      <c r="F532" s="16" t="s">
        <v>401</v>
      </c>
      <c r="G532" s="16">
        <v>0.6</v>
      </c>
      <c r="H532" s="16">
        <v>2607</v>
      </c>
      <c r="I532" s="16">
        <v>110</v>
      </c>
      <c r="J532" s="16">
        <v>109</v>
      </c>
      <c r="K532" s="16">
        <v>3.8652201952720298E-3</v>
      </c>
      <c r="L532" s="16">
        <v>1.9254501785730301E-2</v>
      </c>
      <c r="M532" s="16">
        <v>0.200743713770698</v>
      </c>
      <c r="N532" s="16">
        <v>10.284487068593901</v>
      </c>
      <c r="O532" s="16">
        <v>0.84481344363309796</v>
      </c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 t="s">
        <v>402</v>
      </c>
      <c r="AI532" s="16"/>
      <c r="AJ532" s="16" t="s">
        <v>1074</v>
      </c>
    </row>
    <row r="533" spans="1:36" ht="15" customHeight="1" x14ac:dyDescent="0.3">
      <c r="A533" s="16" t="s">
        <v>273</v>
      </c>
      <c r="B533" s="16" t="s">
        <v>617</v>
      </c>
      <c r="C533" s="16" t="s">
        <v>323</v>
      </c>
      <c r="D533" s="16" t="s">
        <v>324</v>
      </c>
      <c r="E533" s="16" t="s">
        <v>404</v>
      </c>
      <c r="F533" s="16" t="s">
        <v>401</v>
      </c>
      <c r="G533" s="16">
        <v>0.6</v>
      </c>
      <c r="H533" s="16">
        <v>2607</v>
      </c>
      <c r="I533" s="16">
        <v>110</v>
      </c>
      <c r="J533" s="16">
        <v>109</v>
      </c>
      <c r="K533" s="16">
        <v>-3.1453504633253099E-3</v>
      </c>
      <c r="L533" s="16">
        <v>2.2904983932381402E-2</v>
      </c>
      <c r="M533" s="16">
        <v>-0.13732166207192301</v>
      </c>
      <c r="N533" s="16">
        <v>18.941396003498401</v>
      </c>
      <c r="O533" s="16">
        <v>0.89222574727913695</v>
      </c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 t="s">
        <v>402</v>
      </c>
      <c r="AI533" s="16"/>
      <c r="AJ533" s="16" t="s">
        <v>1075</v>
      </c>
    </row>
    <row r="534" spans="1:36" ht="15" customHeight="1" x14ac:dyDescent="0.3">
      <c r="A534" s="16" t="s">
        <v>273</v>
      </c>
      <c r="B534" s="16" t="s">
        <v>619</v>
      </c>
      <c r="C534" s="16" t="s">
        <v>323</v>
      </c>
      <c r="D534" s="16" t="s">
        <v>324</v>
      </c>
      <c r="E534" s="16" t="s">
        <v>404</v>
      </c>
      <c r="F534" s="16" t="s">
        <v>401</v>
      </c>
      <c r="G534" s="16">
        <v>0.6</v>
      </c>
      <c r="H534" s="16">
        <v>2607</v>
      </c>
      <c r="I534" s="16">
        <v>110</v>
      </c>
      <c r="J534" s="16">
        <v>109</v>
      </c>
      <c r="K534" s="16">
        <v>-2.5298708264058101E-3</v>
      </c>
      <c r="L534" s="16">
        <v>2.3445767081058E-2</v>
      </c>
      <c r="M534" s="16">
        <v>-0.107903094731744</v>
      </c>
      <c r="N534" s="16">
        <v>15.5600165739861</v>
      </c>
      <c r="O534" s="16">
        <v>0.91545166954035795</v>
      </c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 t="s">
        <v>402</v>
      </c>
      <c r="AI534" s="16"/>
      <c r="AJ534" s="16" t="s">
        <v>1076</v>
      </c>
    </row>
    <row r="535" spans="1:36" ht="15" customHeight="1" x14ac:dyDescent="0.3">
      <c r="A535" s="16" t="s">
        <v>273</v>
      </c>
      <c r="B535" s="16" t="s">
        <v>621</v>
      </c>
      <c r="C535" s="16" t="s">
        <v>323</v>
      </c>
      <c r="D535" s="16" t="s">
        <v>324</v>
      </c>
      <c r="E535" s="16" t="s">
        <v>404</v>
      </c>
      <c r="F535" s="16" t="s">
        <v>401</v>
      </c>
      <c r="G535" s="16">
        <v>0.6</v>
      </c>
      <c r="H535" s="16">
        <v>2607</v>
      </c>
      <c r="I535" s="16">
        <v>110</v>
      </c>
      <c r="J535" s="16">
        <v>109</v>
      </c>
      <c r="K535" s="16">
        <v>-1.3052249305641901E-2</v>
      </c>
      <c r="L535" s="16">
        <v>2.2503603400926799E-2</v>
      </c>
      <c r="M535" s="16">
        <v>-0.58000708033738102</v>
      </c>
      <c r="N535" s="16">
        <v>15.8615637599425</v>
      </c>
      <c r="O535" s="16">
        <v>0.57005798539530605</v>
      </c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 t="s">
        <v>402</v>
      </c>
      <c r="AI535" s="16"/>
      <c r="AJ535" s="16" t="s">
        <v>1077</v>
      </c>
    </row>
    <row r="536" spans="1:36" ht="15" customHeight="1" x14ac:dyDescent="0.3">
      <c r="A536" s="16" t="s">
        <v>273</v>
      </c>
      <c r="B536" s="16" t="s">
        <v>623</v>
      </c>
      <c r="C536" s="16" t="s">
        <v>323</v>
      </c>
      <c r="D536" s="16" t="s">
        <v>324</v>
      </c>
      <c r="E536" s="16" t="s">
        <v>404</v>
      </c>
      <c r="F536" s="16" t="s">
        <v>401</v>
      </c>
      <c r="G536" s="16">
        <v>0.6</v>
      </c>
      <c r="H536" s="16">
        <v>2607</v>
      </c>
      <c r="I536" s="16">
        <v>110</v>
      </c>
      <c r="J536" s="16">
        <v>109</v>
      </c>
      <c r="K536" s="16">
        <v>3.5605077439806898E-2</v>
      </c>
      <c r="L536" s="16">
        <v>2.7387649413296002E-2</v>
      </c>
      <c r="M536" s="16">
        <v>1.30004137640675</v>
      </c>
      <c r="N536" s="16">
        <v>19.739698985735298</v>
      </c>
      <c r="O536" s="16">
        <v>0.20856286384086301</v>
      </c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 t="s">
        <v>402</v>
      </c>
      <c r="AI536" s="16"/>
      <c r="AJ536" s="16" t="s">
        <v>1078</v>
      </c>
    </row>
    <row r="537" spans="1:36" ht="15" customHeight="1" x14ac:dyDescent="0.3">
      <c r="A537" s="16" t="s">
        <v>273</v>
      </c>
      <c r="B537" s="16" t="s">
        <v>625</v>
      </c>
      <c r="C537" s="16" t="s">
        <v>323</v>
      </c>
      <c r="D537" s="16" t="s">
        <v>324</v>
      </c>
      <c r="E537" s="16" t="s">
        <v>404</v>
      </c>
      <c r="F537" s="16" t="s">
        <v>401</v>
      </c>
      <c r="G537" s="16">
        <v>0.6</v>
      </c>
      <c r="H537" s="16">
        <v>2607</v>
      </c>
      <c r="I537" s="16">
        <v>110</v>
      </c>
      <c r="J537" s="16">
        <v>109</v>
      </c>
      <c r="K537" s="16">
        <v>1.7506804909713399E-2</v>
      </c>
      <c r="L537" s="16">
        <v>2.2715689186387399E-2</v>
      </c>
      <c r="M537" s="16">
        <v>0.77069221919995601</v>
      </c>
      <c r="N537" s="16">
        <v>20.329612231393799</v>
      </c>
      <c r="O537" s="16">
        <v>0.44975401760619199</v>
      </c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 t="s">
        <v>402</v>
      </c>
      <c r="AI537" s="16"/>
      <c r="AJ537" s="16" t="s">
        <v>1079</v>
      </c>
    </row>
    <row r="538" spans="1:36" ht="15" customHeight="1" x14ac:dyDescent="0.3">
      <c r="A538" s="16" t="s">
        <v>273</v>
      </c>
      <c r="B538" s="16" t="s">
        <v>627</v>
      </c>
      <c r="C538" s="16" t="s">
        <v>323</v>
      </c>
      <c r="D538" s="16" t="s">
        <v>324</v>
      </c>
      <c r="E538" s="16" t="s">
        <v>404</v>
      </c>
      <c r="F538" s="16" t="s">
        <v>401</v>
      </c>
      <c r="G538" s="16">
        <v>0.6</v>
      </c>
      <c r="H538" s="16">
        <v>905</v>
      </c>
      <c r="I538" s="16">
        <v>38</v>
      </c>
      <c r="J538" s="16">
        <v>38</v>
      </c>
      <c r="K538" s="16">
        <v>-1.9481146837488101E-2</v>
      </c>
      <c r="L538" s="16">
        <v>1.8204056576963501E-2</v>
      </c>
      <c r="M538" s="16">
        <v>-1.0701541579551399</v>
      </c>
      <c r="N538" s="16">
        <v>24.0998665011263</v>
      </c>
      <c r="O538" s="16">
        <v>0.29515130923485999</v>
      </c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 t="s">
        <v>402</v>
      </c>
      <c r="AI538" s="16"/>
      <c r="AJ538" s="16" t="s">
        <v>1080</v>
      </c>
    </row>
    <row r="539" spans="1:36" ht="15" customHeight="1" x14ac:dyDescent="0.3">
      <c r="A539" s="16" t="s">
        <v>273</v>
      </c>
      <c r="B539" s="16" t="s">
        <v>629</v>
      </c>
      <c r="C539" s="16" t="s">
        <v>323</v>
      </c>
      <c r="D539" s="16" t="s">
        <v>324</v>
      </c>
      <c r="E539" s="16" t="s">
        <v>404</v>
      </c>
      <c r="F539" s="16" t="s">
        <v>401</v>
      </c>
      <c r="G539" s="16">
        <v>0.6</v>
      </c>
      <c r="H539" s="16">
        <v>2594</v>
      </c>
      <c r="I539" s="16">
        <v>110</v>
      </c>
      <c r="J539" s="16">
        <v>109</v>
      </c>
      <c r="K539" s="16">
        <v>-1.7908917978799899E-2</v>
      </c>
      <c r="L539" s="16">
        <v>1.1099145283619801E-2</v>
      </c>
      <c r="M539" s="16">
        <v>-1.6135402791087099</v>
      </c>
      <c r="N539" s="16">
        <v>38.292566573907798</v>
      </c>
      <c r="O539" s="16">
        <v>0.114839090296577</v>
      </c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 t="s">
        <v>402</v>
      </c>
      <c r="AI539" s="16"/>
      <c r="AJ539" s="16" t="s">
        <v>1081</v>
      </c>
    </row>
    <row r="540" spans="1:36" ht="15" customHeight="1" x14ac:dyDescent="0.3">
      <c r="A540" s="16" t="s">
        <v>273</v>
      </c>
      <c r="B540" s="16" t="s">
        <v>631</v>
      </c>
      <c r="C540" s="16" t="s">
        <v>323</v>
      </c>
      <c r="D540" s="16" t="s">
        <v>324</v>
      </c>
      <c r="E540" s="16" t="s">
        <v>404</v>
      </c>
      <c r="F540" s="16" t="s">
        <v>401</v>
      </c>
      <c r="G540" s="16">
        <v>0.6</v>
      </c>
      <c r="H540" s="16">
        <v>2594</v>
      </c>
      <c r="I540" s="16">
        <v>110</v>
      </c>
      <c r="J540" s="16">
        <v>109</v>
      </c>
      <c r="K540" s="16">
        <v>-1.7004887375471098E-2</v>
      </c>
      <c r="L540" s="16">
        <v>1.1761175912375899E-2</v>
      </c>
      <c r="M540" s="16">
        <v>-1.4458492502928499</v>
      </c>
      <c r="N540" s="16">
        <v>29.131138737481699</v>
      </c>
      <c r="O540" s="16">
        <v>0.158893091152745</v>
      </c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 t="s">
        <v>402</v>
      </c>
      <c r="AI540" s="16"/>
      <c r="AJ540" s="16" t="s">
        <v>1082</v>
      </c>
    </row>
    <row r="541" spans="1:36" ht="15" customHeight="1" x14ac:dyDescent="0.3">
      <c r="A541" s="16" t="s">
        <v>273</v>
      </c>
      <c r="B541" s="16" t="s">
        <v>633</v>
      </c>
      <c r="C541" s="16" t="s">
        <v>323</v>
      </c>
      <c r="D541" s="16" t="s">
        <v>324</v>
      </c>
      <c r="E541" s="16" t="s">
        <v>404</v>
      </c>
      <c r="F541" s="16" t="s">
        <v>401</v>
      </c>
      <c r="G541" s="16">
        <v>0.6</v>
      </c>
      <c r="H541" s="16">
        <v>2594</v>
      </c>
      <c r="I541" s="16">
        <v>110</v>
      </c>
      <c r="J541" s="16">
        <v>109</v>
      </c>
      <c r="K541" s="16">
        <v>7.1476147196131197E-5</v>
      </c>
      <c r="L541" s="16">
        <v>1.1385683190184201E-2</v>
      </c>
      <c r="M541" s="16">
        <v>6.2777214157646701E-3</v>
      </c>
      <c r="N541" s="16">
        <v>31.6183350840328</v>
      </c>
      <c r="O541" s="16">
        <v>0.99503057834564002</v>
      </c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 t="s">
        <v>402</v>
      </c>
      <c r="AI541" s="16"/>
      <c r="AJ541" s="16" t="s">
        <v>1083</v>
      </c>
    </row>
    <row r="542" spans="1:36" ht="15" customHeight="1" x14ac:dyDescent="0.3">
      <c r="A542" s="16" t="s">
        <v>273</v>
      </c>
      <c r="B542" s="16" t="s">
        <v>635</v>
      </c>
      <c r="C542" s="16" t="s">
        <v>323</v>
      </c>
      <c r="D542" s="16" t="s">
        <v>324</v>
      </c>
      <c r="E542" s="16" t="s">
        <v>404</v>
      </c>
      <c r="F542" s="16" t="s">
        <v>401</v>
      </c>
      <c r="G542" s="16">
        <v>0.6</v>
      </c>
      <c r="H542" s="16">
        <v>2594</v>
      </c>
      <c r="I542" s="16">
        <v>110</v>
      </c>
      <c r="J542" s="16">
        <v>109</v>
      </c>
      <c r="K542" s="16">
        <v>-1.7577297882684299E-2</v>
      </c>
      <c r="L542" s="16">
        <v>1.22949765120895E-2</v>
      </c>
      <c r="M542" s="16">
        <v>-1.42963248977343</v>
      </c>
      <c r="N542" s="16">
        <v>25.394171771612299</v>
      </c>
      <c r="O542" s="16">
        <v>0.165010821657364</v>
      </c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 t="s">
        <v>402</v>
      </c>
      <c r="AI542" s="16"/>
      <c r="AJ542" s="16" t="s">
        <v>1084</v>
      </c>
    </row>
    <row r="543" spans="1:36" ht="15" customHeight="1" x14ac:dyDescent="0.3">
      <c r="A543" s="16" t="s">
        <v>273</v>
      </c>
      <c r="B543" s="16" t="s">
        <v>637</v>
      </c>
      <c r="C543" s="16" t="s">
        <v>323</v>
      </c>
      <c r="D543" s="16" t="s">
        <v>324</v>
      </c>
      <c r="E543" s="16" t="s">
        <v>404</v>
      </c>
      <c r="F543" s="16" t="s">
        <v>401</v>
      </c>
      <c r="G543" s="16">
        <v>0.6</v>
      </c>
      <c r="H543" s="16">
        <v>2594</v>
      </c>
      <c r="I543" s="16">
        <v>110</v>
      </c>
      <c r="J543" s="16">
        <v>109</v>
      </c>
      <c r="K543" s="16">
        <v>-1.9825774113378599E-2</v>
      </c>
      <c r="L543" s="16">
        <v>1.4845670180546E-2</v>
      </c>
      <c r="M543" s="16">
        <v>-1.33545834389872</v>
      </c>
      <c r="N543" s="16">
        <v>18.111224564151598</v>
      </c>
      <c r="O543" s="16">
        <v>0.19826877253876099</v>
      </c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 t="s">
        <v>402</v>
      </c>
      <c r="AI543" s="16"/>
      <c r="AJ543" s="16" t="s">
        <v>1085</v>
      </c>
    </row>
    <row r="544" spans="1:36" ht="15" customHeight="1" x14ac:dyDescent="0.3">
      <c r="A544" s="16" t="s">
        <v>273</v>
      </c>
      <c r="B544" s="16" t="s">
        <v>639</v>
      </c>
      <c r="C544" s="16" t="s">
        <v>323</v>
      </c>
      <c r="D544" s="16" t="s">
        <v>324</v>
      </c>
      <c r="E544" s="16" t="s">
        <v>404</v>
      </c>
      <c r="F544" s="16" t="s">
        <v>401</v>
      </c>
      <c r="G544" s="16">
        <v>0.6</v>
      </c>
      <c r="H544" s="16">
        <v>2594</v>
      </c>
      <c r="I544" s="16">
        <v>110</v>
      </c>
      <c r="J544" s="16">
        <v>109</v>
      </c>
      <c r="K544" s="16">
        <v>-2.0036553287782501E-2</v>
      </c>
      <c r="L544" s="16">
        <v>1.5973820290861501E-2</v>
      </c>
      <c r="M544" s="16">
        <v>-1.25433696654552</v>
      </c>
      <c r="N544" s="16">
        <v>14.8703755139011</v>
      </c>
      <c r="O544" s="16">
        <v>0.22907849407081901</v>
      </c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 t="s">
        <v>402</v>
      </c>
      <c r="AI544" s="16"/>
      <c r="AJ544" s="16" t="s">
        <v>1086</v>
      </c>
    </row>
    <row r="545" spans="1:36" ht="15" customHeight="1" x14ac:dyDescent="0.3">
      <c r="A545" s="16" t="s">
        <v>273</v>
      </c>
      <c r="B545" s="16" t="s">
        <v>641</v>
      </c>
      <c r="C545" s="16" t="s">
        <v>323</v>
      </c>
      <c r="D545" s="16" t="s">
        <v>324</v>
      </c>
      <c r="E545" s="16" t="s">
        <v>404</v>
      </c>
      <c r="F545" s="16" t="s">
        <v>401</v>
      </c>
      <c r="G545" s="16">
        <v>0.6</v>
      </c>
      <c r="H545" s="16">
        <v>2594</v>
      </c>
      <c r="I545" s="16">
        <v>110</v>
      </c>
      <c r="J545" s="16">
        <v>109</v>
      </c>
      <c r="K545" s="16">
        <v>-2.56238286330865E-3</v>
      </c>
      <c r="L545" s="16">
        <v>1.01609250669603E-2</v>
      </c>
      <c r="M545" s="16">
        <v>-0.25218007675704801</v>
      </c>
      <c r="N545" s="16">
        <v>39.743727962958502</v>
      </c>
      <c r="O545" s="16">
        <v>0.80220148933092295</v>
      </c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 t="s">
        <v>402</v>
      </c>
      <c r="AI545" s="16"/>
      <c r="AJ545" s="16" t="s">
        <v>1087</v>
      </c>
    </row>
    <row r="546" spans="1:36" ht="15" customHeight="1" x14ac:dyDescent="0.3">
      <c r="A546" s="16" t="s">
        <v>273</v>
      </c>
      <c r="B546" s="16" t="s">
        <v>643</v>
      </c>
      <c r="C546" s="16" t="s">
        <v>323</v>
      </c>
      <c r="D546" s="16" t="s">
        <v>324</v>
      </c>
      <c r="E546" s="16" t="s">
        <v>404</v>
      </c>
      <c r="F546" s="16" t="s">
        <v>401</v>
      </c>
      <c r="G546" s="16">
        <v>0.6</v>
      </c>
      <c r="H546" s="16">
        <v>2594</v>
      </c>
      <c r="I546" s="16">
        <v>110</v>
      </c>
      <c r="J546" s="16">
        <v>109</v>
      </c>
      <c r="K546" s="16">
        <v>6.8863903083288703E-3</v>
      </c>
      <c r="L546" s="16">
        <v>9.5033498377791199E-3</v>
      </c>
      <c r="M546" s="16">
        <v>0.72462767612248402</v>
      </c>
      <c r="N546" s="16">
        <v>53.943293409734899</v>
      </c>
      <c r="O546" s="16">
        <v>0.47181194170311103</v>
      </c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 t="s">
        <v>402</v>
      </c>
      <c r="AI546" s="16"/>
      <c r="AJ546" s="16" t="s">
        <v>1088</v>
      </c>
    </row>
    <row r="547" spans="1:36" ht="15" customHeight="1" x14ac:dyDescent="0.3">
      <c r="A547" s="16" t="s">
        <v>273</v>
      </c>
      <c r="B547" s="16" t="s">
        <v>645</v>
      </c>
      <c r="C547" s="16" t="s">
        <v>323</v>
      </c>
      <c r="D547" s="16" t="s">
        <v>324</v>
      </c>
      <c r="E547" s="16" t="s">
        <v>404</v>
      </c>
      <c r="F547" s="16" t="s">
        <v>401</v>
      </c>
      <c r="G547" s="16">
        <v>0.6</v>
      </c>
      <c r="H547" s="16">
        <v>2594</v>
      </c>
      <c r="I547" s="16">
        <v>110</v>
      </c>
      <c r="J547" s="16">
        <v>109</v>
      </c>
      <c r="K547" s="16">
        <v>-4.3942951486410598E-3</v>
      </c>
      <c r="L547" s="16">
        <v>9.6183318556105207E-3</v>
      </c>
      <c r="M547" s="16">
        <v>-0.45686665989568598</v>
      </c>
      <c r="N547" s="16">
        <v>62.547276159754198</v>
      </c>
      <c r="O547" s="16">
        <v>0.64934964805989603</v>
      </c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 t="s">
        <v>402</v>
      </c>
      <c r="AI547" s="16"/>
      <c r="AJ547" s="16" t="s">
        <v>1089</v>
      </c>
    </row>
    <row r="548" spans="1:36" ht="15" customHeight="1" x14ac:dyDescent="0.3">
      <c r="A548" s="16" t="s">
        <v>273</v>
      </c>
      <c r="B548" s="16" t="s">
        <v>647</v>
      </c>
      <c r="C548" s="16" t="s">
        <v>323</v>
      </c>
      <c r="D548" s="16" t="s">
        <v>324</v>
      </c>
      <c r="E548" s="16" t="s">
        <v>404</v>
      </c>
      <c r="F548" s="16" t="s">
        <v>401</v>
      </c>
      <c r="G548" s="16">
        <v>0.6</v>
      </c>
      <c r="H548" s="16">
        <v>900</v>
      </c>
      <c r="I548" s="16">
        <v>38</v>
      </c>
      <c r="J548" s="16">
        <v>38</v>
      </c>
      <c r="K548" s="16">
        <v>-2.7716645486951099E-2</v>
      </c>
      <c r="L548" s="16">
        <v>1.9672318949167201E-2</v>
      </c>
      <c r="M548" s="16">
        <v>-1.40891602858668</v>
      </c>
      <c r="N548" s="16">
        <v>24.657586104883698</v>
      </c>
      <c r="O548" s="16">
        <v>0.17134653704942501</v>
      </c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 t="s">
        <v>402</v>
      </c>
      <c r="AI548" s="16"/>
      <c r="AJ548" s="16" t="s">
        <v>1090</v>
      </c>
    </row>
    <row r="549" spans="1:36" ht="15" customHeight="1" x14ac:dyDescent="0.3">
      <c r="A549" s="16" t="s">
        <v>273</v>
      </c>
      <c r="B549" s="16" t="s">
        <v>649</v>
      </c>
      <c r="C549" s="16" t="s">
        <v>323</v>
      </c>
      <c r="D549" s="16" t="s">
        <v>324</v>
      </c>
      <c r="E549" s="16" t="s">
        <v>404</v>
      </c>
      <c r="F549" s="16" t="s">
        <v>401</v>
      </c>
      <c r="G549" s="16">
        <v>0.6</v>
      </c>
      <c r="H549" s="16">
        <v>2607</v>
      </c>
      <c r="I549" s="16">
        <v>110</v>
      </c>
      <c r="J549" s="16">
        <v>109</v>
      </c>
      <c r="K549" s="16">
        <v>-1.3907567743247201E-2</v>
      </c>
      <c r="L549" s="16">
        <v>1.16287821258015E-2</v>
      </c>
      <c r="M549" s="16">
        <v>-1.19596081453704</v>
      </c>
      <c r="N549" s="16">
        <v>33.373473229474101</v>
      </c>
      <c r="O549" s="16">
        <v>0.24014021442870501</v>
      </c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 t="s">
        <v>402</v>
      </c>
      <c r="AI549" s="16"/>
      <c r="AJ549" s="16" t="s">
        <v>1091</v>
      </c>
    </row>
    <row r="550" spans="1:36" ht="15" customHeight="1" x14ac:dyDescent="0.3">
      <c r="A550" s="16" t="s">
        <v>273</v>
      </c>
      <c r="B550" s="16" t="s">
        <v>651</v>
      </c>
      <c r="C550" s="16" t="s">
        <v>323</v>
      </c>
      <c r="D550" s="16" t="s">
        <v>324</v>
      </c>
      <c r="E550" s="16" t="s">
        <v>404</v>
      </c>
      <c r="F550" s="16" t="s">
        <v>401</v>
      </c>
      <c r="G550" s="16">
        <v>0.6</v>
      </c>
      <c r="H550" s="16">
        <v>2607</v>
      </c>
      <c r="I550" s="16">
        <v>110</v>
      </c>
      <c r="J550" s="16">
        <v>109</v>
      </c>
      <c r="K550" s="16">
        <v>-1.2018141010969201E-2</v>
      </c>
      <c r="L550" s="16">
        <v>1.2060049258831199E-2</v>
      </c>
      <c r="M550" s="16">
        <v>-0.99652503510038704</v>
      </c>
      <c r="N550" s="16">
        <v>25.610253813537</v>
      </c>
      <c r="O550" s="16">
        <v>0.32831812399622701</v>
      </c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 t="s">
        <v>402</v>
      </c>
      <c r="AI550" s="16"/>
      <c r="AJ550" s="16" t="s">
        <v>1092</v>
      </c>
    </row>
    <row r="551" spans="1:36" ht="15" customHeight="1" x14ac:dyDescent="0.3">
      <c r="A551" s="16" t="s">
        <v>273</v>
      </c>
      <c r="B551" s="16" t="s">
        <v>653</v>
      </c>
      <c r="C551" s="16" t="s">
        <v>323</v>
      </c>
      <c r="D551" s="16" t="s">
        <v>324</v>
      </c>
      <c r="E551" s="16" t="s">
        <v>404</v>
      </c>
      <c r="F551" s="16" t="s">
        <v>401</v>
      </c>
      <c r="G551" s="16">
        <v>0.6</v>
      </c>
      <c r="H551" s="16">
        <v>2607</v>
      </c>
      <c r="I551" s="16">
        <v>110</v>
      </c>
      <c r="J551" s="16">
        <v>109</v>
      </c>
      <c r="K551" s="16">
        <v>1.0576235802466801E-3</v>
      </c>
      <c r="L551" s="16">
        <v>1.14599135846802E-2</v>
      </c>
      <c r="M551" s="16">
        <v>9.2288966442166401E-2</v>
      </c>
      <c r="N551" s="16">
        <v>32.402000475736799</v>
      </c>
      <c r="O551" s="16">
        <v>0.92703670467457799</v>
      </c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 t="s">
        <v>402</v>
      </c>
      <c r="AI551" s="16"/>
      <c r="AJ551" s="16" t="s">
        <v>1093</v>
      </c>
    </row>
    <row r="552" spans="1:36" ht="15" customHeight="1" x14ac:dyDescent="0.3">
      <c r="A552" s="16" t="s">
        <v>273</v>
      </c>
      <c r="B552" s="16" t="s">
        <v>655</v>
      </c>
      <c r="C552" s="16" t="s">
        <v>323</v>
      </c>
      <c r="D552" s="16" t="s">
        <v>324</v>
      </c>
      <c r="E552" s="16" t="s">
        <v>404</v>
      </c>
      <c r="F552" s="16" t="s">
        <v>401</v>
      </c>
      <c r="G552" s="16">
        <v>0.6</v>
      </c>
      <c r="H552" s="16">
        <v>2607</v>
      </c>
      <c r="I552" s="16">
        <v>110</v>
      </c>
      <c r="J552" s="16">
        <v>109</v>
      </c>
      <c r="K552" s="16">
        <v>-1.2799112653241001E-2</v>
      </c>
      <c r="L552" s="16">
        <v>1.26409548290978E-2</v>
      </c>
      <c r="M552" s="16">
        <v>-1.01251154096201</v>
      </c>
      <c r="N552" s="16">
        <v>22.329986865688301</v>
      </c>
      <c r="O552" s="16">
        <v>0.32213969114694302</v>
      </c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 t="s">
        <v>402</v>
      </c>
      <c r="AI552" s="16"/>
      <c r="AJ552" s="16" t="s">
        <v>1094</v>
      </c>
    </row>
    <row r="553" spans="1:36" ht="15" customHeight="1" x14ac:dyDescent="0.3">
      <c r="A553" s="16" t="s">
        <v>273</v>
      </c>
      <c r="B553" s="16" t="s">
        <v>657</v>
      </c>
      <c r="C553" s="16" t="s">
        <v>323</v>
      </c>
      <c r="D553" s="16" t="s">
        <v>324</v>
      </c>
      <c r="E553" s="16" t="s">
        <v>404</v>
      </c>
      <c r="F553" s="16" t="s">
        <v>401</v>
      </c>
      <c r="G553" s="16">
        <v>0.6</v>
      </c>
      <c r="H553" s="16">
        <v>2607</v>
      </c>
      <c r="I553" s="16">
        <v>110</v>
      </c>
      <c r="J553" s="16">
        <v>109</v>
      </c>
      <c r="K553" s="16">
        <v>-1.5940000303064802E-2</v>
      </c>
      <c r="L553" s="16">
        <v>1.48901217301321E-2</v>
      </c>
      <c r="M553" s="16">
        <v>-1.07050839422005</v>
      </c>
      <c r="N553" s="16">
        <v>18.220378500533101</v>
      </c>
      <c r="O553" s="16">
        <v>0.29836711952580303</v>
      </c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 t="s">
        <v>402</v>
      </c>
      <c r="AI553" s="16"/>
      <c r="AJ553" s="16" t="s">
        <v>1095</v>
      </c>
    </row>
    <row r="554" spans="1:36" ht="15" customHeight="1" x14ac:dyDescent="0.3">
      <c r="A554" s="16" t="s">
        <v>273</v>
      </c>
      <c r="B554" s="16" t="s">
        <v>659</v>
      </c>
      <c r="C554" s="16" t="s">
        <v>323</v>
      </c>
      <c r="D554" s="16" t="s">
        <v>324</v>
      </c>
      <c r="E554" s="16" t="s">
        <v>404</v>
      </c>
      <c r="F554" s="16" t="s">
        <v>401</v>
      </c>
      <c r="G554" s="16">
        <v>0.6</v>
      </c>
      <c r="H554" s="16">
        <v>2607</v>
      </c>
      <c r="I554" s="16">
        <v>110</v>
      </c>
      <c r="J554" s="16">
        <v>109</v>
      </c>
      <c r="K554" s="16">
        <v>-1.59534653990617E-2</v>
      </c>
      <c r="L554" s="16">
        <v>1.6013209997721101E-2</v>
      </c>
      <c r="M554" s="16">
        <v>-0.99626904295466501</v>
      </c>
      <c r="N554" s="16">
        <v>14.9635790873267</v>
      </c>
      <c r="O554" s="16">
        <v>0.33495820761093498</v>
      </c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 t="s">
        <v>402</v>
      </c>
      <c r="AI554" s="16"/>
      <c r="AJ554" s="16" t="s">
        <v>1096</v>
      </c>
    </row>
    <row r="555" spans="1:36" ht="15" customHeight="1" x14ac:dyDescent="0.3">
      <c r="A555" s="16" t="s">
        <v>273</v>
      </c>
      <c r="B555" s="16" t="s">
        <v>661</v>
      </c>
      <c r="C555" s="16" t="s">
        <v>323</v>
      </c>
      <c r="D555" s="16" t="s">
        <v>324</v>
      </c>
      <c r="E555" s="16" t="s">
        <v>404</v>
      </c>
      <c r="F555" s="16" t="s">
        <v>401</v>
      </c>
      <c r="G555" s="16">
        <v>0.6</v>
      </c>
      <c r="H555" s="16">
        <v>2607</v>
      </c>
      <c r="I555" s="16">
        <v>110</v>
      </c>
      <c r="J555" s="16">
        <v>109</v>
      </c>
      <c r="K555" s="16">
        <v>9.0320580347792701E-4</v>
      </c>
      <c r="L555" s="16">
        <v>1.0483507824299E-2</v>
      </c>
      <c r="M555" s="16">
        <v>8.61549224377407E-2</v>
      </c>
      <c r="N555" s="16">
        <v>34.586073443659302</v>
      </c>
      <c r="O555" s="16">
        <v>0.93184011067474304</v>
      </c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 t="s">
        <v>402</v>
      </c>
      <c r="AI555" s="16"/>
      <c r="AJ555" s="16" t="s">
        <v>1097</v>
      </c>
    </row>
    <row r="556" spans="1:36" ht="15" customHeight="1" x14ac:dyDescent="0.3">
      <c r="A556" s="16" t="s">
        <v>273</v>
      </c>
      <c r="B556" s="16" t="s">
        <v>663</v>
      </c>
      <c r="C556" s="16" t="s">
        <v>323</v>
      </c>
      <c r="D556" s="16" t="s">
        <v>324</v>
      </c>
      <c r="E556" s="16" t="s">
        <v>404</v>
      </c>
      <c r="F556" s="16" t="s">
        <v>401</v>
      </c>
      <c r="G556" s="16">
        <v>0.6</v>
      </c>
      <c r="H556" s="16">
        <v>2607</v>
      </c>
      <c r="I556" s="16">
        <v>110</v>
      </c>
      <c r="J556" s="16">
        <v>109</v>
      </c>
      <c r="K556" s="16">
        <v>1.38875782404721E-2</v>
      </c>
      <c r="L556" s="16">
        <v>9.8356196092507907E-3</v>
      </c>
      <c r="M556" s="16">
        <v>1.41196780601501</v>
      </c>
      <c r="N556" s="16">
        <v>46.796582397549898</v>
      </c>
      <c r="O556" s="16">
        <v>0.164574791606278</v>
      </c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 t="s">
        <v>402</v>
      </c>
      <c r="AI556" s="16"/>
      <c r="AJ556" s="16" t="s">
        <v>1098</v>
      </c>
    </row>
    <row r="557" spans="1:36" ht="15" customHeight="1" x14ac:dyDescent="0.3">
      <c r="A557" s="16" t="s">
        <v>273</v>
      </c>
      <c r="B557" s="16" t="s">
        <v>665</v>
      </c>
      <c r="C557" s="16" t="s">
        <v>323</v>
      </c>
      <c r="D557" s="16" t="s">
        <v>324</v>
      </c>
      <c r="E557" s="16" t="s">
        <v>404</v>
      </c>
      <c r="F557" s="16" t="s">
        <v>401</v>
      </c>
      <c r="G557" s="16">
        <v>0.6</v>
      </c>
      <c r="H557" s="16">
        <v>2607</v>
      </c>
      <c r="I557" s="16">
        <v>110</v>
      </c>
      <c r="J557" s="16">
        <v>109</v>
      </c>
      <c r="K557" s="16">
        <v>1.6668576779576799E-3</v>
      </c>
      <c r="L557" s="16">
        <v>9.7214903682599895E-3</v>
      </c>
      <c r="M557" s="16">
        <v>0.17146112528176299</v>
      </c>
      <c r="N557" s="16">
        <v>52.764854035530298</v>
      </c>
      <c r="O557" s="16">
        <v>0.86451707677322598</v>
      </c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 t="s">
        <v>402</v>
      </c>
      <c r="AI557" s="16"/>
      <c r="AJ557" s="16" t="s">
        <v>1099</v>
      </c>
    </row>
    <row r="558" spans="1:36" ht="15" customHeight="1" x14ac:dyDescent="0.3">
      <c r="A558" s="16" t="s">
        <v>273</v>
      </c>
      <c r="B558" s="16" t="s">
        <v>667</v>
      </c>
      <c r="C558" s="16" t="s">
        <v>323</v>
      </c>
      <c r="D558" s="16" t="s">
        <v>324</v>
      </c>
      <c r="E558" s="16" t="s">
        <v>404</v>
      </c>
      <c r="F558" s="16" t="s">
        <v>401</v>
      </c>
      <c r="G558" s="16">
        <v>0.6</v>
      </c>
      <c r="H558" s="16">
        <v>905</v>
      </c>
      <c r="I558" s="16">
        <v>38</v>
      </c>
      <c r="J558" s="16">
        <v>38</v>
      </c>
      <c r="K558" s="16">
        <v>-2.2579426735978E-2</v>
      </c>
      <c r="L558" s="16">
        <v>1.8964371581868901E-2</v>
      </c>
      <c r="M558" s="16">
        <v>-1.1906235141250501</v>
      </c>
      <c r="N558" s="16">
        <v>24.533101400172001</v>
      </c>
      <c r="O558" s="16">
        <v>0.24519478571862499</v>
      </c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 t="s">
        <v>402</v>
      </c>
      <c r="AI558" s="16"/>
      <c r="AJ558" s="16" t="s">
        <v>1100</v>
      </c>
    </row>
    <row r="559" spans="1:36" ht="15" customHeight="1" x14ac:dyDescent="0.3">
      <c r="A559" s="16" t="s">
        <v>273</v>
      </c>
      <c r="B559" s="16" t="s">
        <v>669</v>
      </c>
      <c r="C559" s="16" t="s">
        <v>323</v>
      </c>
      <c r="D559" s="16" t="s">
        <v>324</v>
      </c>
      <c r="E559" s="16" t="s">
        <v>404</v>
      </c>
      <c r="F559" s="16" t="s">
        <v>401</v>
      </c>
      <c r="G559" s="16">
        <v>0.6</v>
      </c>
      <c r="H559" s="16">
        <v>2704</v>
      </c>
      <c r="I559" s="16">
        <v>113</v>
      </c>
      <c r="J559" s="16">
        <v>112</v>
      </c>
      <c r="K559" s="16">
        <v>9.6410517555208398E-3</v>
      </c>
      <c r="L559" s="16">
        <v>1.8230209465395001E-2</v>
      </c>
      <c r="M559" s="16">
        <v>0.52885030058605098</v>
      </c>
      <c r="N559" s="16">
        <v>14.6299755777905</v>
      </c>
      <c r="O559" s="16">
        <v>0.60484071428333097</v>
      </c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 t="s">
        <v>402</v>
      </c>
      <c r="AI559" s="16"/>
      <c r="AJ559" s="16" t="s">
        <v>1101</v>
      </c>
    </row>
    <row r="560" spans="1:36" ht="15" customHeight="1" x14ac:dyDescent="0.3">
      <c r="A560" s="16" t="s">
        <v>273</v>
      </c>
      <c r="B560" s="16" t="s">
        <v>671</v>
      </c>
      <c r="C560" s="16" t="s">
        <v>323</v>
      </c>
      <c r="D560" s="16" t="s">
        <v>324</v>
      </c>
      <c r="E560" s="16" t="s">
        <v>404</v>
      </c>
      <c r="F560" s="16" t="s">
        <v>401</v>
      </c>
      <c r="G560" s="16">
        <v>0.6</v>
      </c>
      <c r="H560" s="16">
        <v>2704</v>
      </c>
      <c r="I560" s="16">
        <v>113</v>
      </c>
      <c r="J560" s="16">
        <v>112</v>
      </c>
      <c r="K560" s="16">
        <v>9.3602068964485398E-3</v>
      </c>
      <c r="L560" s="16">
        <v>1.78846187420744E-2</v>
      </c>
      <c r="M560" s="16">
        <v>0.52336630886227498</v>
      </c>
      <c r="N560" s="16">
        <v>11.9816289698825</v>
      </c>
      <c r="O560" s="16">
        <v>0.61026260485079797</v>
      </c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 t="s">
        <v>402</v>
      </c>
      <c r="AI560" s="16"/>
      <c r="AJ560" s="16" t="s">
        <v>1102</v>
      </c>
    </row>
    <row r="561" spans="1:36" ht="15" customHeight="1" x14ac:dyDescent="0.3">
      <c r="A561" s="16" t="s">
        <v>273</v>
      </c>
      <c r="B561" s="16" t="s">
        <v>673</v>
      </c>
      <c r="C561" s="16" t="s">
        <v>323</v>
      </c>
      <c r="D561" s="16" t="s">
        <v>324</v>
      </c>
      <c r="E561" s="16" t="s">
        <v>404</v>
      </c>
      <c r="F561" s="16" t="s">
        <v>401</v>
      </c>
      <c r="G561" s="16">
        <v>0.6</v>
      </c>
      <c r="H561" s="16">
        <v>2704</v>
      </c>
      <c r="I561" s="16">
        <v>113</v>
      </c>
      <c r="J561" s="16">
        <v>112</v>
      </c>
      <c r="K561" s="16">
        <v>-2.02055517228917E-2</v>
      </c>
      <c r="L561" s="16">
        <v>2.1147406773854099E-2</v>
      </c>
      <c r="M561" s="16">
        <v>-0.95546238548137397</v>
      </c>
      <c r="N561" s="16">
        <v>41.382098674101499</v>
      </c>
      <c r="O561" s="16">
        <v>0.34489245894162901</v>
      </c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 t="s">
        <v>402</v>
      </c>
      <c r="AI561" s="16"/>
      <c r="AJ561" s="16" t="s">
        <v>1103</v>
      </c>
    </row>
    <row r="562" spans="1:36" ht="15" customHeight="1" x14ac:dyDescent="0.3">
      <c r="A562" s="16" t="s">
        <v>273</v>
      </c>
      <c r="B562" s="16" t="s">
        <v>675</v>
      </c>
      <c r="C562" s="16" t="s">
        <v>323</v>
      </c>
      <c r="D562" s="16" t="s">
        <v>324</v>
      </c>
      <c r="E562" s="16" t="s">
        <v>404</v>
      </c>
      <c r="F562" s="16" t="s">
        <v>401</v>
      </c>
      <c r="G562" s="16">
        <v>0.6</v>
      </c>
      <c r="H562" s="16">
        <v>2704</v>
      </c>
      <c r="I562" s="16">
        <v>113</v>
      </c>
      <c r="J562" s="16">
        <v>112</v>
      </c>
      <c r="K562" s="16">
        <v>7.63369892433926E-3</v>
      </c>
      <c r="L562" s="16">
        <v>1.8156902765382E-2</v>
      </c>
      <c r="M562" s="16">
        <v>0.42042957562639399</v>
      </c>
      <c r="N562" s="16">
        <v>10.6065147145351</v>
      </c>
      <c r="O562" s="16">
        <v>0.68256302282410897</v>
      </c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 t="s">
        <v>402</v>
      </c>
      <c r="AI562" s="16"/>
      <c r="AJ562" s="16" t="s">
        <v>1104</v>
      </c>
    </row>
    <row r="563" spans="1:36" ht="15" customHeight="1" x14ac:dyDescent="0.3">
      <c r="A563" s="16" t="s">
        <v>273</v>
      </c>
      <c r="B563" s="16" t="s">
        <v>677</v>
      </c>
      <c r="C563" s="16" t="s">
        <v>323</v>
      </c>
      <c r="D563" s="16" t="s">
        <v>324</v>
      </c>
      <c r="E563" s="16" t="s">
        <v>404</v>
      </c>
      <c r="F563" s="16" t="s">
        <v>401</v>
      </c>
      <c r="G563" s="16">
        <v>0.6</v>
      </c>
      <c r="H563" s="16">
        <v>2704</v>
      </c>
      <c r="I563" s="16">
        <v>113</v>
      </c>
      <c r="J563" s="16">
        <v>112</v>
      </c>
      <c r="K563" s="16">
        <v>2.5270998476485799E-3</v>
      </c>
      <c r="L563" s="16">
        <v>2.24084012305234E-2</v>
      </c>
      <c r="M563" s="16">
        <v>0.112774660791343</v>
      </c>
      <c r="N563" s="16">
        <v>18.778067983524199</v>
      </c>
      <c r="O563" s="16">
        <v>0.911406094602767</v>
      </c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 t="s">
        <v>402</v>
      </c>
      <c r="AI563" s="16"/>
      <c r="AJ563" s="16" t="s">
        <v>1105</v>
      </c>
    </row>
    <row r="564" spans="1:36" ht="15" customHeight="1" x14ac:dyDescent="0.3">
      <c r="A564" s="16" t="s">
        <v>273</v>
      </c>
      <c r="B564" s="16" t="s">
        <v>679</v>
      </c>
      <c r="C564" s="16" t="s">
        <v>323</v>
      </c>
      <c r="D564" s="16" t="s">
        <v>324</v>
      </c>
      <c r="E564" s="16" t="s">
        <v>404</v>
      </c>
      <c r="F564" s="16" t="s">
        <v>401</v>
      </c>
      <c r="G564" s="16">
        <v>0.6</v>
      </c>
      <c r="H564" s="16">
        <v>2704</v>
      </c>
      <c r="I564" s="16">
        <v>113</v>
      </c>
      <c r="J564" s="16">
        <v>112</v>
      </c>
      <c r="K564" s="16">
        <v>3.58867062186518E-3</v>
      </c>
      <c r="L564" s="16">
        <v>2.30081367341874E-2</v>
      </c>
      <c r="M564" s="16">
        <v>0.15597397839403701</v>
      </c>
      <c r="N564" s="16">
        <v>15.444540810010499</v>
      </c>
      <c r="O564" s="16">
        <v>0.87807398319580998</v>
      </c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 t="s">
        <v>402</v>
      </c>
      <c r="AI564" s="16"/>
      <c r="AJ564" s="16" t="s">
        <v>1106</v>
      </c>
    </row>
    <row r="565" spans="1:36" ht="15" customHeight="1" x14ac:dyDescent="0.3">
      <c r="A565" s="16" t="s">
        <v>273</v>
      </c>
      <c r="B565" s="16" t="s">
        <v>681</v>
      </c>
      <c r="C565" s="16" t="s">
        <v>323</v>
      </c>
      <c r="D565" s="16" t="s">
        <v>324</v>
      </c>
      <c r="E565" s="16" t="s">
        <v>404</v>
      </c>
      <c r="F565" s="16" t="s">
        <v>401</v>
      </c>
      <c r="G565" s="16">
        <v>0.6</v>
      </c>
      <c r="H565" s="16">
        <v>2704</v>
      </c>
      <c r="I565" s="16">
        <v>113</v>
      </c>
      <c r="J565" s="16">
        <v>112</v>
      </c>
      <c r="K565" s="16">
        <v>-6.6466601670873296E-3</v>
      </c>
      <c r="L565" s="16">
        <v>2.0780009622842401E-2</v>
      </c>
      <c r="M565" s="16">
        <v>-0.31985837772572501</v>
      </c>
      <c r="N565" s="16">
        <v>17.263297106733098</v>
      </c>
      <c r="O565" s="16">
        <v>0.75291431023644495</v>
      </c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 t="s">
        <v>402</v>
      </c>
      <c r="AI565" s="16"/>
      <c r="AJ565" s="16" t="s">
        <v>1107</v>
      </c>
    </row>
    <row r="566" spans="1:36" ht="15" customHeight="1" x14ac:dyDescent="0.3">
      <c r="A566" s="16" t="s">
        <v>273</v>
      </c>
      <c r="B566" s="16" t="s">
        <v>683</v>
      </c>
      <c r="C566" s="16" t="s">
        <v>323</v>
      </c>
      <c r="D566" s="16" t="s">
        <v>324</v>
      </c>
      <c r="E566" s="16" t="s">
        <v>404</v>
      </c>
      <c r="F566" s="16" t="s">
        <v>401</v>
      </c>
      <c r="G566" s="16">
        <v>0.6</v>
      </c>
      <c r="H566" s="16">
        <v>2704</v>
      </c>
      <c r="I566" s="16">
        <v>113</v>
      </c>
      <c r="J566" s="16">
        <v>112</v>
      </c>
      <c r="K566" s="16">
        <v>3.9840153954493598E-2</v>
      </c>
      <c r="L566" s="16">
        <v>2.6212683046363702E-2</v>
      </c>
      <c r="M566" s="16">
        <v>1.51988081052315</v>
      </c>
      <c r="N566" s="16">
        <v>21.3887979167617</v>
      </c>
      <c r="O566" s="16">
        <v>0.14318645426282001</v>
      </c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 t="s">
        <v>402</v>
      </c>
      <c r="AI566" s="16"/>
      <c r="AJ566" s="16" t="s">
        <v>1108</v>
      </c>
    </row>
    <row r="567" spans="1:36" ht="15" customHeight="1" x14ac:dyDescent="0.3">
      <c r="A567" s="16" t="s">
        <v>273</v>
      </c>
      <c r="B567" s="16" t="s">
        <v>685</v>
      </c>
      <c r="C567" s="16" t="s">
        <v>323</v>
      </c>
      <c r="D567" s="16" t="s">
        <v>324</v>
      </c>
      <c r="E567" s="16" t="s">
        <v>404</v>
      </c>
      <c r="F567" s="16" t="s">
        <v>401</v>
      </c>
      <c r="G567" s="16">
        <v>0.6</v>
      </c>
      <c r="H567" s="16">
        <v>2704</v>
      </c>
      <c r="I567" s="16">
        <v>113</v>
      </c>
      <c r="J567" s="16">
        <v>112</v>
      </c>
      <c r="K567" s="16">
        <v>2.1597754292824099E-2</v>
      </c>
      <c r="L567" s="16">
        <v>2.17962165029826E-2</v>
      </c>
      <c r="M567" s="16">
        <v>0.99089464861337895</v>
      </c>
      <c r="N567" s="16">
        <v>21.691632454844601</v>
      </c>
      <c r="O567" s="16">
        <v>0.332662423684979</v>
      </c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 t="s">
        <v>402</v>
      </c>
      <c r="AI567" s="16"/>
      <c r="AJ567" s="16" t="s">
        <v>1109</v>
      </c>
    </row>
    <row r="568" spans="1:36" ht="15" customHeight="1" x14ac:dyDescent="0.3">
      <c r="A568" s="16" t="s">
        <v>273</v>
      </c>
      <c r="B568" s="16" t="s">
        <v>687</v>
      </c>
      <c r="C568" s="16" t="s">
        <v>323</v>
      </c>
      <c r="D568" s="16" t="s">
        <v>324</v>
      </c>
      <c r="E568" s="16" t="s">
        <v>404</v>
      </c>
      <c r="F568" s="16" t="s">
        <v>401</v>
      </c>
      <c r="G568" s="16">
        <v>0.6</v>
      </c>
      <c r="H568" s="16">
        <v>929</v>
      </c>
      <c r="I568" s="16">
        <v>40</v>
      </c>
      <c r="J568" s="16">
        <v>40</v>
      </c>
      <c r="K568" s="16">
        <v>-1.42513411796596E-2</v>
      </c>
      <c r="L568" s="16">
        <v>1.7736542680454902E-2</v>
      </c>
      <c r="M568" s="16">
        <v>-0.80350164270538205</v>
      </c>
      <c r="N568" s="16">
        <v>23.583216566241401</v>
      </c>
      <c r="O568" s="16">
        <v>0.429709605239538</v>
      </c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 t="s">
        <v>402</v>
      </c>
      <c r="AI568" s="16"/>
      <c r="AJ568" s="16" t="s">
        <v>1110</v>
      </c>
    </row>
    <row r="569" spans="1:36" ht="15" customHeight="1" x14ac:dyDescent="0.3">
      <c r="A569" s="16" t="s">
        <v>273</v>
      </c>
      <c r="B569" s="16" t="s">
        <v>689</v>
      </c>
      <c r="C569" s="16" t="s">
        <v>323</v>
      </c>
      <c r="D569" s="16" t="s">
        <v>324</v>
      </c>
      <c r="E569" s="16" t="s">
        <v>404</v>
      </c>
      <c r="F569" s="16" t="s">
        <v>401</v>
      </c>
      <c r="G569" s="16">
        <v>0.6</v>
      </c>
      <c r="H569" s="16">
        <v>2691</v>
      </c>
      <c r="I569" s="16">
        <v>113</v>
      </c>
      <c r="J569" s="16">
        <v>112</v>
      </c>
      <c r="K569" s="16">
        <v>-1.39515174080528E-2</v>
      </c>
      <c r="L569" s="16">
        <v>1.0735100947808E-2</v>
      </c>
      <c r="M569" s="16">
        <v>-1.2996167875721401</v>
      </c>
      <c r="N569" s="16">
        <v>39.009370220188799</v>
      </c>
      <c r="O569" s="16">
        <v>0.201360288223394</v>
      </c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 t="s">
        <v>402</v>
      </c>
      <c r="AI569" s="16"/>
      <c r="AJ569" s="16" t="s">
        <v>1111</v>
      </c>
    </row>
    <row r="570" spans="1:36" ht="15" customHeight="1" x14ac:dyDescent="0.3">
      <c r="A570" s="16" t="s">
        <v>273</v>
      </c>
      <c r="B570" s="16" t="s">
        <v>691</v>
      </c>
      <c r="C570" s="16" t="s">
        <v>323</v>
      </c>
      <c r="D570" s="16" t="s">
        <v>324</v>
      </c>
      <c r="E570" s="16" t="s">
        <v>404</v>
      </c>
      <c r="F570" s="16" t="s">
        <v>401</v>
      </c>
      <c r="G570" s="16">
        <v>0.6</v>
      </c>
      <c r="H570" s="16">
        <v>2691</v>
      </c>
      <c r="I570" s="16">
        <v>113</v>
      </c>
      <c r="J570" s="16">
        <v>112</v>
      </c>
      <c r="K570" s="16">
        <v>-1.28470175335043E-2</v>
      </c>
      <c r="L570" s="16">
        <v>1.13563432583844E-2</v>
      </c>
      <c r="M570" s="16">
        <v>-1.13126358029195</v>
      </c>
      <c r="N570" s="16">
        <v>29.6955686694936</v>
      </c>
      <c r="O570" s="16">
        <v>0.26699771290923502</v>
      </c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 t="s">
        <v>402</v>
      </c>
      <c r="AI570" s="16"/>
      <c r="AJ570" s="16" t="s">
        <v>1112</v>
      </c>
    </row>
    <row r="571" spans="1:36" ht="15" customHeight="1" x14ac:dyDescent="0.3">
      <c r="A571" s="16" t="s">
        <v>273</v>
      </c>
      <c r="B571" s="16" t="s">
        <v>693</v>
      </c>
      <c r="C571" s="16" t="s">
        <v>323</v>
      </c>
      <c r="D571" s="16" t="s">
        <v>324</v>
      </c>
      <c r="E571" s="16" t="s">
        <v>404</v>
      </c>
      <c r="F571" s="16" t="s">
        <v>401</v>
      </c>
      <c r="G571" s="16">
        <v>0.6</v>
      </c>
      <c r="H571" s="16">
        <v>2691</v>
      </c>
      <c r="I571" s="16">
        <v>113</v>
      </c>
      <c r="J571" s="16">
        <v>112</v>
      </c>
      <c r="K571" s="16">
        <v>4.3201573748824501E-4</v>
      </c>
      <c r="L571" s="16">
        <v>1.07101417014955E-2</v>
      </c>
      <c r="M571" s="16">
        <v>4.0337070183480699E-2</v>
      </c>
      <c r="N571" s="16">
        <v>35.1831967095005</v>
      </c>
      <c r="O571" s="16">
        <v>0.96805243427816201</v>
      </c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 t="s">
        <v>402</v>
      </c>
      <c r="AI571" s="16"/>
      <c r="AJ571" s="16" t="s">
        <v>1113</v>
      </c>
    </row>
    <row r="572" spans="1:36" ht="15" customHeight="1" x14ac:dyDescent="0.3">
      <c r="A572" s="16" t="s">
        <v>273</v>
      </c>
      <c r="B572" s="16" t="s">
        <v>695</v>
      </c>
      <c r="C572" s="16" t="s">
        <v>323</v>
      </c>
      <c r="D572" s="16" t="s">
        <v>324</v>
      </c>
      <c r="E572" s="16" t="s">
        <v>404</v>
      </c>
      <c r="F572" s="16" t="s">
        <v>401</v>
      </c>
      <c r="G572" s="16">
        <v>0.6</v>
      </c>
      <c r="H572" s="16">
        <v>2691</v>
      </c>
      <c r="I572" s="16">
        <v>113</v>
      </c>
      <c r="J572" s="16">
        <v>112</v>
      </c>
      <c r="K572" s="16">
        <v>-1.3253685432345799E-2</v>
      </c>
      <c r="L572" s="16">
        <v>1.1848754739247999E-2</v>
      </c>
      <c r="M572" s="16">
        <v>-1.1185720123351099</v>
      </c>
      <c r="N572" s="16">
        <v>25.933812140236402</v>
      </c>
      <c r="O572" s="16">
        <v>0.27357722398364598</v>
      </c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 t="s">
        <v>402</v>
      </c>
      <c r="AI572" s="16"/>
      <c r="AJ572" s="16" t="s">
        <v>1114</v>
      </c>
    </row>
    <row r="573" spans="1:36" ht="15" customHeight="1" x14ac:dyDescent="0.3">
      <c r="A573" s="16" t="s">
        <v>273</v>
      </c>
      <c r="B573" s="16" t="s">
        <v>697</v>
      </c>
      <c r="C573" s="16" t="s">
        <v>323</v>
      </c>
      <c r="D573" s="16" t="s">
        <v>324</v>
      </c>
      <c r="E573" s="16" t="s">
        <v>404</v>
      </c>
      <c r="F573" s="16" t="s">
        <v>401</v>
      </c>
      <c r="G573" s="16">
        <v>0.6</v>
      </c>
      <c r="H573" s="16">
        <v>2691</v>
      </c>
      <c r="I573" s="16">
        <v>113</v>
      </c>
      <c r="J573" s="16">
        <v>112</v>
      </c>
      <c r="K573" s="16">
        <v>-1.4370231077164199E-2</v>
      </c>
      <c r="L573" s="16">
        <v>1.5088318082992E-2</v>
      </c>
      <c r="M573" s="16">
        <v>-0.95240775003031497</v>
      </c>
      <c r="N573" s="16">
        <v>17.889334019069899</v>
      </c>
      <c r="O573" s="16">
        <v>0.35358241859036299</v>
      </c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 t="s">
        <v>402</v>
      </c>
      <c r="AI573" s="16"/>
      <c r="AJ573" s="16" t="s">
        <v>1115</v>
      </c>
    </row>
    <row r="574" spans="1:36" ht="15" customHeight="1" x14ac:dyDescent="0.3">
      <c r="A574" s="16" t="s">
        <v>273</v>
      </c>
      <c r="B574" s="16" t="s">
        <v>699</v>
      </c>
      <c r="C574" s="16" t="s">
        <v>323</v>
      </c>
      <c r="D574" s="16" t="s">
        <v>324</v>
      </c>
      <c r="E574" s="16" t="s">
        <v>404</v>
      </c>
      <c r="F574" s="16" t="s">
        <v>401</v>
      </c>
      <c r="G574" s="16">
        <v>0.6</v>
      </c>
      <c r="H574" s="16">
        <v>2691</v>
      </c>
      <c r="I574" s="16">
        <v>113</v>
      </c>
      <c r="J574" s="16">
        <v>112</v>
      </c>
      <c r="K574" s="16">
        <v>-1.40597967471835E-2</v>
      </c>
      <c r="L574" s="16">
        <v>1.6360543202521002E-2</v>
      </c>
      <c r="M574" s="16">
        <v>-0.85937224535534196</v>
      </c>
      <c r="N574" s="16">
        <v>14.7076166237989</v>
      </c>
      <c r="O574" s="16">
        <v>0.40392515207308199</v>
      </c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 t="s">
        <v>402</v>
      </c>
      <c r="AI574" s="16"/>
      <c r="AJ574" s="16" t="s">
        <v>1116</v>
      </c>
    </row>
    <row r="575" spans="1:36" ht="15" customHeight="1" x14ac:dyDescent="0.3">
      <c r="A575" s="16" t="s">
        <v>273</v>
      </c>
      <c r="B575" s="16" t="s">
        <v>701</v>
      </c>
      <c r="C575" s="16" t="s">
        <v>323</v>
      </c>
      <c r="D575" s="16" t="s">
        <v>324</v>
      </c>
      <c r="E575" s="16" t="s">
        <v>404</v>
      </c>
      <c r="F575" s="16" t="s">
        <v>401</v>
      </c>
      <c r="G575" s="16">
        <v>0.6</v>
      </c>
      <c r="H575" s="16">
        <v>2691</v>
      </c>
      <c r="I575" s="16">
        <v>113</v>
      </c>
      <c r="J575" s="16">
        <v>112</v>
      </c>
      <c r="K575" s="16">
        <v>2.4641590678535301E-3</v>
      </c>
      <c r="L575" s="16">
        <v>9.1759840009970808E-3</v>
      </c>
      <c r="M575" s="16">
        <v>0.26854439453967699</v>
      </c>
      <c r="N575" s="16">
        <v>44.056163481984399</v>
      </c>
      <c r="O575" s="16">
        <v>0.78953384015230199</v>
      </c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 t="s">
        <v>402</v>
      </c>
      <c r="AI575" s="16"/>
      <c r="AJ575" s="16" t="s">
        <v>1117</v>
      </c>
    </row>
    <row r="576" spans="1:36" ht="15" customHeight="1" x14ac:dyDescent="0.3">
      <c r="A576" s="16" t="s">
        <v>273</v>
      </c>
      <c r="B576" s="16" t="s">
        <v>703</v>
      </c>
      <c r="C576" s="16" t="s">
        <v>323</v>
      </c>
      <c r="D576" s="16" t="s">
        <v>324</v>
      </c>
      <c r="E576" s="16" t="s">
        <v>404</v>
      </c>
      <c r="F576" s="16" t="s">
        <v>401</v>
      </c>
      <c r="G576" s="16">
        <v>0.6</v>
      </c>
      <c r="H576" s="16">
        <v>2691</v>
      </c>
      <c r="I576" s="16">
        <v>113</v>
      </c>
      <c r="J576" s="16">
        <v>112</v>
      </c>
      <c r="K576" s="16">
        <v>1.07376175840457E-2</v>
      </c>
      <c r="L576" s="16">
        <v>8.8334764470585705E-3</v>
      </c>
      <c r="M576" s="16">
        <v>1.2155596551821</v>
      </c>
      <c r="N576" s="16">
        <v>58.6778774212871</v>
      </c>
      <c r="O576" s="16">
        <v>0.22902079747336701</v>
      </c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 t="s">
        <v>402</v>
      </c>
      <c r="AI576" s="16"/>
      <c r="AJ576" s="16" t="s">
        <v>1118</v>
      </c>
    </row>
    <row r="577" spans="1:36" ht="15" customHeight="1" x14ac:dyDescent="0.3">
      <c r="A577" s="16" t="s">
        <v>273</v>
      </c>
      <c r="B577" s="16" t="s">
        <v>705</v>
      </c>
      <c r="C577" s="16" t="s">
        <v>323</v>
      </c>
      <c r="D577" s="16" t="s">
        <v>324</v>
      </c>
      <c r="E577" s="16" t="s">
        <v>404</v>
      </c>
      <c r="F577" s="16" t="s">
        <v>401</v>
      </c>
      <c r="G577" s="16">
        <v>0.6</v>
      </c>
      <c r="H577" s="16">
        <v>2691</v>
      </c>
      <c r="I577" s="16">
        <v>113</v>
      </c>
      <c r="J577" s="16">
        <v>112</v>
      </c>
      <c r="K577" s="16">
        <v>-7.9091278244496804E-4</v>
      </c>
      <c r="L577" s="16">
        <v>9.14437993745045E-3</v>
      </c>
      <c r="M577" s="16">
        <v>-8.6491679901205307E-2</v>
      </c>
      <c r="N577" s="16">
        <v>66.372088191595097</v>
      </c>
      <c r="O577" s="16">
        <v>0.93133597106032795</v>
      </c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 t="s">
        <v>402</v>
      </c>
      <c r="AI577" s="16"/>
      <c r="AJ577" s="16" t="s">
        <v>1119</v>
      </c>
    </row>
    <row r="578" spans="1:36" ht="15" customHeight="1" x14ac:dyDescent="0.3">
      <c r="A578" s="16" t="s">
        <v>273</v>
      </c>
      <c r="B578" s="16" t="s">
        <v>707</v>
      </c>
      <c r="C578" s="16" t="s">
        <v>323</v>
      </c>
      <c r="D578" s="16" t="s">
        <v>324</v>
      </c>
      <c r="E578" s="16" t="s">
        <v>404</v>
      </c>
      <c r="F578" s="16" t="s">
        <v>401</v>
      </c>
      <c r="G578" s="16">
        <v>0.6</v>
      </c>
      <c r="H578" s="16">
        <v>924</v>
      </c>
      <c r="I578" s="16">
        <v>40</v>
      </c>
      <c r="J578" s="16">
        <v>40</v>
      </c>
      <c r="K578" s="16">
        <v>-2.2800375327429501E-2</v>
      </c>
      <c r="L578" s="16">
        <v>2.0135070483003701E-2</v>
      </c>
      <c r="M578" s="16">
        <v>-1.13237126965488</v>
      </c>
      <c r="N578" s="16">
        <v>24.112918411715199</v>
      </c>
      <c r="O578" s="16">
        <v>0.268613610868564</v>
      </c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 t="s">
        <v>402</v>
      </c>
      <c r="AI578" s="16"/>
      <c r="AJ578" s="16" t="s">
        <v>1120</v>
      </c>
    </row>
    <row r="579" spans="1:36" ht="15" customHeight="1" x14ac:dyDescent="0.3">
      <c r="A579" s="16" t="s">
        <v>273</v>
      </c>
      <c r="B579" s="16" t="s">
        <v>709</v>
      </c>
      <c r="C579" s="16" t="s">
        <v>323</v>
      </c>
      <c r="D579" s="16" t="s">
        <v>324</v>
      </c>
      <c r="E579" s="16" t="s">
        <v>404</v>
      </c>
      <c r="F579" s="16" t="s">
        <v>401</v>
      </c>
      <c r="G579" s="16">
        <v>0.6</v>
      </c>
      <c r="H579" s="16">
        <v>2704</v>
      </c>
      <c r="I579" s="16">
        <v>113</v>
      </c>
      <c r="J579" s="16">
        <v>112</v>
      </c>
      <c r="K579" s="16">
        <v>-1.03093858870229E-2</v>
      </c>
      <c r="L579" s="16">
        <v>1.1255730618924899E-2</v>
      </c>
      <c r="M579" s="16">
        <v>-0.91592329596881905</v>
      </c>
      <c r="N579" s="16">
        <v>34.170381210562901</v>
      </c>
      <c r="O579" s="16">
        <v>0.36612618119753598</v>
      </c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 t="s">
        <v>402</v>
      </c>
      <c r="AI579" s="16"/>
      <c r="AJ579" s="16" t="s">
        <v>1121</v>
      </c>
    </row>
    <row r="580" spans="1:36" ht="15" customHeight="1" x14ac:dyDescent="0.3">
      <c r="A580" s="16" t="s">
        <v>273</v>
      </c>
      <c r="B580" s="16" t="s">
        <v>711</v>
      </c>
      <c r="C580" s="16" t="s">
        <v>323</v>
      </c>
      <c r="D580" s="16" t="s">
        <v>324</v>
      </c>
      <c r="E580" s="16" t="s">
        <v>404</v>
      </c>
      <c r="F580" s="16" t="s">
        <v>401</v>
      </c>
      <c r="G580" s="16">
        <v>0.6</v>
      </c>
      <c r="H580" s="16">
        <v>2704</v>
      </c>
      <c r="I580" s="16">
        <v>113</v>
      </c>
      <c r="J580" s="16">
        <v>112</v>
      </c>
      <c r="K580" s="16">
        <v>-8.2460996584657106E-3</v>
      </c>
      <c r="L580" s="16">
        <v>1.16466301763468E-2</v>
      </c>
      <c r="M580" s="16">
        <v>-0.70802451297996305</v>
      </c>
      <c r="N580" s="16">
        <v>26.242724304173599</v>
      </c>
      <c r="O580" s="16">
        <v>0.48517162937591002</v>
      </c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 t="s">
        <v>402</v>
      </c>
      <c r="AI580" s="16"/>
      <c r="AJ580" s="16" t="s">
        <v>1122</v>
      </c>
    </row>
    <row r="581" spans="1:36" ht="15" customHeight="1" x14ac:dyDescent="0.3">
      <c r="A581" s="16" t="s">
        <v>273</v>
      </c>
      <c r="B581" s="16" t="s">
        <v>713</v>
      </c>
      <c r="C581" s="16" t="s">
        <v>323</v>
      </c>
      <c r="D581" s="16" t="s">
        <v>324</v>
      </c>
      <c r="E581" s="16" t="s">
        <v>404</v>
      </c>
      <c r="F581" s="16" t="s">
        <v>401</v>
      </c>
      <c r="G581" s="16">
        <v>0.6</v>
      </c>
      <c r="H581" s="16">
        <v>2704</v>
      </c>
      <c r="I581" s="16">
        <v>113</v>
      </c>
      <c r="J581" s="16">
        <v>112</v>
      </c>
      <c r="K581" s="16">
        <v>1.3243017544665499E-3</v>
      </c>
      <c r="L581" s="16">
        <v>1.06663805916687E-2</v>
      </c>
      <c r="M581" s="16">
        <v>0.124156619303547</v>
      </c>
      <c r="N581" s="16">
        <v>36.069958249387803</v>
      </c>
      <c r="O581" s="16">
        <v>0.90188059651457897</v>
      </c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 t="s">
        <v>402</v>
      </c>
      <c r="AI581" s="16"/>
      <c r="AJ581" s="16" t="s">
        <v>1123</v>
      </c>
    </row>
    <row r="582" spans="1:36" ht="15" customHeight="1" x14ac:dyDescent="0.3">
      <c r="A582" s="16" t="s">
        <v>273</v>
      </c>
      <c r="B582" s="16" t="s">
        <v>715</v>
      </c>
      <c r="C582" s="16" t="s">
        <v>323</v>
      </c>
      <c r="D582" s="16" t="s">
        <v>324</v>
      </c>
      <c r="E582" s="16" t="s">
        <v>404</v>
      </c>
      <c r="F582" s="16" t="s">
        <v>401</v>
      </c>
      <c r="G582" s="16">
        <v>0.6</v>
      </c>
      <c r="H582" s="16">
        <v>2704</v>
      </c>
      <c r="I582" s="16">
        <v>113</v>
      </c>
      <c r="J582" s="16">
        <v>112</v>
      </c>
      <c r="K582" s="16">
        <v>-8.8614394852084694E-3</v>
      </c>
      <c r="L582" s="16">
        <v>1.2185922436798601E-2</v>
      </c>
      <c r="M582" s="16">
        <v>-0.72718659840218802</v>
      </c>
      <c r="N582" s="16">
        <v>22.9053240689754</v>
      </c>
      <c r="O582" s="16">
        <v>0.47447918243583698</v>
      </c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 t="s">
        <v>402</v>
      </c>
      <c r="AI582" s="16"/>
      <c r="AJ582" s="16" t="s">
        <v>1124</v>
      </c>
    </row>
    <row r="583" spans="1:36" ht="15" customHeight="1" x14ac:dyDescent="0.3">
      <c r="A583" s="16" t="s">
        <v>273</v>
      </c>
      <c r="B583" s="16" t="s">
        <v>717</v>
      </c>
      <c r="C583" s="16" t="s">
        <v>323</v>
      </c>
      <c r="D583" s="16" t="s">
        <v>324</v>
      </c>
      <c r="E583" s="16" t="s">
        <v>404</v>
      </c>
      <c r="F583" s="16" t="s">
        <v>401</v>
      </c>
      <c r="G583" s="16">
        <v>0.6</v>
      </c>
      <c r="H583" s="16">
        <v>2704</v>
      </c>
      <c r="I583" s="16">
        <v>113</v>
      </c>
      <c r="J583" s="16">
        <v>112</v>
      </c>
      <c r="K583" s="16">
        <v>-1.08223291291108E-2</v>
      </c>
      <c r="L583" s="16">
        <v>1.5249576081491901E-2</v>
      </c>
      <c r="M583" s="16">
        <v>-0.709680654155733</v>
      </c>
      <c r="N583" s="16">
        <v>18.014163212942599</v>
      </c>
      <c r="O583" s="16">
        <v>0.486987526870163</v>
      </c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 t="s">
        <v>402</v>
      </c>
      <c r="AI583" s="16"/>
      <c r="AJ583" s="16" t="s">
        <v>1125</v>
      </c>
    </row>
    <row r="584" spans="1:36" ht="15" customHeight="1" x14ac:dyDescent="0.3">
      <c r="A584" s="16" t="s">
        <v>273</v>
      </c>
      <c r="B584" s="16" t="s">
        <v>719</v>
      </c>
      <c r="C584" s="16" t="s">
        <v>323</v>
      </c>
      <c r="D584" s="16" t="s">
        <v>324</v>
      </c>
      <c r="E584" s="16" t="s">
        <v>404</v>
      </c>
      <c r="F584" s="16" t="s">
        <v>401</v>
      </c>
      <c r="G584" s="16">
        <v>0.6</v>
      </c>
      <c r="H584" s="16">
        <v>2704</v>
      </c>
      <c r="I584" s="16">
        <v>113</v>
      </c>
      <c r="J584" s="16">
        <v>112</v>
      </c>
      <c r="K584" s="16">
        <v>-1.0298451202334901E-2</v>
      </c>
      <c r="L584" s="16">
        <v>1.6529575914682501E-2</v>
      </c>
      <c r="M584" s="16">
        <v>-0.623031785902459</v>
      </c>
      <c r="N584" s="16">
        <v>14.811887843909</v>
      </c>
      <c r="O584" s="16">
        <v>0.54273833255375203</v>
      </c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 t="s">
        <v>402</v>
      </c>
      <c r="AI584" s="16"/>
      <c r="AJ584" s="16" t="s">
        <v>1126</v>
      </c>
    </row>
    <row r="585" spans="1:36" ht="15" customHeight="1" x14ac:dyDescent="0.3">
      <c r="A585" s="16" t="s">
        <v>273</v>
      </c>
      <c r="B585" s="16" t="s">
        <v>721</v>
      </c>
      <c r="C585" s="16" t="s">
        <v>323</v>
      </c>
      <c r="D585" s="16" t="s">
        <v>324</v>
      </c>
      <c r="E585" s="16" t="s">
        <v>404</v>
      </c>
      <c r="F585" s="16" t="s">
        <v>401</v>
      </c>
      <c r="G585" s="16">
        <v>0.6</v>
      </c>
      <c r="H585" s="16">
        <v>2704</v>
      </c>
      <c r="I585" s="16">
        <v>113</v>
      </c>
      <c r="J585" s="16">
        <v>112</v>
      </c>
      <c r="K585" s="16">
        <v>5.4436538200847099E-3</v>
      </c>
      <c r="L585" s="16">
        <v>9.4870753081312507E-3</v>
      </c>
      <c r="M585" s="16">
        <v>0.57379683867577502</v>
      </c>
      <c r="N585" s="16">
        <v>38.459573183344702</v>
      </c>
      <c r="O585" s="16">
        <v>0.56944593300753599</v>
      </c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 t="s">
        <v>402</v>
      </c>
      <c r="AI585" s="16"/>
      <c r="AJ585" s="16" t="s">
        <v>1127</v>
      </c>
    </row>
    <row r="586" spans="1:36" ht="15" customHeight="1" x14ac:dyDescent="0.3">
      <c r="A586" s="16" t="s">
        <v>273</v>
      </c>
      <c r="B586" s="16" t="s">
        <v>723</v>
      </c>
      <c r="C586" s="16" t="s">
        <v>323</v>
      </c>
      <c r="D586" s="16" t="s">
        <v>324</v>
      </c>
      <c r="E586" s="16" t="s">
        <v>404</v>
      </c>
      <c r="F586" s="16" t="s">
        <v>401</v>
      </c>
      <c r="G586" s="16">
        <v>0.6</v>
      </c>
      <c r="H586" s="16">
        <v>2704</v>
      </c>
      <c r="I586" s="16">
        <v>113</v>
      </c>
      <c r="J586" s="16">
        <v>112</v>
      </c>
      <c r="K586" s="16">
        <v>1.72433624032102E-2</v>
      </c>
      <c r="L586" s="16">
        <v>9.1871869295642502E-3</v>
      </c>
      <c r="M586" s="16">
        <v>1.8768925173081299</v>
      </c>
      <c r="N586" s="16">
        <v>51.222721969740803</v>
      </c>
      <c r="O586" s="16">
        <v>6.6234100700624299E-2</v>
      </c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 t="s">
        <v>402</v>
      </c>
      <c r="AI586" s="16"/>
      <c r="AJ586" s="16" t="s">
        <v>1128</v>
      </c>
    </row>
    <row r="587" spans="1:36" ht="15" customHeight="1" x14ac:dyDescent="0.3">
      <c r="A587" s="16" t="s">
        <v>273</v>
      </c>
      <c r="B587" s="16" t="s">
        <v>725</v>
      </c>
      <c r="C587" s="16" t="s">
        <v>323</v>
      </c>
      <c r="D587" s="16" t="s">
        <v>324</v>
      </c>
      <c r="E587" s="16" t="s">
        <v>404</v>
      </c>
      <c r="F587" s="16" t="s">
        <v>401</v>
      </c>
      <c r="G587" s="16">
        <v>0.6</v>
      </c>
      <c r="H587" s="16">
        <v>2704</v>
      </c>
      <c r="I587" s="16">
        <v>113</v>
      </c>
      <c r="J587" s="16">
        <v>112</v>
      </c>
      <c r="K587" s="16">
        <v>4.9708563728983399E-3</v>
      </c>
      <c r="L587" s="16">
        <v>9.2500737950843605E-3</v>
      </c>
      <c r="M587" s="16">
        <v>0.53738559097117</v>
      </c>
      <c r="N587" s="16">
        <v>56.405003699468303</v>
      </c>
      <c r="O587" s="16">
        <v>0.59311511396787497</v>
      </c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 t="s">
        <v>402</v>
      </c>
      <c r="AI587" s="16"/>
      <c r="AJ587" s="16" t="s">
        <v>1129</v>
      </c>
    </row>
    <row r="588" spans="1:36" ht="15" customHeight="1" x14ac:dyDescent="0.3">
      <c r="A588" s="16" t="s">
        <v>273</v>
      </c>
      <c r="B588" s="16" t="s">
        <v>727</v>
      </c>
      <c r="C588" s="16" t="s">
        <v>323</v>
      </c>
      <c r="D588" s="16" t="s">
        <v>324</v>
      </c>
      <c r="E588" s="16" t="s">
        <v>404</v>
      </c>
      <c r="F588" s="16" t="s">
        <v>401</v>
      </c>
      <c r="G588" s="16">
        <v>0.6</v>
      </c>
      <c r="H588" s="16">
        <v>929</v>
      </c>
      <c r="I588" s="16">
        <v>40</v>
      </c>
      <c r="J588" s="16">
        <v>40</v>
      </c>
      <c r="K588" s="16">
        <v>-1.7565644291050699E-2</v>
      </c>
      <c r="L588" s="16">
        <v>1.92688560350011E-2</v>
      </c>
      <c r="M588" s="16">
        <v>-0.91160805079156904</v>
      </c>
      <c r="N588" s="16">
        <v>23.948829528087199</v>
      </c>
      <c r="O588" s="16">
        <v>0.37106044363715301</v>
      </c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 t="s">
        <v>402</v>
      </c>
      <c r="AI588" s="16"/>
      <c r="AJ588" s="16" t="s">
        <v>1130</v>
      </c>
    </row>
    <row r="589" spans="1:36" ht="15" customHeight="1" x14ac:dyDescent="0.3">
      <c r="A589" s="16" t="s">
        <v>273</v>
      </c>
      <c r="B589" s="16" t="s">
        <v>729</v>
      </c>
      <c r="C589" s="16" t="s">
        <v>323</v>
      </c>
      <c r="D589" s="16" t="s">
        <v>324</v>
      </c>
      <c r="E589" s="16" t="s">
        <v>404</v>
      </c>
      <c r="F589" s="16" t="s">
        <v>401</v>
      </c>
      <c r="G589" s="16">
        <v>0.6</v>
      </c>
      <c r="H589" s="16">
        <v>2606</v>
      </c>
      <c r="I589" s="16">
        <v>110</v>
      </c>
      <c r="J589" s="16">
        <v>109</v>
      </c>
      <c r="K589" s="16">
        <v>5.5931611919170102E-3</v>
      </c>
      <c r="L589" s="16">
        <v>1.92963732691574E-2</v>
      </c>
      <c r="M589" s="16">
        <v>0.28985556580504801</v>
      </c>
      <c r="N589" s="16">
        <v>13.937727161713299</v>
      </c>
      <c r="O589" s="16">
        <v>0.77619417440865501</v>
      </c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 t="s">
        <v>402</v>
      </c>
      <c r="AI589" s="16"/>
      <c r="AJ589" s="16" t="s">
        <v>1131</v>
      </c>
    </row>
    <row r="590" spans="1:36" ht="15" customHeight="1" x14ac:dyDescent="0.3">
      <c r="A590" s="16" t="s">
        <v>273</v>
      </c>
      <c r="B590" s="16" t="s">
        <v>731</v>
      </c>
      <c r="C590" s="16" t="s">
        <v>323</v>
      </c>
      <c r="D590" s="16" t="s">
        <v>324</v>
      </c>
      <c r="E590" s="16" t="s">
        <v>404</v>
      </c>
      <c r="F590" s="16" t="s">
        <v>401</v>
      </c>
      <c r="G590" s="16">
        <v>0.6</v>
      </c>
      <c r="H590" s="16">
        <v>2606</v>
      </c>
      <c r="I590" s="16">
        <v>110</v>
      </c>
      <c r="J590" s="16">
        <v>109</v>
      </c>
      <c r="K590" s="16">
        <v>5.28529606218325E-3</v>
      </c>
      <c r="L590" s="16">
        <v>1.9008809587515899E-2</v>
      </c>
      <c r="M590" s="16">
        <v>0.27804455812185003</v>
      </c>
      <c r="N590" s="16">
        <v>11.458721156726099</v>
      </c>
      <c r="O590" s="16">
        <v>0.78593132148840605</v>
      </c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 t="s">
        <v>402</v>
      </c>
      <c r="AI590" s="16"/>
      <c r="AJ590" s="16" t="s">
        <v>1132</v>
      </c>
    </row>
    <row r="591" spans="1:36" ht="15" customHeight="1" x14ac:dyDescent="0.3">
      <c r="A591" s="16" t="s">
        <v>273</v>
      </c>
      <c r="B591" s="16" t="s">
        <v>733</v>
      </c>
      <c r="C591" s="16" t="s">
        <v>323</v>
      </c>
      <c r="D591" s="16" t="s">
        <v>324</v>
      </c>
      <c r="E591" s="16" t="s">
        <v>404</v>
      </c>
      <c r="F591" s="16" t="s">
        <v>401</v>
      </c>
      <c r="G591" s="16">
        <v>0.6</v>
      </c>
      <c r="H591" s="16">
        <v>2606</v>
      </c>
      <c r="I591" s="16">
        <v>110</v>
      </c>
      <c r="J591" s="16">
        <v>109</v>
      </c>
      <c r="K591" s="16">
        <v>-1.8972559153876099E-2</v>
      </c>
      <c r="L591" s="16">
        <v>2.2070812910471398E-2</v>
      </c>
      <c r="M591" s="16">
        <v>-0.85962212768677104</v>
      </c>
      <c r="N591" s="16">
        <v>37.241766777951803</v>
      </c>
      <c r="O591" s="16">
        <v>0.39549726439584598</v>
      </c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 t="s">
        <v>402</v>
      </c>
      <c r="AI591" s="16"/>
      <c r="AJ591" s="16" t="s">
        <v>1133</v>
      </c>
    </row>
    <row r="592" spans="1:36" ht="15" customHeight="1" x14ac:dyDescent="0.3">
      <c r="A592" s="16" t="s">
        <v>273</v>
      </c>
      <c r="B592" s="16" t="s">
        <v>735</v>
      </c>
      <c r="C592" s="16" t="s">
        <v>323</v>
      </c>
      <c r="D592" s="16" t="s">
        <v>324</v>
      </c>
      <c r="E592" s="16" t="s">
        <v>404</v>
      </c>
      <c r="F592" s="16" t="s">
        <v>401</v>
      </c>
      <c r="G592" s="16">
        <v>0.6</v>
      </c>
      <c r="H592" s="16">
        <v>2606</v>
      </c>
      <c r="I592" s="16">
        <v>110</v>
      </c>
      <c r="J592" s="16">
        <v>109</v>
      </c>
      <c r="K592" s="16">
        <v>3.4921173569638598E-3</v>
      </c>
      <c r="L592" s="16">
        <v>1.9382620625286499E-2</v>
      </c>
      <c r="M592" s="16">
        <v>0.18016745126858899</v>
      </c>
      <c r="N592" s="16">
        <v>10.1580105557053</v>
      </c>
      <c r="O592" s="16">
        <v>0.86056470568939203</v>
      </c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 t="s">
        <v>402</v>
      </c>
      <c r="AI592" s="16"/>
      <c r="AJ592" s="16" t="s">
        <v>1134</v>
      </c>
    </row>
    <row r="593" spans="1:36" ht="15" customHeight="1" x14ac:dyDescent="0.3">
      <c r="A593" s="16" t="s">
        <v>273</v>
      </c>
      <c r="B593" s="16" t="s">
        <v>737</v>
      </c>
      <c r="C593" s="16" t="s">
        <v>323</v>
      </c>
      <c r="D593" s="16" t="s">
        <v>324</v>
      </c>
      <c r="E593" s="16" t="s">
        <v>404</v>
      </c>
      <c r="F593" s="16" t="s">
        <v>401</v>
      </c>
      <c r="G593" s="16">
        <v>0.6</v>
      </c>
      <c r="H593" s="16">
        <v>2606</v>
      </c>
      <c r="I593" s="16">
        <v>110</v>
      </c>
      <c r="J593" s="16">
        <v>109</v>
      </c>
      <c r="K593" s="16">
        <v>-3.6961015022444399E-3</v>
      </c>
      <c r="L593" s="16">
        <v>2.2986352047155E-2</v>
      </c>
      <c r="M593" s="16">
        <v>-0.16079547962469801</v>
      </c>
      <c r="N593" s="16">
        <v>18.9435689914751</v>
      </c>
      <c r="O593" s="16">
        <v>0.87395684995739598</v>
      </c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 t="s">
        <v>402</v>
      </c>
      <c r="AI593" s="16"/>
      <c r="AJ593" s="16" t="s">
        <v>1135</v>
      </c>
    </row>
    <row r="594" spans="1:36" ht="15" customHeight="1" x14ac:dyDescent="0.3">
      <c r="A594" s="16" t="s">
        <v>273</v>
      </c>
      <c r="B594" s="16" t="s">
        <v>739</v>
      </c>
      <c r="C594" s="16" t="s">
        <v>323</v>
      </c>
      <c r="D594" s="16" t="s">
        <v>324</v>
      </c>
      <c r="E594" s="16" t="s">
        <v>404</v>
      </c>
      <c r="F594" s="16" t="s">
        <v>401</v>
      </c>
      <c r="G594" s="16">
        <v>0.6</v>
      </c>
      <c r="H594" s="16">
        <v>2606</v>
      </c>
      <c r="I594" s="16">
        <v>110</v>
      </c>
      <c r="J594" s="16">
        <v>109</v>
      </c>
      <c r="K594" s="16">
        <v>-3.0760343577037699E-3</v>
      </c>
      <c r="L594" s="16">
        <v>2.3553200708286499E-2</v>
      </c>
      <c r="M594" s="16">
        <v>-0.130599420257203</v>
      </c>
      <c r="N594" s="16">
        <v>15.5611662311234</v>
      </c>
      <c r="O594" s="16">
        <v>0.897765615544312</v>
      </c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 t="s">
        <v>402</v>
      </c>
      <c r="AI594" s="16"/>
      <c r="AJ594" s="16" t="s">
        <v>1136</v>
      </c>
    </row>
    <row r="595" spans="1:36" ht="15" customHeight="1" x14ac:dyDescent="0.3">
      <c r="A595" s="16" t="s">
        <v>273</v>
      </c>
      <c r="B595" s="16" t="s">
        <v>741</v>
      </c>
      <c r="C595" s="16" t="s">
        <v>323</v>
      </c>
      <c r="D595" s="16" t="s">
        <v>324</v>
      </c>
      <c r="E595" s="16" t="s">
        <v>404</v>
      </c>
      <c r="F595" s="16" t="s">
        <v>401</v>
      </c>
      <c r="G595" s="16">
        <v>0.6</v>
      </c>
      <c r="H595" s="16">
        <v>2606</v>
      </c>
      <c r="I595" s="16">
        <v>110</v>
      </c>
      <c r="J595" s="16">
        <v>109</v>
      </c>
      <c r="K595" s="16">
        <v>-1.2937436338484201E-2</v>
      </c>
      <c r="L595" s="16">
        <v>2.2581801631005999E-2</v>
      </c>
      <c r="M595" s="16">
        <v>-0.57291426742144302</v>
      </c>
      <c r="N595" s="16">
        <v>15.618439183587199</v>
      </c>
      <c r="O595" s="16">
        <v>0.57485892905629998</v>
      </c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 t="s">
        <v>402</v>
      </c>
      <c r="AI595" s="16"/>
      <c r="AJ595" s="16" t="s">
        <v>1137</v>
      </c>
    </row>
    <row r="596" spans="1:36" ht="15" customHeight="1" x14ac:dyDescent="0.3">
      <c r="A596" s="16" t="s">
        <v>273</v>
      </c>
      <c r="B596" s="16" t="s">
        <v>743</v>
      </c>
      <c r="C596" s="16" t="s">
        <v>323</v>
      </c>
      <c r="D596" s="16" t="s">
        <v>324</v>
      </c>
      <c r="E596" s="16" t="s">
        <v>404</v>
      </c>
      <c r="F596" s="16" t="s">
        <v>401</v>
      </c>
      <c r="G596" s="16">
        <v>0.6</v>
      </c>
      <c r="H596" s="16">
        <v>2606</v>
      </c>
      <c r="I596" s="16">
        <v>110</v>
      </c>
      <c r="J596" s="16">
        <v>109</v>
      </c>
      <c r="K596" s="16">
        <v>3.5930779175937802E-2</v>
      </c>
      <c r="L596" s="16">
        <v>2.7421061724010001E-2</v>
      </c>
      <c r="M596" s="16">
        <v>1.3103350824843001</v>
      </c>
      <c r="N596" s="16">
        <v>19.442036313912698</v>
      </c>
      <c r="O596" s="16">
        <v>0.20535262058292</v>
      </c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 t="s">
        <v>402</v>
      </c>
      <c r="AI596" s="16"/>
      <c r="AJ596" s="16" t="s">
        <v>1138</v>
      </c>
    </row>
    <row r="597" spans="1:36" ht="15" customHeight="1" x14ac:dyDescent="0.3">
      <c r="A597" s="16" t="s">
        <v>273</v>
      </c>
      <c r="B597" s="16" t="s">
        <v>745</v>
      </c>
      <c r="C597" s="16" t="s">
        <v>323</v>
      </c>
      <c r="D597" s="16" t="s">
        <v>324</v>
      </c>
      <c r="E597" s="16" t="s">
        <v>404</v>
      </c>
      <c r="F597" s="16" t="s">
        <v>401</v>
      </c>
      <c r="G597" s="16">
        <v>0.6</v>
      </c>
      <c r="H597" s="16">
        <v>2606</v>
      </c>
      <c r="I597" s="16">
        <v>110</v>
      </c>
      <c r="J597" s="16">
        <v>109</v>
      </c>
      <c r="K597" s="16">
        <v>1.8025671127999299E-2</v>
      </c>
      <c r="L597" s="16">
        <v>2.2712169615607999E-2</v>
      </c>
      <c r="M597" s="16">
        <v>0.79365694396768804</v>
      </c>
      <c r="N597" s="16">
        <v>20.023351176319501</v>
      </c>
      <c r="O597" s="16">
        <v>0.43670006433523201</v>
      </c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 t="s">
        <v>402</v>
      </c>
      <c r="AI597" s="16"/>
      <c r="AJ597" s="16" t="s">
        <v>1139</v>
      </c>
    </row>
    <row r="598" spans="1:36" ht="15" customHeight="1" x14ac:dyDescent="0.3">
      <c r="A598" s="16" t="s">
        <v>273</v>
      </c>
      <c r="B598" s="16" t="s">
        <v>747</v>
      </c>
      <c r="C598" s="16" t="s">
        <v>323</v>
      </c>
      <c r="D598" s="16" t="s">
        <v>324</v>
      </c>
      <c r="E598" s="16" t="s">
        <v>404</v>
      </c>
      <c r="F598" s="16" t="s">
        <v>401</v>
      </c>
      <c r="G598" s="16">
        <v>0.6</v>
      </c>
      <c r="H598" s="16">
        <v>905</v>
      </c>
      <c r="I598" s="16">
        <v>38</v>
      </c>
      <c r="J598" s="16">
        <v>38</v>
      </c>
      <c r="K598" s="16">
        <v>-2.02686992743581E-2</v>
      </c>
      <c r="L598" s="16">
        <v>1.8409362922757602E-2</v>
      </c>
      <c r="M598" s="16">
        <v>-1.10099949462684</v>
      </c>
      <c r="N598" s="16">
        <v>24.158226288565501</v>
      </c>
      <c r="O598" s="16">
        <v>0.28174643543080902</v>
      </c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 t="s">
        <v>402</v>
      </c>
      <c r="AI598" s="16"/>
      <c r="AJ598" s="16" t="s">
        <v>1140</v>
      </c>
    </row>
    <row r="599" spans="1:36" ht="15" customHeight="1" x14ac:dyDescent="0.3">
      <c r="A599" s="16" t="s">
        <v>273</v>
      </c>
      <c r="B599" s="16" t="s">
        <v>749</v>
      </c>
      <c r="C599" s="16" t="s">
        <v>323</v>
      </c>
      <c r="D599" s="16" t="s">
        <v>324</v>
      </c>
      <c r="E599" s="16" t="s">
        <v>404</v>
      </c>
      <c r="F599" s="16" t="s">
        <v>401</v>
      </c>
      <c r="G599" s="16">
        <v>0.6</v>
      </c>
      <c r="H599" s="16">
        <v>2593</v>
      </c>
      <c r="I599" s="16">
        <v>110</v>
      </c>
      <c r="J599" s="16">
        <v>109</v>
      </c>
      <c r="K599" s="16">
        <v>-1.8141814086418E-2</v>
      </c>
      <c r="L599" s="16">
        <v>1.12158202240641E-2</v>
      </c>
      <c r="M599" s="16">
        <v>-1.6175200497145901</v>
      </c>
      <c r="N599" s="16">
        <v>37.781563657518703</v>
      </c>
      <c r="O599" s="16">
        <v>0.114085979944578</v>
      </c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 t="s">
        <v>402</v>
      </c>
      <c r="AI599" s="16"/>
      <c r="AJ599" s="16" t="s">
        <v>1141</v>
      </c>
    </row>
    <row r="600" spans="1:36" ht="15" customHeight="1" x14ac:dyDescent="0.3">
      <c r="A600" s="16" t="s">
        <v>273</v>
      </c>
      <c r="B600" s="16" t="s">
        <v>751</v>
      </c>
      <c r="C600" s="16" t="s">
        <v>323</v>
      </c>
      <c r="D600" s="16" t="s">
        <v>324</v>
      </c>
      <c r="E600" s="16" t="s">
        <v>404</v>
      </c>
      <c r="F600" s="16" t="s">
        <v>401</v>
      </c>
      <c r="G600" s="16">
        <v>0.6</v>
      </c>
      <c r="H600" s="16">
        <v>2593</v>
      </c>
      <c r="I600" s="16">
        <v>110</v>
      </c>
      <c r="J600" s="16">
        <v>109</v>
      </c>
      <c r="K600" s="16">
        <v>-1.7197228597813301E-2</v>
      </c>
      <c r="L600" s="16">
        <v>1.18968729856031E-2</v>
      </c>
      <c r="M600" s="16">
        <v>-1.4455251071961801</v>
      </c>
      <c r="N600" s="16">
        <v>28.765768099244799</v>
      </c>
      <c r="O600" s="16">
        <v>0.15911783288887801</v>
      </c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 t="s">
        <v>402</v>
      </c>
      <c r="AI600" s="16"/>
      <c r="AJ600" s="16" t="s">
        <v>1142</v>
      </c>
    </row>
    <row r="601" spans="1:36" ht="15" customHeight="1" x14ac:dyDescent="0.3">
      <c r="A601" s="16" t="s">
        <v>273</v>
      </c>
      <c r="B601" s="16" t="s">
        <v>753</v>
      </c>
      <c r="C601" s="16" t="s">
        <v>323</v>
      </c>
      <c r="D601" s="16" t="s">
        <v>324</v>
      </c>
      <c r="E601" s="16" t="s">
        <v>404</v>
      </c>
      <c r="F601" s="16" t="s">
        <v>401</v>
      </c>
      <c r="G601" s="16">
        <v>0.6</v>
      </c>
      <c r="H601" s="16">
        <v>2593</v>
      </c>
      <c r="I601" s="16">
        <v>110</v>
      </c>
      <c r="J601" s="16">
        <v>109</v>
      </c>
      <c r="K601" s="16">
        <v>-5.3698720791527099E-4</v>
      </c>
      <c r="L601" s="16">
        <v>1.1626541165885801E-2</v>
      </c>
      <c r="M601" s="16">
        <v>-4.61863249141439E-2</v>
      </c>
      <c r="N601" s="16">
        <v>31.6703445863197</v>
      </c>
      <c r="O601" s="16">
        <v>0.96345175385205095</v>
      </c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 t="s">
        <v>402</v>
      </c>
      <c r="AI601" s="16"/>
      <c r="AJ601" s="16" t="s">
        <v>1143</v>
      </c>
    </row>
    <row r="602" spans="1:36" ht="15" customHeight="1" x14ac:dyDescent="0.3">
      <c r="A602" s="16" t="s">
        <v>273</v>
      </c>
      <c r="B602" s="16" t="s">
        <v>755</v>
      </c>
      <c r="C602" s="16" t="s">
        <v>323</v>
      </c>
      <c r="D602" s="16" t="s">
        <v>324</v>
      </c>
      <c r="E602" s="16" t="s">
        <v>404</v>
      </c>
      <c r="F602" s="16" t="s">
        <v>401</v>
      </c>
      <c r="G602" s="16">
        <v>0.6</v>
      </c>
      <c r="H602" s="16">
        <v>2593</v>
      </c>
      <c r="I602" s="16">
        <v>110</v>
      </c>
      <c r="J602" s="16">
        <v>109</v>
      </c>
      <c r="K602" s="16">
        <v>-1.7775302424005601E-2</v>
      </c>
      <c r="L602" s="16">
        <v>1.24448762248284E-2</v>
      </c>
      <c r="M602" s="16">
        <v>-1.42832295821011</v>
      </c>
      <c r="N602" s="16">
        <v>25.070057711143601</v>
      </c>
      <c r="O602" s="16">
        <v>0.16553965615409799</v>
      </c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 t="s">
        <v>402</v>
      </c>
      <c r="AI602" s="16"/>
      <c r="AJ602" s="16" t="s">
        <v>1144</v>
      </c>
    </row>
    <row r="603" spans="1:36" ht="15" customHeight="1" x14ac:dyDescent="0.3">
      <c r="A603" s="16" t="s">
        <v>273</v>
      </c>
      <c r="B603" s="16" t="s">
        <v>757</v>
      </c>
      <c r="C603" s="16" t="s">
        <v>323</v>
      </c>
      <c r="D603" s="16" t="s">
        <v>324</v>
      </c>
      <c r="E603" s="16" t="s">
        <v>404</v>
      </c>
      <c r="F603" s="16" t="s">
        <v>401</v>
      </c>
      <c r="G603" s="16">
        <v>0.6</v>
      </c>
      <c r="H603" s="16">
        <v>2593</v>
      </c>
      <c r="I603" s="16">
        <v>110</v>
      </c>
      <c r="J603" s="16">
        <v>109</v>
      </c>
      <c r="K603" s="16">
        <v>-2.01843195784395E-2</v>
      </c>
      <c r="L603" s="16">
        <v>1.49799765583157E-2</v>
      </c>
      <c r="M603" s="16">
        <v>-1.34741997091008</v>
      </c>
      <c r="N603" s="16">
        <v>18.132671939948299</v>
      </c>
      <c r="O603" s="16">
        <v>0.194441916756802</v>
      </c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 t="s">
        <v>402</v>
      </c>
      <c r="AI603" s="16"/>
      <c r="AJ603" s="16" t="s">
        <v>1145</v>
      </c>
    </row>
    <row r="604" spans="1:36" ht="15" customHeight="1" x14ac:dyDescent="0.3">
      <c r="A604" s="16" t="s">
        <v>273</v>
      </c>
      <c r="B604" s="16" t="s">
        <v>759</v>
      </c>
      <c r="C604" s="16" t="s">
        <v>323</v>
      </c>
      <c r="D604" s="16" t="s">
        <v>324</v>
      </c>
      <c r="E604" s="16" t="s">
        <v>404</v>
      </c>
      <c r="F604" s="16" t="s">
        <v>401</v>
      </c>
      <c r="G604" s="16">
        <v>0.6</v>
      </c>
      <c r="H604" s="16">
        <v>2593</v>
      </c>
      <c r="I604" s="16">
        <v>110</v>
      </c>
      <c r="J604" s="16">
        <v>109</v>
      </c>
      <c r="K604" s="16">
        <v>-2.02844626758703E-2</v>
      </c>
      <c r="L604" s="16">
        <v>1.6150011733711798E-2</v>
      </c>
      <c r="M604" s="16">
        <v>-1.2560029683153899</v>
      </c>
      <c r="N604" s="16">
        <v>14.8843676719633</v>
      </c>
      <c r="O604" s="16">
        <v>0.228472744332406</v>
      </c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 t="s">
        <v>402</v>
      </c>
      <c r="AI604" s="16"/>
      <c r="AJ604" s="16" t="s">
        <v>1146</v>
      </c>
    </row>
    <row r="605" spans="1:36" ht="15" customHeight="1" x14ac:dyDescent="0.3">
      <c r="A605" s="16" t="s">
        <v>273</v>
      </c>
      <c r="B605" s="16" t="s">
        <v>761</v>
      </c>
      <c r="C605" s="16" t="s">
        <v>323</v>
      </c>
      <c r="D605" s="16" t="s">
        <v>324</v>
      </c>
      <c r="E605" s="16" t="s">
        <v>404</v>
      </c>
      <c r="F605" s="16" t="s">
        <v>401</v>
      </c>
      <c r="G605" s="16">
        <v>0.6</v>
      </c>
      <c r="H605" s="16">
        <v>2593</v>
      </c>
      <c r="I605" s="16">
        <v>110</v>
      </c>
      <c r="J605" s="16">
        <v>109</v>
      </c>
      <c r="K605" s="16">
        <v>-2.8601627694521499E-3</v>
      </c>
      <c r="L605" s="16">
        <v>1.0309965296994799E-2</v>
      </c>
      <c r="M605" s="16">
        <v>-0.27741730326539898</v>
      </c>
      <c r="N605" s="16">
        <v>39.102672023617401</v>
      </c>
      <c r="O605" s="16">
        <v>0.78292113155689103</v>
      </c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 t="s">
        <v>402</v>
      </c>
      <c r="AI605" s="16"/>
      <c r="AJ605" s="16" t="s">
        <v>1147</v>
      </c>
    </row>
    <row r="606" spans="1:36" ht="15" customHeight="1" x14ac:dyDescent="0.3">
      <c r="A606" s="16" t="s">
        <v>273</v>
      </c>
      <c r="B606" s="16" t="s">
        <v>763</v>
      </c>
      <c r="C606" s="16" t="s">
        <v>323</v>
      </c>
      <c r="D606" s="16" t="s">
        <v>324</v>
      </c>
      <c r="E606" s="16" t="s">
        <v>404</v>
      </c>
      <c r="F606" s="16" t="s">
        <v>401</v>
      </c>
      <c r="G606" s="16">
        <v>0.6</v>
      </c>
      <c r="H606" s="16">
        <v>2593</v>
      </c>
      <c r="I606" s="16">
        <v>110</v>
      </c>
      <c r="J606" s="16">
        <v>109</v>
      </c>
      <c r="K606" s="16">
        <v>6.7461102090687298E-3</v>
      </c>
      <c r="L606" s="16">
        <v>9.6001981972486002E-3</v>
      </c>
      <c r="M606" s="16">
        <v>0.70270530570943401</v>
      </c>
      <c r="N606" s="16">
        <v>52.943022428961903</v>
      </c>
      <c r="O606" s="16">
        <v>0.485317871588897</v>
      </c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 t="s">
        <v>402</v>
      </c>
      <c r="AI606" s="16"/>
      <c r="AJ606" s="16" t="s">
        <v>1148</v>
      </c>
    </row>
    <row r="607" spans="1:36" ht="15" customHeight="1" x14ac:dyDescent="0.3">
      <c r="A607" s="16" t="s">
        <v>273</v>
      </c>
      <c r="B607" s="16" t="s">
        <v>765</v>
      </c>
      <c r="C607" s="16" t="s">
        <v>323</v>
      </c>
      <c r="D607" s="16" t="s">
        <v>324</v>
      </c>
      <c r="E607" s="16" t="s">
        <v>404</v>
      </c>
      <c r="F607" s="16" t="s">
        <v>401</v>
      </c>
      <c r="G607" s="16">
        <v>0.6</v>
      </c>
      <c r="H607" s="16">
        <v>2593</v>
      </c>
      <c r="I607" s="16">
        <v>110</v>
      </c>
      <c r="J607" s="16">
        <v>109</v>
      </c>
      <c r="K607" s="16">
        <v>-4.4216092314991904E-3</v>
      </c>
      <c r="L607" s="16">
        <v>9.7031925280724202E-3</v>
      </c>
      <c r="M607" s="16">
        <v>-0.45568602485284898</v>
      </c>
      <c r="N607" s="16">
        <v>61.263658860072802</v>
      </c>
      <c r="O607" s="16">
        <v>0.65022687051829198</v>
      </c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 t="s">
        <v>402</v>
      </c>
      <c r="AI607" s="16"/>
      <c r="AJ607" s="16" t="s">
        <v>1149</v>
      </c>
    </row>
    <row r="608" spans="1:36" ht="15" customHeight="1" x14ac:dyDescent="0.3">
      <c r="A608" s="16" t="s">
        <v>273</v>
      </c>
      <c r="B608" s="16" t="s">
        <v>767</v>
      </c>
      <c r="C608" s="16" t="s">
        <v>323</v>
      </c>
      <c r="D608" s="16" t="s">
        <v>324</v>
      </c>
      <c r="E608" s="16" t="s">
        <v>404</v>
      </c>
      <c r="F608" s="16" t="s">
        <v>401</v>
      </c>
      <c r="G608" s="16">
        <v>0.6</v>
      </c>
      <c r="H608" s="16">
        <v>900</v>
      </c>
      <c r="I608" s="16">
        <v>38</v>
      </c>
      <c r="J608" s="16">
        <v>38</v>
      </c>
      <c r="K608" s="16">
        <v>-2.89602814911331E-2</v>
      </c>
      <c r="L608" s="16">
        <v>2.0100495005164101E-2</v>
      </c>
      <c r="M608" s="16">
        <v>-1.4407745423031999</v>
      </c>
      <c r="N608" s="16">
        <v>24.710336022039002</v>
      </c>
      <c r="O608" s="16">
        <v>0.16220060136227499</v>
      </c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 t="s">
        <v>402</v>
      </c>
      <c r="AI608" s="16"/>
      <c r="AJ608" s="16" t="s">
        <v>1150</v>
      </c>
    </row>
    <row r="609" spans="1:36" ht="15" customHeight="1" x14ac:dyDescent="0.3">
      <c r="A609" s="16" t="s">
        <v>273</v>
      </c>
      <c r="B609" s="16" t="s">
        <v>769</v>
      </c>
      <c r="C609" s="16" t="s">
        <v>323</v>
      </c>
      <c r="D609" s="16" t="s">
        <v>324</v>
      </c>
      <c r="E609" s="16" t="s">
        <v>404</v>
      </c>
      <c r="F609" s="16" t="s">
        <v>401</v>
      </c>
      <c r="G609" s="16">
        <v>0.6</v>
      </c>
      <c r="H609" s="16">
        <v>2606</v>
      </c>
      <c r="I609" s="16">
        <v>110</v>
      </c>
      <c r="J609" s="16">
        <v>109</v>
      </c>
      <c r="K609" s="16">
        <v>-1.4180456060226001E-2</v>
      </c>
      <c r="L609" s="16">
        <v>1.17322978048087E-2</v>
      </c>
      <c r="M609" s="16">
        <v>-1.20866826738866</v>
      </c>
      <c r="N609" s="16">
        <v>32.930251330121898</v>
      </c>
      <c r="O609" s="16">
        <v>0.235397934969509</v>
      </c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 t="s">
        <v>402</v>
      </c>
      <c r="AI609" s="16"/>
      <c r="AJ609" s="16" t="s">
        <v>1151</v>
      </c>
    </row>
    <row r="610" spans="1:36" ht="15" customHeight="1" x14ac:dyDescent="0.3">
      <c r="A610" s="16" t="s">
        <v>273</v>
      </c>
      <c r="B610" s="16" t="s">
        <v>771</v>
      </c>
      <c r="C610" s="16" t="s">
        <v>323</v>
      </c>
      <c r="D610" s="16" t="s">
        <v>324</v>
      </c>
      <c r="E610" s="16" t="s">
        <v>404</v>
      </c>
      <c r="F610" s="16" t="s">
        <v>401</v>
      </c>
      <c r="G610" s="16">
        <v>0.6</v>
      </c>
      <c r="H610" s="16">
        <v>2606</v>
      </c>
      <c r="I610" s="16">
        <v>110</v>
      </c>
      <c r="J610" s="16">
        <v>109</v>
      </c>
      <c r="K610" s="16">
        <v>-1.22545466406373E-2</v>
      </c>
      <c r="L610" s="16">
        <v>1.21817644563754E-2</v>
      </c>
      <c r="M610" s="16">
        <v>-1.0059746832671499</v>
      </c>
      <c r="N610" s="16">
        <v>25.282956176680901</v>
      </c>
      <c r="O610" s="16">
        <v>0.32395908725686601</v>
      </c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 t="s">
        <v>402</v>
      </c>
      <c r="AI610" s="16"/>
      <c r="AJ610" s="16" t="s">
        <v>1152</v>
      </c>
    </row>
    <row r="611" spans="1:36" ht="15" customHeight="1" x14ac:dyDescent="0.3">
      <c r="A611" s="16" t="s">
        <v>273</v>
      </c>
      <c r="B611" s="16" t="s">
        <v>773</v>
      </c>
      <c r="C611" s="16" t="s">
        <v>323</v>
      </c>
      <c r="D611" s="16" t="s">
        <v>324</v>
      </c>
      <c r="E611" s="16" t="s">
        <v>404</v>
      </c>
      <c r="F611" s="16" t="s">
        <v>401</v>
      </c>
      <c r="G611" s="16">
        <v>0.6</v>
      </c>
      <c r="H611" s="16">
        <v>2606</v>
      </c>
      <c r="I611" s="16">
        <v>110</v>
      </c>
      <c r="J611" s="16">
        <v>109</v>
      </c>
      <c r="K611" s="16">
        <v>7.6884871300575397E-4</v>
      </c>
      <c r="L611" s="16">
        <v>1.1517091182828201E-2</v>
      </c>
      <c r="M611" s="16">
        <v>6.6757195962127897E-2</v>
      </c>
      <c r="N611" s="16">
        <v>32.393927528303401</v>
      </c>
      <c r="O611" s="16">
        <v>0.94718532670554501</v>
      </c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 t="s">
        <v>402</v>
      </c>
      <c r="AI611" s="16"/>
      <c r="AJ611" s="16" t="s">
        <v>1153</v>
      </c>
    </row>
    <row r="612" spans="1:36" ht="15" customHeight="1" x14ac:dyDescent="0.3">
      <c r="A612" s="16" t="s">
        <v>273</v>
      </c>
      <c r="B612" s="16" t="s">
        <v>775</v>
      </c>
      <c r="C612" s="16" t="s">
        <v>323</v>
      </c>
      <c r="D612" s="16" t="s">
        <v>324</v>
      </c>
      <c r="E612" s="16" t="s">
        <v>404</v>
      </c>
      <c r="F612" s="16" t="s">
        <v>401</v>
      </c>
      <c r="G612" s="16">
        <v>0.6</v>
      </c>
      <c r="H612" s="16">
        <v>2606</v>
      </c>
      <c r="I612" s="16">
        <v>110</v>
      </c>
      <c r="J612" s="16">
        <v>109</v>
      </c>
      <c r="K612" s="16">
        <v>-1.3033714406298001E-2</v>
      </c>
      <c r="L612" s="16">
        <v>1.2776855806422301E-2</v>
      </c>
      <c r="M612" s="16">
        <v>-1.0201034279299399</v>
      </c>
      <c r="N612" s="16">
        <v>22.044261789945399</v>
      </c>
      <c r="O612" s="16">
        <v>0.318744907551746</v>
      </c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 t="s">
        <v>402</v>
      </c>
      <c r="AI612" s="16"/>
      <c r="AJ612" s="16" t="s">
        <v>1154</v>
      </c>
    </row>
    <row r="613" spans="1:36" ht="15" customHeight="1" x14ac:dyDescent="0.3">
      <c r="A613" s="16" t="s">
        <v>273</v>
      </c>
      <c r="B613" s="16" t="s">
        <v>777</v>
      </c>
      <c r="C613" s="16" t="s">
        <v>323</v>
      </c>
      <c r="D613" s="16" t="s">
        <v>324</v>
      </c>
      <c r="E613" s="16" t="s">
        <v>404</v>
      </c>
      <c r="F613" s="16" t="s">
        <v>401</v>
      </c>
      <c r="G613" s="16">
        <v>0.6</v>
      </c>
      <c r="H613" s="16">
        <v>2606</v>
      </c>
      <c r="I613" s="16">
        <v>110</v>
      </c>
      <c r="J613" s="16">
        <v>109</v>
      </c>
      <c r="K613" s="16">
        <v>-1.63229889727547E-2</v>
      </c>
      <c r="L613" s="16">
        <v>1.5007075927601501E-2</v>
      </c>
      <c r="M613" s="16">
        <v>-1.0876861722764299</v>
      </c>
      <c r="N613" s="16">
        <v>18.231225822025401</v>
      </c>
      <c r="O613" s="16">
        <v>0.29090472210735802</v>
      </c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 t="s">
        <v>402</v>
      </c>
      <c r="AI613" s="16"/>
      <c r="AJ613" s="16" t="s">
        <v>1155</v>
      </c>
    </row>
    <row r="614" spans="1:36" ht="15" customHeight="1" x14ac:dyDescent="0.3">
      <c r="A614" s="16" t="s">
        <v>273</v>
      </c>
      <c r="B614" s="16" t="s">
        <v>779</v>
      </c>
      <c r="C614" s="16" t="s">
        <v>323</v>
      </c>
      <c r="D614" s="16" t="s">
        <v>324</v>
      </c>
      <c r="E614" s="16" t="s">
        <v>404</v>
      </c>
      <c r="F614" s="16" t="s">
        <v>401</v>
      </c>
      <c r="G614" s="16">
        <v>0.6</v>
      </c>
      <c r="H614" s="16">
        <v>2606</v>
      </c>
      <c r="I614" s="16">
        <v>110</v>
      </c>
      <c r="J614" s="16">
        <v>109</v>
      </c>
      <c r="K614" s="16">
        <v>-1.62302678070722E-2</v>
      </c>
      <c r="L614" s="16">
        <v>1.6166203942446E-2</v>
      </c>
      <c r="M614" s="16">
        <v>-1.00396282670034</v>
      </c>
      <c r="N614" s="16">
        <v>14.9689911403915</v>
      </c>
      <c r="O614" s="16">
        <v>0.33135062919775599</v>
      </c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 t="s">
        <v>402</v>
      </c>
      <c r="AI614" s="16"/>
      <c r="AJ614" s="16" t="s">
        <v>1156</v>
      </c>
    </row>
    <row r="615" spans="1:36" ht="15" customHeight="1" x14ac:dyDescent="0.3">
      <c r="A615" s="16" t="s">
        <v>273</v>
      </c>
      <c r="B615" s="16" t="s">
        <v>781</v>
      </c>
      <c r="C615" s="16" t="s">
        <v>323</v>
      </c>
      <c r="D615" s="16" t="s">
        <v>324</v>
      </c>
      <c r="E615" s="16" t="s">
        <v>404</v>
      </c>
      <c r="F615" s="16" t="s">
        <v>401</v>
      </c>
      <c r="G615" s="16">
        <v>0.6</v>
      </c>
      <c r="H615" s="16">
        <v>2606</v>
      </c>
      <c r="I615" s="16">
        <v>110</v>
      </c>
      <c r="J615" s="16">
        <v>109</v>
      </c>
      <c r="K615" s="16">
        <v>8.41141279254574E-4</v>
      </c>
      <c r="L615" s="16">
        <v>1.0540492247816301E-2</v>
      </c>
      <c r="M615" s="16">
        <v>7.9800948521055404E-2</v>
      </c>
      <c r="N615" s="16">
        <v>34.048630733664503</v>
      </c>
      <c r="O615" s="16">
        <v>0.93686276727324502</v>
      </c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 t="s">
        <v>402</v>
      </c>
      <c r="AI615" s="16"/>
      <c r="AJ615" s="16" t="s">
        <v>1157</v>
      </c>
    </row>
    <row r="616" spans="1:36" ht="15" customHeight="1" x14ac:dyDescent="0.3">
      <c r="A616" s="16" t="s">
        <v>273</v>
      </c>
      <c r="B616" s="16" t="s">
        <v>783</v>
      </c>
      <c r="C616" s="16" t="s">
        <v>323</v>
      </c>
      <c r="D616" s="16" t="s">
        <v>324</v>
      </c>
      <c r="E616" s="16" t="s">
        <v>404</v>
      </c>
      <c r="F616" s="16" t="s">
        <v>401</v>
      </c>
      <c r="G616" s="16">
        <v>0.6</v>
      </c>
      <c r="H616" s="16">
        <v>2606</v>
      </c>
      <c r="I616" s="16">
        <v>110</v>
      </c>
      <c r="J616" s="16">
        <v>109</v>
      </c>
      <c r="K616" s="16">
        <v>1.39778606191454E-2</v>
      </c>
      <c r="L616" s="16">
        <v>9.8674158599565704E-3</v>
      </c>
      <c r="M616" s="16">
        <v>1.41656750029859</v>
      </c>
      <c r="N616" s="16">
        <v>45.9916946948996</v>
      </c>
      <c r="O616" s="16">
        <v>0.163347449135018</v>
      </c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 t="s">
        <v>402</v>
      </c>
      <c r="AI616" s="16"/>
      <c r="AJ616" s="16" t="s">
        <v>1158</v>
      </c>
    </row>
    <row r="617" spans="1:36" ht="15" customHeight="1" x14ac:dyDescent="0.3">
      <c r="A617" s="16" t="s">
        <v>273</v>
      </c>
      <c r="B617" s="16" t="s">
        <v>785</v>
      </c>
      <c r="C617" s="16" t="s">
        <v>323</v>
      </c>
      <c r="D617" s="16" t="s">
        <v>324</v>
      </c>
      <c r="E617" s="16" t="s">
        <v>404</v>
      </c>
      <c r="F617" s="16" t="s">
        <v>401</v>
      </c>
      <c r="G617" s="16">
        <v>0.6</v>
      </c>
      <c r="H617" s="16">
        <v>2606</v>
      </c>
      <c r="I617" s="16">
        <v>110</v>
      </c>
      <c r="J617" s="16">
        <v>109</v>
      </c>
      <c r="K617" s="16">
        <v>1.89143965135222E-3</v>
      </c>
      <c r="L617" s="16">
        <v>9.7646802511607497E-3</v>
      </c>
      <c r="M617" s="16">
        <v>0.19370215948723801</v>
      </c>
      <c r="N617" s="16">
        <v>51.766650837244498</v>
      </c>
      <c r="O617" s="16">
        <v>0.847167173123338</v>
      </c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 t="s">
        <v>402</v>
      </c>
      <c r="AI617" s="16"/>
      <c r="AJ617" s="16" t="s">
        <v>1159</v>
      </c>
    </row>
    <row r="618" spans="1:36" ht="15" customHeight="1" x14ac:dyDescent="0.3">
      <c r="A618" s="16" t="s">
        <v>273</v>
      </c>
      <c r="B618" s="16" t="s">
        <v>787</v>
      </c>
      <c r="C618" s="16" t="s">
        <v>323</v>
      </c>
      <c r="D618" s="16" t="s">
        <v>324</v>
      </c>
      <c r="E618" s="16" t="s">
        <v>404</v>
      </c>
      <c r="F618" s="16" t="s">
        <v>401</v>
      </c>
      <c r="G618" s="16">
        <v>0.6</v>
      </c>
      <c r="H618" s="16">
        <v>905</v>
      </c>
      <c r="I618" s="16">
        <v>38</v>
      </c>
      <c r="J618" s="16">
        <v>38</v>
      </c>
      <c r="K618" s="16">
        <v>-2.3249969534039901E-2</v>
      </c>
      <c r="L618" s="16">
        <v>1.9139983240671201E-2</v>
      </c>
      <c r="M618" s="16">
        <v>-1.2147330142189099</v>
      </c>
      <c r="N618" s="16">
        <v>24.536424177500901</v>
      </c>
      <c r="O618" s="16">
        <v>0.23602911007875499</v>
      </c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 t="s">
        <v>402</v>
      </c>
      <c r="AI618" s="16"/>
      <c r="AJ618" s="16" t="s">
        <v>1160</v>
      </c>
    </row>
    <row r="619" spans="1:36" ht="15" customHeight="1" x14ac:dyDescent="0.3">
      <c r="A619" s="16" t="s">
        <v>273</v>
      </c>
      <c r="B619" s="16" t="s">
        <v>322</v>
      </c>
      <c r="C619" s="16" t="s">
        <v>1161</v>
      </c>
      <c r="D619" s="16" t="s">
        <v>324</v>
      </c>
      <c r="E619" s="16" t="s">
        <v>404</v>
      </c>
      <c r="F619" s="16" t="s">
        <v>790</v>
      </c>
      <c r="G619" s="16">
        <v>0.6</v>
      </c>
      <c r="H619" s="16">
        <v>2705</v>
      </c>
      <c r="I619" s="16">
        <v>113</v>
      </c>
      <c r="J619" s="16">
        <v>112</v>
      </c>
      <c r="K619" s="16">
        <v>1.9532614193077402E-2</v>
      </c>
      <c r="L619" s="16">
        <v>5.5177802235501901E-2</v>
      </c>
      <c r="M619" s="16">
        <v>0.35399405923619698</v>
      </c>
      <c r="N619" s="16">
        <v>111</v>
      </c>
      <c r="O619" s="16">
        <v>0.72401487104236695</v>
      </c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 t="s">
        <v>402</v>
      </c>
      <c r="AI619" s="16"/>
      <c r="AJ619" s="16" t="s">
        <v>1162</v>
      </c>
    </row>
    <row r="620" spans="1:36" ht="15" customHeight="1" x14ac:dyDescent="0.3">
      <c r="A620" s="16" t="s">
        <v>273</v>
      </c>
      <c r="B620" s="16" t="s">
        <v>326</v>
      </c>
      <c r="C620" s="16" t="s">
        <v>1161</v>
      </c>
      <c r="D620" s="16" t="s">
        <v>324</v>
      </c>
      <c r="E620" s="16" t="s">
        <v>404</v>
      </c>
      <c r="F620" s="16" t="s">
        <v>790</v>
      </c>
      <c r="G620" s="16">
        <v>0.6</v>
      </c>
      <c r="H620" s="16">
        <v>2705</v>
      </c>
      <c r="I620" s="16">
        <v>113</v>
      </c>
      <c r="J620" s="16">
        <v>112</v>
      </c>
      <c r="K620" s="16">
        <v>4.9328077223993703E-3</v>
      </c>
      <c r="L620" s="16">
        <v>5.8534451776197198E-2</v>
      </c>
      <c r="M620" s="16">
        <v>8.4271870201495305E-2</v>
      </c>
      <c r="N620" s="16">
        <v>111</v>
      </c>
      <c r="O620" s="16">
        <v>0.93299207785346505</v>
      </c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 t="s">
        <v>402</v>
      </c>
      <c r="AI620" s="16"/>
      <c r="AJ620" s="16" t="s">
        <v>1163</v>
      </c>
    </row>
    <row r="621" spans="1:36" ht="15" customHeight="1" x14ac:dyDescent="0.3">
      <c r="A621" s="16" t="s">
        <v>273</v>
      </c>
      <c r="B621" s="16" t="s">
        <v>328</v>
      </c>
      <c r="C621" s="16" t="s">
        <v>1161</v>
      </c>
      <c r="D621" s="16" t="s">
        <v>324</v>
      </c>
      <c r="E621" s="16" t="s">
        <v>404</v>
      </c>
      <c r="F621" s="16" t="s">
        <v>790</v>
      </c>
      <c r="G621" s="16">
        <v>0.6</v>
      </c>
      <c r="H621" s="16">
        <v>2705</v>
      </c>
      <c r="I621" s="16">
        <v>113</v>
      </c>
      <c r="J621" s="16">
        <v>112</v>
      </c>
      <c r="K621" s="16">
        <v>-4.3996412416032603E-2</v>
      </c>
      <c r="L621" s="16">
        <v>5.8130638836226899E-2</v>
      </c>
      <c r="M621" s="16">
        <v>-0.756854101328301</v>
      </c>
      <c r="N621" s="16">
        <v>110</v>
      </c>
      <c r="O621" s="16">
        <v>0.45075533492473102</v>
      </c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 t="s">
        <v>402</v>
      </c>
      <c r="AI621" s="16"/>
      <c r="AJ621" s="16" t="s">
        <v>1164</v>
      </c>
    </row>
    <row r="622" spans="1:36" ht="15" customHeight="1" x14ac:dyDescent="0.3">
      <c r="A622" s="16" t="s">
        <v>273</v>
      </c>
      <c r="B622" s="16" t="s">
        <v>330</v>
      </c>
      <c r="C622" s="16" t="s">
        <v>1161</v>
      </c>
      <c r="D622" s="16" t="s">
        <v>324</v>
      </c>
      <c r="E622" s="16" t="s">
        <v>404</v>
      </c>
      <c r="F622" s="16" t="s">
        <v>790</v>
      </c>
      <c r="G622" s="16">
        <v>0.6</v>
      </c>
      <c r="H622" s="16">
        <v>2705</v>
      </c>
      <c r="I622" s="16">
        <v>113</v>
      </c>
      <c r="J622" s="16">
        <v>112</v>
      </c>
      <c r="K622" s="16">
        <v>5.89783741006704E-4</v>
      </c>
      <c r="L622" s="16">
        <v>6.1196924729755797E-2</v>
      </c>
      <c r="M622" s="16">
        <v>9.6374735104937902E-3</v>
      </c>
      <c r="N622" s="16">
        <v>111</v>
      </c>
      <c r="O622" s="16">
        <v>0.99232782769434003</v>
      </c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 t="s">
        <v>402</v>
      </c>
      <c r="AI622" s="16"/>
      <c r="AJ622" s="16" t="s">
        <v>1165</v>
      </c>
    </row>
    <row r="623" spans="1:36" ht="15" customHeight="1" x14ac:dyDescent="0.3">
      <c r="A623" s="16" t="s">
        <v>273</v>
      </c>
      <c r="B623" s="16" t="s">
        <v>332</v>
      </c>
      <c r="C623" s="16" t="s">
        <v>1161</v>
      </c>
      <c r="D623" s="16" t="s">
        <v>324</v>
      </c>
      <c r="E623" s="16" t="s">
        <v>404</v>
      </c>
      <c r="F623" s="16" t="s">
        <v>790</v>
      </c>
      <c r="G623" s="16">
        <v>0.6</v>
      </c>
      <c r="H623" s="16">
        <v>2705</v>
      </c>
      <c r="I623" s="16">
        <v>113</v>
      </c>
      <c r="J623" s="16">
        <v>112</v>
      </c>
      <c r="K623" s="16">
        <v>2.1485015790433701E-2</v>
      </c>
      <c r="L623" s="16">
        <v>7.29481750769745E-2</v>
      </c>
      <c r="M623" s="16">
        <v>0.29452437662440201</v>
      </c>
      <c r="N623" s="16">
        <v>110</v>
      </c>
      <c r="O623" s="16">
        <v>0.76891233346802801</v>
      </c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 t="s">
        <v>402</v>
      </c>
      <c r="AI623" s="16"/>
      <c r="AJ623" s="16" t="s">
        <v>1166</v>
      </c>
    </row>
    <row r="624" spans="1:36" ht="15" customHeight="1" x14ac:dyDescent="0.3">
      <c r="A624" s="16" t="s">
        <v>273</v>
      </c>
      <c r="B624" s="16" t="s">
        <v>334</v>
      </c>
      <c r="C624" s="16" t="s">
        <v>1161</v>
      </c>
      <c r="D624" s="16" t="s">
        <v>324</v>
      </c>
      <c r="E624" s="16" t="s">
        <v>404</v>
      </c>
      <c r="F624" s="16" t="s">
        <v>790</v>
      </c>
      <c r="G624" s="16">
        <v>0.6</v>
      </c>
      <c r="H624" s="16">
        <v>2705</v>
      </c>
      <c r="I624" s="16">
        <v>113</v>
      </c>
      <c r="J624" s="16">
        <v>112</v>
      </c>
      <c r="K624" s="16">
        <v>2.4732000324473698E-2</v>
      </c>
      <c r="L624" s="16">
        <v>7.75565967875263E-2</v>
      </c>
      <c r="M624" s="16">
        <v>0.31888970569749697</v>
      </c>
      <c r="N624" s="16">
        <v>110</v>
      </c>
      <c r="O624" s="16">
        <v>0.75041488701857795</v>
      </c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 t="s">
        <v>402</v>
      </c>
      <c r="AI624" s="16"/>
      <c r="AJ624" s="16" t="s">
        <v>1167</v>
      </c>
    </row>
    <row r="625" spans="1:36" ht="15" customHeight="1" x14ac:dyDescent="0.3">
      <c r="A625" s="16" t="s">
        <v>273</v>
      </c>
      <c r="B625" s="16" t="s">
        <v>336</v>
      </c>
      <c r="C625" s="16" t="s">
        <v>1161</v>
      </c>
      <c r="D625" s="16" t="s">
        <v>324</v>
      </c>
      <c r="E625" s="16" t="s">
        <v>404</v>
      </c>
      <c r="F625" s="16" t="s">
        <v>790</v>
      </c>
      <c r="G625" s="16">
        <v>0.6</v>
      </c>
      <c r="H625" s="16">
        <v>2705</v>
      </c>
      <c r="I625" s="16">
        <v>113</v>
      </c>
      <c r="J625" s="16">
        <v>112</v>
      </c>
      <c r="K625" s="16">
        <v>-5.0137178671860697E-2</v>
      </c>
      <c r="L625" s="16">
        <v>5.1690122532945401E-2</v>
      </c>
      <c r="M625" s="16">
        <v>-0.96995666125390201</v>
      </c>
      <c r="N625" s="16">
        <v>111</v>
      </c>
      <c r="O625" s="16">
        <v>0.33417690649062898</v>
      </c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 t="s">
        <v>402</v>
      </c>
      <c r="AI625" s="16"/>
      <c r="AJ625" s="16" t="s">
        <v>1168</v>
      </c>
    </row>
    <row r="626" spans="1:36" ht="15" customHeight="1" x14ac:dyDescent="0.3">
      <c r="A626" s="16" t="s">
        <v>273</v>
      </c>
      <c r="B626" s="16" t="s">
        <v>338</v>
      </c>
      <c r="C626" s="16" t="s">
        <v>1161</v>
      </c>
      <c r="D626" s="16" t="s">
        <v>324</v>
      </c>
      <c r="E626" s="16" t="s">
        <v>404</v>
      </c>
      <c r="F626" s="16" t="s">
        <v>790</v>
      </c>
      <c r="G626" s="16">
        <v>0.6</v>
      </c>
      <c r="H626" s="16">
        <v>2705</v>
      </c>
      <c r="I626" s="16">
        <v>113</v>
      </c>
      <c r="J626" s="16">
        <v>112</v>
      </c>
      <c r="K626" s="16">
        <v>3.2254373586767998E-2</v>
      </c>
      <c r="L626" s="16">
        <v>4.9555392210890302E-2</v>
      </c>
      <c r="M626" s="16">
        <v>0.65087515500845505</v>
      </c>
      <c r="N626" s="16">
        <v>111</v>
      </c>
      <c r="O626" s="16">
        <v>0.51647218028488795</v>
      </c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 t="s">
        <v>402</v>
      </c>
      <c r="AI626" s="16"/>
      <c r="AJ626" s="16" t="s">
        <v>1169</v>
      </c>
    </row>
    <row r="627" spans="1:36" ht="15" customHeight="1" x14ac:dyDescent="0.3">
      <c r="A627" s="16" t="s">
        <v>273</v>
      </c>
      <c r="B627" s="16" t="s">
        <v>340</v>
      </c>
      <c r="C627" s="16" t="s">
        <v>1161</v>
      </c>
      <c r="D627" s="16" t="s">
        <v>324</v>
      </c>
      <c r="E627" s="16" t="s">
        <v>404</v>
      </c>
      <c r="F627" s="16" t="s">
        <v>790</v>
      </c>
      <c r="G627" s="16">
        <v>0.6</v>
      </c>
      <c r="H627" s="16">
        <v>2705</v>
      </c>
      <c r="I627" s="16">
        <v>113</v>
      </c>
      <c r="J627" s="16">
        <v>112</v>
      </c>
      <c r="K627" s="16">
        <v>2.34633549924987E-2</v>
      </c>
      <c r="L627" s="16">
        <v>4.9556005640448299E-2</v>
      </c>
      <c r="M627" s="16">
        <v>0.47347147311944698</v>
      </c>
      <c r="N627" s="16">
        <v>111</v>
      </c>
      <c r="O627" s="16">
        <v>0.63680671241992604</v>
      </c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 t="s">
        <v>402</v>
      </c>
      <c r="AI627" s="16"/>
      <c r="AJ627" s="16" t="s">
        <v>1170</v>
      </c>
    </row>
    <row r="628" spans="1:36" ht="15" customHeight="1" x14ac:dyDescent="0.3">
      <c r="A628" s="16" t="s">
        <v>273</v>
      </c>
      <c r="B628" s="16" t="s">
        <v>342</v>
      </c>
      <c r="C628" s="16" t="s">
        <v>1161</v>
      </c>
      <c r="D628" s="16" t="s">
        <v>324</v>
      </c>
      <c r="E628" s="16" t="s">
        <v>404</v>
      </c>
      <c r="F628" s="16" t="s">
        <v>790</v>
      </c>
      <c r="G628" s="16">
        <v>0.6</v>
      </c>
      <c r="H628" s="16">
        <v>929</v>
      </c>
      <c r="I628" s="16">
        <v>40</v>
      </c>
      <c r="J628" s="16">
        <v>40</v>
      </c>
      <c r="K628" s="16">
        <v>-2.5358224032537499E-2</v>
      </c>
      <c r="L628" s="16">
        <v>3.0703366389137201E-2</v>
      </c>
      <c r="M628" s="16">
        <v>-0.82591021815474996</v>
      </c>
      <c r="N628" s="16">
        <v>38</v>
      </c>
      <c r="O628" s="16">
        <v>0.41401050780624399</v>
      </c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 t="s">
        <v>402</v>
      </c>
      <c r="AI628" s="16"/>
      <c r="AJ628" s="16" t="s">
        <v>1171</v>
      </c>
    </row>
    <row r="629" spans="1:36" ht="15" customHeight="1" x14ac:dyDescent="0.3">
      <c r="A629" s="16" t="s">
        <v>273</v>
      </c>
      <c r="B629" s="16" t="s">
        <v>449</v>
      </c>
      <c r="C629" s="16" t="s">
        <v>1161</v>
      </c>
      <c r="D629" s="16" t="s">
        <v>324</v>
      </c>
      <c r="E629" s="16" t="s">
        <v>404</v>
      </c>
      <c r="F629" s="16" t="s">
        <v>790</v>
      </c>
      <c r="G629" s="16">
        <v>0.6</v>
      </c>
      <c r="H629" s="16">
        <v>2692</v>
      </c>
      <c r="I629" s="16">
        <v>113</v>
      </c>
      <c r="J629" s="16">
        <v>112</v>
      </c>
      <c r="K629" s="16">
        <v>-1.4253189021018201E-2</v>
      </c>
      <c r="L629" s="16">
        <v>1.9746013618115701E-2</v>
      </c>
      <c r="M629" s="16">
        <v>-0.72182615168166497</v>
      </c>
      <c r="N629" s="16">
        <v>111</v>
      </c>
      <c r="O629" s="16">
        <v>0.47191920374350299</v>
      </c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 t="s">
        <v>402</v>
      </c>
      <c r="AI629" s="16"/>
      <c r="AJ629" s="16" t="s">
        <v>1172</v>
      </c>
    </row>
    <row r="630" spans="1:36" ht="15" customHeight="1" x14ac:dyDescent="0.3">
      <c r="A630" s="16" t="s">
        <v>273</v>
      </c>
      <c r="B630" s="16" t="s">
        <v>451</v>
      </c>
      <c r="C630" s="16" t="s">
        <v>1161</v>
      </c>
      <c r="D630" s="16" t="s">
        <v>324</v>
      </c>
      <c r="E630" s="16" t="s">
        <v>404</v>
      </c>
      <c r="F630" s="16" t="s">
        <v>790</v>
      </c>
      <c r="G630" s="16">
        <v>0.6</v>
      </c>
      <c r="H630" s="16">
        <v>2692</v>
      </c>
      <c r="I630" s="16">
        <v>113</v>
      </c>
      <c r="J630" s="16">
        <v>112</v>
      </c>
      <c r="K630" s="16">
        <v>-2.7242112173857701E-2</v>
      </c>
      <c r="L630" s="16">
        <v>2.0853433244493801E-2</v>
      </c>
      <c r="M630" s="16">
        <v>-1.3063610128107199</v>
      </c>
      <c r="N630" s="16">
        <v>111</v>
      </c>
      <c r="O630" s="16">
        <v>0.19413025910178899</v>
      </c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 t="s">
        <v>402</v>
      </c>
      <c r="AI630" s="16"/>
      <c r="AJ630" s="16" t="s">
        <v>1173</v>
      </c>
    </row>
    <row r="631" spans="1:36" ht="15" customHeight="1" x14ac:dyDescent="0.3">
      <c r="A631" s="16" t="s">
        <v>273</v>
      </c>
      <c r="B631" s="16" t="s">
        <v>453</v>
      </c>
      <c r="C631" s="16" t="s">
        <v>1161</v>
      </c>
      <c r="D631" s="16" t="s">
        <v>324</v>
      </c>
      <c r="E631" s="16" t="s">
        <v>404</v>
      </c>
      <c r="F631" s="16" t="s">
        <v>790</v>
      </c>
      <c r="G631" s="16">
        <v>0.6</v>
      </c>
      <c r="H631" s="16">
        <v>2692</v>
      </c>
      <c r="I631" s="16">
        <v>113</v>
      </c>
      <c r="J631" s="16">
        <v>112</v>
      </c>
      <c r="K631" s="16">
        <v>-1.3040128512812599E-2</v>
      </c>
      <c r="L631" s="16">
        <v>2.1073570732594801E-2</v>
      </c>
      <c r="M631" s="16">
        <v>-0.61879064911592196</v>
      </c>
      <c r="N631" s="16">
        <v>110</v>
      </c>
      <c r="O631" s="16">
        <v>0.537333620925741</v>
      </c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 t="s">
        <v>402</v>
      </c>
      <c r="AI631" s="16"/>
      <c r="AJ631" s="16" t="s">
        <v>1174</v>
      </c>
    </row>
    <row r="632" spans="1:36" ht="15" customHeight="1" x14ac:dyDescent="0.3">
      <c r="A632" s="16" t="s">
        <v>273</v>
      </c>
      <c r="B632" s="16" t="s">
        <v>455</v>
      </c>
      <c r="C632" s="16" t="s">
        <v>1161</v>
      </c>
      <c r="D632" s="16" t="s">
        <v>324</v>
      </c>
      <c r="E632" s="16" t="s">
        <v>404</v>
      </c>
      <c r="F632" s="16" t="s">
        <v>790</v>
      </c>
      <c r="G632" s="16">
        <v>0.6</v>
      </c>
      <c r="H632" s="16">
        <v>2692</v>
      </c>
      <c r="I632" s="16">
        <v>113</v>
      </c>
      <c r="J632" s="16">
        <v>112</v>
      </c>
      <c r="K632" s="16">
        <v>-3.0524898198958501E-2</v>
      </c>
      <c r="L632" s="16">
        <v>2.1794363632765199E-2</v>
      </c>
      <c r="M632" s="16">
        <v>-1.4005868082823001</v>
      </c>
      <c r="N632" s="16">
        <v>111</v>
      </c>
      <c r="O632" s="16">
        <v>0.164126928085118</v>
      </c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 t="s">
        <v>402</v>
      </c>
      <c r="AI632" s="16"/>
      <c r="AJ632" s="16" t="s">
        <v>1175</v>
      </c>
    </row>
    <row r="633" spans="1:36" ht="15" customHeight="1" x14ac:dyDescent="0.3">
      <c r="A633" s="16" t="s">
        <v>273</v>
      </c>
      <c r="B633" s="16" t="s">
        <v>457</v>
      </c>
      <c r="C633" s="16" t="s">
        <v>1161</v>
      </c>
      <c r="D633" s="16" t="s">
        <v>324</v>
      </c>
      <c r="E633" s="16" t="s">
        <v>404</v>
      </c>
      <c r="F633" s="16" t="s">
        <v>790</v>
      </c>
      <c r="G633" s="16">
        <v>0.6</v>
      </c>
      <c r="H633" s="16">
        <v>2692</v>
      </c>
      <c r="I633" s="16">
        <v>113</v>
      </c>
      <c r="J633" s="16">
        <v>112</v>
      </c>
      <c r="K633" s="16">
        <v>-8.1602197190495107E-3</v>
      </c>
      <c r="L633" s="16">
        <v>2.6192091640032601E-2</v>
      </c>
      <c r="M633" s="16">
        <v>-0.31155280880955899</v>
      </c>
      <c r="N633" s="16">
        <v>110</v>
      </c>
      <c r="O633" s="16">
        <v>0.75597011053497598</v>
      </c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 t="s">
        <v>402</v>
      </c>
      <c r="AI633" s="16"/>
      <c r="AJ633" s="16" t="s">
        <v>1176</v>
      </c>
    </row>
    <row r="634" spans="1:36" ht="15" customHeight="1" x14ac:dyDescent="0.3">
      <c r="A634" s="16" t="s">
        <v>273</v>
      </c>
      <c r="B634" s="16" t="s">
        <v>459</v>
      </c>
      <c r="C634" s="16" t="s">
        <v>1161</v>
      </c>
      <c r="D634" s="16" t="s">
        <v>324</v>
      </c>
      <c r="E634" s="16" t="s">
        <v>404</v>
      </c>
      <c r="F634" s="16" t="s">
        <v>790</v>
      </c>
      <c r="G634" s="16">
        <v>0.6</v>
      </c>
      <c r="H634" s="16">
        <v>2692</v>
      </c>
      <c r="I634" s="16">
        <v>113</v>
      </c>
      <c r="J634" s="16">
        <v>112</v>
      </c>
      <c r="K634" s="16">
        <v>-4.6845466394488198E-3</v>
      </c>
      <c r="L634" s="16">
        <v>2.7854029470738201E-2</v>
      </c>
      <c r="M634" s="16">
        <v>-0.16818200915490999</v>
      </c>
      <c r="N634" s="16">
        <v>110</v>
      </c>
      <c r="O634" s="16">
        <v>0.86674893089221505</v>
      </c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 t="s">
        <v>402</v>
      </c>
      <c r="AI634" s="16"/>
      <c r="AJ634" s="16" t="s">
        <v>1177</v>
      </c>
    </row>
    <row r="635" spans="1:36" ht="15" customHeight="1" x14ac:dyDescent="0.3">
      <c r="A635" s="16" t="s">
        <v>273</v>
      </c>
      <c r="B635" s="16" t="s">
        <v>461</v>
      </c>
      <c r="C635" s="16" t="s">
        <v>1161</v>
      </c>
      <c r="D635" s="16" t="s">
        <v>324</v>
      </c>
      <c r="E635" s="16" t="s">
        <v>404</v>
      </c>
      <c r="F635" s="16" t="s">
        <v>790</v>
      </c>
      <c r="G635" s="16">
        <v>0.6</v>
      </c>
      <c r="H635" s="16">
        <v>2692</v>
      </c>
      <c r="I635" s="16">
        <v>113</v>
      </c>
      <c r="J635" s="16">
        <v>112</v>
      </c>
      <c r="K635" s="16">
        <v>-1.77328424577607E-2</v>
      </c>
      <c r="L635" s="16">
        <v>1.8649619925108898E-2</v>
      </c>
      <c r="M635" s="16">
        <v>-0.95084202943385998</v>
      </c>
      <c r="N635" s="16">
        <v>111</v>
      </c>
      <c r="O635" s="16">
        <v>0.34375036085607003</v>
      </c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 t="s">
        <v>402</v>
      </c>
      <c r="AI635" s="16"/>
      <c r="AJ635" s="16" t="s">
        <v>1178</v>
      </c>
    </row>
    <row r="636" spans="1:36" ht="15" customHeight="1" x14ac:dyDescent="0.3">
      <c r="A636" s="16" t="s">
        <v>273</v>
      </c>
      <c r="B636" s="16" t="s">
        <v>463</v>
      </c>
      <c r="C636" s="16" t="s">
        <v>1161</v>
      </c>
      <c r="D636" s="16" t="s">
        <v>324</v>
      </c>
      <c r="E636" s="16" t="s">
        <v>404</v>
      </c>
      <c r="F636" s="16" t="s">
        <v>790</v>
      </c>
      <c r="G636" s="16">
        <v>0.6</v>
      </c>
      <c r="H636" s="16">
        <v>2692</v>
      </c>
      <c r="I636" s="16">
        <v>113</v>
      </c>
      <c r="J636" s="16">
        <v>112</v>
      </c>
      <c r="K636" s="16">
        <v>-1.9939417968377001E-2</v>
      </c>
      <c r="L636" s="16">
        <v>1.7758760382557099E-2</v>
      </c>
      <c r="M636" s="16">
        <v>-1.1227933447405301</v>
      </c>
      <c r="N636" s="16">
        <v>111</v>
      </c>
      <c r="O636" s="16">
        <v>0.26394798193792401</v>
      </c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 t="s">
        <v>402</v>
      </c>
      <c r="AI636" s="16"/>
      <c r="AJ636" s="16" t="s">
        <v>1179</v>
      </c>
    </row>
    <row r="637" spans="1:36" ht="15" customHeight="1" x14ac:dyDescent="0.3">
      <c r="A637" s="16" t="s">
        <v>273</v>
      </c>
      <c r="B637" s="16" t="s">
        <v>465</v>
      </c>
      <c r="C637" s="16" t="s">
        <v>1161</v>
      </c>
      <c r="D637" s="16" t="s">
        <v>324</v>
      </c>
      <c r="E637" s="16" t="s">
        <v>404</v>
      </c>
      <c r="F637" s="16" t="s">
        <v>790</v>
      </c>
      <c r="G637" s="16">
        <v>0.6</v>
      </c>
      <c r="H637" s="16">
        <v>2692</v>
      </c>
      <c r="I637" s="16">
        <v>113</v>
      </c>
      <c r="J637" s="16">
        <v>112</v>
      </c>
      <c r="K637" s="16">
        <v>-1.6597572833671699E-2</v>
      </c>
      <c r="L637" s="16">
        <v>1.7707916313706201E-2</v>
      </c>
      <c r="M637" s="16">
        <v>-0.93729677391940802</v>
      </c>
      <c r="N637" s="16">
        <v>111</v>
      </c>
      <c r="O637" s="16">
        <v>0.350640831784718</v>
      </c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 t="s">
        <v>402</v>
      </c>
      <c r="AI637" s="16"/>
      <c r="AJ637" s="16" t="s">
        <v>1180</v>
      </c>
    </row>
    <row r="638" spans="1:36" ht="15" customHeight="1" x14ac:dyDescent="0.3">
      <c r="A638" s="16" t="s">
        <v>273</v>
      </c>
      <c r="B638" s="16" t="s">
        <v>467</v>
      </c>
      <c r="C638" s="16" t="s">
        <v>1161</v>
      </c>
      <c r="D638" s="16" t="s">
        <v>324</v>
      </c>
      <c r="E638" s="16" t="s">
        <v>404</v>
      </c>
      <c r="F638" s="16" t="s">
        <v>790</v>
      </c>
      <c r="G638" s="16">
        <v>0.6</v>
      </c>
      <c r="H638" s="16">
        <v>924</v>
      </c>
      <c r="I638" s="16">
        <v>40</v>
      </c>
      <c r="J638" s="16">
        <v>40</v>
      </c>
      <c r="K638" s="16">
        <v>-2.8563941423223001E-2</v>
      </c>
      <c r="L638" s="16">
        <v>3.0435525123106499E-2</v>
      </c>
      <c r="M638" s="16">
        <v>-0.93850660725210899</v>
      </c>
      <c r="N638" s="16">
        <v>38</v>
      </c>
      <c r="O638" s="16">
        <v>0.35391143910033601</v>
      </c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 t="s">
        <v>402</v>
      </c>
      <c r="AI638" s="16"/>
      <c r="AJ638" s="16" t="s">
        <v>1181</v>
      </c>
    </row>
    <row r="639" spans="1:36" ht="15" customHeight="1" x14ac:dyDescent="0.3">
      <c r="A639" s="16" t="s">
        <v>273</v>
      </c>
      <c r="B639" s="16" t="s">
        <v>469</v>
      </c>
      <c r="C639" s="16" t="s">
        <v>1161</v>
      </c>
      <c r="D639" s="16" t="s">
        <v>324</v>
      </c>
      <c r="E639" s="16" t="s">
        <v>404</v>
      </c>
      <c r="F639" s="16" t="s">
        <v>790</v>
      </c>
      <c r="G639" s="16">
        <v>0.6</v>
      </c>
      <c r="H639" s="16">
        <v>2705</v>
      </c>
      <c r="I639" s="16">
        <v>113</v>
      </c>
      <c r="J639" s="16">
        <v>112</v>
      </c>
      <c r="K639" s="16">
        <v>-1.08155910499887E-2</v>
      </c>
      <c r="L639" s="16">
        <v>1.9469881376128699E-2</v>
      </c>
      <c r="M639" s="16">
        <v>-0.55550369522277798</v>
      </c>
      <c r="N639" s="16">
        <v>111</v>
      </c>
      <c r="O639" s="16">
        <v>0.57966806239080604</v>
      </c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 t="s">
        <v>402</v>
      </c>
      <c r="AI639" s="16"/>
      <c r="AJ639" s="16" t="s">
        <v>1182</v>
      </c>
    </row>
    <row r="640" spans="1:36" ht="15" customHeight="1" x14ac:dyDescent="0.3">
      <c r="A640" s="16" t="s">
        <v>273</v>
      </c>
      <c r="B640" s="16" t="s">
        <v>471</v>
      </c>
      <c r="C640" s="16" t="s">
        <v>1161</v>
      </c>
      <c r="D640" s="16" t="s">
        <v>324</v>
      </c>
      <c r="E640" s="16" t="s">
        <v>404</v>
      </c>
      <c r="F640" s="16" t="s">
        <v>790</v>
      </c>
      <c r="G640" s="16">
        <v>0.6</v>
      </c>
      <c r="H640" s="16">
        <v>2705</v>
      </c>
      <c r="I640" s="16">
        <v>113</v>
      </c>
      <c r="J640" s="16">
        <v>112</v>
      </c>
      <c r="K640" s="16">
        <v>-2.0611201428650999E-2</v>
      </c>
      <c r="L640" s="16">
        <v>2.0608434393832101E-2</v>
      </c>
      <c r="M640" s="16">
        <v>-1.00013426710472</v>
      </c>
      <c r="N640" s="16">
        <v>111</v>
      </c>
      <c r="O640" s="16">
        <v>0.31942082574412001</v>
      </c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 t="s">
        <v>402</v>
      </c>
      <c r="AI640" s="16"/>
      <c r="AJ640" s="16" t="s">
        <v>1183</v>
      </c>
    </row>
    <row r="641" spans="1:36" ht="15" customHeight="1" x14ac:dyDescent="0.3">
      <c r="A641" s="16" t="s">
        <v>273</v>
      </c>
      <c r="B641" s="16" t="s">
        <v>473</v>
      </c>
      <c r="C641" s="16" t="s">
        <v>1161</v>
      </c>
      <c r="D641" s="16" t="s">
        <v>324</v>
      </c>
      <c r="E641" s="16" t="s">
        <v>404</v>
      </c>
      <c r="F641" s="16" t="s">
        <v>790</v>
      </c>
      <c r="G641" s="16">
        <v>0.6</v>
      </c>
      <c r="H641" s="16">
        <v>2705</v>
      </c>
      <c r="I641" s="16">
        <v>113</v>
      </c>
      <c r="J641" s="16">
        <v>112</v>
      </c>
      <c r="K641" s="16">
        <v>-1.1571892224518199E-2</v>
      </c>
      <c r="L641" s="16">
        <v>2.0763059530346701E-2</v>
      </c>
      <c r="M641" s="16">
        <v>-0.55733078295157101</v>
      </c>
      <c r="N641" s="16">
        <v>110</v>
      </c>
      <c r="O641" s="16">
        <v>0.57843378757291897</v>
      </c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 t="s">
        <v>402</v>
      </c>
      <c r="AI641" s="16"/>
      <c r="AJ641" s="16" t="s">
        <v>1184</v>
      </c>
    </row>
    <row r="642" spans="1:36" ht="15" customHeight="1" x14ac:dyDescent="0.3">
      <c r="A642" s="16" t="s">
        <v>273</v>
      </c>
      <c r="B642" s="16" t="s">
        <v>475</v>
      </c>
      <c r="C642" s="16" t="s">
        <v>1161</v>
      </c>
      <c r="D642" s="16" t="s">
        <v>324</v>
      </c>
      <c r="E642" s="16" t="s">
        <v>404</v>
      </c>
      <c r="F642" s="16" t="s">
        <v>790</v>
      </c>
      <c r="G642" s="16">
        <v>0.6</v>
      </c>
      <c r="H642" s="16">
        <v>2705</v>
      </c>
      <c r="I642" s="16">
        <v>113</v>
      </c>
      <c r="J642" s="16">
        <v>112</v>
      </c>
      <c r="K642" s="16">
        <v>-2.4240583734930501E-2</v>
      </c>
      <c r="L642" s="16">
        <v>2.1537828740459401E-2</v>
      </c>
      <c r="M642" s="16">
        <v>-1.12548874016228</v>
      </c>
      <c r="N642" s="16">
        <v>111</v>
      </c>
      <c r="O642" s="16">
        <v>0.262809649594268</v>
      </c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 t="s">
        <v>402</v>
      </c>
      <c r="AI642" s="16"/>
      <c r="AJ642" s="16" t="s">
        <v>1185</v>
      </c>
    </row>
    <row r="643" spans="1:36" ht="15" customHeight="1" x14ac:dyDescent="0.3">
      <c r="A643" s="16" t="s">
        <v>273</v>
      </c>
      <c r="B643" s="16" t="s">
        <v>477</v>
      </c>
      <c r="C643" s="16" t="s">
        <v>1161</v>
      </c>
      <c r="D643" s="16" t="s">
        <v>324</v>
      </c>
      <c r="E643" s="16" t="s">
        <v>404</v>
      </c>
      <c r="F643" s="16" t="s">
        <v>790</v>
      </c>
      <c r="G643" s="16">
        <v>0.6</v>
      </c>
      <c r="H643" s="16">
        <v>2705</v>
      </c>
      <c r="I643" s="16">
        <v>113</v>
      </c>
      <c r="J643" s="16">
        <v>112</v>
      </c>
      <c r="K643" s="16">
        <v>-2.82940396898235E-3</v>
      </c>
      <c r="L643" s="16">
        <v>2.5809294653800399E-2</v>
      </c>
      <c r="M643" s="16">
        <v>-0.109627326392886</v>
      </c>
      <c r="N643" s="16">
        <v>110</v>
      </c>
      <c r="O643" s="16">
        <v>0.91290468545772396</v>
      </c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 t="s">
        <v>402</v>
      </c>
      <c r="AI643" s="16"/>
      <c r="AJ643" s="16" t="s">
        <v>1186</v>
      </c>
    </row>
    <row r="644" spans="1:36" ht="15" customHeight="1" x14ac:dyDescent="0.3">
      <c r="A644" s="16" t="s">
        <v>273</v>
      </c>
      <c r="B644" s="16" t="s">
        <v>479</v>
      </c>
      <c r="C644" s="16" t="s">
        <v>1161</v>
      </c>
      <c r="D644" s="16" t="s">
        <v>324</v>
      </c>
      <c r="E644" s="16" t="s">
        <v>404</v>
      </c>
      <c r="F644" s="16" t="s">
        <v>790</v>
      </c>
      <c r="G644" s="16">
        <v>0.6</v>
      </c>
      <c r="H644" s="16">
        <v>2705</v>
      </c>
      <c r="I644" s="16">
        <v>113</v>
      </c>
      <c r="J644" s="16">
        <v>112</v>
      </c>
      <c r="K644" s="16">
        <v>2.7176834942846401E-4</v>
      </c>
      <c r="L644" s="16">
        <v>2.7440421127999302E-2</v>
      </c>
      <c r="M644" s="16">
        <v>9.9039423688421606E-3</v>
      </c>
      <c r="N644" s="16">
        <v>110</v>
      </c>
      <c r="O644" s="16">
        <v>0.99211586626632897</v>
      </c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 t="s">
        <v>402</v>
      </c>
      <c r="AI644" s="16"/>
      <c r="AJ644" s="16" t="s">
        <v>1187</v>
      </c>
    </row>
    <row r="645" spans="1:36" ht="15" customHeight="1" x14ac:dyDescent="0.3">
      <c r="A645" s="16" t="s">
        <v>273</v>
      </c>
      <c r="B645" s="16" t="s">
        <v>481</v>
      </c>
      <c r="C645" s="16" t="s">
        <v>1161</v>
      </c>
      <c r="D645" s="16" t="s">
        <v>324</v>
      </c>
      <c r="E645" s="16" t="s">
        <v>404</v>
      </c>
      <c r="F645" s="16" t="s">
        <v>790</v>
      </c>
      <c r="G645" s="16">
        <v>0.6</v>
      </c>
      <c r="H645" s="16">
        <v>2705</v>
      </c>
      <c r="I645" s="16">
        <v>113</v>
      </c>
      <c r="J645" s="16">
        <v>112</v>
      </c>
      <c r="K645" s="16">
        <v>-1.3593031060354799E-2</v>
      </c>
      <c r="L645" s="16">
        <v>1.8400214408854799E-2</v>
      </c>
      <c r="M645" s="16">
        <v>-0.73874307974440601</v>
      </c>
      <c r="N645" s="16">
        <v>111</v>
      </c>
      <c r="O645" s="16">
        <v>0.46162223110488698</v>
      </c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 t="s">
        <v>402</v>
      </c>
      <c r="AI645" s="16"/>
      <c r="AJ645" s="16" t="s">
        <v>1188</v>
      </c>
    </row>
    <row r="646" spans="1:36" ht="15" customHeight="1" x14ac:dyDescent="0.3">
      <c r="A646" s="16" t="s">
        <v>273</v>
      </c>
      <c r="B646" s="16" t="s">
        <v>483</v>
      </c>
      <c r="C646" s="16" t="s">
        <v>1161</v>
      </c>
      <c r="D646" s="16" t="s">
        <v>324</v>
      </c>
      <c r="E646" s="16" t="s">
        <v>404</v>
      </c>
      <c r="F646" s="16" t="s">
        <v>790</v>
      </c>
      <c r="G646" s="16">
        <v>0.6</v>
      </c>
      <c r="H646" s="16">
        <v>2705</v>
      </c>
      <c r="I646" s="16">
        <v>113</v>
      </c>
      <c r="J646" s="16">
        <v>112</v>
      </c>
      <c r="K646" s="16">
        <v>-7.4160362367932699E-3</v>
      </c>
      <c r="L646" s="16">
        <v>1.75842580099945E-2</v>
      </c>
      <c r="M646" s="16">
        <v>-0.42174291531539998</v>
      </c>
      <c r="N646" s="16">
        <v>111</v>
      </c>
      <c r="O646" s="16">
        <v>0.67402833064577194</v>
      </c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 t="s">
        <v>402</v>
      </c>
      <c r="AI646" s="16"/>
      <c r="AJ646" s="16" t="s">
        <v>1189</v>
      </c>
    </row>
    <row r="647" spans="1:36" ht="15" customHeight="1" x14ac:dyDescent="0.3">
      <c r="A647" s="16" t="s">
        <v>273</v>
      </c>
      <c r="B647" s="16" t="s">
        <v>485</v>
      </c>
      <c r="C647" s="16" t="s">
        <v>1161</v>
      </c>
      <c r="D647" s="16" t="s">
        <v>324</v>
      </c>
      <c r="E647" s="16" t="s">
        <v>404</v>
      </c>
      <c r="F647" s="16" t="s">
        <v>790</v>
      </c>
      <c r="G647" s="16">
        <v>0.6</v>
      </c>
      <c r="H647" s="16">
        <v>2705</v>
      </c>
      <c r="I647" s="16">
        <v>113</v>
      </c>
      <c r="J647" s="16">
        <v>112</v>
      </c>
      <c r="K647" s="16">
        <v>-6.9031639599019499E-3</v>
      </c>
      <c r="L647" s="16">
        <v>1.7501123450624899E-2</v>
      </c>
      <c r="M647" s="16">
        <v>-0.39444118998289002</v>
      </c>
      <c r="N647" s="16">
        <v>111</v>
      </c>
      <c r="O647" s="16">
        <v>0.69401216385416298</v>
      </c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 t="s">
        <v>402</v>
      </c>
      <c r="AI647" s="16"/>
      <c r="AJ647" s="16" t="s">
        <v>1190</v>
      </c>
    </row>
    <row r="648" spans="1:36" ht="15" customHeight="1" x14ac:dyDescent="0.3">
      <c r="A648" s="16" t="s">
        <v>273</v>
      </c>
      <c r="B648" s="16" t="s">
        <v>487</v>
      </c>
      <c r="C648" s="16" t="s">
        <v>1161</v>
      </c>
      <c r="D648" s="16" t="s">
        <v>324</v>
      </c>
      <c r="E648" s="16" t="s">
        <v>404</v>
      </c>
      <c r="F648" s="16" t="s">
        <v>790</v>
      </c>
      <c r="G648" s="16">
        <v>0.6</v>
      </c>
      <c r="H648" s="16">
        <v>929</v>
      </c>
      <c r="I648" s="16">
        <v>40</v>
      </c>
      <c r="J648" s="16">
        <v>40</v>
      </c>
      <c r="K648" s="16">
        <v>-2.2856133191403501E-2</v>
      </c>
      <c r="L648" s="16">
        <v>2.8066066515303498E-2</v>
      </c>
      <c r="M648" s="16">
        <v>-0.814368952590517</v>
      </c>
      <c r="N648" s="16">
        <v>38</v>
      </c>
      <c r="O648" s="16">
        <v>0.42050797337705598</v>
      </c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 t="s">
        <v>402</v>
      </c>
      <c r="AI648" s="16"/>
      <c r="AJ648" s="16" t="s">
        <v>1191</v>
      </c>
    </row>
    <row r="649" spans="1:36" ht="15" customHeight="1" x14ac:dyDescent="0.3">
      <c r="A649" s="16" t="s">
        <v>273</v>
      </c>
      <c r="B649" s="16" t="s">
        <v>489</v>
      </c>
      <c r="C649" s="16" t="s">
        <v>1161</v>
      </c>
      <c r="D649" s="16" t="s">
        <v>324</v>
      </c>
      <c r="E649" s="16" t="s">
        <v>404</v>
      </c>
      <c r="F649" s="16" t="s">
        <v>790</v>
      </c>
      <c r="G649" s="16">
        <v>0.6</v>
      </c>
      <c r="H649" s="16">
        <v>2607</v>
      </c>
      <c r="I649" s="16">
        <v>110</v>
      </c>
      <c r="J649" s="16">
        <v>109</v>
      </c>
      <c r="K649" s="16">
        <v>1.34135665643405E-2</v>
      </c>
      <c r="L649" s="16">
        <v>5.6555763715249598E-2</v>
      </c>
      <c r="M649" s="16">
        <v>0.23717417435782401</v>
      </c>
      <c r="N649" s="16">
        <v>108</v>
      </c>
      <c r="O649" s="16">
        <v>0.81297098098715903</v>
      </c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 t="s">
        <v>402</v>
      </c>
      <c r="AI649" s="16"/>
      <c r="AJ649" s="16" t="s">
        <v>1192</v>
      </c>
    </row>
    <row r="650" spans="1:36" ht="15" customHeight="1" x14ac:dyDescent="0.3">
      <c r="A650" s="16" t="s">
        <v>273</v>
      </c>
      <c r="B650" s="16" t="s">
        <v>491</v>
      </c>
      <c r="C650" s="16" t="s">
        <v>1161</v>
      </c>
      <c r="D650" s="16" t="s">
        <v>324</v>
      </c>
      <c r="E650" s="16" t="s">
        <v>404</v>
      </c>
      <c r="F650" s="16" t="s">
        <v>790</v>
      </c>
      <c r="G650" s="16">
        <v>0.6</v>
      </c>
      <c r="H650" s="16">
        <v>2607</v>
      </c>
      <c r="I650" s="16">
        <v>110</v>
      </c>
      <c r="J650" s="16">
        <v>109</v>
      </c>
      <c r="K650" s="16">
        <v>-1.93025129854916E-3</v>
      </c>
      <c r="L650" s="16">
        <v>5.9913448491689003E-2</v>
      </c>
      <c r="M650" s="16">
        <v>-3.2217329283206197E-2</v>
      </c>
      <c r="N650" s="16">
        <v>108</v>
      </c>
      <c r="O650" s="16">
        <v>0.97435820164893705</v>
      </c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 t="s">
        <v>402</v>
      </c>
      <c r="AI650" s="16"/>
      <c r="AJ650" s="16" t="s">
        <v>1193</v>
      </c>
    </row>
    <row r="651" spans="1:36" ht="15" customHeight="1" x14ac:dyDescent="0.3">
      <c r="A651" s="16" t="s">
        <v>273</v>
      </c>
      <c r="B651" s="16" t="s">
        <v>493</v>
      </c>
      <c r="C651" s="16" t="s">
        <v>1161</v>
      </c>
      <c r="D651" s="16" t="s">
        <v>324</v>
      </c>
      <c r="E651" s="16" t="s">
        <v>404</v>
      </c>
      <c r="F651" s="16" t="s">
        <v>790</v>
      </c>
      <c r="G651" s="16">
        <v>0.6</v>
      </c>
      <c r="H651" s="16">
        <v>2607</v>
      </c>
      <c r="I651" s="16">
        <v>110</v>
      </c>
      <c r="J651" s="16">
        <v>109</v>
      </c>
      <c r="K651" s="16">
        <v>-4.5534748386863701E-2</v>
      </c>
      <c r="L651" s="16">
        <v>6.1132767386029803E-2</v>
      </c>
      <c r="M651" s="16">
        <v>-0.74485010795159001</v>
      </c>
      <c r="N651" s="16">
        <v>107</v>
      </c>
      <c r="O651" s="16">
        <v>0.45799522452228503</v>
      </c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 t="s">
        <v>402</v>
      </c>
      <c r="AI651" s="16"/>
      <c r="AJ651" s="16" t="s">
        <v>1194</v>
      </c>
    </row>
    <row r="652" spans="1:36" ht="15" customHeight="1" x14ac:dyDescent="0.3">
      <c r="A652" s="16" t="s">
        <v>273</v>
      </c>
      <c r="B652" s="16" t="s">
        <v>495</v>
      </c>
      <c r="C652" s="16" t="s">
        <v>1161</v>
      </c>
      <c r="D652" s="16" t="s">
        <v>324</v>
      </c>
      <c r="E652" s="16" t="s">
        <v>404</v>
      </c>
      <c r="F652" s="16" t="s">
        <v>790</v>
      </c>
      <c r="G652" s="16">
        <v>0.6</v>
      </c>
      <c r="H652" s="16">
        <v>2607</v>
      </c>
      <c r="I652" s="16">
        <v>110</v>
      </c>
      <c r="J652" s="16">
        <v>109</v>
      </c>
      <c r="K652" s="16">
        <v>-6.8203598383937596E-3</v>
      </c>
      <c r="L652" s="16">
        <v>6.2595931803691204E-2</v>
      </c>
      <c r="M652" s="16">
        <v>-0.108958516022787</v>
      </c>
      <c r="N652" s="16">
        <v>108</v>
      </c>
      <c r="O652" s="16">
        <v>0.91343758035467204</v>
      </c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 t="s">
        <v>402</v>
      </c>
      <c r="AI652" s="16"/>
      <c r="AJ652" s="16" t="s">
        <v>1195</v>
      </c>
    </row>
    <row r="653" spans="1:36" ht="15" customHeight="1" x14ac:dyDescent="0.3">
      <c r="A653" s="16" t="s">
        <v>273</v>
      </c>
      <c r="B653" s="16" t="s">
        <v>497</v>
      </c>
      <c r="C653" s="16" t="s">
        <v>1161</v>
      </c>
      <c r="D653" s="16" t="s">
        <v>324</v>
      </c>
      <c r="E653" s="16" t="s">
        <v>404</v>
      </c>
      <c r="F653" s="16" t="s">
        <v>790</v>
      </c>
      <c r="G653" s="16">
        <v>0.6</v>
      </c>
      <c r="H653" s="16">
        <v>2607</v>
      </c>
      <c r="I653" s="16">
        <v>110</v>
      </c>
      <c r="J653" s="16">
        <v>109</v>
      </c>
      <c r="K653" s="16">
        <v>2.0756216403597701E-2</v>
      </c>
      <c r="L653" s="16">
        <v>7.4529014784838102E-2</v>
      </c>
      <c r="M653" s="16">
        <v>0.278498467523286</v>
      </c>
      <c r="N653" s="16">
        <v>107</v>
      </c>
      <c r="O653" s="16">
        <v>0.78116723684973399</v>
      </c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 t="s">
        <v>402</v>
      </c>
      <c r="AI653" s="16"/>
      <c r="AJ653" s="16" t="s">
        <v>1196</v>
      </c>
    </row>
    <row r="654" spans="1:36" ht="15" customHeight="1" x14ac:dyDescent="0.3">
      <c r="A654" s="16" t="s">
        <v>273</v>
      </c>
      <c r="B654" s="16" t="s">
        <v>499</v>
      </c>
      <c r="C654" s="16" t="s">
        <v>1161</v>
      </c>
      <c r="D654" s="16" t="s">
        <v>324</v>
      </c>
      <c r="E654" s="16" t="s">
        <v>404</v>
      </c>
      <c r="F654" s="16" t="s">
        <v>790</v>
      </c>
      <c r="G654" s="16">
        <v>0.6</v>
      </c>
      <c r="H654" s="16">
        <v>2607</v>
      </c>
      <c r="I654" s="16">
        <v>110</v>
      </c>
      <c r="J654" s="16">
        <v>109</v>
      </c>
      <c r="K654" s="16">
        <v>2.4023777965424799E-2</v>
      </c>
      <c r="L654" s="16">
        <v>7.9211734982118601E-2</v>
      </c>
      <c r="M654" s="16">
        <v>0.30328559235380897</v>
      </c>
      <c r="N654" s="16">
        <v>107</v>
      </c>
      <c r="O654" s="16">
        <v>0.76226112222175502</v>
      </c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 t="s">
        <v>402</v>
      </c>
      <c r="AI654" s="16"/>
      <c r="AJ654" s="16" t="s">
        <v>1197</v>
      </c>
    </row>
    <row r="655" spans="1:36" ht="15" customHeight="1" x14ac:dyDescent="0.3">
      <c r="A655" s="16" t="s">
        <v>273</v>
      </c>
      <c r="B655" s="16" t="s">
        <v>501</v>
      </c>
      <c r="C655" s="16" t="s">
        <v>1161</v>
      </c>
      <c r="D655" s="16" t="s">
        <v>324</v>
      </c>
      <c r="E655" s="16" t="s">
        <v>404</v>
      </c>
      <c r="F655" s="16" t="s">
        <v>790</v>
      </c>
      <c r="G655" s="16">
        <v>0.6</v>
      </c>
      <c r="H655" s="16">
        <v>2607</v>
      </c>
      <c r="I655" s="16">
        <v>110</v>
      </c>
      <c r="J655" s="16">
        <v>109</v>
      </c>
      <c r="K655" s="16">
        <v>-5.7974208180442799E-2</v>
      </c>
      <c r="L655" s="16">
        <v>5.3683226688698502E-2</v>
      </c>
      <c r="M655" s="16">
        <v>-1.07993151225106</v>
      </c>
      <c r="N655" s="16">
        <v>108</v>
      </c>
      <c r="O655" s="16">
        <v>0.28257847808505498</v>
      </c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 t="s">
        <v>402</v>
      </c>
      <c r="AI655" s="16"/>
      <c r="AJ655" s="16" t="s">
        <v>1198</v>
      </c>
    </row>
    <row r="656" spans="1:36" ht="15" customHeight="1" x14ac:dyDescent="0.3">
      <c r="A656" s="16" t="s">
        <v>273</v>
      </c>
      <c r="B656" s="16" t="s">
        <v>503</v>
      </c>
      <c r="C656" s="16" t="s">
        <v>1161</v>
      </c>
      <c r="D656" s="16" t="s">
        <v>324</v>
      </c>
      <c r="E656" s="16" t="s">
        <v>404</v>
      </c>
      <c r="F656" s="16" t="s">
        <v>790</v>
      </c>
      <c r="G656" s="16">
        <v>0.6</v>
      </c>
      <c r="H656" s="16">
        <v>2607</v>
      </c>
      <c r="I656" s="16">
        <v>110</v>
      </c>
      <c r="J656" s="16">
        <v>109</v>
      </c>
      <c r="K656" s="16">
        <v>2.8287429710304301E-2</v>
      </c>
      <c r="L656" s="16">
        <v>5.1304404414542502E-2</v>
      </c>
      <c r="M656" s="16">
        <v>0.55136454721782402</v>
      </c>
      <c r="N656" s="16">
        <v>108</v>
      </c>
      <c r="O656" s="16">
        <v>0.58252274257969905</v>
      </c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 t="s">
        <v>402</v>
      </c>
      <c r="AI656" s="16"/>
      <c r="AJ656" s="16" t="s">
        <v>1199</v>
      </c>
    </row>
    <row r="657" spans="1:36" ht="15" customHeight="1" x14ac:dyDescent="0.3">
      <c r="A657" s="16" t="s">
        <v>273</v>
      </c>
      <c r="B657" s="16" t="s">
        <v>505</v>
      </c>
      <c r="C657" s="16" t="s">
        <v>1161</v>
      </c>
      <c r="D657" s="16" t="s">
        <v>324</v>
      </c>
      <c r="E657" s="16" t="s">
        <v>404</v>
      </c>
      <c r="F657" s="16" t="s">
        <v>790</v>
      </c>
      <c r="G657" s="16">
        <v>0.6</v>
      </c>
      <c r="H657" s="16">
        <v>2607</v>
      </c>
      <c r="I657" s="16">
        <v>110</v>
      </c>
      <c r="J657" s="16">
        <v>109</v>
      </c>
      <c r="K657" s="16">
        <v>1.9505277339398799E-2</v>
      </c>
      <c r="L657" s="16">
        <v>5.1182382708496503E-2</v>
      </c>
      <c r="M657" s="16">
        <v>0.38109357765715901</v>
      </c>
      <c r="N657" s="16">
        <v>108</v>
      </c>
      <c r="O657" s="16">
        <v>0.70388245411305395</v>
      </c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 t="s">
        <v>402</v>
      </c>
      <c r="AI657" s="16"/>
      <c r="AJ657" s="16" t="s">
        <v>1200</v>
      </c>
    </row>
    <row r="658" spans="1:36" ht="15" customHeight="1" x14ac:dyDescent="0.3">
      <c r="A658" s="16" t="s">
        <v>273</v>
      </c>
      <c r="B658" s="16" t="s">
        <v>507</v>
      </c>
      <c r="C658" s="16" t="s">
        <v>1161</v>
      </c>
      <c r="D658" s="16" t="s">
        <v>324</v>
      </c>
      <c r="E658" s="16" t="s">
        <v>404</v>
      </c>
      <c r="F658" s="16" t="s">
        <v>790</v>
      </c>
      <c r="G658" s="16">
        <v>0.6</v>
      </c>
      <c r="H658" s="16">
        <v>905</v>
      </c>
      <c r="I658" s="16">
        <v>38</v>
      </c>
      <c r="J658" s="16">
        <v>38</v>
      </c>
      <c r="K658" s="16">
        <v>-2.8063130073891301E-2</v>
      </c>
      <c r="L658" s="16">
        <v>3.1985255464131397E-2</v>
      </c>
      <c r="M658" s="16">
        <v>-0.87737708099163503</v>
      </c>
      <c r="N658" s="16">
        <v>36</v>
      </c>
      <c r="O658" s="16">
        <v>0.38609971371637902</v>
      </c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 t="s">
        <v>402</v>
      </c>
      <c r="AI658" s="16"/>
      <c r="AJ658" s="16" t="s">
        <v>1201</v>
      </c>
    </row>
    <row r="659" spans="1:36" ht="15" customHeight="1" x14ac:dyDescent="0.3">
      <c r="A659" s="16" t="s">
        <v>273</v>
      </c>
      <c r="B659" s="16" t="s">
        <v>509</v>
      </c>
      <c r="C659" s="16" t="s">
        <v>1161</v>
      </c>
      <c r="D659" s="16" t="s">
        <v>324</v>
      </c>
      <c r="E659" s="16" t="s">
        <v>404</v>
      </c>
      <c r="F659" s="16" t="s">
        <v>790</v>
      </c>
      <c r="G659" s="16">
        <v>0.6</v>
      </c>
      <c r="H659" s="16">
        <v>2594</v>
      </c>
      <c r="I659" s="16">
        <v>110</v>
      </c>
      <c r="J659" s="16">
        <v>109</v>
      </c>
      <c r="K659" s="16">
        <v>-2.1569919330979799E-2</v>
      </c>
      <c r="L659" s="16">
        <v>2.0742046041245101E-2</v>
      </c>
      <c r="M659" s="16">
        <v>-1.0399128074486299</v>
      </c>
      <c r="N659" s="16">
        <v>108</v>
      </c>
      <c r="O659" s="16">
        <v>0.30070289564046998</v>
      </c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 t="s">
        <v>402</v>
      </c>
      <c r="AI659" s="16"/>
      <c r="AJ659" s="16" t="s">
        <v>1202</v>
      </c>
    </row>
    <row r="660" spans="1:36" ht="15" customHeight="1" x14ac:dyDescent="0.3">
      <c r="A660" s="16" t="s">
        <v>273</v>
      </c>
      <c r="B660" s="16" t="s">
        <v>511</v>
      </c>
      <c r="C660" s="16" t="s">
        <v>1161</v>
      </c>
      <c r="D660" s="16" t="s">
        <v>324</v>
      </c>
      <c r="E660" s="16" t="s">
        <v>404</v>
      </c>
      <c r="F660" s="16" t="s">
        <v>790</v>
      </c>
      <c r="G660" s="16">
        <v>0.6</v>
      </c>
      <c r="H660" s="16">
        <v>2594</v>
      </c>
      <c r="I660" s="16">
        <v>110</v>
      </c>
      <c r="J660" s="16">
        <v>109</v>
      </c>
      <c r="K660" s="16">
        <v>-3.5178934890311299E-2</v>
      </c>
      <c r="L660" s="16">
        <v>2.1840821416258101E-2</v>
      </c>
      <c r="M660" s="16">
        <v>-1.61069651272935</v>
      </c>
      <c r="N660" s="16">
        <v>108</v>
      </c>
      <c r="O660" s="16">
        <v>0.11016481382936499</v>
      </c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 t="s">
        <v>402</v>
      </c>
      <c r="AI660" s="16"/>
      <c r="AJ660" s="16" t="s">
        <v>1203</v>
      </c>
    </row>
    <row r="661" spans="1:36" ht="15" customHeight="1" x14ac:dyDescent="0.3">
      <c r="A661" s="16" t="s">
        <v>273</v>
      </c>
      <c r="B661" s="16" t="s">
        <v>513</v>
      </c>
      <c r="C661" s="16" t="s">
        <v>1161</v>
      </c>
      <c r="D661" s="16" t="s">
        <v>324</v>
      </c>
      <c r="E661" s="16" t="s">
        <v>404</v>
      </c>
      <c r="F661" s="16" t="s">
        <v>790</v>
      </c>
      <c r="G661" s="16">
        <v>0.6</v>
      </c>
      <c r="H661" s="16">
        <v>2594</v>
      </c>
      <c r="I661" s="16">
        <v>110</v>
      </c>
      <c r="J661" s="16">
        <v>109</v>
      </c>
      <c r="K661" s="16">
        <v>-1.4898866565820901E-2</v>
      </c>
      <c r="L661" s="16">
        <v>2.2782256318840701E-2</v>
      </c>
      <c r="M661" s="16">
        <v>-0.65396799848572096</v>
      </c>
      <c r="N661" s="16">
        <v>107</v>
      </c>
      <c r="O661" s="16">
        <v>0.51453548393771498</v>
      </c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 t="s">
        <v>402</v>
      </c>
      <c r="AI661" s="16"/>
      <c r="AJ661" s="16" t="s">
        <v>1204</v>
      </c>
    </row>
    <row r="662" spans="1:36" ht="15" customHeight="1" x14ac:dyDescent="0.3">
      <c r="A662" s="16" t="s">
        <v>273</v>
      </c>
      <c r="B662" s="16" t="s">
        <v>515</v>
      </c>
      <c r="C662" s="16" t="s">
        <v>1161</v>
      </c>
      <c r="D662" s="16" t="s">
        <v>324</v>
      </c>
      <c r="E662" s="16" t="s">
        <v>404</v>
      </c>
      <c r="F662" s="16" t="s">
        <v>790</v>
      </c>
      <c r="G662" s="16">
        <v>0.6</v>
      </c>
      <c r="H662" s="16">
        <v>2594</v>
      </c>
      <c r="I662" s="16">
        <v>110</v>
      </c>
      <c r="J662" s="16">
        <v>109</v>
      </c>
      <c r="K662" s="16">
        <v>-3.8969822366277503E-2</v>
      </c>
      <c r="L662" s="16">
        <v>2.28028804499085E-2</v>
      </c>
      <c r="M662" s="16">
        <v>-1.70898682961932</v>
      </c>
      <c r="N662" s="16">
        <v>108</v>
      </c>
      <c r="O662" s="16">
        <v>9.0325577272169402E-2</v>
      </c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 t="s">
        <v>402</v>
      </c>
      <c r="AI662" s="16"/>
      <c r="AJ662" s="16" t="s">
        <v>1205</v>
      </c>
    </row>
    <row r="663" spans="1:36" ht="15" customHeight="1" x14ac:dyDescent="0.3">
      <c r="A663" s="16" t="s">
        <v>273</v>
      </c>
      <c r="B663" s="16" t="s">
        <v>517</v>
      </c>
      <c r="C663" s="16" t="s">
        <v>1161</v>
      </c>
      <c r="D663" s="16" t="s">
        <v>324</v>
      </c>
      <c r="E663" s="16" t="s">
        <v>404</v>
      </c>
      <c r="F663" s="16" t="s">
        <v>790</v>
      </c>
      <c r="G663" s="16">
        <v>0.6</v>
      </c>
      <c r="H663" s="16">
        <v>2594</v>
      </c>
      <c r="I663" s="16">
        <v>110</v>
      </c>
      <c r="J663" s="16">
        <v>109</v>
      </c>
      <c r="K663" s="16">
        <v>-9.6709191616552708E-3</v>
      </c>
      <c r="L663" s="16">
        <v>2.74908409822196E-2</v>
      </c>
      <c r="M663" s="16">
        <v>-0.35178695216745798</v>
      </c>
      <c r="N663" s="16">
        <v>107</v>
      </c>
      <c r="O663" s="16">
        <v>0.72568988960745995</v>
      </c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 t="s">
        <v>402</v>
      </c>
      <c r="AI663" s="16"/>
      <c r="AJ663" s="16" t="s">
        <v>1206</v>
      </c>
    </row>
    <row r="664" spans="1:36" ht="15" customHeight="1" x14ac:dyDescent="0.3">
      <c r="A664" s="16" t="s">
        <v>273</v>
      </c>
      <c r="B664" s="16" t="s">
        <v>519</v>
      </c>
      <c r="C664" s="16" t="s">
        <v>1161</v>
      </c>
      <c r="D664" s="16" t="s">
        <v>324</v>
      </c>
      <c r="E664" s="16" t="s">
        <v>404</v>
      </c>
      <c r="F664" s="16" t="s">
        <v>790</v>
      </c>
      <c r="G664" s="16">
        <v>0.6</v>
      </c>
      <c r="H664" s="16">
        <v>2594</v>
      </c>
      <c r="I664" s="16">
        <v>110</v>
      </c>
      <c r="J664" s="16">
        <v>109</v>
      </c>
      <c r="K664" s="16">
        <v>-6.1352638955826299E-3</v>
      </c>
      <c r="L664" s="16">
        <v>2.9227333957974999E-2</v>
      </c>
      <c r="M664" s="16">
        <v>-0.20991527672022101</v>
      </c>
      <c r="N664" s="16">
        <v>107</v>
      </c>
      <c r="O664" s="16">
        <v>0.83413297929569497</v>
      </c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 t="s">
        <v>402</v>
      </c>
      <c r="AI664" s="16"/>
      <c r="AJ664" s="16" t="s">
        <v>1207</v>
      </c>
    </row>
    <row r="665" spans="1:36" ht="15" customHeight="1" x14ac:dyDescent="0.3">
      <c r="A665" s="16" t="s">
        <v>273</v>
      </c>
      <c r="B665" s="16" t="s">
        <v>521</v>
      </c>
      <c r="C665" s="16" t="s">
        <v>1161</v>
      </c>
      <c r="D665" s="16" t="s">
        <v>324</v>
      </c>
      <c r="E665" s="16" t="s">
        <v>404</v>
      </c>
      <c r="F665" s="16" t="s">
        <v>790</v>
      </c>
      <c r="G665" s="16">
        <v>0.6</v>
      </c>
      <c r="H665" s="16">
        <v>2594</v>
      </c>
      <c r="I665" s="16">
        <v>110</v>
      </c>
      <c r="J665" s="16">
        <v>109</v>
      </c>
      <c r="K665" s="16">
        <v>-2.4983124366064001E-2</v>
      </c>
      <c r="L665" s="16">
        <v>1.9877001608646899E-2</v>
      </c>
      <c r="M665" s="16">
        <v>-1.25688596589919</v>
      </c>
      <c r="N665" s="16">
        <v>108</v>
      </c>
      <c r="O665" s="16">
        <v>0.211506458448596</v>
      </c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 t="s">
        <v>402</v>
      </c>
      <c r="AI665" s="16"/>
      <c r="AJ665" s="16" t="s">
        <v>1208</v>
      </c>
    </row>
    <row r="666" spans="1:36" ht="15" customHeight="1" x14ac:dyDescent="0.3">
      <c r="A666" s="16" t="s">
        <v>273</v>
      </c>
      <c r="B666" s="16" t="s">
        <v>523</v>
      </c>
      <c r="C666" s="16" t="s">
        <v>1161</v>
      </c>
      <c r="D666" s="16" t="s">
        <v>324</v>
      </c>
      <c r="E666" s="16" t="s">
        <v>404</v>
      </c>
      <c r="F666" s="16" t="s">
        <v>790</v>
      </c>
      <c r="G666" s="16">
        <v>0.6</v>
      </c>
      <c r="H666" s="16">
        <v>2594</v>
      </c>
      <c r="I666" s="16">
        <v>110</v>
      </c>
      <c r="J666" s="16">
        <v>109</v>
      </c>
      <c r="K666" s="16">
        <v>-2.5841749097481201E-2</v>
      </c>
      <c r="L666" s="16">
        <v>1.8834435969262701E-2</v>
      </c>
      <c r="M666" s="16">
        <v>-1.37204794131633</v>
      </c>
      <c r="N666" s="16">
        <v>108</v>
      </c>
      <c r="O666" s="16">
        <v>0.17289173229923399</v>
      </c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 t="s">
        <v>402</v>
      </c>
      <c r="AI666" s="16"/>
      <c r="AJ666" s="16" t="s">
        <v>1209</v>
      </c>
    </row>
    <row r="667" spans="1:36" ht="15" customHeight="1" x14ac:dyDescent="0.3">
      <c r="A667" s="16" t="s">
        <v>273</v>
      </c>
      <c r="B667" s="16" t="s">
        <v>525</v>
      </c>
      <c r="C667" s="16" t="s">
        <v>1161</v>
      </c>
      <c r="D667" s="16" t="s">
        <v>324</v>
      </c>
      <c r="E667" s="16" t="s">
        <v>404</v>
      </c>
      <c r="F667" s="16" t="s">
        <v>790</v>
      </c>
      <c r="G667" s="16">
        <v>0.6</v>
      </c>
      <c r="H667" s="16">
        <v>2594</v>
      </c>
      <c r="I667" s="16">
        <v>110</v>
      </c>
      <c r="J667" s="16">
        <v>109</v>
      </c>
      <c r="K667" s="16">
        <v>-2.1685445591346799E-2</v>
      </c>
      <c r="L667" s="16">
        <v>1.8750743676929801E-2</v>
      </c>
      <c r="M667" s="16">
        <v>-1.1565112277668099</v>
      </c>
      <c r="N667" s="16">
        <v>108</v>
      </c>
      <c r="O667" s="16">
        <v>0.25002388844655898</v>
      </c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 t="s">
        <v>402</v>
      </c>
      <c r="AI667" s="16"/>
      <c r="AJ667" s="16" t="s">
        <v>1210</v>
      </c>
    </row>
    <row r="668" spans="1:36" ht="15" customHeight="1" x14ac:dyDescent="0.3">
      <c r="A668" s="16" t="s">
        <v>273</v>
      </c>
      <c r="B668" s="16" t="s">
        <v>527</v>
      </c>
      <c r="C668" s="16" t="s">
        <v>1161</v>
      </c>
      <c r="D668" s="16" t="s">
        <v>324</v>
      </c>
      <c r="E668" s="16" t="s">
        <v>404</v>
      </c>
      <c r="F668" s="16" t="s">
        <v>790</v>
      </c>
      <c r="G668" s="16">
        <v>0.6</v>
      </c>
      <c r="H668" s="16">
        <v>900</v>
      </c>
      <c r="I668" s="16">
        <v>38</v>
      </c>
      <c r="J668" s="16">
        <v>38</v>
      </c>
      <c r="K668" s="16">
        <v>-3.15028901576292E-2</v>
      </c>
      <c r="L668" s="16">
        <v>3.1650689214818901E-2</v>
      </c>
      <c r="M668" s="16">
        <v>-0.99533030525223198</v>
      </c>
      <c r="N668" s="16">
        <v>36</v>
      </c>
      <c r="O668" s="16">
        <v>0.32621906288170699</v>
      </c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 t="s">
        <v>402</v>
      </c>
      <c r="AI668" s="16"/>
      <c r="AJ668" s="16" t="s">
        <v>1211</v>
      </c>
    </row>
    <row r="669" spans="1:36" ht="15" customHeight="1" x14ac:dyDescent="0.3">
      <c r="A669" s="16" t="s">
        <v>273</v>
      </c>
      <c r="B669" s="16" t="s">
        <v>529</v>
      </c>
      <c r="C669" s="16" t="s">
        <v>1161</v>
      </c>
      <c r="D669" s="16" t="s">
        <v>324</v>
      </c>
      <c r="E669" s="16" t="s">
        <v>404</v>
      </c>
      <c r="F669" s="16" t="s">
        <v>790</v>
      </c>
      <c r="G669" s="16">
        <v>0.6</v>
      </c>
      <c r="H669" s="16">
        <v>2607</v>
      </c>
      <c r="I669" s="16">
        <v>110</v>
      </c>
      <c r="J669" s="16">
        <v>109</v>
      </c>
      <c r="K669" s="16">
        <v>-1.7612614968180201E-2</v>
      </c>
      <c r="L669" s="16">
        <v>2.0382025652195601E-2</v>
      </c>
      <c r="M669" s="16">
        <v>-0.86412485533707994</v>
      </c>
      <c r="N669" s="16">
        <v>108</v>
      </c>
      <c r="O669" s="16">
        <v>0.389434460473221</v>
      </c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 t="s">
        <v>402</v>
      </c>
      <c r="AI669" s="16"/>
      <c r="AJ669" s="16" t="s">
        <v>1212</v>
      </c>
    </row>
    <row r="670" spans="1:36" ht="15" customHeight="1" x14ac:dyDescent="0.3">
      <c r="A670" s="16" t="s">
        <v>273</v>
      </c>
      <c r="B670" s="16" t="s">
        <v>531</v>
      </c>
      <c r="C670" s="16" t="s">
        <v>1161</v>
      </c>
      <c r="D670" s="16" t="s">
        <v>324</v>
      </c>
      <c r="E670" s="16" t="s">
        <v>404</v>
      </c>
      <c r="F670" s="16" t="s">
        <v>790</v>
      </c>
      <c r="G670" s="16">
        <v>0.6</v>
      </c>
      <c r="H670" s="16">
        <v>2607</v>
      </c>
      <c r="I670" s="16">
        <v>110</v>
      </c>
      <c r="J670" s="16">
        <v>109</v>
      </c>
      <c r="K670" s="16">
        <v>-2.80496305761327E-2</v>
      </c>
      <c r="L670" s="16">
        <v>2.1519000414244999E-2</v>
      </c>
      <c r="M670" s="16">
        <v>-1.3034820408091401</v>
      </c>
      <c r="N670" s="16">
        <v>108</v>
      </c>
      <c r="O670" s="16">
        <v>0.19518209465778399</v>
      </c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 t="s">
        <v>402</v>
      </c>
      <c r="AI670" s="16"/>
      <c r="AJ670" s="16" t="s">
        <v>1213</v>
      </c>
    </row>
    <row r="671" spans="1:36" ht="15" customHeight="1" x14ac:dyDescent="0.3">
      <c r="A671" s="16" t="s">
        <v>273</v>
      </c>
      <c r="B671" s="16" t="s">
        <v>533</v>
      </c>
      <c r="C671" s="16" t="s">
        <v>1161</v>
      </c>
      <c r="D671" s="16" t="s">
        <v>324</v>
      </c>
      <c r="E671" s="16" t="s">
        <v>404</v>
      </c>
      <c r="F671" s="16" t="s">
        <v>790</v>
      </c>
      <c r="G671" s="16">
        <v>0.6</v>
      </c>
      <c r="H671" s="16">
        <v>2607</v>
      </c>
      <c r="I671" s="16">
        <v>110</v>
      </c>
      <c r="J671" s="16">
        <v>109</v>
      </c>
      <c r="K671" s="16">
        <v>-1.29731937075426E-2</v>
      </c>
      <c r="L671" s="16">
        <v>2.2361722677859401E-2</v>
      </c>
      <c r="M671" s="16">
        <v>-0.58015180200707595</v>
      </c>
      <c r="N671" s="16">
        <v>107</v>
      </c>
      <c r="O671" s="16">
        <v>0.56303197757016299</v>
      </c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 t="s">
        <v>402</v>
      </c>
      <c r="AI671" s="16"/>
      <c r="AJ671" s="16" t="s">
        <v>1214</v>
      </c>
    </row>
    <row r="672" spans="1:36" ht="15" customHeight="1" x14ac:dyDescent="0.3">
      <c r="A672" s="16" t="s">
        <v>273</v>
      </c>
      <c r="B672" s="16" t="s">
        <v>535</v>
      </c>
      <c r="C672" s="16" t="s">
        <v>1161</v>
      </c>
      <c r="D672" s="16" t="s">
        <v>324</v>
      </c>
      <c r="E672" s="16" t="s">
        <v>404</v>
      </c>
      <c r="F672" s="16" t="s">
        <v>790</v>
      </c>
      <c r="G672" s="16">
        <v>0.6</v>
      </c>
      <c r="H672" s="16">
        <v>2607</v>
      </c>
      <c r="I672" s="16">
        <v>110</v>
      </c>
      <c r="J672" s="16">
        <v>109</v>
      </c>
      <c r="K672" s="16">
        <v>-3.22144729471458E-2</v>
      </c>
      <c r="L672" s="16">
        <v>2.2464645443016299E-2</v>
      </c>
      <c r="M672" s="16">
        <v>-1.43400762895906</v>
      </c>
      <c r="N672" s="16">
        <v>108</v>
      </c>
      <c r="O672" s="16">
        <v>0.15445911589900499</v>
      </c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 t="s">
        <v>402</v>
      </c>
      <c r="AI672" s="16"/>
      <c r="AJ672" s="16" t="s">
        <v>1215</v>
      </c>
    </row>
    <row r="673" spans="1:36" ht="15" customHeight="1" x14ac:dyDescent="0.3">
      <c r="A673" s="16" t="s">
        <v>273</v>
      </c>
      <c r="B673" s="16" t="s">
        <v>537</v>
      </c>
      <c r="C673" s="16" t="s">
        <v>1161</v>
      </c>
      <c r="D673" s="16" t="s">
        <v>324</v>
      </c>
      <c r="E673" s="16" t="s">
        <v>404</v>
      </c>
      <c r="F673" s="16" t="s">
        <v>790</v>
      </c>
      <c r="G673" s="16">
        <v>0.6</v>
      </c>
      <c r="H673" s="16">
        <v>2607</v>
      </c>
      <c r="I673" s="16">
        <v>110</v>
      </c>
      <c r="J673" s="16">
        <v>109</v>
      </c>
      <c r="K673" s="16">
        <v>-3.9171582381095698E-3</v>
      </c>
      <c r="L673" s="16">
        <v>2.6983453953519299E-2</v>
      </c>
      <c r="M673" s="16">
        <v>-0.14516889664522301</v>
      </c>
      <c r="N673" s="16">
        <v>107</v>
      </c>
      <c r="O673" s="16">
        <v>0.88485062783493695</v>
      </c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 t="s">
        <v>402</v>
      </c>
      <c r="AI673" s="16"/>
      <c r="AJ673" s="16" t="s">
        <v>1216</v>
      </c>
    </row>
    <row r="674" spans="1:36" ht="15" customHeight="1" x14ac:dyDescent="0.3">
      <c r="A674" s="16" t="s">
        <v>273</v>
      </c>
      <c r="B674" s="16" t="s">
        <v>539</v>
      </c>
      <c r="C674" s="16" t="s">
        <v>1161</v>
      </c>
      <c r="D674" s="16" t="s">
        <v>324</v>
      </c>
      <c r="E674" s="16" t="s">
        <v>404</v>
      </c>
      <c r="F674" s="16" t="s">
        <v>790</v>
      </c>
      <c r="G674" s="16">
        <v>0.6</v>
      </c>
      <c r="H674" s="16">
        <v>2607</v>
      </c>
      <c r="I674" s="16">
        <v>110</v>
      </c>
      <c r="J674" s="16">
        <v>109</v>
      </c>
      <c r="K674" s="16">
        <v>-7.71563940445127E-4</v>
      </c>
      <c r="L674" s="16">
        <v>2.86805099377112E-2</v>
      </c>
      <c r="M674" s="16">
        <v>-2.69020300587689E-2</v>
      </c>
      <c r="N674" s="16">
        <v>107</v>
      </c>
      <c r="O674" s="16">
        <v>0.97858798437178196</v>
      </c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 t="s">
        <v>402</v>
      </c>
      <c r="AI674" s="16"/>
      <c r="AJ674" s="16" t="s">
        <v>1217</v>
      </c>
    </row>
    <row r="675" spans="1:36" ht="15" customHeight="1" x14ac:dyDescent="0.3">
      <c r="A675" s="16" t="s">
        <v>273</v>
      </c>
      <c r="B675" s="16" t="s">
        <v>541</v>
      </c>
      <c r="C675" s="16" t="s">
        <v>1161</v>
      </c>
      <c r="D675" s="16" t="s">
        <v>324</v>
      </c>
      <c r="E675" s="16" t="s">
        <v>404</v>
      </c>
      <c r="F675" s="16" t="s">
        <v>790</v>
      </c>
      <c r="G675" s="16">
        <v>0.6</v>
      </c>
      <c r="H675" s="16">
        <v>2607</v>
      </c>
      <c r="I675" s="16">
        <v>110</v>
      </c>
      <c r="J675" s="16">
        <v>109</v>
      </c>
      <c r="K675" s="16">
        <v>-1.9865295949738598E-2</v>
      </c>
      <c r="L675" s="16">
        <v>1.9549819354639099E-2</v>
      </c>
      <c r="M675" s="16">
        <v>-1.0161370593444701</v>
      </c>
      <c r="N675" s="16">
        <v>108</v>
      </c>
      <c r="O675" s="16">
        <v>0.311835117703258</v>
      </c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 t="s">
        <v>402</v>
      </c>
      <c r="AI675" s="16"/>
      <c r="AJ675" s="16" t="s">
        <v>1218</v>
      </c>
    </row>
    <row r="676" spans="1:36" ht="15" customHeight="1" x14ac:dyDescent="0.3">
      <c r="A676" s="16" t="s">
        <v>273</v>
      </c>
      <c r="B676" s="16" t="s">
        <v>543</v>
      </c>
      <c r="C676" s="16" t="s">
        <v>1161</v>
      </c>
      <c r="D676" s="16" t="s">
        <v>324</v>
      </c>
      <c r="E676" s="16" t="s">
        <v>404</v>
      </c>
      <c r="F676" s="16" t="s">
        <v>790</v>
      </c>
      <c r="G676" s="16">
        <v>0.6</v>
      </c>
      <c r="H676" s="16">
        <v>2607</v>
      </c>
      <c r="I676" s="16">
        <v>110</v>
      </c>
      <c r="J676" s="16">
        <v>109</v>
      </c>
      <c r="K676" s="16">
        <v>-1.2342781875362099E-2</v>
      </c>
      <c r="L676" s="16">
        <v>1.8606376796921301E-2</v>
      </c>
      <c r="M676" s="16">
        <v>-0.66336299700242296</v>
      </c>
      <c r="N676" s="16">
        <v>108</v>
      </c>
      <c r="O676" s="16">
        <v>0.50851158631976401</v>
      </c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 t="s">
        <v>402</v>
      </c>
      <c r="AI676" s="16"/>
      <c r="AJ676" s="16" t="s">
        <v>1219</v>
      </c>
    </row>
    <row r="677" spans="1:36" ht="15" customHeight="1" x14ac:dyDescent="0.3">
      <c r="A677" s="16" t="s">
        <v>273</v>
      </c>
      <c r="B677" s="16" t="s">
        <v>545</v>
      </c>
      <c r="C677" s="16" t="s">
        <v>1161</v>
      </c>
      <c r="D677" s="16" t="s">
        <v>324</v>
      </c>
      <c r="E677" s="16" t="s">
        <v>404</v>
      </c>
      <c r="F677" s="16" t="s">
        <v>790</v>
      </c>
      <c r="G677" s="16">
        <v>0.6</v>
      </c>
      <c r="H677" s="16">
        <v>2607</v>
      </c>
      <c r="I677" s="16">
        <v>110</v>
      </c>
      <c r="J677" s="16">
        <v>109</v>
      </c>
      <c r="K677" s="16">
        <v>-1.1320468090920299E-2</v>
      </c>
      <c r="L677" s="16">
        <v>1.847871561594E-2</v>
      </c>
      <c r="M677" s="16">
        <v>-0.61262202017737399</v>
      </c>
      <c r="N677" s="16">
        <v>108</v>
      </c>
      <c r="O677" s="16">
        <v>0.54141410517602695</v>
      </c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 t="s">
        <v>402</v>
      </c>
      <c r="AI677" s="16"/>
      <c r="AJ677" s="16" t="s">
        <v>1220</v>
      </c>
    </row>
    <row r="678" spans="1:36" ht="15" customHeight="1" x14ac:dyDescent="0.3">
      <c r="A678" s="16" t="s">
        <v>273</v>
      </c>
      <c r="B678" s="16" t="s">
        <v>547</v>
      </c>
      <c r="C678" s="16" t="s">
        <v>1161</v>
      </c>
      <c r="D678" s="16" t="s">
        <v>324</v>
      </c>
      <c r="E678" s="16" t="s">
        <v>404</v>
      </c>
      <c r="F678" s="16" t="s">
        <v>790</v>
      </c>
      <c r="G678" s="16">
        <v>0.6</v>
      </c>
      <c r="H678" s="16">
        <v>905</v>
      </c>
      <c r="I678" s="16">
        <v>38</v>
      </c>
      <c r="J678" s="16">
        <v>38</v>
      </c>
      <c r="K678" s="16">
        <v>-2.51631762402405E-2</v>
      </c>
      <c r="L678" s="16">
        <v>2.91964418954875E-2</v>
      </c>
      <c r="M678" s="16">
        <v>-0.86185763081390099</v>
      </c>
      <c r="N678" s="16">
        <v>36</v>
      </c>
      <c r="O678" s="16">
        <v>0.39447062087818602</v>
      </c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 t="s">
        <v>402</v>
      </c>
      <c r="AI678" s="16"/>
      <c r="AJ678" s="16" t="s">
        <v>1221</v>
      </c>
    </row>
    <row r="679" spans="1:36" ht="15" customHeight="1" x14ac:dyDescent="0.3">
      <c r="A679" s="16" t="s">
        <v>273</v>
      </c>
      <c r="B679" s="16" t="s">
        <v>549</v>
      </c>
      <c r="C679" s="16" t="s">
        <v>1161</v>
      </c>
      <c r="D679" s="16" t="s">
        <v>324</v>
      </c>
      <c r="E679" s="16" t="s">
        <v>404</v>
      </c>
      <c r="F679" s="16" t="s">
        <v>790</v>
      </c>
      <c r="G679" s="16">
        <v>0.6</v>
      </c>
      <c r="H679" s="16">
        <v>2705</v>
      </c>
      <c r="I679" s="16">
        <v>113</v>
      </c>
      <c r="J679" s="16">
        <v>112</v>
      </c>
      <c r="K679" s="16">
        <v>1.8913690682880499E-2</v>
      </c>
      <c r="L679" s="16">
        <v>5.5337298789338497E-2</v>
      </c>
      <c r="M679" s="16">
        <v>0.34178919276277397</v>
      </c>
      <c r="N679" s="16">
        <v>111</v>
      </c>
      <c r="O679" s="16">
        <v>0.73315577707084401</v>
      </c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 t="s">
        <v>402</v>
      </c>
      <c r="AI679" s="16"/>
      <c r="AJ679" s="16" t="s">
        <v>1222</v>
      </c>
    </row>
    <row r="680" spans="1:36" ht="15" customHeight="1" x14ac:dyDescent="0.3">
      <c r="A680" s="16" t="s">
        <v>273</v>
      </c>
      <c r="B680" s="16" t="s">
        <v>551</v>
      </c>
      <c r="C680" s="16" t="s">
        <v>1161</v>
      </c>
      <c r="D680" s="16" t="s">
        <v>324</v>
      </c>
      <c r="E680" s="16" t="s">
        <v>404</v>
      </c>
      <c r="F680" s="16" t="s">
        <v>790</v>
      </c>
      <c r="G680" s="16">
        <v>0.6</v>
      </c>
      <c r="H680" s="16">
        <v>2705</v>
      </c>
      <c r="I680" s="16">
        <v>113</v>
      </c>
      <c r="J680" s="16">
        <v>112</v>
      </c>
      <c r="K680" s="16">
        <v>4.3641393469893101E-3</v>
      </c>
      <c r="L680" s="16">
        <v>5.8701150894483398E-2</v>
      </c>
      <c r="M680" s="16">
        <v>7.4345038904500296E-2</v>
      </c>
      <c r="N680" s="16">
        <v>111</v>
      </c>
      <c r="O680" s="16">
        <v>0.94086965568327596</v>
      </c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 t="s">
        <v>402</v>
      </c>
      <c r="AI680" s="16"/>
      <c r="AJ680" s="16" t="s">
        <v>1223</v>
      </c>
    </row>
    <row r="681" spans="1:36" ht="15" customHeight="1" x14ac:dyDescent="0.3">
      <c r="A681" s="16" t="s">
        <v>273</v>
      </c>
      <c r="B681" s="16" t="s">
        <v>553</v>
      </c>
      <c r="C681" s="16" t="s">
        <v>1161</v>
      </c>
      <c r="D681" s="16" t="s">
        <v>324</v>
      </c>
      <c r="E681" s="16" t="s">
        <v>404</v>
      </c>
      <c r="F681" s="16" t="s">
        <v>790</v>
      </c>
      <c r="G681" s="16">
        <v>0.6</v>
      </c>
      <c r="H681" s="16">
        <v>2705</v>
      </c>
      <c r="I681" s="16">
        <v>113</v>
      </c>
      <c r="J681" s="16">
        <v>112</v>
      </c>
      <c r="K681" s="16">
        <v>-4.6061276708952603E-2</v>
      </c>
      <c r="L681" s="16">
        <v>5.8308696259484601E-2</v>
      </c>
      <c r="M681" s="16">
        <v>-0.78995552402631797</v>
      </c>
      <c r="N681" s="16">
        <v>110</v>
      </c>
      <c r="O681" s="16">
        <v>0.43125336278416498</v>
      </c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 t="s">
        <v>402</v>
      </c>
      <c r="AI681" s="16"/>
      <c r="AJ681" s="16" t="s">
        <v>1224</v>
      </c>
    </row>
    <row r="682" spans="1:36" ht="15" customHeight="1" x14ac:dyDescent="0.3">
      <c r="A682" s="16" t="s">
        <v>273</v>
      </c>
      <c r="B682" s="16" t="s">
        <v>555</v>
      </c>
      <c r="C682" s="16" t="s">
        <v>1161</v>
      </c>
      <c r="D682" s="16" t="s">
        <v>324</v>
      </c>
      <c r="E682" s="16" t="s">
        <v>404</v>
      </c>
      <c r="F682" s="16" t="s">
        <v>790</v>
      </c>
      <c r="G682" s="16">
        <v>0.6</v>
      </c>
      <c r="H682" s="16">
        <v>2705</v>
      </c>
      <c r="I682" s="16">
        <v>113</v>
      </c>
      <c r="J682" s="16">
        <v>112</v>
      </c>
      <c r="K682" s="16">
        <v>4.29322978130892E-5</v>
      </c>
      <c r="L682" s="16">
        <v>6.1370385848003903E-2</v>
      </c>
      <c r="M682" s="16">
        <v>6.9956050006626401E-4</v>
      </c>
      <c r="N682" s="16">
        <v>111</v>
      </c>
      <c r="O682" s="16">
        <v>0.99944308722819697</v>
      </c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 t="s">
        <v>402</v>
      </c>
      <c r="AI682" s="16"/>
      <c r="AJ682" s="16" t="s">
        <v>1225</v>
      </c>
    </row>
    <row r="683" spans="1:36" ht="15" customHeight="1" x14ac:dyDescent="0.3">
      <c r="A683" s="16" t="s">
        <v>273</v>
      </c>
      <c r="B683" s="16" t="s">
        <v>557</v>
      </c>
      <c r="C683" s="16" t="s">
        <v>1161</v>
      </c>
      <c r="D683" s="16" t="s">
        <v>324</v>
      </c>
      <c r="E683" s="16" t="s">
        <v>404</v>
      </c>
      <c r="F683" s="16" t="s">
        <v>790</v>
      </c>
      <c r="G683" s="16">
        <v>0.6</v>
      </c>
      <c r="H683" s="16">
        <v>2705</v>
      </c>
      <c r="I683" s="16">
        <v>113</v>
      </c>
      <c r="J683" s="16">
        <v>112</v>
      </c>
      <c r="K683" s="16">
        <v>2.12614888686249E-2</v>
      </c>
      <c r="L683" s="16">
        <v>7.3153961946289897E-2</v>
      </c>
      <c r="M683" s="16">
        <v>0.29064029210386699</v>
      </c>
      <c r="N683" s="16">
        <v>110</v>
      </c>
      <c r="O683" s="16">
        <v>0.77187369209898005</v>
      </c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 t="s">
        <v>402</v>
      </c>
      <c r="AI683" s="16"/>
      <c r="AJ683" s="16" t="s">
        <v>1226</v>
      </c>
    </row>
    <row r="684" spans="1:36" ht="15" customHeight="1" x14ac:dyDescent="0.3">
      <c r="A684" s="16" t="s">
        <v>273</v>
      </c>
      <c r="B684" s="16" t="s">
        <v>559</v>
      </c>
      <c r="C684" s="16" t="s">
        <v>1161</v>
      </c>
      <c r="D684" s="16" t="s">
        <v>324</v>
      </c>
      <c r="E684" s="16" t="s">
        <v>404</v>
      </c>
      <c r="F684" s="16" t="s">
        <v>790</v>
      </c>
      <c r="G684" s="16">
        <v>0.6</v>
      </c>
      <c r="H684" s="16">
        <v>2705</v>
      </c>
      <c r="I684" s="16">
        <v>113</v>
      </c>
      <c r="J684" s="16">
        <v>112</v>
      </c>
      <c r="K684" s="16">
        <v>2.48196883150066E-2</v>
      </c>
      <c r="L684" s="16">
        <v>7.7774423668905093E-2</v>
      </c>
      <c r="M684" s="16">
        <v>0.31912404032290798</v>
      </c>
      <c r="N684" s="16">
        <v>110</v>
      </c>
      <c r="O684" s="16">
        <v>0.75023767186700896</v>
      </c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 t="s">
        <v>402</v>
      </c>
      <c r="AI684" s="16"/>
      <c r="AJ684" s="16" t="s">
        <v>1227</v>
      </c>
    </row>
    <row r="685" spans="1:36" ht="15" customHeight="1" x14ac:dyDescent="0.3">
      <c r="A685" s="16" t="s">
        <v>273</v>
      </c>
      <c r="B685" s="16" t="s">
        <v>561</v>
      </c>
      <c r="C685" s="16" t="s">
        <v>1161</v>
      </c>
      <c r="D685" s="16" t="s">
        <v>324</v>
      </c>
      <c r="E685" s="16" t="s">
        <v>404</v>
      </c>
      <c r="F685" s="16" t="s">
        <v>790</v>
      </c>
      <c r="G685" s="16">
        <v>0.6</v>
      </c>
      <c r="H685" s="16">
        <v>2705</v>
      </c>
      <c r="I685" s="16">
        <v>113</v>
      </c>
      <c r="J685" s="16">
        <v>112</v>
      </c>
      <c r="K685" s="16">
        <v>-5.2160482033707399E-2</v>
      </c>
      <c r="L685" s="16">
        <v>5.1833828788051803E-2</v>
      </c>
      <c r="M685" s="16">
        <v>-1.00630193163988</v>
      </c>
      <c r="N685" s="16">
        <v>111</v>
      </c>
      <c r="O685" s="16">
        <v>0.31645899371012298</v>
      </c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 t="s">
        <v>402</v>
      </c>
      <c r="AI685" s="16"/>
      <c r="AJ685" s="16" t="s">
        <v>1228</v>
      </c>
    </row>
    <row r="686" spans="1:36" ht="15" customHeight="1" x14ac:dyDescent="0.3">
      <c r="A686" s="16" t="s">
        <v>273</v>
      </c>
      <c r="B686" s="16" t="s">
        <v>563</v>
      </c>
      <c r="C686" s="16" t="s">
        <v>1161</v>
      </c>
      <c r="D686" s="16" t="s">
        <v>324</v>
      </c>
      <c r="E686" s="16" t="s">
        <v>404</v>
      </c>
      <c r="F686" s="16" t="s">
        <v>790</v>
      </c>
      <c r="G686" s="16">
        <v>0.6</v>
      </c>
      <c r="H686" s="16">
        <v>2705</v>
      </c>
      <c r="I686" s="16">
        <v>113</v>
      </c>
      <c r="J686" s="16">
        <v>112</v>
      </c>
      <c r="K686" s="16">
        <v>3.10618212836468E-2</v>
      </c>
      <c r="L686" s="16">
        <v>4.9710983724058203E-2</v>
      </c>
      <c r="M686" s="16">
        <v>0.62484825196919402</v>
      </c>
      <c r="N686" s="16">
        <v>111</v>
      </c>
      <c r="O686" s="16">
        <v>0.53335302227649195</v>
      </c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 t="s">
        <v>402</v>
      </c>
      <c r="AI686" s="16"/>
      <c r="AJ686" s="16" t="s">
        <v>1229</v>
      </c>
    </row>
    <row r="687" spans="1:36" ht="15" customHeight="1" x14ac:dyDescent="0.3">
      <c r="A687" s="16" t="s">
        <v>273</v>
      </c>
      <c r="B687" s="16" t="s">
        <v>565</v>
      </c>
      <c r="C687" s="16" t="s">
        <v>1161</v>
      </c>
      <c r="D687" s="16" t="s">
        <v>324</v>
      </c>
      <c r="E687" s="16" t="s">
        <v>404</v>
      </c>
      <c r="F687" s="16" t="s">
        <v>790</v>
      </c>
      <c r="G687" s="16">
        <v>0.6</v>
      </c>
      <c r="H687" s="16">
        <v>2705</v>
      </c>
      <c r="I687" s="16">
        <v>113</v>
      </c>
      <c r="J687" s="16">
        <v>112</v>
      </c>
      <c r="K687" s="16">
        <v>2.24842614858064E-2</v>
      </c>
      <c r="L687" s="16">
        <v>4.9704912873258497E-2</v>
      </c>
      <c r="M687" s="16">
        <v>0.45235491194076799</v>
      </c>
      <c r="N687" s="16">
        <v>111</v>
      </c>
      <c r="O687" s="16">
        <v>0.65189613627656495</v>
      </c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 t="s">
        <v>402</v>
      </c>
      <c r="AI687" s="16"/>
      <c r="AJ687" s="16" t="s">
        <v>1230</v>
      </c>
    </row>
    <row r="688" spans="1:36" ht="15" customHeight="1" x14ac:dyDescent="0.3">
      <c r="A688" s="16" t="s">
        <v>273</v>
      </c>
      <c r="B688" s="16" t="s">
        <v>567</v>
      </c>
      <c r="C688" s="16" t="s">
        <v>1161</v>
      </c>
      <c r="D688" s="16" t="s">
        <v>324</v>
      </c>
      <c r="E688" s="16" t="s">
        <v>404</v>
      </c>
      <c r="F688" s="16" t="s">
        <v>790</v>
      </c>
      <c r="G688" s="16">
        <v>0.6</v>
      </c>
      <c r="H688" s="16">
        <v>929</v>
      </c>
      <c r="I688" s="16">
        <v>40</v>
      </c>
      <c r="J688" s="16">
        <v>40</v>
      </c>
      <c r="K688" s="16">
        <v>-2.6805892856383198E-2</v>
      </c>
      <c r="L688" s="16">
        <v>3.1200673820244398E-2</v>
      </c>
      <c r="M688" s="16">
        <v>-0.85914467779828196</v>
      </c>
      <c r="N688" s="16">
        <v>38</v>
      </c>
      <c r="O688" s="16">
        <v>0.39564819516543298</v>
      </c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 t="s">
        <v>402</v>
      </c>
      <c r="AI688" s="16"/>
      <c r="AJ688" s="16" t="s">
        <v>1231</v>
      </c>
    </row>
    <row r="689" spans="1:36" ht="15" customHeight="1" x14ac:dyDescent="0.3">
      <c r="A689" s="16" t="s">
        <v>273</v>
      </c>
      <c r="B689" s="16" t="s">
        <v>569</v>
      </c>
      <c r="C689" s="16" t="s">
        <v>1161</v>
      </c>
      <c r="D689" s="16" t="s">
        <v>324</v>
      </c>
      <c r="E689" s="16" t="s">
        <v>404</v>
      </c>
      <c r="F689" s="16" t="s">
        <v>790</v>
      </c>
      <c r="G689" s="16">
        <v>0.6</v>
      </c>
      <c r="H689" s="16">
        <v>2692</v>
      </c>
      <c r="I689" s="16">
        <v>113</v>
      </c>
      <c r="J689" s="16">
        <v>112</v>
      </c>
      <c r="K689" s="16">
        <v>-1.4836796819893401E-2</v>
      </c>
      <c r="L689" s="16">
        <v>1.9865984784350001E-2</v>
      </c>
      <c r="M689" s="16">
        <v>-0.74684426576131602</v>
      </c>
      <c r="N689" s="16">
        <v>111</v>
      </c>
      <c r="O689" s="16">
        <v>0.456736598984887</v>
      </c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 t="s">
        <v>402</v>
      </c>
      <c r="AI689" s="16"/>
      <c r="AJ689" s="16" t="s">
        <v>1232</v>
      </c>
    </row>
    <row r="690" spans="1:36" ht="15" customHeight="1" x14ac:dyDescent="0.3">
      <c r="A690" s="16" t="s">
        <v>273</v>
      </c>
      <c r="B690" s="16" t="s">
        <v>571</v>
      </c>
      <c r="C690" s="16" t="s">
        <v>1161</v>
      </c>
      <c r="D690" s="16" t="s">
        <v>324</v>
      </c>
      <c r="E690" s="16" t="s">
        <v>404</v>
      </c>
      <c r="F690" s="16" t="s">
        <v>790</v>
      </c>
      <c r="G690" s="16">
        <v>0.6</v>
      </c>
      <c r="H690" s="16">
        <v>2692</v>
      </c>
      <c r="I690" s="16">
        <v>113</v>
      </c>
      <c r="J690" s="16">
        <v>112</v>
      </c>
      <c r="K690" s="16">
        <v>-2.7776791401733E-2</v>
      </c>
      <c r="L690" s="16">
        <v>2.0978507280648501E-2</v>
      </c>
      <c r="M690" s="16">
        <v>-1.32405947811909</v>
      </c>
      <c r="N690" s="16">
        <v>111</v>
      </c>
      <c r="O690" s="16">
        <v>0.188203407150178</v>
      </c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 t="s">
        <v>402</v>
      </c>
      <c r="AI690" s="16"/>
      <c r="AJ690" s="16" t="s">
        <v>1233</v>
      </c>
    </row>
    <row r="691" spans="1:36" ht="15" customHeight="1" x14ac:dyDescent="0.3">
      <c r="A691" s="16" t="s">
        <v>273</v>
      </c>
      <c r="B691" s="16" t="s">
        <v>573</v>
      </c>
      <c r="C691" s="16" t="s">
        <v>1161</v>
      </c>
      <c r="D691" s="16" t="s">
        <v>324</v>
      </c>
      <c r="E691" s="16" t="s">
        <v>404</v>
      </c>
      <c r="F691" s="16" t="s">
        <v>790</v>
      </c>
      <c r="G691" s="16">
        <v>0.6</v>
      </c>
      <c r="H691" s="16">
        <v>2692</v>
      </c>
      <c r="I691" s="16">
        <v>113</v>
      </c>
      <c r="J691" s="16">
        <v>112</v>
      </c>
      <c r="K691" s="16">
        <v>-1.4660634847561801E-2</v>
      </c>
      <c r="L691" s="16">
        <v>2.1212230021029899E-2</v>
      </c>
      <c r="M691" s="16">
        <v>-0.69114066899270998</v>
      </c>
      <c r="N691" s="16">
        <v>110</v>
      </c>
      <c r="O691" s="16">
        <v>0.49093314528014997</v>
      </c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 t="s">
        <v>402</v>
      </c>
      <c r="AI691" s="16"/>
      <c r="AJ691" s="16" t="s">
        <v>1234</v>
      </c>
    </row>
    <row r="692" spans="1:36" ht="15" customHeight="1" x14ac:dyDescent="0.3">
      <c r="A692" s="16" t="s">
        <v>273</v>
      </c>
      <c r="B692" s="16" t="s">
        <v>575</v>
      </c>
      <c r="C692" s="16" t="s">
        <v>1161</v>
      </c>
      <c r="D692" s="16" t="s">
        <v>324</v>
      </c>
      <c r="E692" s="16" t="s">
        <v>404</v>
      </c>
      <c r="F692" s="16" t="s">
        <v>790</v>
      </c>
      <c r="G692" s="16">
        <v>0.6</v>
      </c>
      <c r="H692" s="16">
        <v>2692</v>
      </c>
      <c r="I692" s="16">
        <v>113</v>
      </c>
      <c r="J692" s="16">
        <v>112</v>
      </c>
      <c r="K692" s="16">
        <v>-3.1041782583890402E-2</v>
      </c>
      <c r="L692" s="16">
        <v>2.1924910730967299E-2</v>
      </c>
      <c r="M692" s="16">
        <v>-1.41582253012535</v>
      </c>
      <c r="N692" s="16">
        <v>111</v>
      </c>
      <c r="O692" s="16">
        <v>0.15962733200719301</v>
      </c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 t="s">
        <v>402</v>
      </c>
      <c r="AI692" s="16"/>
      <c r="AJ692" s="16" t="s">
        <v>1235</v>
      </c>
    </row>
    <row r="693" spans="1:36" ht="15" customHeight="1" x14ac:dyDescent="0.3">
      <c r="A693" s="16" t="s">
        <v>273</v>
      </c>
      <c r="B693" s="16" t="s">
        <v>577</v>
      </c>
      <c r="C693" s="16" t="s">
        <v>1161</v>
      </c>
      <c r="D693" s="16" t="s">
        <v>324</v>
      </c>
      <c r="E693" s="16" t="s">
        <v>404</v>
      </c>
      <c r="F693" s="16" t="s">
        <v>790</v>
      </c>
      <c r="G693" s="16">
        <v>0.6</v>
      </c>
      <c r="H693" s="16">
        <v>2692</v>
      </c>
      <c r="I693" s="16">
        <v>113</v>
      </c>
      <c r="J693" s="16">
        <v>112</v>
      </c>
      <c r="K693" s="16">
        <v>-8.4205429672311698E-3</v>
      </c>
      <c r="L693" s="16">
        <v>2.63507028290202E-2</v>
      </c>
      <c r="M693" s="16">
        <v>-0.31955667451714298</v>
      </c>
      <c r="N693" s="16">
        <v>110</v>
      </c>
      <c r="O693" s="16">
        <v>0.74991052812108305</v>
      </c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 t="s">
        <v>402</v>
      </c>
      <c r="AI693" s="16"/>
      <c r="AJ693" s="16" t="s">
        <v>1236</v>
      </c>
    </row>
    <row r="694" spans="1:36" ht="15" customHeight="1" x14ac:dyDescent="0.3">
      <c r="A694" s="16" t="s">
        <v>273</v>
      </c>
      <c r="B694" s="16" t="s">
        <v>579</v>
      </c>
      <c r="C694" s="16" t="s">
        <v>1161</v>
      </c>
      <c r="D694" s="16" t="s">
        <v>324</v>
      </c>
      <c r="E694" s="16" t="s">
        <v>404</v>
      </c>
      <c r="F694" s="16" t="s">
        <v>790</v>
      </c>
      <c r="G694" s="16">
        <v>0.6</v>
      </c>
      <c r="H694" s="16">
        <v>2692</v>
      </c>
      <c r="I694" s="16">
        <v>113</v>
      </c>
      <c r="J694" s="16">
        <v>112</v>
      </c>
      <c r="K694" s="16">
        <v>-4.6492468275543897E-3</v>
      </c>
      <c r="L694" s="16">
        <v>2.80236166049973E-2</v>
      </c>
      <c r="M694" s="16">
        <v>-0.165904597293317</v>
      </c>
      <c r="N694" s="16">
        <v>110</v>
      </c>
      <c r="O694" s="16">
        <v>0.868536574993101</v>
      </c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 t="s">
        <v>402</v>
      </c>
      <c r="AI694" s="16"/>
      <c r="AJ694" s="16" t="s">
        <v>1237</v>
      </c>
    </row>
    <row r="695" spans="1:36" ht="15" customHeight="1" x14ac:dyDescent="0.3">
      <c r="A695" s="16" t="s">
        <v>273</v>
      </c>
      <c r="B695" s="16" t="s">
        <v>581</v>
      </c>
      <c r="C695" s="16" t="s">
        <v>1161</v>
      </c>
      <c r="D695" s="16" t="s">
        <v>324</v>
      </c>
      <c r="E695" s="16" t="s">
        <v>404</v>
      </c>
      <c r="F695" s="16" t="s">
        <v>790</v>
      </c>
      <c r="G695" s="16">
        <v>0.6</v>
      </c>
      <c r="H695" s="16">
        <v>2692</v>
      </c>
      <c r="I695" s="16">
        <v>113</v>
      </c>
      <c r="J695" s="16">
        <v>112</v>
      </c>
      <c r="K695" s="16">
        <v>-1.93440084575855E-2</v>
      </c>
      <c r="L695" s="16">
        <v>1.87614348944024E-2</v>
      </c>
      <c r="M695" s="16">
        <v>-1.03105165284329</v>
      </c>
      <c r="N695" s="16">
        <v>111</v>
      </c>
      <c r="O695" s="16">
        <v>0.30475794437105302</v>
      </c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 t="s">
        <v>402</v>
      </c>
      <c r="AI695" s="16"/>
      <c r="AJ695" s="16" t="s">
        <v>1238</v>
      </c>
    </row>
    <row r="696" spans="1:36" ht="15" customHeight="1" x14ac:dyDescent="0.3">
      <c r="A696" s="16" t="s">
        <v>273</v>
      </c>
      <c r="B696" s="16" t="s">
        <v>583</v>
      </c>
      <c r="C696" s="16" t="s">
        <v>1161</v>
      </c>
      <c r="D696" s="16" t="s">
        <v>324</v>
      </c>
      <c r="E696" s="16" t="s">
        <v>404</v>
      </c>
      <c r="F696" s="16" t="s">
        <v>790</v>
      </c>
      <c r="G696" s="16">
        <v>0.6</v>
      </c>
      <c r="H696" s="16">
        <v>2692</v>
      </c>
      <c r="I696" s="16">
        <v>113</v>
      </c>
      <c r="J696" s="16">
        <v>112</v>
      </c>
      <c r="K696" s="16">
        <v>-2.10074925624281E-2</v>
      </c>
      <c r="L696" s="16">
        <v>1.7864884412000698E-2</v>
      </c>
      <c r="M696" s="16">
        <v>-1.17590979476567</v>
      </c>
      <c r="N696" s="16">
        <v>111</v>
      </c>
      <c r="O696" s="16">
        <v>0.24214683521779601</v>
      </c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 t="s">
        <v>402</v>
      </c>
      <c r="AI696" s="16"/>
      <c r="AJ696" s="16" t="s">
        <v>1239</v>
      </c>
    </row>
    <row r="697" spans="1:36" ht="15" customHeight="1" x14ac:dyDescent="0.3">
      <c r="A697" s="16" t="s">
        <v>273</v>
      </c>
      <c r="B697" s="16" t="s">
        <v>585</v>
      </c>
      <c r="C697" s="16" t="s">
        <v>1161</v>
      </c>
      <c r="D697" s="16" t="s">
        <v>324</v>
      </c>
      <c r="E697" s="16" t="s">
        <v>404</v>
      </c>
      <c r="F697" s="16" t="s">
        <v>790</v>
      </c>
      <c r="G697" s="16">
        <v>0.6</v>
      </c>
      <c r="H697" s="16">
        <v>2692</v>
      </c>
      <c r="I697" s="16">
        <v>113</v>
      </c>
      <c r="J697" s="16">
        <v>112</v>
      </c>
      <c r="K697" s="16">
        <v>-1.7454190443932299E-2</v>
      </c>
      <c r="L697" s="16">
        <v>1.7814367970748601E-2</v>
      </c>
      <c r="M697" s="16">
        <v>-0.97978162753751796</v>
      </c>
      <c r="N697" s="16">
        <v>111</v>
      </c>
      <c r="O697" s="16">
        <v>0.32932458097266198</v>
      </c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 t="s">
        <v>402</v>
      </c>
      <c r="AI697" s="16"/>
      <c r="AJ697" s="16" t="s">
        <v>1240</v>
      </c>
    </row>
    <row r="698" spans="1:36" ht="15" customHeight="1" x14ac:dyDescent="0.3">
      <c r="A698" s="16" t="s">
        <v>273</v>
      </c>
      <c r="B698" s="16" t="s">
        <v>587</v>
      </c>
      <c r="C698" s="16" t="s">
        <v>1161</v>
      </c>
      <c r="D698" s="16" t="s">
        <v>324</v>
      </c>
      <c r="E698" s="16" t="s">
        <v>404</v>
      </c>
      <c r="F698" s="16" t="s">
        <v>790</v>
      </c>
      <c r="G698" s="16">
        <v>0.6</v>
      </c>
      <c r="H698" s="16">
        <v>924</v>
      </c>
      <c r="I698" s="16">
        <v>40</v>
      </c>
      <c r="J698" s="16">
        <v>40</v>
      </c>
      <c r="K698" s="16">
        <v>-3.0054580607311799E-2</v>
      </c>
      <c r="L698" s="16">
        <v>3.09434716677356E-2</v>
      </c>
      <c r="M698" s="16">
        <v>-0.97127371259538797</v>
      </c>
      <c r="N698" s="16">
        <v>38</v>
      </c>
      <c r="O698" s="16">
        <v>0.33755414115810001</v>
      </c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 t="s">
        <v>402</v>
      </c>
      <c r="AI698" s="16"/>
      <c r="AJ698" s="16" t="s">
        <v>1241</v>
      </c>
    </row>
    <row r="699" spans="1:36" ht="15" customHeight="1" x14ac:dyDescent="0.3">
      <c r="A699" s="16" t="s">
        <v>273</v>
      </c>
      <c r="B699" s="16" t="s">
        <v>589</v>
      </c>
      <c r="C699" s="16" t="s">
        <v>1161</v>
      </c>
      <c r="D699" s="16" t="s">
        <v>324</v>
      </c>
      <c r="E699" s="16" t="s">
        <v>404</v>
      </c>
      <c r="F699" s="16" t="s">
        <v>790</v>
      </c>
      <c r="G699" s="16">
        <v>0.6</v>
      </c>
      <c r="H699" s="16">
        <v>2705</v>
      </c>
      <c r="I699" s="16">
        <v>113</v>
      </c>
      <c r="J699" s="16">
        <v>112</v>
      </c>
      <c r="K699" s="16">
        <v>-1.1297163513342701E-2</v>
      </c>
      <c r="L699" s="16">
        <v>1.9497950997889198E-2</v>
      </c>
      <c r="M699" s="16">
        <v>-0.57940260053816495</v>
      </c>
      <c r="N699" s="16">
        <v>111</v>
      </c>
      <c r="O699" s="16">
        <v>0.56349161681831095</v>
      </c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 t="s">
        <v>402</v>
      </c>
      <c r="AI699" s="16"/>
      <c r="AJ699" s="16" t="s">
        <v>1242</v>
      </c>
    </row>
    <row r="700" spans="1:36" ht="15" customHeight="1" x14ac:dyDescent="0.3">
      <c r="A700" s="16" t="s">
        <v>273</v>
      </c>
      <c r="B700" s="16" t="s">
        <v>591</v>
      </c>
      <c r="C700" s="16" t="s">
        <v>1161</v>
      </c>
      <c r="D700" s="16" t="s">
        <v>324</v>
      </c>
      <c r="E700" s="16" t="s">
        <v>404</v>
      </c>
      <c r="F700" s="16" t="s">
        <v>790</v>
      </c>
      <c r="G700" s="16">
        <v>0.6</v>
      </c>
      <c r="H700" s="16">
        <v>2705</v>
      </c>
      <c r="I700" s="16">
        <v>113</v>
      </c>
      <c r="J700" s="16">
        <v>112</v>
      </c>
      <c r="K700" s="16">
        <v>-2.10665133340701E-2</v>
      </c>
      <c r="L700" s="16">
        <v>2.06365987414465E-2</v>
      </c>
      <c r="M700" s="16">
        <v>-1.02083262838077</v>
      </c>
      <c r="N700" s="16">
        <v>111</v>
      </c>
      <c r="O700" s="16">
        <v>0.309553501384283</v>
      </c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 t="s">
        <v>402</v>
      </c>
      <c r="AI700" s="16"/>
      <c r="AJ700" s="16" t="s">
        <v>1243</v>
      </c>
    </row>
    <row r="701" spans="1:36" ht="15" customHeight="1" x14ac:dyDescent="0.3">
      <c r="A701" s="16" t="s">
        <v>273</v>
      </c>
      <c r="B701" s="16" t="s">
        <v>593</v>
      </c>
      <c r="C701" s="16" t="s">
        <v>1161</v>
      </c>
      <c r="D701" s="16" t="s">
        <v>324</v>
      </c>
      <c r="E701" s="16" t="s">
        <v>404</v>
      </c>
      <c r="F701" s="16" t="s">
        <v>790</v>
      </c>
      <c r="G701" s="16">
        <v>0.6</v>
      </c>
      <c r="H701" s="16">
        <v>2705</v>
      </c>
      <c r="I701" s="16">
        <v>113</v>
      </c>
      <c r="J701" s="16">
        <v>112</v>
      </c>
      <c r="K701" s="16">
        <v>-1.2853173482983499E-2</v>
      </c>
      <c r="L701" s="16">
        <v>2.0805096040480298E-2</v>
      </c>
      <c r="M701" s="16">
        <v>-0.61778967316349798</v>
      </c>
      <c r="N701" s="16">
        <v>110</v>
      </c>
      <c r="O701" s="16">
        <v>0.53799090877703704</v>
      </c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 t="s">
        <v>402</v>
      </c>
      <c r="AI701" s="16"/>
      <c r="AJ701" s="16" t="s">
        <v>1244</v>
      </c>
    </row>
    <row r="702" spans="1:36" ht="15" customHeight="1" x14ac:dyDescent="0.3">
      <c r="A702" s="16" t="s">
        <v>273</v>
      </c>
      <c r="B702" s="16" t="s">
        <v>595</v>
      </c>
      <c r="C702" s="16" t="s">
        <v>1161</v>
      </c>
      <c r="D702" s="16" t="s">
        <v>324</v>
      </c>
      <c r="E702" s="16" t="s">
        <v>404</v>
      </c>
      <c r="F702" s="16" t="s">
        <v>790</v>
      </c>
      <c r="G702" s="16">
        <v>0.6</v>
      </c>
      <c r="H702" s="16">
        <v>2705</v>
      </c>
      <c r="I702" s="16">
        <v>113</v>
      </c>
      <c r="J702" s="16">
        <v>112</v>
      </c>
      <c r="K702" s="16">
        <v>-2.46905618159084E-2</v>
      </c>
      <c r="L702" s="16">
        <v>2.1566855591921699E-2</v>
      </c>
      <c r="M702" s="16">
        <v>-1.1448382779155299</v>
      </c>
      <c r="N702" s="16">
        <v>111</v>
      </c>
      <c r="O702" s="16">
        <v>0.25473869529293702</v>
      </c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 t="s">
        <v>402</v>
      </c>
      <c r="AI702" s="16"/>
      <c r="AJ702" s="16" t="s">
        <v>1245</v>
      </c>
    </row>
    <row r="703" spans="1:36" ht="15" customHeight="1" x14ac:dyDescent="0.3">
      <c r="A703" s="16" t="s">
        <v>273</v>
      </c>
      <c r="B703" s="16" t="s">
        <v>597</v>
      </c>
      <c r="C703" s="16" t="s">
        <v>1161</v>
      </c>
      <c r="D703" s="16" t="s">
        <v>324</v>
      </c>
      <c r="E703" s="16" t="s">
        <v>404</v>
      </c>
      <c r="F703" s="16" t="s">
        <v>790</v>
      </c>
      <c r="G703" s="16">
        <v>0.6</v>
      </c>
      <c r="H703" s="16">
        <v>2705</v>
      </c>
      <c r="I703" s="16">
        <v>113</v>
      </c>
      <c r="J703" s="16">
        <v>112</v>
      </c>
      <c r="K703" s="16">
        <v>-3.0744902013792098E-3</v>
      </c>
      <c r="L703" s="16">
        <v>2.58454992411545E-2</v>
      </c>
      <c r="M703" s="16">
        <v>-0.118956502743178</v>
      </c>
      <c r="N703" s="16">
        <v>110</v>
      </c>
      <c r="O703" s="16">
        <v>0.90552678750646798</v>
      </c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 t="s">
        <v>402</v>
      </c>
      <c r="AI703" s="16"/>
      <c r="AJ703" s="16" t="s">
        <v>1246</v>
      </c>
    </row>
    <row r="704" spans="1:36" ht="15" customHeight="1" x14ac:dyDescent="0.3">
      <c r="A704" s="16" t="s">
        <v>273</v>
      </c>
      <c r="B704" s="16" t="s">
        <v>599</v>
      </c>
      <c r="C704" s="16" t="s">
        <v>1161</v>
      </c>
      <c r="D704" s="16" t="s">
        <v>324</v>
      </c>
      <c r="E704" s="16" t="s">
        <v>404</v>
      </c>
      <c r="F704" s="16" t="s">
        <v>790</v>
      </c>
      <c r="G704" s="16">
        <v>0.6</v>
      </c>
      <c r="H704" s="16">
        <v>2705</v>
      </c>
      <c r="I704" s="16">
        <v>113</v>
      </c>
      <c r="J704" s="16">
        <v>112</v>
      </c>
      <c r="K704" s="16">
        <v>3.01275174600664E-4</v>
      </c>
      <c r="L704" s="16">
        <v>2.7479348204298999E-2</v>
      </c>
      <c r="M704" s="16">
        <v>1.0963694348235299E-2</v>
      </c>
      <c r="N704" s="16">
        <v>110</v>
      </c>
      <c r="O704" s="16">
        <v>0.99127227241910898</v>
      </c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 t="s">
        <v>402</v>
      </c>
      <c r="AI704" s="16"/>
      <c r="AJ704" s="16" t="s">
        <v>1247</v>
      </c>
    </row>
    <row r="705" spans="1:36" ht="15" customHeight="1" x14ac:dyDescent="0.3">
      <c r="A705" s="16" t="s">
        <v>273</v>
      </c>
      <c r="B705" s="16" t="s">
        <v>601</v>
      </c>
      <c r="C705" s="16" t="s">
        <v>1161</v>
      </c>
      <c r="D705" s="16" t="s">
        <v>324</v>
      </c>
      <c r="E705" s="16" t="s">
        <v>404</v>
      </c>
      <c r="F705" s="16" t="s">
        <v>790</v>
      </c>
      <c r="G705" s="16">
        <v>0.6</v>
      </c>
      <c r="H705" s="16">
        <v>2705</v>
      </c>
      <c r="I705" s="16">
        <v>113</v>
      </c>
      <c r="J705" s="16">
        <v>112</v>
      </c>
      <c r="K705" s="16">
        <v>-1.49534676801313E-2</v>
      </c>
      <c r="L705" s="16">
        <v>1.84283331875441E-2</v>
      </c>
      <c r="M705" s="16">
        <v>-0.811438968893753</v>
      </c>
      <c r="N705" s="16">
        <v>111</v>
      </c>
      <c r="O705" s="16">
        <v>0.41885022005663403</v>
      </c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 t="s">
        <v>402</v>
      </c>
      <c r="AI705" s="16"/>
      <c r="AJ705" s="16" t="s">
        <v>1248</v>
      </c>
    </row>
    <row r="706" spans="1:36" ht="15" customHeight="1" x14ac:dyDescent="0.3">
      <c r="A706" s="16" t="s">
        <v>273</v>
      </c>
      <c r="B706" s="16" t="s">
        <v>603</v>
      </c>
      <c r="C706" s="16" t="s">
        <v>1161</v>
      </c>
      <c r="D706" s="16" t="s">
        <v>324</v>
      </c>
      <c r="E706" s="16" t="s">
        <v>404</v>
      </c>
      <c r="F706" s="16" t="s">
        <v>790</v>
      </c>
      <c r="G706" s="16">
        <v>0.6</v>
      </c>
      <c r="H706" s="16">
        <v>2705</v>
      </c>
      <c r="I706" s="16">
        <v>113</v>
      </c>
      <c r="J706" s="16">
        <v>112</v>
      </c>
      <c r="K706" s="16">
        <v>-8.2928122027235394E-3</v>
      </c>
      <c r="L706" s="16">
        <v>1.7612803516449001E-2</v>
      </c>
      <c r="M706" s="16">
        <v>-0.470839988362936</v>
      </c>
      <c r="N706" s="16">
        <v>111</v>
      </c>
      <c r="O706" s="16">
        <v>0.63867897477283497</v>
      </c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 t="s">
        <v>402</v>
      </c>
      <c r="AI706" s="16"/>
      <c r="AJ706" s="16" t="s">
        <v>1249</v>
      </c>
    </row>
    <row r="707" spans="1:36" ht="15" customHeight="1" x14ac:dyDescent="0.3">
      <c r="A707" s="16" t="s">
        <v>273</v>
      </c>
      <c r="B707" s="16" t="s">
        <v>605</v>
      </c>
      <c r="C707" s="16" t="s">
        <v>1161</v>
      </c>
      <c r="D707" s="16" t="s">
        <v>324</v>
      </c>
      <c r="E707" s="16" t="s">
        <v>404</v>
      </c>
      <c r="F707" s="16" t="s">
        <v>790</v>
      </c>
      <c r="G707" s="16">
        <v>0.6</v>
      </c>
      <c r="H707" s="16">
        <v>2705</v>
      </c>
      <c r="I707" s="16">
        <v>113</v>
      </c>
      <c r="J707" s="16">
        <v>112</v>
      </c>
      <c r="K707" s="16">
        <v>-7.6292215406555397E-3</v>
      </c>
      <c r="L707" s="16">
        <v>1.7527607198150202E-2</v>
      </c>
      <c r="M707" s="16">
        <v>-0.43526885640503798</v>
      </c>
      <c r="N707" s="16">
        <v>111</v>
      </c>
      <c r="O707" s="16">
        <v>0.66421246147453095</v>
      </c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 t="s">
        <v>402</v>
      </c>
      <c r="AI707" s="16"/>
      <c r="AJ707" s="16" t="s">
        <v>1250</v>
      </c>
    </row>
    <row r="708" spans="1:36" ht="15" customHeight="1" x14ac:dyDescent="0.3">
      <c r="A708" s="16" t="s">
        <v>273</v>
      </c>
      <c r="B708" s="16" t="s">
        <v>607</v>
      </c>
      <c r="C708" s="16" t="s">
        <v>1161</v>
      </c>
      <c r="D708" s="16" t="s">
        <v>324</v>
      </c>
      <c r="E708" s="16" t="s">
        <v>404</v>
      </c>
      <c r="F708" s="16" t="s">
        <v>790</v>
      </c>
      <c r="G708" s="16">
        <v>0.6</v>
      </c>
      <c r="H708" s="16">
        <v>929</v>
      </c>
      <c r="I708" s="16">
        <v>40</v>
      </c>
      <c r="J708" s="16">
        <v>40</v>
      </c>
      <c r="K708" s="16">
        <v>-2.39708723833317E-2</v>
      </c>
      <c r="L708" s="16">
        <v>2.8122200691652999E-2</v>
      </c>
      <c r="M708" s="16">
        <v>-0.85238252319444396</v>
      </c>
      <c r="N708" s="16">
        <v>38</v>
      </c>
      <c r="O708" s="16">
        <v>0.39934232609526998</v>
      </c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 t="s">
        <v>402</v>
      </c>
      <c r="AI708" s="16"/>
      <c r="AJ708" s="16" t="s">
        <v>1251</v>
      </c>
    </row>
    <row r="709" spans="1:36" ht="15" customHeight="1" x14ac:dyDescent="0.3">
      <c r="A709" s="16" t="s">
        <v>273</v>
      </c>
      <c r="B709" s="16" t="s">
        <v>609</v>
      </c>
      <c r="C709" s="16" t="s">
        <v>1161</v>
      </c>
      <c r="D709" s="16" t="s">
        <v>324</v>
      </c>
      <c r="E709" s="16" t="s">
        <v>404</v>
      </c>
      <c r="F709" s="16" t="s">
        <v>790</v>
      </c>
      <c r="G709" s="16">
        <v>0.6</v>
      </c>
      <c r="H709" s="16">
        <v>2607</v>
      </c>
      <c r="I709" s="16">
        <v>110</v>
      </c>
      <c r="J709" s="16">
        <v>109</v>
      </c>
      <c r="K709" s="16">
        <v>1.2944758827876801E-2</v>
      </c>
      <c r="L709" s="16">
        <v>5.6706917729657601E-2</v>
      </c>
      <c r="M709" s="16">
        <v>0.22827477398064799</v>
      </c>
      <c r="N709" s="16">
        <v>108</v>
      </c>
      <c r="O709" s="16">
        <v>0.81986428418699997</v>
      </c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 t="s">
        <v>402</v>
      </c>
      <c r="AI709" s="16"/>
      <c r="AJ709" s="16" t="s">
        <v>1252</v>
      </c>
    </row>
    <row r="710" spans="1:36" ht="15" customHeight="1" x14ac:dyDescent="0.3">
      <c r="A710" s="16" t="s">
        <v>273</v>
      </c>
      <c r="B710" s="16" t="s">
        <v>611</v>
      </c>
      <c r="C710" s="16" t="s">
        <v>1161</v>
      </c>
      <c r="D710" s="16" t="s">
        <v>324</v>
      </c>
      <c r="E710" s="16" t="s">
        <v>404</v>
      </c>
      <c r="F710" s="16" t="s">
        <v>790</v>
      </c>
      <c r="G710" s="16">
        <v>0.6</v>
      </c>
      <c r="H710" s="16">
        <v>2607</v>
      </c>
      <c r="I710" s="16">
        <v>110</v>
      </c>
      <c r="J710" s="16">
        <v>109</v>
      </c>
      <c r="K710" s="16">
        <v>-2.3571915700745E-3</v>
      </c>
      <c r="L710" s="16">
        <v>6.0071558068504602E-2</v>
      </c>
      <c r="M710" s="16">
        <v>-3.923972751608E-2</v>
      </c>
      <c r="N710" s="16">
        <v>108</v>
      </c>
      <c r="O710" s="16">
        <v>0.96877170477753005</v>
      </c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 t="s">
        <v>402</v>
      </c>
      <c r="AI710" s="16"/>
      <c r="AJ710" s="16" t="s">
        <v>1253</v>
      </c>
    </row>
    <row r="711" spans="1:36" ht="15" customHeight="1" x14ac:dyDescent="0.3">
      <c r="A711" s="16" t="s">
        <v>273</v>
      </c>
      <c r="B711" s="16" t="s">
        <v>613</v>
      </c>
      <c r="C711" s="16" t="s">
        <v>1161</v>
      </c>
      <c r="D711" s="16" t="s">
        <v>324</v>
      </c>
      <c r="E711" s="16" t="s">
        <v>404</v>
      </c>
      <c r="F711" s="16" t="s">
        <v>790</v>
      </c>
      <c r="G711" s="16">
        <v>0.6</v>
      </c>
      <c r="H711" s="16">
        <v>2607</v>
      </c>
      <c r="I711" s="16">
        <v>110</v>
      </c>
      <c r="J711" s="16">
        <v>109</v>
      </c>
      <c r="K711" s="16">
        <v>-4.7944176401437701E-2</v>
      </c>
      <c r="L711" s="16">
        <v>6.1307737992777903E-2</v>
      </c>
      <c r="M711" s="16">
        <v>-0.78202487925888897</v>
      </c>
      <c r="N711" s="16">
        <v>107</v>
      </c>
      <c r="O711" s="16">
        <v>0.43592707248712897</v>
      </c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 t="s">
        <v>402</v>
      </c>
      <c r="AI711" s="16"/>
      <c r="AJ711" s="16" t="s">
        <v>1254</v>
      </c>
    </row>
    <row r="712" spans="1:36" ht="15" customHeight="1" x14ac:dyDescent="0.3">
      <c r="A712" s="16" t="s">
        <v>273</v>
      </c>
      <c r="B712" s="16" t="s">
        <v>615</v>
      </c>
      <c r="C712" s="16" t="s">
        <v>1161</v>
      </c>
      <c r="D712" s="16" t="s">
        <v>324</v>
      </c>
      <c r="E712" s="16" t="s">
        <v>404</v>
      </c>
      <c r="F712" s="16" t="s">
        <v>790</v>
      </c>
      <c r="G712" s="16">
        <v>0.6</v>
      </c>
      <c r="H712" s="16">
        <v>2607</v>
      </c>
      <c r="I712" s="16">
        <v>110</v>
      </c>
      <c r="J712" s="16">
        <v>109</v>
      </c>
      <c r="K712" s="16">
        <v>-7.2303060842451999E-3</v>
      </c>
      <c r="L712" s="16">
        <v>6.27604206060947E-2</v>
      </c>
      <c r="M712" s="16">
        <v>-0.11520486979564699</v>
      </c>
      <c r="N712" s="16">
        <v>108</v>
      </c>
      <c r="O712" s="16">
        <v>0.90849666207606705</v>
      </c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 t="s">
        <v>402</v>
      </c>
      <c r="AI712" s="16"/>
      <c r="AJ712" s="16" t="s">
        <v>1255</v>
      </c>
    </row>
    <row r="713" spans="1:36" ht="15" customHeight="1" x14ac:dyDescent="0.3">
      <c r="A713" s="16" t="s">
        <v>273</v>
      </c>
      <c r="B713" s="16" t="s">
        <v>617</v>
      </c>
      <c r="C713" s="16" t="s">
        <v>1161</v>
      </c>
      <c r="D713" s="16" t="s">
        <v>324</v>
      </c>
      <c r="E713" s="16" t="s">
        <v>404</v>
      </c>
      <c r="F713" s="16" t="s">
        <v>790</v>
      </c>
      <c r="G713" s="16">
        <v>0.6</v>
      </c>
      <c r="H713" s="16">
        <v>2607</v>
      </c>
      <c r="I713" s="16">
        <v>110</v>
      </c>
      <c r="J713" s="16">
        <v>109</v>
      </c>
      <c r="K713" s="16">
        <v>2.0663163303518702E-2</v>
      </c>
      <c r="L713" s="16">
        <v>7.4723865278792601E-2</v>
      </c>
      <c r="M713" s="16">
        <v>0.276526959980255</v>
      </c>
      <c r="N713" s="16">
        <v>107</v>
      </c>
      <c r="O713" s="16">
        <v>0.78267679657356704</v>
      </c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 t="s">
        <v>402</v>
      </c>
      <c r="AI713" s="16"/>
      <c r="AJ713" s="16" t="s">
        <v>1256</v>
      </c>
    </row>
    <row r="714" spans="1:36" ht="15" customHeight="1" x14ac:dyDescent="0.3">
      <c r="A714" s="16" t="s">
        <v>273</v>
      </c>
      <c r="B714" s="16" t="s">
        <v>619</v>
      </c>
      <c r="C714" s="16" t="s">
        <v>1161</v>
      </c>
      <c r="D714" s="16" t="s">
        <v>324</v>
      </c>
      <c r="E714" s="16" t="s">
        <v>404</v>
      </c>
      <c r="F714" s="16" t="s">
        <v>790</v>
      </c>
      <c r="G714" s="16">
        <v>0.6</v>
      </c>
      <c r="H714" s="16">
        <v>2607</v>
      </c>
      <c r="I714" s="16">
        <v>110</v>
      </c>
      <c r="J714" s="16">
        <v>109</v>
      </c>
      <c r="K714" s="16">
        <v>2.42398547056384E-2</v>
      </c>
      <c r="L714" s="16">
        <v>7.9417858718863296E-2</v>
      </c>
      <c r="M714" s="16">
        <v>0.30521919246710799</v>
      </c>
      <c r="N714" s="16">
        <v>107</v>
      </c>
      <c r="O714" s="16">
        <v>0.76079215648990905</v>
      </c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 t="s">
        <v>402</v>
      </c>
      <c r="AI714" s="16"/>
      <c r="AJ714" s="16" t="s">
        <v>1257</v>
      </c>
    </row>
    <row r="715" spans="1:36" ht="15" customHeight="1" x14ac:dyDescent="0.3">
      <c r="A715" s="16" t="s">
        <v>273</v>
      </c>
      <c r="B715" s="16" t="s">
        <v>621</v>
      </c>
      <c r="C715" s="16" t="s">
        <v>1161</v>
      </c>
      <c r="D715" s="16" t="s">
        <v>324</v>
      </c>
      <c r="E715" s="16" t="s">
        <v>404</v>
      </c>
      <c r="F715" s="16" t="s">
        <v>790</v>
      </c>
      <c r="G715" s="16">
        <v>0.6</v>
      </c>
      <c r="H715" s="16">
        <v>2607</v>
      </c>
      <c r="I715" s="16">
        <v>110</v>
      </c>
      <c r="J715" s="16">
        <v>109</v>
      </c>
      <c r="K715" s="16">
        <v>-5.97195970350883E-2</v>
      </c>
      <c r="L715" s="16">
        <v>5.38235554686496E-2</v>
      </c>
      <c r="M715" s="16">
        <v>-1.1095438886394799</v>
      </c>
      <c r="N715" s="16">
        <v>108</v>
      </c>
      <c r="O715" s="16">
        <v>0.26966009404242203</v>
      </c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 t="s">
        <v>402</v>
      </c>
      <c r="AI715" s="16"/>
      <c r="AJ715" s="16" t="s">
        <v>1258</v>
      </c>
    </row>
    <row r="716" spans="1:36" ht="15" customHeight="1" x14ac:dyDescent="0.3">
      <c r="A716" s="16" t="s">
        <v>273</v>
      </c>
      <c r="B716" s="16" t="s">
        <v>623</v>
      </c>
      <c r="C716" s="16" t="s">
        <v>1161</v>
      </c>
      <c r="D716" s="16" t="s">
        <v>324</v>
      </c>
      <c r="E716" s="16" t="s">
        <v>404</v>
      </c>
      <c r="F716" s="16" t="s">
        <v>790</v>
      </c>
      <c r="G716" s="16">
        <v>0.6</v>
      </c>
      <c r="H716" s="16">
        <v>2607</v>
      </c>
      <c r="I716" s="16">
        <v>110</v>
      </c>
      <c r="J716" s="16">
        <v>109</v>
      </c>
      <c r="K716" s="16">
        <v>2.73398279749987E-2</v>
      </c>
      <c r="L716" s="16">
        <v>5.1452946250202601E-2</v>
      </c>
      <c r="M716" s="16">
        <v>0.53135592745364002</v>
      </c>
      <c r="N716" s="16">
        <v>108</v>
      </c>
      <c r="O716" s="16">
        <v>0.59626332019168504</v>
      </c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 t="s">
        <v>402</v>
      </c>
      <c r="AI716" s="16"/>
      <c r="AJ716" s="16" t="s">
        <v>1259</v>
      </c>
    </row>
    <row r="717" spans="1:36" ht="15" customHeight="1" x14ac:dyDescent="0.3">
      <c r="A717" s="16" t="s">
        <v>273</v>
      </c>
      <c r="B717" s="16" t="s">
        <v>625</v>
      </c>
      <c r="C717" s="16" t="s">
        <v>1161</v>
      </c>
      <c r="D717" s="16" t="s">
        <v>324</v>
      </c>
      <c r="E717" s="16" t="s">
        <v>404</v>
      </c>
      <c r="F717" s="16" t="s">
        <v>790</v>
      </c>
      <c r="G717" s="16">
        <v>0.6</v>
      </c>
      <c r="H717" s="16">
        <v>2607</v>
      </c>
      <c r="I717" s="16">
        <v>110</v>
      </c>
      <c r="J717" s="16">
        <v>109</v>
      </c>
      <c r="K717" s="16">
        <v>1.8725264592547201E-2</v>
      </c>
      <c r="L717" s="16">
        <v>5.1324330325189099E-2</v>
      </c>
      <c r="M717" s="16">
        <v>0.36484186883500602</v>
      </c>
      <c r="N717" s="16">
        <v>108</v>
      </c>
      <c r="O717" s="16">
        <v>0.71594289949324597</v>
      </c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 t="s">
        <v>402</v>
      </c>
      <c r="AI717" s="16"/>
      <c r="AJ717" s="16" t="s">
        <v>1260</v>
      </c>
    </row>
    <row r="718" spans="1:36" ht="15" customHeight="1" x14ac:dyDescent="0.3">
      <c r="A718" s="16" t="s">
        <v>273</v>
      </c>
      <c r="B718" s="16" t="s">
        <v>627</v>
      </c>
      <c r="C718" s="16" t="s">
        <v>1161</v>
      </c>
      <c r="D718" s="16" t="s">
        <v>324</v>
      </c>
      <c r="E718" s="16" t="s">
        <v>404</v>
      </c>
      <c r="F718" s="16" t="s">
        <v>790</v>
      </c>
      <c r="G718" s="16">
        <v>0.6</v>
      </c>
      <c r="H718" s="16">
        <v>905</v>
      </c>
      <c r="I718" s="16">
        <v>38</v>
      </c>
      <c r="J718" s="16">
        <v>38</v>
      </c>
      <c r="K718" s="16">
        <v>-2.9675634926567301E-2</v>
      </c>
      <c r="L718" s="16">
        <v>3.2498796113796601E-2</v>
      </c>
      <c r="M718" s="16">
        <v>-0.91313028404671004</v>
      </c>
      <c r="N718" s="16">
        <v>36</v>
      </c>
      <c r="O718" s="16">
        <v>0.36724913657018798</v>
      </c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 t="s">
        <v>402</v>
      </c>
      <c r="AI718" s="16"/>
      <c r="AJ718" s="16" t="s">
        <v>1261</v>
      </c>
    </row>
    <row r="719" spans="1:36" ht="15" customHeight="1" x14ac:dyDescent="0.3">
      <c r="A719" s="16" t="s">
        <v>273</v>
      </c>
      <c r="B719" s="16" t="s">
        <v>629</v>
      </c>
      <c r="C719" s="16" t="s">
        <v>1161</v>
      </c>
      <c r="D719" s="16" t="s">
        <v>324</v>
      </c>
      <c r="E719" s="16" t="s">
        <v>404</v>
      </c>
      <c r="F719" s="16" t="s">
        <v>790</v>
      </c>
      <c r="G719" s="16">
        <v>0.6</v>
      </c>
      <c r="H719" s="16">
        <v>2594</v>
      </c>
      <c r="I719" s="16">
        <v>110</v>
      </c>
      <c r="J719" s="16">
        <v>109</v>
      </c>
      <c r="K719" s="16">
        <v>-2.2028256246382098E-2</v>
      </c>
      <c r="L719" s="16">
        <v>2.0848038430225601E-2</v>
      </c>
      <c r="M719" s="16">
        <v>-1.05661049695906</v>
      </c>
      <c r="N719" s="16">
        <v>108</v>
      </c>
      <c r="O719" s="16">
        <v>0.29304716828063199</v>
      </c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 t="s">
        <v>402</v>
      </c>
      <c r="AI719" s="16"/>
      <c r="AJ719" s="16" t="s">
        <v>1262</v>
      </c>
    </row>
    <row r="720" spans="1:36" ht="15" customHeight="1" x14ac:dyDescent="0.3">
      <c r="A720" s="16" t="s">
        <v>273</v>
      </c>
      <c r="B720" s="16" t="s">
        <v>631</v>
      </c>
      <c r="C720" s="16" t="s">
        <v>1161</v>
      </c>
      <c r="D720" s="16" t="s">
        <v>324</v>
      </c>
      <c r="E720" s="16" t="s">
        <v>404</v>
      </c>
      <c r="F720" s="16" t="s">
        <v>790</v>
      </c>
      <c r="G720" s="16">
        <v>0.6</v>
      </c>
      <c r="H720" s="16">
        <v>2594</v>
      </c>
      <c r="I720" s="16">
        <v>110</v>
      </c>
      <c r="J720" s="16">
        <v>109</v>
      </c>
      <c r="K720" s="16">
        <v>-3.55958667127819E-2</v>
      </c>
      <c r="L720" s="16">
        <v>2.19516442093452E-2</v>
      </c>
      <c r="M720" s="16">
        <v>-1.62155811078735</v>
      </c>
      <c r="N720" s="16">
        <v>108</v>
      </c>
      <c r="O720" s="16">
        <v>0.107813922357783</v>
      </c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 t="s">
        <v>402</v>
      </c>
      <c r="AI720" s="16"/>
      <c r="AJ720" s="16" t="s">
        <v>1263</v>
      </c>
    </row>
    <row r="721" spans="1:36" ht="15" customHeight="1" x14ac:dyDescent="0.3">
      <c r="A721" s="16" t="s">
        <v>273</v>
      </c>
      <c r="B721" s="16" t="s">
        <v>633</v>
      </c>
      <c r="C721" s="16" t="s">
        <v>1161</v>
      </c>
      <c r="D721" s="16" t="s">
        <v>324</v>
      </c>
      <c r="E721" s="16" t="s">
        <v>404</v>
      </c>
      <c r="F721" s="16" t="s">
        <v>790</v>
      </c>
      <c r="G721" s="16">
        <v>0.6</v>
      </c>
      <c r="H721" s="16">
        <v>2594</v>
      </c>
      <c r="I721" s="16">
        <v>110</v>
      </c>
      <c r="J721" s="16">
        <v>109</v>
      </c>
      <c r="K721" s="16">
        <v>-1.6845237704399E-2</v>
      </c>
      <c r="L721" s="16">
        <v>2.2909916885671601E-2</v>
      </c>
      <c r="M721" s="16">
        <v>-0.73528148480252598</v>
      </c>
      <c r="N721" s="16">
        <v>107</v>
      </c>
      <c r="O721" s="16">
        <v>0.46377668808325001</v>
      </c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 t="s">
        <v>402</v>
      </c>
      <c r="AI721" s="16"/>
      <c r="AJ721" s="16" t="s">
        <v>1264</v>
      </c>
    </row>
    <row r="722" spans="1:36" ht="15" customHeight="1" x14ac:dyDescent="0.3">
      <c r="A722" s="16" t="s">
        <v>273</v>
      </c>
      <c r="B722" s="16" t="s">
        <v>635</v>
      </c>
      <c r="C722" s="16" t="s">
        <v>1161</v>
      </c>
      <c r="D722" s="16" t="s">
        <v>324</v>
      </c>
      <c r="E722" s="16" t="s">
        <v>404</v>
      </c>
      <c r="F722" s="16" t="s">
        <v>790</v>
      </c>
      <c r="G722" s="16">
        <v>0.6</v>
      </c>
      <c r="H722" s="16">
        <v>2594</v>
      </c>
      <c r="I722" s="16">
        <v>110</v>
      </c>
      <c r="J722" s="16">
        <v>109</v>
      </c>
      <c r="K722" s="16">
        <v>-3.9372657727507102E-2</v>
      </c>
      <c r="L722" s="16">
        <v>2.2918504556716599E-2</v>
      </c>
      <c r="M722" s="16">
        <v>-1.7179418329878999</v>
      </c>
      <c r="N722" s="16">
        <v>108</v>
      </c>
      <c r="O722" s="16">
        <v>8.8673025412074002E-2</v>
      </c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 t="s">
        <v>402</v>
      </c>
      <c r="AI722" s="16"/>
      <c r="AJ722" s="16" t="s">
        <v>1265</v>
      </c>
    </row>
    <row r="723" spans="1:36" ht="15" customHeight="1" x14ac:dyDescent="0.3">
      <c r="A723" s="16" t="s">
        <v>273</v>
      </c>
      <c r="B723" s="16" t="s">
        <v>637</v>
      </c>
      <c r="C723" s="16" t="s">
        <v>1161</v>
      </c>
      <c r="D723" s="16" t="s">
        <v>324</v>
      </c>
      <c r="E723" s="16" t="s">
        <v>404</v>
      </c>
      <c r="F723" s="16" t="s">
        <v>790</v>
      </c>
      <c r="G723" s="16">
        <v>0.6</v>
      </c>
      <c r="H723" s="16">
        <v>2594</v>
      </c>
      <c r="I723" s="16">
        <v>110</v>
      </c>
      <c r="J723" s="16">
        <v>109</v>
      </c>
      <c r="K723" s="16">
        <v>-9.8192801586234994E-3</v>
      </c>
      <c r="L723" s="16">
        <v>2.76309651235335E-2</v>
      </c>
      <c r="M723" s="16">
        <v>-0.35537231923398699</v>
      </c>
      <c r="N723" s="16">
        <v>107</v>
      </c>
      <c r="O723" s="16">
        <v>0.72301026698353199</v>
      </c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 t="s">
        <v>402</v>
      </c>
      <c r="AI723" s="16"/>
      <c r="AJ723" s="16" t="s">
        <v>1266</v>
      </c>
    </row>
    <row r="724" spans="1:36" ht="15" customHeight="1" x14ac:dyDescent="0.3">
      <c r="A724" s="16" t="s">
        <v>273</v>
      </c>
      <c r="B724" s="16" t="s">
        <v>639</v>
      </c>
      <c r="C724" s="16" t="s">
        <v>1161</v>
      </c>
      <c r="D724" s="16" t="s">
        <v>324</v>
      </c>
      <c r="E724" s="16" t="s">
        <v>404</v>
      </c>
      <c r="F724" s="16" t="s">
        <v>790</v>
      </c>
      <c r="G724" s="16">
        <v>0.6</v>
      </c>
      <c r="H724" s="16">
        <v>2594</v>
      </c>
      <c r="I724" s="16">
        <v>110</v>
      </c>
      <c r="J724" s="16">
        <v>109</v>
      </c>
      <c r="K724" s="16">
        <v>-5.98915925669648E-3</v>
      </c>
      <c r="L724" s="16">
        <v>2.9377133546792899E-2</v>
      </c>
      <c r="M724" s="16">
        <v>-0.20387146510250101</v>
      </c>
      <c r="N724" s="16">
        <v>107</v>
      </c>
      <c r="O724" s="16">
        <v>0.83884118793247198</v>
      </c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 t="s">
        <v>402</v>
      </c>
      <c r="AI724" s="16"/>
      <c r="AJ724" s="16" t="s">
        <v>1267</v>
      </c>
    </row>
    <row r="725" spans="1:36" ht="15" customHeight="1" x14ac:dyDescent="0.3">
      <c r="A725" s="16" t="s">
        <v>273</v>
      </c>
      <c r="B725" s="16" t="s">
        <v>641</v>
      </c>
      <c r="C725" s="16" t="s">
        <v>1161</v>
      </c>
      <c r="D725" s="16" t="s">
        <v>324</v>
      </c>
      <c r="E725" s="16" t="s">
        <v>404</v>
      </c>
      <c r="F725" s="16" t="s">
        <v>790</v>
      </c>
      <c r="G725" s="16">
        <v>0.6</v>
      </c>
      <c r="H725" s="16">
        <v>2594</v>
      </c>
      <c r="I725" s="16">
        <v>110</v>
      </c>
      <c r="J725" s="16">
        <v>109</v>
      </c>
      <c r="K725" s="16">
        <v>-2.6356331340650501E-2</v>
      </c>
      <c r="L725" s="16">
        <v>1.99772972324842E-2</v>
      </c>
      <c r="M725" s="16">
        <v>-1.3193141711779499</v>
      </c>
      <c r="N725" s="16">
        <v>108</v>
      </c>
      <c r="O725" s="16">
        <v>0.18985430851175999</v>
      </c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 t="s">
        <v>402</v>
      </c>
      <c r="AI725" s="16"/>
      <c r="AJ725" s="16" t="s">
        <v>1268</v>
      </c>
    </row>
    <row r="726" spans="1:36" ht="15" customHeight="1" x14ac:dyDescent="0.3">
      <c r="A726" s="16" t="s">
        <v>273</v>
      </c>
      <c r="B726" s="16" t="s">
        <v>643</v>
      </c>
      <c r="C726" s="16" t="s">
        <v>1161</v>
      </c>
      <c r="D726" s="16" t="s">
        <v>324</v>
      </c>
      <c r="E726" s="16" t="s">
        <v>404</v>
      </c>
      <c r="F726" s="16" t="s">
        <v>790</v>
      </c>
      <c r="G726" s="16">
        <v>0.6</v>
      </c>
      <c r="H726" s="16">
        <v>2594</v>
      </c>
      <c r="I726" s="16">
        <v>110</v>
      </c>
      <c r="J726" s="16">
        <v>109</v>
      </c>
      <c r="K726" s="16">
        <v>-2.6704524843019498E-2</v>
      </c>
      <c r="L726" s="16">
        <v>1.8930178843559201E-2</v>
      </c>
      <c r="M726" s="16">
        <v>-1.4106852905991101</v>
      </c>
      <c r="N726" s="16">
        <v>108</v>
      </c>
      <c r="O726" s="16">
        <v>0.16121134133256099</v>
      </c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 t="s">
        <v>402</v>
      </c>
      <c r="AI726" s="16"/>
      <c r="AJ726" s="16" t="s">
        <v>1269</v>
      </c>
    </row>
    <row r="727" spans="1:36" ht="15" customHeight="1" x14ac:dyDescent="0.3">
      <c r="A727" s="16" t="s">
        <v>273</v>
      </c>
      <c r="B727" s="16" t="s">
        <v>645</v>
      </c>
      <c r="C727" s="16" t="s">
        <v>1161</v>
      </c>
      <c r="D727" s="16" t="s">
        <v>324</v>
      </c>
      <c r="E727" s="16" t="s">
        <v>404</v>
      </c>
      <c r="F727" s="16" t="s">
        <v>790</v>
      </c>
      <c r="G727" s="16">
        <v>0.6</v>
      </c>
      <c r="H727" s="16">
        <v>2594</v>
      </c>
      <c r="I727" s="16">
        <v>110</v>
      </c>
      <c r="J727" s="16">
        <v>109</v>
      </c>
      <c r="K727" s="16">
        <v>-2.2374098364667E-2</v>
      </c>
      <c r="L727" s="16">
        <v>1.8845943346056E-2</v>
      </c>
      <c r="M727" s="16">
        <v>-1.18721031650291</v>
      </c>
      <c r="N727" s="16">
        <v>108</v>
      </c>
      <c r="O727" s="16">
        <v>0.23774938131909801</v>
      </c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 t="s">
        <v>402</v>
      </c>
      <c r="AI727" s="16"/>
      <c r="AJ727" s="16" t="s">
        <v>1270</v>
      </c>
    </row>
    <row r="728" spans="1:36" ht="15" customHeight="1" x14ac:dyDescent="0.3">
      <c r="A728" s="16" t="s">
        <v>273</v>
      </c>
      <c r="B728" s="16" t="s">
        <v>647</v>
      </c>
      <c r="C728" s="16" t="s">
        <v>1161</v>
      </c>
      <c r="D728" s="16" t="s">
        <v>324</v>
      </c>
      <c r="E728" s="16" t="s">
        <v>404</v>
      </c>
      <c r="F728" s="16" t="s">
        <v>790</v>
      </c>
      <c r="G728" s="16">
        <v>0.6</v>
      </c>
      <c r="H728" s="16">
        <v>900</v>
      </c>
      <c r="I728" s="16">
        <v>38</v>
      </c>
      <c r="J728" s="16">
        <v>38</v>
      </c>
      <c r="K728" s="16">
        <v>-3.3152979185894903E-2</v>
      </c>
      <c r="L728" s="16">
        <v>3.2175089700032002E-2</v>
      </c>
      <c r="M728" s="16">
        <v>-1.03039275088212</v>
      </c>
      <c r="N728" s="16">
        <v>36</v>
      </c>
      <c r="O728" s="16">
        <v>0.30969894147544302</v>
      </c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 t="s">
        <v>402</v>
      </c>
      <c r="AI728" s="16"/>
      <c r="AJ728" s="16" t="s">
        <v>1271</v>
      </c>
    </row>
    <row r="729" spans="1:36" ht="15" customHeight="1" x14ac:dyDescent="0.3">
      <c r="A729" s="16" t="s">
        <v>273</v>
      </c>
      <c r="B729" s="16" t="s">
        <v>649</v>
      </c>
      <c r="C729" s="16" t="s">
        <v>1161</v>
      </c>
      <c r="D729" s="16" t="s">
        <v>324</v>
      </c>
      <c r="E729" s="16" t="s">
        <v>404</v>
      </c>
      <c r="F729" s="16" t="s">
        <v>790</v>
      </c>
      <c r="G729" s="16">
        <v>0.6</v>
      </c>
      <c r="H729" s="16">
        <v>2607</v>
      </c>
      <c r="I729" s="16">
        <v>110</v>
      </c>
      <c r="J729" s="16">
        <v>109</v>
      </c>
      <c r="K729" s="16">
        <v>-1.7976302953671499E-2</v>
      </c>
      <c r="L729" s="16">
        <v>2.0398251234262699E-2</v>
      </c>
      <c r="M729" s="16">
        <v>-0.88126686681242905</v>
      </c>
      <c r="N729" s="16">
        <v>108</v>
      </c>
      <c r="O729" s="16">
        <v>0.38013043451434603</v>
      </c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 t="s">
        <v>402</v>
      </c>
      <c r="AI729" s="16"/>
      <c r="AJ729" s="16" t="s">
        <v>1272</v>
      </c>
    </row>
    <row r="730" spans="1:36" ht="15" customHeight="1" x14ac:dyDescent="0.3">
      <c r="A730" s="16" t="s">
        <v>273</v>
      </c>
      <c r="B730" s="16" t="s">
        <v>651</v>
      </c>
      <c r="C730" s="16" t="s">
        <v>1161</v>
      </c>
      <c r="D730" s="16" t="s">
        <v>324</v>
      </c>
      <c r="E730" s="16" t="s">
        <v>404</v>
      </c>
      <c r="F730" s="16" t="s">
        <v>790</v>
      </c>
      <c r="G730" s="16">
        <v>0.6</v>
      </c>
      <c r="H730" s="16">
        <v>2607</v>
      </c>
      <c r="I730" s="16">
        <v>110</v>
      </c>
      <c r="J730" s="16">
        <v>109</v>
      </c>
      <c r="K730" s="16">
        <v>-2.83944626622968E-2</v>
      </c>
      <c r="L730" s="16">
        <v>2.1534919144039301E-2</v>
      </c>
      <c r="M730" s="16">
        <v>-1.31853119449284</v>
      </c>
      <c r="N730" s="16">
        <v>108</v>
      </c>
      <c r="O730" s="16">
        <v>0.190115214304234</v>
      </c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 t="s">
        <v>402</v>
      </c>
      <c r="AI730" s="16"/>
      <c r="AJ730" s="16" t="s">
        <v>1273</v>
      </c>
    </row>
    <row r="731" spans="1:36" ht="15" customHeight="1" x14ac:dyDescent="0.3">
      <c r="A731" s="16" t="s">
        <v>273</v>
      </c>
      <c r="B731" s="16" t="s">
        <v>653</v>
      </c>
      <c r="C731" s="16" t="s">
        <v>1161</v>
      </c>
      <c r="D731" s="16" t="s">
        <v>324</v>
      </c>
      <c r="E731" s="16" t="s">
        <v>404</v>
      </c>
      <c r="F731" s="16" t="s">
        <v>790</v>
      </c>
      <c r="G731" s="16">
        <v>0.6</v>
      </c>
      <c r="H731" s="16">
        <v>2607</v>
      </c>
      <c r="I731" s="16">
        <v>110</v>
      </c>
      <c r="J731" s="16">
        <v>109</v>
      </c>
      <c r="K731" s="16">
        <v>-1.4534881213198E-2</v>
      </c>
      <c r="L731" s="16">
        <v>2.2393150637715398E-2</v>
      </c>
      <c r="M731" s="16">
        <v>-0.64907709720479601</v>
      </c>
      <c r="N731" s="16">
        <v>107</v>
      </c>
      <c r="O731" s="16">
        <v>0.517679332467335</v>
      </c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 t="s">
        <v>402</v>
      </c>
      <c r="AI731" s="16"/>
      <c r="AJ731" s="16" t="s">
        <v>1274</v>
      </c>
    </row>
    <row r="732" spans="1:36" ht="15" customHeight="1" x14ac:dyDescent="0.3">
      <c r="A732" s="16" t="s">
        <v>273</v>
      </c>
      <c r="B732" s="16" t="s">
        <v>655</v>
      </c>
      <c r="C732" s="16" t="s">
        <v>1161</v>
      </c>
      <c r="D732" s="16" t="s">
        <v>324</v>
      </c>
      <c r="E732" s="16" t="s">
        <v>404</v>
      </c>
      <c r="F732" s="16" t="s">
        <v>790</v>
      </c>
      <c r="G732" s="16">
        <v>0.6</v>
      </c>
      <c r="H732" s="16">
        <v>2607</v>
      </c>
      <c r="I732" s="16">
        <v>110</v>
      </c>
      <c r="J732" s="16">
        <v>109</v>
      </c>
      <c r="K732" s="16">
        <v>-3.2558029999412298E-2</v>
      </c>
      <c r="L732" s="16">
        <v>2.2480865868354401E-2</v>
      </c>
      <c r="M732" s="16">
        <v>-1.4482551601912801</v>
      </c>
      <c r="N732" s="16">
        <v>108</v>
      </c>
      <c r="O732" s="16">
        <v>0.15044269400774199</v>
      </c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 t="s">
        <v>402</v>
      </c>
      <c r="AI732" s="16"/>
      <c r="AJ732" s="16" t="s">
        <v>1275</v>
      </c>
    </row>
    <row r="733" spans="1:36" ht="15" customHeight="1" x14ac:dyDescent="0.3">
      <c r="A733" s="16" t="s">
        <v>273</v>
      </c>
      <c r="B733" s="16" t="s">
        <v>657</v>
      </c>
      <c r="C733" s="16" t="s">
        <v>1161</v>
      </c>
      <c r="D733" s="16" t="s">
        <v>324</v>
      </c>
      <c r="E733" s="16" t="s">
        <v>404</v>
      </c>
      <c r="F733" s="16" t="s">
        <v>790</v>
      </c>
      <c r="G733" s="16">
        <v>0.6</v>
      </c>
      <c r="H733" s="16">
        <v>2607</v>
      </c>
      <c r="I733" s="16">
        <v>110</v>
      </c>
      <c r="J733" s="16">
        <v>109</v>
      </c>
      <c r="K733" s="16">
        <v>-4.0572636394813604E-3</v>
      </c>
      <c r="L733" s="16">
        <v>2.7004117980694999E-2</v>
      </c>
      <c r="M733" s="16">
        <v>-0.15024610847804301</v>
      </c>
      <c r="N733" s="16">
        <v>107</v>
      </c>
      <c r="O733" s="16">
        <v>0.880853308978222</v>
      </c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 t="s">
        <v>402</v>
      </c>
      <c r="AI733" s="16"/>
      <c r="AJ733" s="16" t="s">
        <v>1276</v>
      </c>
    </row>
    <row r="734" spans="1:36" ht="15" customHeight="1" x14ac:dyDescent="0.3">
      <c r="A734" s="16" t="s">
        <v>273</v>
      </c>
      <c r="B734" s="16" t="s">
        <v>659</v>
      </c>
      <c r="C734" s="16" t="s">
        <v>1161</v>
      </c>
      <c r="D734" s="16" t="s">
        <v>324</v>
      </c>
      <c r="E734" s="16" t="s">
        <v>404</v>
      </c>
      <c r="F734" s="16" t="s">
        <v>790</v>
      </c>
      <c r="G734" s="16">
        <v>0.6</v>
      </c>
      <c r="H734" s="16">
        <v>2607</v>
      </c>
      <c r="I734" s="16">
        <v>110</v>
      </c>
      <c r="J734" s="16">
        <v>109</v>
      </c>
      <c r="K734" s="16">
        <v>-6.3821713016577102E-4</v>
      </c>
      <c r="L734" s="16">
        <v>2.87028326090847E-2</v>
      </c>
      <c r="M734" s="16">
        <v>-2.2235336102812701E-2</v>
      </c>
      <c r="N734" s="16">
        <v>107</v>
      </c>
      <c r="O734" s="16">
        <v>0.98230164312009305</v>
      </c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 t="s">
        <v>402</v>
      </c>
      <c r="AI734" s="16"/>
      <c r="AJ734" s="16" t="s">
        <v>1277</v>
      </c>
    </row>
    <row r="735" spans="1:36" ht="15" customHeight="1" x14ac:dyDescent="0.3">
      <c r="A735" s="16" t="s">
        <v>273</v>
      </c>
      <c r="B735" s="16" t="s">
        <v>661</v>
      </c>
      <c r="C735" s="16" t="s">
        <v>1161</v>
      </c>
      <c r="D735" s="16" t="s">
        <v>324</v>
      </c>
      <c r="E735" s="16" t="s">
        <v>404</v>
      </c>
      <c r="F735" s="16" t="s">
        <v>790</v>
      </c>
      <c r="G735" s="16">
        <v>0.6</v>
      </c>
      <c r="H735" s="16">
        <v>2607</v>
      </c>
      <c r="I735" s="16">
        <v>110</v>
      </c>
      <c r="J735" s="16">
        <v>109</v>
      </c>
      <c r="K735" s="16">
        <v>-2.0997796805346101E-2</v>
      </c>
      <c r="L735" s="16">
        <v>1.9567587036853299E-2</v>
      </c>
      <c r="M735" s="16">
        <v>-1.07309075798662</v>
      </c>
      <c r="N735" s="16">
        <v>108</v>
      </c>
      <c r="O735" s="16">
        <v>0.28562227047125799</v>
      </c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 t="s">
        <v>402</v>
      </c>
      <c r="AI735" s="16"/>
      <c r="AJ735" s="16" t="s">
        <v>1278</v>
      </c>
    </row>
    <row r="736" spans="1:36" ht="15" customHeight="1" x14ac:dyDescent="0.3">
      <c r="A736" s="16" t="s">
        <v>273</v>
      </c>
      <c r="B736" s="16" t="s">
        <v>663</v>
      </c>
      <c r="C736" s="16" t="s">
        <v>1161</v>
      </c>
      <c r="D736" s="16" t="s">
        <v>324</v>
      </c>
      <c r="E736" s="16" t="s">
        <v>404</v>
      </c>
      <c r="F736" s="16" t="s">
        <v>790</v>
      </c>
      <c r="G736" s="16">
        <v>0.6</v>
      </c>
      <c r="H736" s="16">
        <v>2607</v>
      </c>
      <c r="I736" s="16">
        <v>110</v>
      </c>
      <c r="J736" s="16">
        <v>109</v>
      </c>
      <c r="K736" s="16">
        <v>-1.30236558452364E-2</v>
      </c>
      <c r="L736" s="16">
        <v>1.8624941317776599E-2</v>
      </c>
      <c r="M736" s="16">
        <v>-0.69925889284848297</v>
      </c>
      <c r="N736" s="16">
        <v>108</v>
      </c>
      <c r="O736" s="16">
        <v>0.48589351614700999</v>
      </c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 t="s">
        <v>402</v>
      </c>
      <c r="AI736" s="16"/>
      <c r="AJ736" s="16" t="s">
        <v>1279</v>
      </c>
    </row>
    <row r="737" spans="1:36" ht="15" customHeight="1" x14ac:dyDescent="0.3">
      <c r="A737" s="16" t="s">
        <v>273</v>
      </c>
      <c r="B737" s="16" t="s">
        <v>665</v>
      </c>
      <c r="C737" s="16" t="s">
        <v>1161</v>
      </c>
      <c r="D737" s="16" t="s">
        <v>324</v>
      </c>
      <c r="E737" s="16" t="s">
        <v>404</v>
      </c>
      <c r="F737" s="16" t="s">
        <v>790</v>
      </c>
      <c r="G737" s="16">
        <v>0.6</v>
      </c>
      <c r="H737" s="16">
        <v>2607</v>
      </c>
      <c r="I737" s="16">
        <v>110</v>
      </c>
      <c r="J737" s="16">
        <v>109</v>
      </c>
      <c r="K737" s="16">
        <v>-1.18888843432929E-2</v>
      </c>
      <c r="L737" s="16">
        <v>1.8494732603000899E-2</v>
      </c>
      <c r="M737" s="16">
        <v>-0.64282542486523098</v>
      </c>
      <c r="N737" s="16">
        <v>108</v>
      </c>
      <c r="O737" s="16">
        <v>0.52169979456792104</v>
      </c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 t="s">
        <v>402</v>
      </c>
      <c r="AI737" s="16"/>
      <c r="AJ737" s="16" t="s">
        <v>1280</v>
      </c>
    </row>
    <row r="738" spans="1:36" ht="15" customHeight="1" x14ac:dyDescent="0.3">
      <c r="A738" s="16" t="s">
        <v>273</v>
      </c>
      <c r="B738" s="16" t="s">
        <v>667</v>
      </c>
      <c r="C738" s="16" t="s">
        <v>1161</v>
      </c>
      <c r="D738" s="16" t="s">
        <v>324</v>
      </c>
      <c r="E738" s="16" t="s">
        <v>404</v>
      </c>
      <c r="F738" s="16" t="s">
        <v>790</v>
      </c>
      <c r="G738" s="16">
        <v>0.6</v>
      </c>
      <c r="H738" s="16">
        <v>905</v>
      </c>
      <c r="I738" s="16">
        <v>38</v>
      </c>
      <c r="J738" s="16">
        <v>38</v>
      </c>
      <c r="K738" s="16">
        <v>-2.6407467013065001E-2</v>
      </c>
      <c r="L738" s="16">
        <v>2.9249282771961E-2</v>
      </c>
      <c r="M738" s="16">
        <v>-0.90284152329300205</v>
      </c>
      <c r="N738" s="16">
        <v>36</v>
      </c>
      <c r="O738" s="16">
        <v>0.37261161004254401</v>
      </c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 t="s">
        <v>402</v>
      </c>
      <c r="AI738" s="16"/>
      <c r="AJ738" s="16" t="s">
        <v>1281</v>
      </c>
    </row>
    <row r="739" spans="1:36" ht="15" customHeight="1" x14ac:dyDescent="0.3">
      <c r="A739" s="16" t="s">
        <v>273</v>
      </c>
      <c r="B739" s="16" t="s">
        <v>669</v>
      </c>
      <c r="C739" s="16" t="s">
        <v>1161</v>
      </c>
      <c r="D739" s="16" t="s">
        <v>324</v>
      </c>
      <c r="E739" s="16" t="s">
        <v>404</v>
      </c>
      <c r="F739" s="16" t="s">
        <v>790</v>
      </c>
      <c r="G739" s="16">
        <v>0.6</v>
      </c>
      <c r="H739" s="16">
        <v>2704</v>
      </c>
      <c r="I739" s="16">
        <v>113</v>
      </c>
      <c r="J739" s="16">
        <v>112</v>
      </c>
      <c r="K739" s="16">
        <v>1.8065958890394199E-2</v>
      </c>
      <c r="L739" s="16">
        <v>5.5519203342091303E-2</v>
      </c>
      <c r="M739" s="16">
        <v>0.32540018233110501</v>
      </c>
      <c r="N739" s="16">
        <v>111</v>
      </c>
      <c r="O739" s="16">
        <v>0.74549078729727403</v>
      </c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 t="s">
        <v>402</v>
      </c>
      <c r="AI739" s="16"/>
      <c r="AJ739" s="16" t="s">
        <v>1282</v>
      </c>
    </row>
    <row r="740" spans="1:36" ht="15" customHeight="1" x14ac:dyDescent="0.3">
      <c r="A740" s="16" t="s">
        <v>273</v>
      </c>
      <c r="B740" s="16" t="s">
        <v>671</v>
      </c>
      <c r="C740" s="16" t="s">
        <v>1161</v>
      </c>
      <c r="D740" s="16" t="s">
        <v>324</v>
      </c>
      <c r="E740" s="16" t="s">
        <v>404</v>
      </c>
      <c r="F740" s="16" t="s">
        <v>790</v>
      </c>
      <c r="G740" s="16">
        <v>0.6</v>
      </c>
      <c r="H740" s="16">
        <v>2704</v>
      </c>
      <c r="I740" s="16">
        <v>113</v>
      </c>
      <c r="J740" s="16">
        <v>112</v>
      </c>
      <c r="K740" s="16">
        <v>3.5783313107195201E-3</v>
      </c>
      <c r="L740" s="16">
        <v>5.8890700488273398E-2</v>
      </c>
      <c r="M740" s="16">
        <v>6.0762247367596903E-2</v>
      </c>
      <c r="N740" s="16">
        <v>111</v>
      </c>
      <c r="O740" s="16">
        <v>0.95165782513835595</v>
      </c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 t="s">
        <v>402</v>
      </c>
      <c r="AI740" s="16"/>
      <c r="AJ740" s="16" t="s">
        <v>1283</v>
      </c>
    </row>
    <row r="741" spans="1:36" ht="15" customHeight="1" x14ac:dyDescent="0.3">
      <c r="A741" s="16" t="s">
        <v>273</v>
      </c>
      <c r="B741" s="16" t="s">
        <v>673</v>
      </c>
      <c r="C741" s="16" t="s">
        <v>1161</v>
      </c>
      <c r="D741" s="16" t="s">
        <v>324</v>
      </c>
      <c r="E741" s="16" t="s">
        <v>404</v>
      </c>
      <c r="F741" s="16" t="s">
        <v>790</v>
      </c>
      <c r="G741" s="16">
        <v>0.6</v>
      </c>
      <c r="H741" s="16">
        <v>2704</v>
      </c>
      <c r="I741" s="16">
        <v>113</v>
      </c>
      <c r="J741" s="16">
        <v>112</v>
      </c>
      <c r="K741" s="16">
        <v>-4.7900473279172601E-2</v>
      </c>
      <c r="L741" s="16">
        <v>5.8521658956421599E-2</v>
      </c>
      <c r="M741" s="16">
        <v>-0.81850846564076096</v>
      </c>
      <c r="N741" s="16">
        <v>110</v>
      </c>
      <c r="O741" s="16">
        <v>0.41483655771594502</v>
      </c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 t="s">
        <v>402</v>
      </c>
      <c r="AI741" s="16"/>
      <c r="AJ741" s="16" t="s">
        <v>1284</v>
      </c>
    </row>
    <row r="742" spans="1:36" ht="15" customHeight="1" x14ac:dyDescent="0.3">
      <c r="A742" s="16" t="s">
        <v>273</v>
      </c>
      <c r="B742" s="16" t="s">
        <v>675</v>
      </c>
      <c r="C742" s="16" t="s">
        <v>1161</v>
      </c>
      <c r="D742" s="16" t="s">
        <v>324</v>
      </c>
      <c r="E742" s="16" t="s">
        <v>404</v>
      </c>
      <c r="F742" s="16" t="s">
        <v>790</v>
      </c>
      <c r="G742" s="16">
        <v>0.6</v>
      </c>
      <c r="H742" s="16">
        <v>2704</v>
      </c>
      <c r="I742" s="16">
        <v>113</v>
      </c>
      <c r="J742" s="16">
        <v>112</v>
      </c>
      <c r="K742" s="16">
        <v>-7.1475669261564896E-4</v>
      </c>
      <c r="L742" s="16">
        <v>6.1567399394236999E-2</v>
      </c>
      <c r="M742" s="16">
        <v>-1.16093370785214E-2</v>
      </c>
      <c r="N742" s="16">
        <v>111</v>
      </c>
      <c r="O742" s="16">
        <v>0.99075813730663698</v>
      </c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 t="s">
        <v>402</v>
      </c>
      <c r="AI742" s="16"/>
      <c r="AJ742" s="16" t="s">
        <v>1285</v>
      </c>
    </row>
    <row r="743" spans="1:36" ht="15" customHeight="1" x14ac:dyDescent="0.3">
      <c r="A743" s="16" t="s">
        <v>273</v>
      </c>
      <c r="B743" s="16" t="s">
        <v>677</v>
      </c>
      <c r="C743" s="16" t="s">
        <v>1161</v>
      </c>
      <c r="D743" s="16" t="s">
        <v>324</v>
      </c>
      <c r="E743" s="16" t="s">
        <v>404</v>
      </c>
      <c r="F743" s="16" t="s">
        <v>790</v>
      </c>
      <c r="G743" s="16">
        <v>0.6</v>
      </c>
      <c r="H743" s="16">
        <v>2704</v>
      </c>
      <c r="I743" s="16">
        <v>113</v>
      </c>
      <c r="J743" s="16">
        <v>112</v>
      </c>
      <c r="K743" s="16">
        <v>2.0849275124905899E-2</v>
      </c>
      <c r="L743" s="16">
        <v>7.3387984129952497E-2</v>
      </c>
      <c r="M743" s="16">
        <v>0.28409657755398798</v>
      </c>
      <c r="N743" s="16">
        <v>110</v>
      </c>
      <c r="O743" s="16">
        <v>0.77687044978866104</v>
      </c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 t="s">
        <v>402</v>
      </c>
      <c r="AI743" s="16"/>
      <c r="AJ743" s="16" t="s">
        <v>1286</v>
      </c>
    </row>
    <row r="744" spans="1:36" ht="15" customHeight="1" x14ac:dyDescent="0.3">
      <c r="A744" s="16" t="s">
        <v>273</v>
      </c>
      <c r="B744" s="16" t="s">
        <v>679</v>
      </c>
      <c r="C744" s="16" t="s">
        <v>1161</v>
      </c>
      <c r="D744" s="16" t="s">
        <v>324</v>
      </c>
      <c r="E744" s="16" t="s">
        <v>404</v>
      </c>
      <c r="F744" s="16" t="s">
        <v>790</v>
      </c>
      <c r="G744" s="16">
        <v>0.6</v>
      </c>
      <c r="H744" s="16">
        <v>2704</v>
      </c>
      <c r="I744" s="16">
        <v>113</v>
      </c>
      <c r="J744" s="16">
        <v>112</v>
      </c>
      <c r="K744" s="16">
        <v>2.47320900494599E-2</v>
      </c>
      <c r="L744" s="16">
        <v>7.8022157844818404E-2</v>
      </c>
      <c r="M744" s="16">
        <v>0.31698802920383901</v>
      </c>
      <c r="N744" s="16">
        <v>110</v>
      </c>
      <c r="O744" s="16">
        <v>0.75185351958797197</v>
      </c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 t="s">
        <v>402</v>
      </c>
      <c r="AI744" s="16"/>
      <c r="AJ744" s="16" t="s">
        <v>1287</v>
      </c>
    </row>
    <row r="745" spans="1:36" ht="15" customHeight="1" x14ac:dyDescent="0.3">
      <c r="A745" s="16" t="s">
        <v>273</v>
      </c>
      <c r="B745" s="16" t="s">
        <v>681</v>
      </c>
      <c r="C745" s="16" t="s">
        <v>1161</v>
      </c>
      <c r="D745" s="16" t="s">
        <v>324</v>
      </c>
      <c r="E745" s="16" t="s">
        <v>404</v>
      </c>
      <c r="F745" s="16" t="s">
        <v>790</v>
      </c>
      <c r="G745" s="16">
        <v>0.6</v>
      </c>
      <c r="H745" s="16">
        <v>2704</v>
      </c>
      <c r="I745" s="16">
        <v>113</v>
      </c>
      <c r="J745" s="16">
        <v>112</v>
      </c>
      <c r="K745" s="16">
        <v>-5.39222575934502E-2</v>
      </c>
      <c r="L745" s="16">
        <v>5.2005196118649698E-2</v>
      </c>
      <c r="M745" s="16">
        <v>-1.0368628832862501</v>
      </c>
      <c r="N745" s="16">
        <v>111</v>
      </c>
      <c r="O745" s="16">
        <v>0.30205327362117201</v>
      </c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 t="s">
        <v>402</v>
      </c>
      <c r="AI745" s="16"/>
      <c r="AJ745" s="16" t="s">
        <v>1288</v>
      </c>
    </row>
    <row r="746" spans="1:36" ht="15" customHeight="1" x14ac:dyDescent="0.3">
      <c r="A746" s="16" t="s">
        <v>273</v>
      </c>
      <c r="B746" s="16" t="s">
        <v>683</v>
      </c>
      <c r="C746" s="16" t="s">
        <v>1161</v>
      </c>
      <c r="D746" s="16" t="s">
        <v>324</v>
      </c>
      <c r="E746" s="16" t="s">
        <v>404</v>
      </c>
      <c r="F746" s="16" t="s">
        <v>790</v>
      </c>
      <c r="G746" s="16">
        <v>0.6</v>
      </c>
      <c r="H746" s="16">
        <v>2704</v>
      </c>
      <c r="I746" s="16">
        <v>113</v>
      </c>
      <c r="J746" s="16">
        <v>112</v>
      </c>
      <c r="K746" s="16">
        <v>3.0199088481970102E-2</v>
      </c>
      <c r="L746" s="16">
        <v>4.9886971832730699E-2</v>
      </c>
      <c r="M746" s="16">
        <v>0.60535020211743196</v>
      </c>
      <c r="N746" s="16">
        <v>111</v>
      </c>
      <c r="O746" s="16">
        <v>0.54618201789488197</v>
      </c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 t="s">
        <v>402</v>
      </c>
      <c r="AI746" s="16"/>
      <c r="AJ746" s="16" t="s">
        <v>1289</v>
      </c>
    </row>
    <row r="747" spans="1:36" ht="15" customHeight="1" x14ac:dyDescent="0.3">
      <c r="A747" s="16" t="s">
        <v>273</v>
      </c>
      <c r="B747" s="16" t="s">
        <v>685</v>
      </c>
      <c r="C747" s="16" t="s">
        <v>1161</v>
      </c>
      <c r="D747" s="16" t="s">
        <v>324</v>
      </c>
      <c r="E747" s="16" t="s">
        <v>404</v>
      </c>
      <c r="F747" s="16" t="s">
        <v>790</v>
      </c>
      <c r="G747" s="16">
        <v>0.6</v>
      </c>
      <c r="H747" s="16">
        <v>2704</v>
      </c>
      <c r="I747" s="16">
        <v>113</v>
      </c>
      <c r="J747" s="16">
        <v>112</v>
      </c>
      <c r="K747" s="16">
        <v>2.1908466070494299E-2</v>
      </c>
      <c r="L747" s="16">
        <v>4.9873068568461798E-2</v>
      </c>
      <c r="M747" s="16">
        <v>0.43928450162275601</v>
      </c>
      <c r="N747" s="16">
        <v>111</v>
      </c>
      <c r="O747" s="16">
        <v>0.66130938754031299</v>
      </c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 t="s">
        <v>402</v>
      </c>
      <c r="AI747" s="16"/>
      <c r="AJ747" s="16" t="s">
        <v>1290</v>
      </c>
    </row>
    <row r="748" spans="1:36" ht="15" customHeight="1" x14ac:dyDescent="0.3">
      <c r="A748" s="16" t="s">
        <v>273</v>
      </c>
      <c r="B748" s="16" t="s">
        <v>687</v>
      </c>
      <c r="C748" s="16" t="s">
        <v>1161</v>
      </c>
      <c r="D748" s="16" t="s">
        <v>324</v>
      </c>
      <c r="E748" s="16" t="s">
        <v>404</v>
      </c>
      <c r="F748" s="16" t="s">
        <v>790</v>
      </c>
      <c r="G748" s="16">
        <v>0.6</v>
      </c>
      <c r="H748" s="16">
        <v>929</v>
      </c>
      <c r="I748" s="16">
        <v>40</v>
      </c>
      <c r="J748" s="16">
        <v>40</v>
      </c>
      <c r="K748" s="16">
        <v>-2.8221999004193501E-2</v>
      </c>
      <c r="L748" s="16">
        <v>3.1691425674050901E-2</v>
      </c>
      <c r="M748" s="16">
        <v>-0.89052475248223995</v>
      </c>
      <c r="N748" s="16">
        <v>38</v>
      </c>
      <c r="O748" s="16">
        <v>0.37878792016031598</v>
      </c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 t="s">
        <v>402</v>
      </c>
      <c r="AI748" s="16"/>
      <c r="AJ748" s="16" t="s">
        <v>1291</v>
      </c>
    </row>
    <row r="749" spans="1:36" ht="15" customHeight="1" x14ac:dyDescent="0.3">
      <c r="A749" s="16" t="s">
        <v>273</v>
      </c>
      <c r="B749" s="16" t="s">
        <v>689</v>
      </c>
      <c r="C749" s="16" t="s">
        <v>1161</v>
      </c>
      <c r="D749" s="16" t="s">
        <v>324</v>
      </c>
      <c r="E749" s="16" t="s">
        <v>404</v>
      </c>
      <c r="F749" s="16" t="s">
        <v>790</v>
      </c>
      <c r="G749" s="16">
        <v>0.6</v>
      </c>
      <c r="H749" s="16">
        <v>2691</v>
      </c>
      <c r="I749" s="16">
        <v>113</v>
      </c>
      <c r="J749" s="16">
        <v>112</v>
      </c>
      <c r="K749" s="16">
        <v>-1.5555900795929001E-2</v>
      </c>
      <c r="L749" s="16">
        <v>2.0001425037716999E-2</v>
      </c>
      <c r="M749" s="16">
        <v>-0.777739624381515</v>
      </c>
      <c r="N749" s="16">
        <v>111</v>
      </c>
      <c r="O749" s="16">
        <v>0.43837706803617499</v>
      </c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 t="s">
        <v>402</v>
      </c>
      <c r="AI749" s="16"/>
      <c r="AJ749" s="16" t="s">
        <v>1292</v>
      </c>
    </row>
    <row r="750" spans="1:36" ht="15" customHeight="1" x14ac:dyDescent="0.3">
      <c r="A750" s="16" t="s">
        <v>273</v>
      </c>
      <c r="B750" s="16" t="s">
        <v>691</v>
      </c>
      <c r="C750" s="16" t="s">
        <v>1161</v>
      </c>
      <c r="D750" s="16" t="s">
        <v>324</v>
      </c>
      <c r="E750" s="16" t="s">
        <v>404</v>
      </c>
      <c r="F750" s="16" t="s">
        <v>790</v>
      </c>
      <c r="G750" s="16">
        <v>0.6</v>
      </c>
      <c r="H750" s="16">
        <v>2691</v>
      </c>
      <c r="I750" s="16">
        <v>113</v>
      </c>
      <c r="J750" s="16">
        <v>112</v>
      </c>
      <c r="K750" s="16">
        <v>-2.8439970664237198E-2</v>
      </c>
      <c r="L750" s="16">
        <v>2.1119328628540501E-2</v>
      </c>
      <c r="M750" s="16">
        <v>-1.34663232740285</v>
      </c>
      <c r="N750" s="16">
        <v>111</v>
      </c>
      <c r="O750" s="16">
        <v>0.18084190520177401</v>
      </c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 t="s">
        <v>402</v>
      </c>
      <c r="AI750" s="16"/>
      <c r="AJ750" s="16" t="s">
        <v>1293</v>
      </c>
    </row>
    <row r="751" spans="1:36" ht="15" customHeight="1" x14ac:dyDescent="0.3">
      <c r="A751" s="16" t="s">
        <v>273</v>
      </c>
      <c r="B751" s="16" t="s">
        <v>693</v>
      </c>
      <c r="C751" s="16" t="s">
        <v>1161</v>
      </c>
      <c r="D751" s="16" t="s">
        <v>324</v>
      </c>
      <c r="E751" s="16" t="s">
        <v>404</v>
      </c>
      <c r="F751" s="16" t="s">
        <v>790</v>
      </c>
      <c r="G751" s="16">
        <v>0.6</v>
      </c>
      <c r="H751" s="16">
        <v>2691</v>
      </c>
      <c r="I751" s="16">
        <v>113</v>
      </c>
      <c r="J751" s="16">
        <v>112</v>
      </c>
      <c r="K751" s="16">
        <v>-1.6115533412530601E-2</v>
      </c>
      <c r="L751" s="16">
        <v>2.1371186784687399E-2</v>
      </c>
      <c r="M751" s="16">
        <v>-0.75407760808480295</v>
      </c>
      <c r="N751" s="16">
        <v>110</v>
      </c>
      <c r="O751" s="16">
        <v>0.452413829700619</v>
      </c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 t="s">
        <v>402</v>
      </c>
      <c r="AI751" s="16"/>
      <c r="AJ751" s="16" t="s">
        <v>1294</v>
      </c>
    </row>
    <row r="752" spans="1:36" ht="15" customHeight="1" x14ac:dyDescent="0.3">
      <c r="A752" s="16" t="s">
        <v>273</v>
      </c>
      <c r="B752" s="16" t="s">
        <v>695</v>
      </c>
      <c r="C752" s="16" t="s">
        <v>1161</v>
      </c>
      <c r="D752" s="16" t="s">
        <v>324</v>
      </c>
      <c r="E752" s="16" t="s">
        <v>404</v>
      </c>
      <c r="F752" s="16" t="s">
        <v>790</v>
      </c>
      <c r="G752" s="16">
        <v>0.6</v>
      </c>
      <c r="H752" s="16">
        <v>2691</v>
      </c>
      <c r="I752" s="16">
        <v>113</v>
      </c>
      <c r="J752" s="16">
        <v>112</v>
      </c>
      <c r="K752" s="16">
        <v>-3.1683969745636101E-2</v>
      </c>
      <c r="L752" s="16">
        <v>2.20718306298998E-2</v>
      </c>
      <c r="M752" s="16">
        <v>-1.4354935155544</v>
      </c>
      <c r="N752" s="16">
        <v>111</v>
      </c>
      <c r="O752" s="16">
        <v>0.153958477455889</v>
      </c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 t="s">
        <v>402</v>
      </c>
      <c r="AI752" s="16"/>
      <c r="AJ752" s="16" t="s">
        <v>1295</v>
      </c>
    </row>
    <row r="753" spans="1:36" ht="15" customHeight="1" x14ac:dyDescent="0.3">
      <c r="A753" s="16" t="s">
        <v>273</v>
      </c>
      <c r="B753" s="16" t="s">
        <v>697</v>
      </c>
      <c r="C753" s="16" t="s">
        <v>1161</v>
      </c>
      <c r="D753" s="16" t="s">
        <v>324</v>
      </c>
      <c r="E753" s="16" t="s">
        <v>404</v>
      </c>
      <c r="F753" s="16" t="s">
        <v>790</v>
      </c>
      <c r="G753" s="16">
        <v>0.6</v>
      </c>
      <c r="H753" s="16">
        <v>2691</v>
      </c>
      <c r="I753" s="16">
        <v>113</v>
      </c>
      <c r="J753" s="16">
        <v>112</v>
      </c>
      <c r="K753" s="16">
        <v>-8.7917533316818706E-3</v>
      </c>
      <c r="L753" s="16">
        <v>2.65301372067272E-2</v>
      </c>
      <c r="M753" s="16">
        <v>-0.331387405318529</v>
      </c>
      <c r="N753" s="16">
        <v>110</v>
      </c>
      <c r="O753" s="16">
        <v>0.74098237685916601</v>
      </c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 t="s">
        <v>402</v>
      </c>
      <c r="AI753" s="16"/>
      <c r="AJ753" s="16" t="s">
        <v>1296</v>
      </c>
    </row>
    <row r="754" spans="1:36" ht="15" customHeight="1" x14ac:dyDescent="0.3">
      <c r="A754" s="16" t="s">
        <v>273</v>
      </c>
      <c r="B754" s="16" t="s">
        <v>699</v>
      </c>
      <c r="C754" s="16" t="s">
        <v>1161</v>
      </c>
      <c r="D754" s="16" t="s">
        <v>324</v>
      </c>
      <c r="E754" s="16" t="s">
        <v>404</v>
      </c>
      <c r="F754" s="16" t="s">
        <v>790</v>
      </c>
      <c r="G754" s="16">
        <v>0.6</v>
      </c>
      <c r="H754" s="16">
        <v>2691</v>
      </c>
      <c r="I754" s="16">
        <v>113</v>
      </c>
      <c r="J754" s="16">
        <v>112</v>
      </c>
      <c r="K754" s="16">
        <v>-4.7124267822179003E-3</v>
      </c>
      <c r="L754" s="16">
        <v>2.8215539030393401E-2</v>
      </c>
      <c r="M754" s="16">
        <v>-0.167015302353137</v>
      </c>
      <c r="N754" s="16">
        <v>110</v>
      </c>
      <c r="O754" s="16">
        <v>0.86766464639629504</v>
      </c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 t="s">
        <v>402</v>
      </c>
      <c r="AI754" s="16"/>
      <c r="AJ754" s="16" t="s">
        <v>1297</v>
      </c>
    </row>
    <row r="755" spans="1:36" ht="15" customHeight="1" x14ac:dyDescent="0.3">
      <c r="A755" s="16" t="s">
        <v>273</v>
      </c>
      <c r="B755" s="16" t="s">
        <v>701</v>
      </c>
      <c r="C755" s="16" t="s">
        <v>1161</v>
      </c>
      <c r="D755" s="16" t="s">
        <v>324</v>
      </c>
      <c r="E755" s="16" t="s">
        <v>404</v>
      </c>
      <c r="F755" s="16" t="s">
        <v>790</v>
      </c>
      <c r="G755" s="16">
        <v>0.6</v>
      </c>
      <c r="H755" s="16">
        <v>2691</v>
      </c>
      <c r="I755" s="16">
        <v>113</v>
      </c>
      <c r="J755" s="16">
        <v>112</v>
      </c>
      <c r="K755" s="16">
        <v>-2.07784845677337E-2</v>
      </c>
      <c r="L755" s="16">
        <v>1.8890870423590299E-2</v>
      </c>
      <c r="M755" s="16">
        <v>-1.09992203121494</v>
      </c>
      <c r="N755" s="16">
        <v>111</v>
      </c>
      <c r="O755" s="16">
        <v>0.27374585323122003</v>
      </c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 t="s">
        <v>402</v>
      </c>
      <c r="AI755" s="16"/>
      <c r="AJ755" s="16" t="s">
        <v>1298</v>
      </c>
    </row>
    <row r="756" spans="1:36" ht="15" customHeight="1" x14ac:dyDescent="0.3">
      <c r="A756" s="16" t="s">
        <v>273</v>
      </c>
      <c r="B756" s="16" t="s">
        <v>703</v>
      </c>
      <c r="C756" s="16" t="s">
        <v>1161</v>
      </c>
      <c r="D756" s="16" t="s">
        <v>324</v>
      </c>
      <c r="E756" s="16" t="s">
        <v>404</v>
      </c>
      <c r="F756" s="16" t="s">
        <v>790</v>
      </c>
      <c r="G756" s="16">
        <v>0.6</v>
      </c>
      <c r="H756" s="16">
        <v>2691</v>
      </c>
      <c r="I756" s="16">
        <v>113</v>
      </c>
      <c r="J756" s="16">
        <v>112</v>
      </c>
      <c r="K756" s="16">
        <v>-2.1869023064220099E-2</v>
      </c>
      <c r="L756" s="16">
        <v>1.79887160963591E-2</v>
      </c>
      <c r="M756" s="16">
        <v>-1.21570783301464</v>
      </c>
      <c r="N756" s="16">
        <v>111</v>
      </c>
      <c r="O756" s="16">
        <v>0.22667547892989501</v>
      </c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 t="s">
        <v>402</v>
      </c>
      <c r="AI756" s="16"/>
      <c r="AJ756" s="16" t="s">
        <v>1299</v>
      </c>
    </row>
    <row r="757" spans="1:36" ht="15" customHeight="1" x14ac:dyDescent="0.3">
      <c r="A757" s="16" t="s">
        <v>273</v>
      </c>
      <c r="B757" s="16" t="s">
        <v>705</v>
      </c>
      <c r="C757" s="16" t="s">
        <v>1161</v>
      </c>
      <c r="D757" s="16" t="s">
        <v>324</v>
      </c>
      <c r="E757" s="16" t="s">
        <v>404</v>
      </c>
      <c r="F757" s="16" t="s">
        <v>790</v>
      </c>
      <c r="G757" s="16">
        <v>0.6</v>
      </c>
      <c r="H757" s="16">
        <v>2691</v>
      </c>
      <c r="I757" s="16">
        <v>113</v>
      </c>
      <c r="J757" s="16">
        <v>112</v>
      </c>
      <c r="K757" s="16">
        <v>-1.8062734686604E-2</v>
      </c>
      <c r="L757" s="16">
        <v>1.7938375572201602E-2</v>
      </c>
      <c r="M757" s="16">
        <v>-1.0069325739057</v>
      </c>
      <c r="N757" s="16">
        <v>111</v>
      </c>
      <c r="O757" s="16">
        <v>0.31615717971319601</v>
      </c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 t="s">
        <v>402</v>
      </c>
      <c r="AI757" s="16"/>
      <c r="AJ757" s="16" t="s">
        <v>1300</v>
      </c>
    </row>
    <row r="758" spans="1:36" ht="15" customHeight="1" x14ac:dyDescent="0.3">
      <c r="A758" s="16" t="s">
        <v>273</v>
      </c>
      <c r="B758" s="16" t="s">
        <v>707</v>
      </c>
      <c r="C758" s="16" t="s">
        <v>1161</v>
      </c>
      <c r="D758" s="16" t="s">
        <v>324</v>
      </c>
      <c r="E758" s="16" t="s">
        <v>404</v>
      </c>
      <c r="F758" s="16" t="s">
        <v>790</v>
      </c>
      <c r="G758" s="16">
        <v>0.6</v>
      </c>
      <c r="H758" s="16">
        <v>924</v>
      </c>
      <c r="I758" s="16">
        <v>40</v>
      </c>
      <c r="J758" s="16">
        <v>40</v>
      </c>
      <c r="K758" s="16">
        <v>-3.1513001797000603E-2</v>
      </c>
      <c r="L758" s="16">
        <v>3.14442818499754E-2</v>
      </c>
      <c r="M758" s="16">
        <v>-1.0021854513120401</v>
      </c>
      <c r="N758" s="16">
        <v>38</v>
      </c>
      <c r="O758" s="16">
        <v>0.32259335879030598</v>
      </c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 t="s">
        <v>402</v>
      </c>
      <c r="AI758" s="16"/>
      <c r="AJ758" s="16" t="s">
        <v>1301</v>
      </c>
    </row>
    <row r="759" spans="1:36" ht="15" customHeight="1" x14ac:dyDescent="0.3">
      <c r="A759" s="16" t="s">
        <v>273</v>
      </c>
      <c r="B759" s="16" t="s">
        <v>709</v>
      </c>
      <c r="C759" s="16" t="s">
        <v>1161</v>
      </c>
      <c r="D759" s="16" t="s">
        <v>324</v>
      </c>
      <c r="E759" s="16" t="s">
        <v>404</v>
      </c>
      <c r="F759" s="16" t="s">
        <v>790</v>
      </c>
      <c r="G759" s="16">
        <v>0.6</v>
      </c>
      <c r="H759" s="16">
        <v>2704</v>
      </c>
      <c r="I759" s="16">
        <v>113</v>
      </c>
      <c r="J759" s="16">
        <v>112</v>
      </c>
      <c r="K759" s="16">
        <v>-1.19345570603359E-2</v>
      </c>
      <c r="L759" s="16">
        <v>1.9552759468319199E-2</v>
      </c>
      <c r="M759" s="16">
        <v>-0.61037712245543196</v>
      </c>
      <c r="N759" s="16">
        <v>111</v>
      </c>
      <c r="O759" s="16">
        <v>0.54285971108613396</v>
      </c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 t="s">
        <v>402</v>
      </c>
      <c r="AI759" s="16"/>
      <c r="AJ759" s="16" t="s">
        <v>1302</v>
      </c>
    </row>
    <row r="760" spans="1:36" ht="15" customHeight="1" x14ac:dyDescent="0.3">
      <c r="A760" s="16" t="s">
        <v>273</v>
      </c>
      <c r="B760" s="16" t="s">
        <v>711</v>
      </c>
      <c r="C760" s="16" t="s">
        <v>1161</v>
      </c>
      <c r="D760" s="16" t="s">
        <v>324</v>
      </c>
      <c r="E760" s="16" t="s">
        <v>404</v>
      </c>
      <c r="F760" s="16" t="s">
        <v>790</v>
      </c>
      <c r="G760" s="16">
        <v>0.6</v>
      </c>
      <c r="H760" s="16">
        <v>2704</v>
      </c>
      <c r="I760" s="16">
        <v>113</v>
      </c>
      <c r="J760" s="16">
        <v>112</v>
      </c>
      <c r="K760" s="16">
        <v>-2.16694707217523E-2</v>
      </c>
      <c r="L760" s="16">
        <v>2.0692490157233699E-2</v>
      </c>
      <c r="M760" s="16">
        <v>-1.0472142577860299</v>
      </c>
      <c r="N760" s="16">
        <v>111</v>
      </c>
      <c r="O760" s="16">
        <v>0.29727573761073001</v>
      </c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 t="s">
        <v>402</v>
      </c>
      <c r="AI760" s="16"/>
      <c r="AJ760" s="16" t="s">
        <v>1303</v>
      </c>
    </row>
    <row r="761" spans="1:36" ht="15" customHeight="1" x14ac:dyDescent="0.3">
      <c r="A761" s="16" t="s">
        <v>273</v>
      </c>
      <c r="B761" s="16" t="s">
        <v>713</v>
      </c>
      <c r="C761" s="16" t="s">
        <v>1161</v>
      </c>
      <c r="D761" s="16" t="s">
        <v>324</v>
      </c>
      <c r="E761" s="16" t="s">
        <v>404</v>
      </c>
      <c r="F761" s="16" t="s">
        <v>790</v>
      </c>
      <c r="G761" s="16">
        <v>0.6</v>
      </c>
      <c r="H761" s="16">
        <v>2704</v>
      </c>
      <c r="I761" s="16">
        <v>113</v>
      </c>
      <c r="J761" s="16">
        <v>112</v>
      </c>
      <c r="K761" s="16">
        <v>-1.40144072860694E-2</v>
      </c>
      <c r="L761" s="16">
        <v>2.0878892189055101E-2</v>
      </c>
      <c r="M761" s="16">
        <v>-0.67122370091148298</v>
      </c>
      <c r="N761" s="16">
        <v>110</v>
      </c>
      <c r="O761" s="16">
        <v>0.50348511919790895</v>
      </c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 t="s">
        <v>402</v>
      </c>
      <c r="AI761" s="16"/>
      <c r="AJ761" s="16" t="s">
        <v>1304</v>
      </c>
    </row>
    <row r="762" spans="1:36" ht="15" customHeight="1" x14ac:dyDescent="0.3">
      <c r="A762" s="16" t="s">
        <v>273</v>
      </c>
      <c r="B762" s="16" t="s">
        <v>715</v>
      </c>
      <c r="C762" s="16" t="s">
        <v>1161</v>
      </c>
      <c r="D762" s="16" t="s">
        <v>324</v>
      </c>
      <c r="E762" s="16" t="s">
        <v>404</v>
      </c>
      <c r="F762" s="16" t="s">
        <v>790</v>
      </c>
      <c r="G762" s="16">
        <v>0.6</v>
      </c>
      <c r="H762" s="16">
        <v>2704</v>
      </c>
      <c r="I762" s="16">
        <v>113</v>
      </c>
      <c r="J762" s="16">
        <v>112</v>
      </c>
      <c r="K762" s="16">
        <v>-2.5284643678129801E-2</v>
      </c>
      <c r="L762" s="16">
        <v>2.1624702960635501E-2</v>
      </c>
      <c r="M762" s="16">
        <v>-1.1692481383053801</v>
      </c>
      <c r="N762" s="16">
        <v>111</v>
      </c>
      <c r="O762" s="16">
        <v>0.24480842122289601</v>
      </c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 t="s">
        <v>402</v>
      </c>
      <c r="AI762" s="16"/>
      <c r="AJ762" s="16" t="s">
        <v>1305</v>
      </c>
    </row>
    <row r="763" spans="1:36" ht="15" customHeight="1" x14ac:dyDescent="0.3">
      <c r="A763" s="16" t="s">
        <v>273</v>
      </c>
      <c r="B763" s="16" t="s">
        <v>717</v>
      </c>
      <c r="C763" s="16" t="s">
        <v>1161</v>
      </c>
      <c r="D763" s="16" t="s">
        <v>324</v>
      </c>
      <c r="E763" s="16" t="s">
        <v>404</v>
      </c>
      <c r="F763" s="16" t="s">
        <v>790</v>
      </c>
      <c r="G763" s="16">
        <v>0.6</v>
      </c>
      <c r="H763" s="16">
        <v>2704</v>
      </c>
      <c r="I763" s="16">
        <v>113</v>
      </c>
      <c r="J763" s="16">
        <v>112</v>
      </c>
      <c r="K763" s="16">
        <v>-3.4494163057731302E-3</v>
      </c>
      <c r="L763" s="16">
        <v>2.5917524526019701E-2</v>
      </c>
      <c r="M763" s="16">
        <v>-0.133092043659884</v>
      </c>
      <c r="N763" s="16">
        <v>110</v>
      </c>
      <c r="O763" s="16">
        <v>0.89436375918643296</v>
      </c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 t="s">
        <v>402</v>
      </c>
      <c r="AI763" s="16"/>
      <c r="AJ763" s="16" t="s">
        <v>1306</v>
      </c>
    </row>
    <row r="764" spans="1:36" ht="15" customHeight="1" x14ac:dyDescent="0.3">
      <c r="A764" s="16" t="s">
        <v>273</v>
      </c>
      <c r="B764" s="16" t="s">
        <v>719</v>
      </c>
      <c r="C764" s="16" t="s">
        <v>1161</v>
      </c>
      <c r="D764" s="16" t="s">
        <v>324</v>
      </c>
      <c r="E764" s="16" t="s">
        <v>404</v>
      </c>
      <c r="F764" s="16" t="s">
        <v>790</v>
      </c>
      <c r="G764" s="16">
        <v>0.6</v>
      </c>
      <c r="H764" s="16">
        <v>2704</v>
      </c>
      <c r="I764" s="16">
        <v>113</v>
      </c>
      <c r="J764" s="16">
        <v>112</v>
      </c>
      <c r="K764" s="16">
        <v>2.1336443711202801E-4</v>
      </c>
      <c r="L764" s="16">
        <v>2.7556534095531798E-2</v>
      </c>
      <c r="M764" s="16">
        <v>7.7427892917282396E-3</v>
      </c>
      <c r="N764" s="16">
        <v>110</v>
      </c>
      <c r="O764" s="16">
        <v>0.99383623455036196</v>
      </c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 t="s">
        <v>402</v>
      </c>
      <c r="AI764" s="16"/>
      <c r="AJ764" s="16" t="s">
        <v>1307</v>
      </c>
    </row>
    <row r="765" spans="1:36" ht="15" customHeight="1" x14ac:dyDescent="0.3">
      <c r="A765" s="16" t="s">
        <v>273</v>
      </c>
      <c r="B765" s="16" t="s">
        <v>721</v>
      </c>
      <c r="C765" s="16" t="s">
        <v>1161</v>
      </c>
      <c r="D765" s="16" t="s">
        <v>324</v>
      </c>
      <c r="E765" s="16" t="s">
        <v>404</v>
      </c>
      <c r="F765" s="16" t="s">
        <v>790</v>
      </c>
      <c r="G765" s="16">
        <v>0.6</v>
      </c>
      <c r="H765" s="16">
        <v>2704</v>
      </c>
      <c r="I765" s="16">
        <v>113</v>
      </c>
      <c r="J765" s="16">
        <v>112</v>
      </c>
      <c r="K765" s="16">
        <v>-1.6166379129223502E-2</v>
      </c>
      <c r="L765" s="16">
        <v>1.84840771316825E-2</v>
      </c>
      <c r="M765" s="16">
        <v>-0.87461110522600005</v>
      </c>
      <c r="N765" s="16">
        <v>111</v>
      </c>
      <c r="O765" s="16">
        <v>0.38367401140218399</v>
      </c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 t="s">
        <v>402</v>
      </c>
      <c r="AI765" s="16"/>
      <c r="AJ765" s="16" t="s">
        <v>1308</v>
      </c>
    </row>
    <row r="766" spans="1:36" ht="15" customHeight="1" x14ac:dyDescent="0.3">
      <c r="A766" s="16" t="s">
        <v>273</v>
      </c>
      <c r="B766" s="16" t="s">
        <v>723</v>
      </c>
      <c r="C766" s="16" t="s">
        <v>1161</v>
      </c>
      <c r="D766" s="16" t="s">
        <v>324</v>
      </c>
      <c r="E766" s="16" t="s">
        <v>404</v>
      </c>
      <c r="F766" s="16" t="s">
        <v>790</v>
      </c>
      <c r="G766" s="16">
        <v>0.6</v>
      </c>
      <c r="H766" s="16">
        <v>2704</v>
      </c>
      <c r="I766" s="16">
        <v>113</v>
      </c>
      <c r="J766" s="16">
        <v>112</v>
      </c>
      <c r="K766" s="16">
        <v>-8.9827988367997495E-3</v>
      </c>
      <c r="L766" s="16">
        <v>1.7667618133862899E-2</v>
      </c>
      <c r="M766" s="16">
        <v>-0.50843292903092296</v>
      </c>
      <c r="N766" s="16">
        <v>111</v>
      </c>
      <c r="O766" s="16">
        <v>0.612158778572095</v>
      </c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 t="s">
        <v>402</v>
      </c>
      <c r="AI766" s="16"/>
      <c r="AJ766" s="16" t="s">
        <v>1309</v>
      </c>
    </row>
    <row r="767" spans="1:36" ht="15" customHeight="1" x14ac:dyDescent="0.3">
      <c r="A767" s="16" t="s">
        <v>273</v>
      </c>
      <c r="B767" s="16" t="s">
        <v>725</v>
      </c>
      <c r="C767" s="16" t="s">
        <v>1161</v>
      </c>
      <c r="D767" s="16" t="s">
        <v>324</v>
      </c>
      <c r="E767" s="16" t="s">
        <v>404</v>
      </c>
      <c r="F767" s="16" t="s">
        <v>790</v>
      </c>
      <c r="G767" s="16">
        <v>0.6</v>
      </c>
      <c r="H767" s="16">
        <v>2704</v>
      </c>
      <c r="I767" s="16">
        <v>113</v>
      </c>
      <c r="J767" s="16">
        <v>112</v>
      </c>
      <c r="K767" s="16">
        <v>-8.12107032662218E-3</v>
      </c>
      <c r="L767" s="16">
        <v>1.7580360737500099E-2</v>
      </c>
      <c r="M767" s="16">
        <v>-0.46193991396885198</v>
      </c>
      <c r="N767" s="16">
        <v>111</v>
      </c>
      <c r="O767" s="16">
        <v>0.64502850767740805</v>
      </c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 t="s">
        <v>402</v>
      </c>
      <c r="AI767" s="16"/>
      <c r="AJ767" s="16" t="s">
        <v>1310</v>
      </c>
    </row>
    <row r="768" spans="1:36" ht="15" customHeight="1" x14ac:dyDescent="0.3">
      <c r="A768" s="16" t="s">
        <v>273</v>
      </c>
      <c r="B768" s="16" t="s">
        <v>727</v>
      </c>
      <c r="C768" s="16" t="s">
        <v>1161</v>
      </c>
      <c r="D768" s="16" t="s">
        <v>324</v>
      </c>
      <c r="E768" s="16" t="s">
        <v>404</v>
      </c>
      <c r="F768" s="16" t="s">
        <v>790</v>
      </c>
      <c r="G768" s="16">
        <v>0.6</v>
      </c>
      <c r="H768" s="16">
        <v>929</v>
      </c>
      <c r="I768" s="16">
        <v>40</v>
      </c>
      <c r="J768" s="16">
        <v>40</v>
      </c>
      <c r="K768" s="16">
        <v>-2.5098940284505E-2</v>
      </c>
      <c r="L768" s="16">
        <v>2.8209974162347998E-2</v>
      </c>
      <c r="M768" s="16">
        <v>-0.88971865553867602</v>
      </c>
      <c r="N768" s="16">
        <v>38</v>
      </c>
      <c r="O768" s="16">
        <v>0.379215196783599</v>
      </c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 t="s">
        <v>402</v>
      </c>
      <c r="AI768" s="16"/>
      <c r="AJ768" s="16" t="s">
        <v>1311</v>
      </c>
    </row>
    <row r="769" spans="1:36" ht="15" customHeight="1" x14ac:dyDescent="0.3">
      <c r="A769" s="16" t="s">
        <v>273</v>
      </c>
      <c r="B769" s="16" t="s">
        <v>729</v>
      </c>
      <c r="C769" s="16" t="s">
        <v>1161</v>
      </c>
      <c r="D769" s="16" t="s">
        <v>324</v>
      </c>
      <c r="E769" s="16" t="s">
        <v>404</v>
      </c>
      <c r="F769" s="16" t="s">
        <v>790</v>
      </c>
      <c r="G769" s="16">
        <v>0.6</v>
      </c>
      <c r="H769" s="16">
        <v>2606</v>
      </c>
      <c r="I769" s="16">
        <v>110</v>
      </c>
      <c r="J769" s="16">
        <v>109</v>
      </c>
      <c r="K769" s="16">
        <v>1.2238664153715001E-2</v>
      </c>
      <c r="L769" s="16">
        <v>5.6879328446759199E-2</v>
      </c>
      <c r="M769" s="16">
        <v>0.2151689284653</v>
      </c>
      <c r="N769" s="16">
        <v>108</v>
      </c>
      <c r="O769" s="16">
        <v>0.83004141497251904</v>
      </c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 t="s">
        <v>402</v>
      </c>
      <c r="AI769" s="16"/>
      <c r="AJ769" s="16" t="s">
        <v>1312</v>
      </c>
    </row>
    <row r="770" spans="1:36" ht="15" customHeight="1" x14ac:dyDescent="0.3">
      <c r="A770" s="16" t="s">
        <v>273</v>
      </c>
      <c r="B770" s="16" t="s">
        <v>731</v>
      </c>
      <c r="C770" s="16" t="s">
        <v>1161</v>
      </c>
      <c r="D770" s="16" t="s">
        <v>324</v>
      </c>
      <c r="E770" s="16" t="s">
        <v>404</v>
      </c>
      <c r="F770" s="16" t="s">
        <v>790</v>
      </c>
      <c r="G770" s="16">
        <v>0.6</v>
      </c>
      <c r="H770" s="16">
        <v>2606</v>
      </c>
      <c r="I770" s="16">
        <v>110</v>
      </c>
      <c r="J770" s="16">
        <v>109</v>
      </c>
      <c r="K770" s="16">
        <v>-3.0088107290967398E-3</v>
      </c>
      <c r="L770" s="16">
        <v>6.0251231402130498E-2</v>
      </c>
      <c r="M770" s="16">
        <v>-4.9937746649778098E-2</v>
      </c>
      <c r="N770" s="16">
        <v>108</v>
      </c>
      <c r="O770" s="16">
        <v>0.960264236603522</v>
      </c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 t="s">
        <v>402</v>
      </c>
      <c r="AI770" s="16"/>
      <c r="AJ770" s="16" t="s">
        <v>1313</v>
      </c>
    </row>
    <row r="771" spans="1:36" ht="15" customHeight="1" x14ac:dyDescent="0.3">
      <c r="A771" s="16" t="s">
        <v>273</v>
      </c>
      <c r="B771" s="16" t="s">
        <v>733</v>
      </c>
      <c r="C771" s="16" t="s">
        <v>1161</v>
      </c>
      <c r="D771" s="16" t="s">
        <v>324</v>
      </c>
      <c r="E771" s="16" t="s">
        <v>404</v>
      </c>
      <c r="F771" s="16" t="s">
        <v>790</v>
      </c>
      <c r="G771" s="16">
        <v>0.6</v>
      </c>
      <c r="H771" s="16">
        <v>2606</v>
      </c>
      <c r="I771" s="16">
        <v>110</v>
      </c>
      <c r="J771" s="16">
        <v>109</v>
      </c>
      <c r="K771" s="16">
        <v>-5.0128023716908998E-2</v>
      </c>
      <c r="L771" s="16">
        <v>6.1518486360898302E-2</v>
      </c>
      <c r="M771" s="16">
        <v>-0.81484488130661803</v>
      </c>
      <c r="N771" s="16">
        <v>107</v>
      </c>
      <c r="O771" s="16">
        <v>0.41697105892120401</v>
      </c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 t="s">
        <v>402</v>
      </c>
      <c r="AI771" s="16"/>
      <c r="AJ771" s="16" t="s">
        <v>1314</v>
      </c>
    </row>
    <row r="772" spans="1:36" ht="15" customHeight="1" x14ac:dyDescent="0.3">
      <c r="A772" s="16" t="s">
        <v>273</v>
      </c>
      <c r="B772" s="16" t="s">
        <v>735</v>
      </c>
      <c r="C772" s="16" t="s">
        <v>1161</v>
      </c>
      <c r="D772" s="16" t="s">
        <v>324</v>
      </c>
      <c r="E772" s="16" t="s">
        <v>404</v>
      </c>
      <c r="F772" s="16" t="s">
        <v>790</v>
      </c>
      <c r="G772" s="16">
        <v>0.6</v>
      </c>
      <c r="H772" s="16">
        <v>2606</v>
      </c>
      <c r="I772" s="16">
        <v>110</v>
      </c>
      <c r="J772" s="16">
        <v>109</v>
      </c>
      <c r="K772" s="16">
        <v>-7.8581243107128107E-3</v>
      </c>
      <c r="L772" s="16">
        <v>6.2947089944440301E-2</v>
      </c>
      <c r="M772" s="16">
        <v>-0.12483697527000399</v>
      </c>
      <c r="N772" s="16">
        <v>108</v>
      </c>
      <c r="O772" s="16">
        <v>0.90088468342198902</v>
      </c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 t="s">
        <v>402</v>
      </c>
      <c r="AI772" s="16"/>
      <c r="AJ772" s="16" t="s">
        <v>1315</v>
      </c>
    </row>
    <row r="773" spans="1:36" ht="15" customHeight="1" x14ac:dyDescent="0.3">
      <c r="A773" s="16" t="s">
        <v>273</v>
      </c>
      <c r="B773" s="16" t="s">
        <v>737</v>
      </c>
      <c r="C773" s="16" t="s">
        <v>1161</v>
      </c>
      <c r="D773" s="16" t="s">
        <v>324</v>
      </c>
      <c r="E773" s="16" t="s">
        <v>404</v>
      </c>
      <c r="F773" s="16" t="s">
        <v>790</v>
      </c>
      <c r="G773" s="16">
        <v>0.6</v>
      </c>
      <c r="H773" s="16">
        <v>2606</v>
      </c>
      <c r="I773" s="16">
        <v>110</v>
      </c>
      <c r="J773" s="16">
        <v>109</v>
      </c>
      <c r="K773" s="16">
        <v>2.0375619884725901E-2</v>
      </c>
      <c r="L773" s="16">
        <v>7.4945504127001197E-2</v>
      </c>
      <c r="M773" s="16">
        <v>0.27187247750309002</v>
      </c>
      <c r="N773" s="16">
        <v>107</v>
      </c>
      <c r="O773" s="16">
        <v>0.78624396231087001</v>
      </c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 t="s">
        <v>402</v>
      </c>
      <c r="AI773" s="16"/>
      <c r="AJ773" s="16" t="s">
        <v>1316</v>
      </c>
    </row>
    <row r="774" spans="1:36" ht="15" customHeight="1" x14ac:dyDescent="0.3">
      <c r="A774" s="16" t="s">
        <v>273</v>
      </c>
      <c r="B774" s="16" t="s">
        <v>739</v>
      </c>
      <c r="C774" s="16" t="s">
        <v>1161</v>
      </c>
      <c r="D774" s="16" t="s">
        <v>324</v>
      </c>
      <c r="E774" s="16" t="s">
        <v>404</v>
      </c>
      <c r="F774" s="16" t="s">
        <v>790</v>
      </c>
      <c r="G774" s="16">
        <v>0.6</v>
      </c>
      <c r="H774" s="16">
        <v>2606</v>
      </c>
      <c r="I774" s="16">
        <v>110</v>
      </c>
      <c r="J774" s="16">
        <v>109</v>
      </c>
      <c r="K774" s="16">
        <v>2.4275097445181699E-2</v>
      </c>
      <c r="L774" s="16">
        <v>7.9652325499927595E-2</v>
      </c>
      <c r="M774" s="16">
        <v>0.30476319797096002</v>
      </c>
      <c r="N774" s="16">
        <v>107</v>
      </c>
      <c r="O774" s="16">
        <v>0.76113849923320298</v>
      </c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 t="s">
        <v>402</v>
      </c>
      <c r="AI774" s="16"/>
      <c r="AJ774" s="16" t="s">
        <v>1317</v>
      </c>
    </row>
    <row r="775" spans="1:36" ht="15" customHeight="1" x14ac:dyDescent="0.3">
      <c r="A775" s="16" t="s">
        <v>273</v>
      </c>
      <c r="B775" s="16" t="s">
        <v>741</v>
      </c>
      <c r="C775" s="16" t="s">
        <v>1161</v>
      </c>
      <c r="D775" s="16" t="s">
        <v>324</v>
      </c>
      <c r="E775" s="16" t="s">
        <v>404</v>
      </c>
      <c r="F775" s="16" t="s">
        <v>790</v>
      </c>
      <c r="G775" s="16">
        <v>0.6</v>
      </c>
      <c r="H775" s="16">
        <v>2606</v>
      </c>
      <c r="I775" s="16">
        <v>110</v>
      </c>
      <c r="J775" s="16">
        <v>109</v>
      </c>
      <c r="K775" s="16">
        <v>-6.1200386344610599E-2</v>
      </c>
      <c r="L775" s="16">
        <v>5.3991935233517002E-2</v>
      </c>
      <c r="M775" s="16">
        <v>-1.13350977474537</v>
      </c>
      <c r="N775" s="16">
        <v>108</v>
      </c>
      <c r="O775" s="16">
        <v>0.259510180314033</v>
      </c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 t="s">
        <v>402</v>
      </c>
      <c r="AI775" s="16"/>
      <c r="AJ775" s="16" t="s">
        <v>1318</v>
      </c>
    </row>
    <row r="776" spans="1:36" ht="15" customHeight="1" x14ac:dyDescent="0.3">
      <c r="A776" s="16" t="s">
        <v>273</v>
      </c>
      <c r="B776" s="16" t="s">
        <v>743</v>
      </c>
      <c r="C776" s="16" t="s">
        <v>1161</v>
      </c>
      <c r="D776" s="16" t="s">
        <v>324</v>
      </c>
      <c r="E776" s="16" t="s">
        <v>404</v>
      </c>
      <c r="F776" s="16" t="s">
        <v>790</v>
      </c>
      <c r="G776" s="16">
        <v>0.6</v>
      </c>
      <c r="H776" s="16">
        <v>2606</v>
      </c>
      <c r="I776" s="16">
        <v>110</v>
      </c>
      <c r="J776" s="16">
        <v>109</v>
      </c>
      <c r="K776" s="16">
        <v>2.6728229631905499E-2</v>
      </c>
      <c r="L776" s="16">
        <v>5.1621661475354401E-2</v>
      </c>
      <c r="M776" s="16">
        <v>0.51777158789564104</v>
      </c>
      <c r="N776" s="16">
        <v>108</v>
      </c>
      <c r="O776" s="16">
        <v>0.60567663389621695</v>
      </c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 t="s">
        <v>402</v>
      </c>
      <c r="AI776" s="16"/>
      <c r="AJ776" s="16" t="s">
        <v>1319</v>
      </c>
    </row>
    <row r="777" spans="1:36" ht="15" customHeight="1" x14ac:dyDescent="0.3">
      <c r="A777" s="16" t="s">
        <v>273</v>
      </c>
      <c r="B777" s="16" t="s">
        <v>745</v>
      </c>
      <c r="C777" s="16" t="s">
        <v>1161</v>
      </c>
      <c r="D777" s="16" t="s">
        <v>324</v>
      </c>
      <c r="E777" s="16" t="s">
        <v>404</v>
      </c>
      <c r="F777" s="16" t="s">
        <v>790</v>
      </c>
      <c r="G777" s="16">
        <v>0.6</v>
      </c>
      <c r="H777" s="16">
        <v>2606</v>
      </c>
      <c r="I777" s="16">
        <v>110</v>
      </c>
      <c r="J777" s="16">
        <v>109</v>
      </c>
      <c r="K777" s="16">
        <v>1.8357190288122001E-2</v>
      </c>
      <c r="L777" s="16">
        <v>5.1485129030365701E-2</v>
      </c>
      <c r="M777" s="16">
        <v>0.35655325399485799</v>
      </c>
      <c r="N777" s="16">
        <v>108</v>
      </c>
      <c r="O777" s="16">
        <v>0.72212192178045598</v>
      </c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 t="s">
        <v>402</v>
      </c>
      <c r="AI777" s="16"/>
      <c r="AJ777" s="16" t="s">
        <v>1320</v>
      </c>
    </row>
    <row r="778" spans="1:36" ht="15" customHeight="1" x14ac:dyDescent="0.3">
      <c r="A778" s="16" t="s">
        <v>273</v>
      </c>
      <c r="B778" s="16" t="s">
        <v>747</v>
      </c>
      <c r="C778" s="16" t="s">
        <v>1161</v>
      </c>
      <c r="D778" s="16" t="s">
        <v>324</v>
      </c>
      <c r="E778" s="16" t="s">
        <v>404</v>
      </c>
      <c r="F778" s="16" t="s">
        <v>790</v>
      </c>
      <c r="G778" s="16">
        <v>0.6</v>
      </c>
      <c r="H778" s="16">
        <v>905</v>
      </c>
      <c r="I778" s="16">
        <v>38</v>
      </c>
      <c r="J778" s="16">
        <v>38</v>
      </c>
      <c r="K778" s="16">
        <v>-3.1256186975871798E-2</v>
      </c>
      <c r="L778" s="16">
        <v>3.30048356589649E-2</v>
      </c>
      <c r="M778" s="16">
        <v>-0.94701840963058603</v>
      </c>
      <c r="N778" s="16">
        <v>36</v>
      </c>
      <c r="O778" s="16">
        <v>0.34994321210065299</v>
      </c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 t="s">
        <v>402</v>
      </c>
      <c r="AI778" s="16"/>
      <c r="AJ778" s="16" t="s">
        <v>1321</v>
      </c>
    </row>
    <row r="779" spans="1:36" ht="15" customHeight="1" x14ac:dyDescent="0.3">
      <c r="A779" s="16" t="s">
        <v>273</v>
      </c>
      <c r="B779" s="16" t="s">
        <v>749</v>
      </c>
      <c r="C779" s="16" t="s">
        <v>1161</v>
      </c>
      <c r="D779" s="16" t="s">
        <v>324</v>
      </c>
      <c r="E779" s="16" t="s">
        <v>404</v>
      </c>
      <c r="F779" s="16" t="s">
        <v>790</v>
      </c>
      <c r="G779" s="16">
        <v>0.6</v>
      </c>
      <c r="H779" s="16">
        <v>2593</v>
      </c>
      <c r="I779" s="16">
        <v>110</v>
      </c>
      <c r="J779" s="16">
        <v>109</v>
      </c>
      <c r="K779" s="16">
        <v>-2.2625670245401901E-2</v>
      </c>
      <c r="L779" s="16">
        <v>2.09656832774575E-2</v>
      </c>
      <c r="M779" s="16">
        <v>-1.07917638294809</v>
      </c>
      <c r="N779" s="16">
        <v>108</v>
      </c>
      <c r="O779" s="16">
        <v>0.28291337390924598</v>
      </c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 t="s">
        <v>402</v>
      </c>
      <c r="AI779" s="16"/>
      <c r="AJ779" s="16" t="s">
        <v>1322</v>
      </c>
    </row>
    <row r="780" spans="1:36" ht="15" customHeight="1" x14ac:dyDescent="0.3">
      <c r="A780" s="16" t="s">
        <v>273</v>
      </c>
      <c r="B780" s="16" t="s">
        <v>751</v>
      </c>
      <c r="C780" s="16" t="s">
        <v>1161</v>
      </c>
      <c r="D780" s="16" t="s">
        <v>324</v>
      </c>
      <c r="E780" s="16" t="s">
        <v>404</v>
      </c>
      <c r="F780" s="16" t="s">
        <v>790</v>
      </c>
      <c r="G780" s="16">
        <v>0.6</v>
      </c>
      <c r="H780" s="16">
        <v>2593</v>
      </c>
      <c r="I780" s="16">
        <v>110</v>
      </c>
      <c r="J780" s="16">
        <v>109</v>
      </c>
      <c r="K780" s="16">
        <v>-3.6144370305446101E-2</v>
      </c>
      <c r="L780" s="16">
        <v>2.2074163596282899E-2</v>
      </c>
      <c r="M780" s="16">
        <v>-1.6374061081767299</v>
      </c>
      <c r="N780" s="16">
        <v>108</v>
      </c>
      <c r="O780" s="16">
        <v>0.104456205085331</v>
      </c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 t="s">
        <v>402</v>
      </c>
      <c r="AI780" s="16"/>
      <c r="AJ780" s="16" t="s">
        <v>1323</v>
      </c>
    </row>
    <row r="781" spans="1:36" ht="15" customHeight="1" x14ac:dyDescent="0.3">
      <c r="A781" s="16" t="s">
        <v>273</v>
      </c>
      <c r="B781" s="16" t="s">
        <v>753</v>
      </c>
      <c r="C781" s="16" t="s">
        <v>1161</v>
      </c>
      <c r="D781" s="16" t="s">
        <v>324</v>
      </c>
      <c r="E781" s="16" t="s">
        <v>404</v>
      </c>
      <c r="F781" s="16" t="s">
        <v>790</v>
      </c>
      <c r="G781" s="16">
        <v>0.6</v>
      </c>
      <c r="H781" s="16">
        <v>2593</v>
      </c>
      <c r="I781" s="16">
        <v>110</v>
      </c>
      <c r="J781" s="16">
        <v>109</v>
      </c>
      <c r="K781" s="16">
        <v>-1.8622450957518601E-2</v>
      </c>
      <c r="L781" s="16">
        <v>2.3055199080080899E-2</v>
      </c>
      <c r="M781" s="16">
        <v>-0.80773325326034096</v>
      </c>
      <c r="N781" s="16">
        <v>107</v>
      </c>
      <c r="O781" s="16">
        <v>0.42103620460139202</v>
      </c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 t="s">
        <v>402</v>
      </c>
      <c r="AI781" s="16"/>
      <c r="AJ781" s="16" t="s">
        <v>1324</v>
      </c>
    </row>
    <row r="782" spans="1:36" ht="15" customHeight="1" x14ac:dyDescent="0.3">
      <c r="A782" s="16" t="s">
        <v>273</v>
      </c>
      <c r="B782" s="16" t="s">
        <v>755</v>
      </c>
      <c r="C782" s="16" t="s">
        <v>1161</v>
      </c>
      <c r="D782" s="16" t="s">
        <v>324</v>
      </c>
      <c r="E782" s="16" t="s">
        <v>404</v>
      </c>
      <c r="F782" s="16" t="s">
        <v>790</v>
      </c>
      <c r="G782" s="16">
        <v>0.6</v>
      </c>
      <c r="H782" s="16">
        <v>2593</v>
      </c>
      <c r="I782" s="16">
        <v>110</v>
      </c>
      <c r="J782" s="16">
        <v>109</v>
      </c>
      <c r="K782" s="16">
        <v>-3.9903443136141699E-2</v>
      </c>
      <c r="L782" s="16">
        <v>2.3046273017331802E-2</v>
      </c>
      <c r="M782" s="16">
        <v>-1.73144885969773</v>
      </c>
      <c r="N782" s="16">
        <v>108</v>
      </c>
      <c r="O782" s="16">
        <v>8.6227255622571303E-2</v>
      </c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 t="s">
        <v>402</v>
      </c>
      <c r="AI782" s="16"/>
      <c r="AJ782" s="16" t="s">
        <v>1325</v>
      </c>
    </row>
    <row r="783" spans="1:36" ht="15" customHeight="1" x14ac:dyDescent="0.3">
      <c r="A783" s="16" t="s">
        <v>273</v>
      </c>
      <c r="B783" s="16" t="s">
        <v>757</v>
      </c>
      <c r="C783" s="16" t="s">
        <v>1161</v>
      </c>
      <c r="D783" s="16" t="s">
        <v>324</v>
      </c>
      <c r="E783" s="16" t="s">
        <v>404</v>
      </c>
      <c r="F783" s="16" t="s">
        <v>790</v>
      </c>
      <c r="G783" s="16">
        <v>0.6</v>
      </c>
      <c r="H783" s="16">
        <v>2593</v>
      </c>
      <c r="I783" s="16">
        <v>110</v>
      </c>
      <c r="J783" s="16">
        <v>109</v>
      </c>
      <c r="K783" s="16">
        <v>-1.00807502256774E-2</v>
      </c>
      <c r="L783" s="16">
        <v>2.77871031852014E-2</v>
      </c>
      <c r="M783" s="16">
        <v>-0.36278521580638001</v>
      </c>
      <c r="N783" s="16">
        <v>107</v>
      </c>
      <c r="O783" s="16">
        <v>0.71748097721043502</v>
      </c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 t="s">
        <v>402</v>
      </c>
      <c r="AI783" s="16"/>
      <c r="AJ783" s="16" t="s">
        <v>1326</v>
      </c>
    </row>
    <row r="784" spans="1:36" ht="15" customHeight="1" x14ac:dyDescent="0.3">
      <c r="A784" s="16" t="s">
        <v>273</v>
      </c>
      <c r="B784" s="16" t="s">
        <v>759</v>
      </c>
      <c r="C784" s="16" t="s">
        <v>1161</v>
      </c>
      <c r="D784" s="16" t="s">
        <v>324</v>
      </c>
      <c r="E784" s="16" t="s">
        <v>404</v>
      </c>
      <c r="F784" s="16" t="s">
        <v>790</v>
      </c>
      <c r="G784" s="16">
        <v>0.6</v>
      </c>
      <c r="H784" s="16">
        <v>2593</v>
      </c>
      <c r="I784" s="16">
        <v>110</v>
      </c>
      <c r="J784" s="16">
        <v>109</v>
      </c>
      <c r="K784" s="16">
        <v>-5.9437239787677003E-3</v>
      </c>
      <c r="L784" s="16">
        <v>2.95442251809593E-2</v>
      </c>
      <c r="M784" s="16">
        <v>-0.20118056717894001</v>
      </c>
      <c r="N784" s="16">
        <v>107</v>
      </c>
      <c r="O784" s="16">
        <v>0.84093932698283202</v>
      </c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 t="s">
        <v>402</v>
      </c>
      <c r="AI784" s="16"/>
      <c r="AJ784" s="16" t="s">
        <v>1327</v>
      </c>
    </row>
    <row r="785" spans="1:36" ht="15" customHeight="1" x14ac:dyDescent="0.3">
      <c r="A785" s="16" t="s">
        <v>273</v>
      </c>
      <c r="B785" s="16" t="s">
        <v>761</v>
      </c>
      <c r="C785" s="16" t="s">
        <v>1161</v>
      </c>
      <c r="D785" s="16" t="s">
        <v>324</v>
      </c>
      <c r="E785" s="16" t="s">
        <v>404</v>
      </c>
      <c r="F785" s="16" t="s">
        <v>790</v>
      </c>
      <c r="G785" s="16">
        <v>0.6</v>
      </c>
      <c r="H785" s="16">
        <v>2593</v>
      </c>
      <c r="I785" s="16">
        <v>110</v>
      </c>
      <c r="J785" s="16">
        <v>109</v>
      </c>
      <c r="K785" s="16">
        <v>-2.75472956256245E-2</v>
      </c>
      <c r="L785" s="16">
        <v>2.0093293144561999E-2</v>
      </c>
      <c r="M785" s="16">
        <v>-1.3709696776647999</v>
      </c>
      <c r="N785" s="16">
        <v>108</v>
      </c>
      <c r="O785" s="16">
        <v>0.173226670517554</v>
      </c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 t="s">
        <v>402</v>
      </c>
      <c r="AI785" s="16"/>
      <c r="AJ785" s="16" t="s">
        <v>1328</v>
      </c>
    </row>
    <row r="786" spans="1:36" ht="15" customHeight="1" x14ac:dyDescent="0.3">
      <c r="A786" s="16" t="s">
        <v>273</v>
      </c>
      <c r="B786" s="16" t="s">
        <v>763</v>
      </c>
      <c r="C786" s="16" t="s">
        <v>1161</v>
      </c>
      <c r="D786" s="16" t="s">
        <v>324</v>
      </c>
      <c r="E786" s="16" t="s">
        <v>404</v>
      </c>
      <c r="F786" s="16" t="s">
        <v>790</v>
      </c>
      <c r="G786" s="16">
        <v>0.6</v>
      </c>
      <c r="H786" s="16">
        <v>2593</v>
      </c>
      <c r="I786" s="16">
        <v>110</v>
      </c>
      <c r="J786" s="16">
        <v>109</v>
      </c>
      <c r="K786" s="16">
        <v>-2.7355343987336599E-2</v>
      </c>
      <c r="L786" s="16">
        <v>1.9041505116368599E-2</v>
      </c>
      <c r="M786" s="16">
        <v>-1.43661668655706</v>
      </c>
      <c r="N786" s="16">
        <v>108</v>
      </c>
      <c r="O786" s="16">
        <v>0.15371750004524301</v>
      </c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 t="s">
        <v>402</v>
      </c>
      <c r="AI786" s="16"/>
      <c r="AJ786" s="16" t="s">
        <v>1329</v>
      </c>
    </row>
    <row r="787" spans="1:36" ht="15" customHeight="1" x14ac:dyDescent="0.3">
      <c r="A787" s="16" t="s">
        <v>273</v>
      </c>
      <c r="B787" s="16" t="s">
        <v>765</v>
      </c>
      <c r="C787" s="16" t="s">
        <v>1161</v>
      </c>
      <c r="D787" s="16" t="s">
        <v>324</v>
      </c>
      <c r="E787" s="16" t="s">
        <v>404</v>
      </c>
      <c r="F787" s="16" t="s">
        <v>790</v>
      </c>
      <c r="G787" s="16">
        <v>0.6</v>
      </c>
      <c r="H787" s="16">
        <v>2593</v>
      </c>
      <c r="I787" s="16">
        <v>110</v>
      </c>
      <c r="J787" s="16">
        <v>109</v>
      </c>
      <c r="K787" s="16">
        <v>-2.28077723554675E-2</v>
      </c>
      <c r="L787" s="16">
        <v>1.89564737534994E-2</v>
      </c>
      <c r="M787" s="16">
        <v>-1.2031653487905201</v>
      </c>
      <c r="N787" s="16">
        <v>108</v>
      </c>
      <c r="O787" s="16">
        <v>0.23154318506221999</v>
      </c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 t="s">
        <v>402</v>
      </c>
      <c r="AI787" s="16"/>
      <c r="AJ787" s="16" t="s">
        <v>1330</v>
      </c>
    </row>
    <row r="788" spans="1:36" ht="15" customHeight="1" x14ac:dyDescent="0.3">
      <c r="A788" s="16" t="s">
        <v>273</v>
      </c>
      <c r="B788" s="16" t="s">
        <v>767</v>
      </c>
      <c r="C788" s="16" t="s">
        <v>1161</v>
      </c>
      <c r="D788" s="16" t="s">
        <v>324</v>
      </c>
      <c r="E788" s="16" t="s">
        <v>404</v>
      </c>
      <c r="F788" s="16" t="s">
        <v>790</v>
      </c>
      <c r="G788" s="16">
        <v>0.6</v>
      </c>
      <c r="H788" s="16">
        <v>900</v>
      </c>
      <c r="I788" s="16">
        <v>38</v>
      </c>
      <c r="J788" s="16">
        <v>38</v>
      </c>
      <c r="K788" s="16">
        <v>-3.4770658505678301E-2</v>
      </c>
      <c r="L788" s="16">
        <v>3.2692978906108699E-2</v>
      </c>
      <c r="M788" s="16">
        <v>-1.06355124767114</v>
      </c>
      <c r="N788" s="16">
        <v>36</v>
      </c>
      <c r="O788" s="16">
        <v>0.29461429848450499</v>
      </c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 t="s">
        <v>402</v>
      </c>
      <c r="AI788" s="16"/>
      <c r="AJ788" s="16" t="s">
        <v>1331</v>
      </c>
    </row>
    <row r="789" spans="1:36" ht="15" customHeight="1" x14ac:dyDescent="0.3">
      <c r="A789" s="16" t="s">
        <v>273</v>
      </c>
      <c r="B789" s="16" t="s">
        <v>769</v>
      </c>
      <c r="C789" s="16" t="s">
        <v>1161</v>
      </c>
      <c r="D789" s="16" t="s">
        <v>324</v>
      </c>
      <c r="E789" s="16" t="s">
        <v>404</v>
      </c>
      <c r="F789" s="16" t="s">
        <v>790</v>
      </c>
      <c r="G789" s="16">
        <v>0.6</v>
      </c>
      <c r="H789" s="16">
        <v>2606</v>
      </c>
      <c r="I789" s="16">
        <v>110</v>
      </c>
      <c r="J789" s="16">
        <v>109</v>
      </c>
      <c r="K789" s="16">
        <v>-1.8501446035062399E-2</v>
      </c>
      <c r="L789" s="16">
        <v>2.0438429337428201E-2</v>
      </c>
      <c r="M789" s="16">
        <v>-0.90522836807138296</v>
      </c>
      <c r="N789" s="16">
        <v>108</v>
      </c>
      <c r="O789" s="16">
        <v>0.36735941780117798</v>
      </c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 t="s">
        <v>402</v>
      </c>
      <c r="AI789" s="16"/>
      <c r="AJ789" s="16" t="s">
        <v>1332</v>
      </c>
    </row>
    <row r="790" spans="1:36" ht="15" customHeight="1" x14ac:dyDescent="0.3">
      <c r="A790" s="16" t="s">
        <v>273</v>
      </c>
      <c r="B790" s="16" t="s">
        <v>771</v>
      </c>
      <c r="C790" s="16" t="s">
        <v>1161</v>
      </c>
      <c r="D790" s="16" t="s">
        <v>324</v>
      </c>
      <c r="E790" s="16" t="s">
        <v>404</v>
      </c>
      <c r="F790" s="16" t="s">
        <v>790</v>
      </c>
      <c r="G790" s="16">
        <v>0.6</v>
      </c>
      <c r="H790" s="16">
        <v>2606</v>
      </c>
      <c r="I790" s="16">
        <v>110</v>
      </c>
      <c r="J790" s="16">
        <v>109</v>
      </c>
      <c r="K790" s="16">
        <v>-2.8891812593676101E-2</v>
      </c>
      <c r="L790" s="16">
        <v>2.1575605635790401E-2</v>
      </c>
      <c r="M790" s="16">
        <v>-1.33909624978264</v>
      </c>
      <c r="N790" s="16">
        <v>108</v>
      </c>
      <c r="O790" s="16">
        <v>0.18335091379777099</v>
      </c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 t="s">
        <v>402</v>
      </c>
      <c r="AI790" s="16"/>
      <c r="AJ790" s="16" t="s">
        <v>1333</v>
      </c>
    </row>
    <row r="791" spans="1:36" ht="15" customHeight="1" x14ac:dyDescent="0.3">
      <c r="A791" s="16" t="s">
        <v>273</v>
      </c>
      <c r="B791" s="16" t="s">
        <v>773</v>
      </c>
      <c r="C791" s="16" t="s">
        <v>1161</v>
      </c>
      <c r="D791" s="16" t="s">
        <v>324</v>
      </c>
      <c r="E791" s="16" t="s">
        <v>404</v>
      </c>
      <c r="F791" s="16" t="s">
        <v>790</v>
      </c>
      <c r="G791" s="16">
        <v>0.6</v>
      </c>
      <c r="H791" s="16">
        <v>2606</v>
      </c>
      <c r="I791" s="16">
        <v>110</v>
      </c>
      <c r="J791" s="16">
        <v>109</v>
      </c>
      <c r="K791" s="16">
        <v>-1.5978290610620699E-2</v>
      </c>
      <c r="L791" s="16">
        <v>2.24550323386771E-2</v>
      </c>
      <c r="M791" s="16">
        <v>-0.71156836336856699</v>
      </c>
      <c r="N791" s="16">
        <v>107</v>
      </c>
      <c r="O791" s="16">
        <v>0.47828056965639898</v>
      </c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 t="s">
        <v>402</v>
      </c>
      <c r="AI791" s="16"/>
      <c r="AJ791" s="16" t="s">
        <v>1334</v>
      </c>
    </row>
    <row r="792" spans="1:36" ht="15" customHeight="1" x14ac:dyDescent="0.3">
      <c r="A792" s="16" t="s">
        <v>273</v>
      </c>
      <c r="B792" s="16" t="s">
        <v>775</v>
      </c>
      <c r="C792" s="16" t="s">
        <v>1161</v>
      </c>
      <c r="D792" s="16" t="s">
        <v>324</v>
      </c>
      <c r="E792" s="16" t="s">
        <v>404</v>
      </c>
      <c r="F792" s="16" t="s">
        <v>790</v>
      </c>
      <c r="G792" s="16">
        <v>0.6</v>
      </c>
      <c r="H792" s="16">
        <v>2606</v>
      </c>
      <c r="I792" s="16">
        <v>110</v>
      </c>
      <c r="J792" s="16">
        <v>109</v>
      </c>
      <c r="K792" s="16">
        <v>-3.3050002645378801E-2</v>
      </c>
      <c r="L792" s="16">
        <v>2.2522812710348401E-2</v>
      </c>
      <c r="M792" s="16">
        <v>-1.4674012109594801</v>
      </c>
      <c r="N792" s="16">
        <v>108</v>
      </c>
      <c r="O792" s="16">
        <v>0.14517310316565199</v>
      </c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 t="s">
        <v>402</v>
      </c>
      <c r="AI792" s="16"/>
      <c r="AJ792" s="16" t="s">
        <v>1335</v>
      </c>
    </row>
    <row r="793" spans="1:36" ht="15" customHeight="1" x14ac:dyDescent="0.3">
      <c r="A793" s="16" t="s">
        <v>273</v>
      </c>
      <c r="B793" s="16" t="s">
        <v>777</v>
      </c>
      <c r="C793" s="16" t="s">
        <v>1161</v>
      </c>
      <c r="D793" s="16" t="s">
        <v>324</v>
      </c>
      <c r="E793" s="16" t="s">
        <v>404</v>
      </c>
      <c r="F793" s="16" t="s">
        <v>790</v>
      </c>
      <c r="G793" s="16">
        <v>0.6</v>
      </c>
      <c r="H793" s="16">
        <v>2606</v>
      </c>
      <c r="I793" s="16">
        <v>110</v>
      </c>
      <c r="J793" s="16">
        <v>109</v>
      </c>
      <c r="K793" s="16">
        <v>-4.3310305561701599E-3</v>
      </c>
      <c r="L793" s="16">
        <v>2.70573314640624E-2</v>
      </c>
      <c r="M793" s="16">
        <v>-0.160068651334765</v>
      </c>
      <c r="N793" s="16">
        <v>107</v>
      </c>
      <c r="O793" s="16">
        <v>0.873128784398852</v>
      </c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 t="s">
        <v>402</v>
      </c>
      <c r="AI793" s="16"/>
      <c r="AJ793" s="16" t="s">
        <v>1336</v>
      </c>
    </row>
    <row r="794" spans="1:36" ht="15" customHeight="1" x14ac:dyDescent="0.3">
      <c r="A794" s="16" t="s">
        <v>273</v>
      </c>
      <c r="B794" s="16" t="s">
        <v>779</v>
      </c>
      <c r="C794" s="16" t="s">
        <v>1161</v>
      </c>
      <c r="D794" s="16" t="s">
        <v>324</v>
      </c>
      <c r="E794" s="16" t="s">
        <v>404</v>
      </c>
      <c r="F794" s="16" t="s">
        <v>790</v>
      </c>
      <c r="G794" s="16">
        <v>0.6</v>
      </c>
      <c r="H794" s="16">
        <v>2606</v>
      </c>
      <c r="I794" s="16">
        <v>110</v>
      </c>
      <c r="J794" s="16">
        <v>109</v>
      </c>
      <c r="K794" s="16">
        <v>-6.2599764281335397E-4</v>
      </c>
      <c r="L794" s="16">
        <v>2.8759911607622101E-2</v>
      </c>
      <c r="M794" s="16">
        <v>-2.1766327078955601E-2</v>
      </c>
      <c r="N794" s="16">
        <v>107</v>
      </c>
      <c r="O794" s="16">
        <v>0.98267489368608896</v>
      </c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 t="s">
        <v>402</v>
      </c>
      <c r="AI794" s="16"/>
      <c r="AJ794" s="16" t="s">
        <v>1337</v>
      </c>
    </row>
    <row r="795" spans="1:36" ht="15" customHeight="1" x14ac:dyDescent="0.3">
      <c r="A795" s="16" t="s">
        <v>273</v>
      </c>
      <c r="B795" s="16" t="s">
        <v>781</v>
      </c>
      <c r="C795" s="16" t="s">
        <v>1161</v>
      </c>
      <c r="D795" s="16" t="s">
        <v>324</v>
      </c>
      <c r="E795" s="16" t="s">
        <v>404</v>
      </c>
      <c r="F795" s="16" t="s">
        <v>790</v>
      </c>
      <c r="G795" s="16">
        <v>0.6</v>
      </c>
      <c r="H795" s="16">
        <v>2606</v>
      </c>
      <c r="I795" s="16">
        <v>110</v>
      </c>
      <c r="J795" s="16">
        <v>109</v>
      </c>
      <c r="K795" s="16">
        <v>-2.1981775226783299E-2</v>
      </c>
      <c r="L795" s="16">
        <v>1.9611972678666899E-2</v>
      </c>
      <c r="M795" s="16">
        <v>-1.1208344814131901</v>
      </c>
      <c r="N795" s="16">
        <v>108</v>
      </c>
      <c r="O795" s="16">
        <v>0.26484444932259898</v>
      </c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 t="s">
        <v>402</v>
      </c>
      <c r="AI795" s="16"/>
      <c r="AJ795" s="16" t="s">
        <v>1338</v>
      </c>
    </row>
    <row r="796" spans="1:36" ht="15" customHeight="1" x14ac:dyDescent="0.3">
      <c r="A796" s="16" t="s">
        <v>273</v>
      </c>
      <c r="B796" s="16" t="s">
        <v>783</v>
      </c>
      <c r="C796" s="16" t="s">
        <v>1161</v>
      </c>
      <c r="D796" s="16" t="s">
        <v>324</v>
      </c>
      <c r="E796" s="16" t="s">
        <v>404</v>
      </c>
      <c r="F796" s="16" t="s">
        <v>790</v>
      </c>
      <c r="G796" s="16">
        <v>0.6</v>
      </c>
      <c r="H796" s="16">
        <v>2606</v>
      </c>
      <c r="I796" s="16">
        <v>110</v>
      </c>
      <c r="J796" s="16">
        <v>109</v>
      </c>
      <c r="K796" s="16">
        <v>-1.35153611165626E-2</v>
      </c>
      <c r="L796" s="16">
        <v>1.866852522434E-2</v>
      </c>
      <c r="M796" s="16">
        <v>-0.72396512065887797</v>
      </c>
      <c r="N796" s="16">
        <v>108</v>
      </c>
      <c r="O796" s="16">
        <v>0.47065244404538797</v>
      </c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 t="s">
        <v>402</v>
      </c>
      <c r="AI796" s="16"/>
      <c r="AJ796" s="16" t="s">
        <v>1339</v>
      </c>
    </row>
    <row r="797" spans="1:36" ht="15" customHeight="1" x14ac:dyDescent="0.3">
      <c r="A797" s="16" t="s">
        <v>273</v>
      </c>
      <c r="B797" s="16" t="s">
        <v>785</v>
      </c>
      <c r="C797" s="16" t="s">
        <v>1161</v>
      </c>
      <c r="D797" s="16" t="s">
        <v>324</v>
      </c>
      <c r="E797" s="16" t="s">
        <v>404</v>
      </c>
      <c r="F797" s="16" t="s">
        <v>790</v>
      </c>
      <c r="G797" s="16">
        <v>0.6</v>
      </c>
      <c r="H797" s="16">
        <v>2606</v>
      </c>
      <c r="I797" s="16">
        <v>110</v>
      </c>
      <c r="J797" s="16">
        <v>109</v>
      </c>
      <c r="K797" s="16">
        <v>-1.22185054037964E-2</v>
      </c>
      <c r="L797" s="16">
        <v>1.8535669207932301E-2</v>
      </c>
      <c r="M797" s="16">
        <v>-0.65918879252374196</v>
      </c>
      <c r="N797" s="16">
        <v>108</v>
      </c>
      <c r="O797" s="16">
        <v>0.51117762949222501</v>
      </c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 t="s">
        <v>402</v>
      </c>
      <c r="AI797" s="16"/>
      <c r="AJ797" s="16" t="s">
        <v>1340</v>
      </c>
    </row>
    <row r="798" spans="1:36" ht="15" customHeight="1" x14ac:dyDescent="0.3">
      <c r="A798" s="16" t="s">
        <v>273</v>
      </c>
      <c r="B798" s="16" t="s">
        <v>787</v>
      </c>
      <c r="C798" s="16" t="s">
        <v>1161</v>
      </c>
      <c r="D798" s="16" t="s">
        <v>324</v>
      </c>
      <c r="E798" s="16" t="s">
        <v>404</v>
      </c>
      <c r="F798" s="16" t="s">
        <v>790</v>
      </c>
      <c r="G798" s="16">
        <v>0.6</v>
      </c>
      <c r="H798" s="16">
        <v>905</v>
      </c>
      <c r="I798" s="16">
        <v>38</v>
      </c>
      <c r="J798" s="16">
        <v>38</v>
      </c>
      <c r="K798" s="16">
        <v>-2.7667376552293E-2</v>
      </c>
      <c r="L798" s="16">
        <v>2.93372474620128E-2</v>
      </c>
      <c r="M798" s="16">
        <v>-0.94308017778825504</v>
      </c>
      <c r="N798" s="16">
        <v>36</v>
      </c>
      <c r="O798" s="16">
        <v>0.35192625828734803</v>
      </c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 t="s">
        <v>402</v>
      </c>
      <c r="AI798" s="16"/>
      <c r="AJ798" s="16" t="s">
        <v>1341</v>
      </c>
    </row>
    <row r="799" spans="1:36" ht="15" customHeight="1" x14ac:dyDescent="0.3">
      <c r="A799" s="16" t="s">
        <v>273</v>
      </c>
      <c r="B799" s="16" t="s">
        <v>322</v>
      </c>
      <c r="C799" s="16" t="s">
        <v>1342</v>
      </c>
      <c r="D799" s="16" t="s">
        <v>324</v>
      </c>
      <c r="E799" s="16" t="s">
        <v>404</v>
      </c>
      <c r="F799" s="16" t="s">
        <v>1343</v>
      </c>
      <c r="G799" s="16">
        <v>0.6</v>
      </c>
      <c r="H799" s="16">
        <v>2705</v>
      </c>
      <c r="I799" s="16">
        <v>113</v>
      </c>
      <c r="J799" s="16">
        <v>112</v>
      </c>
      <c r="K799" s="16">
        <v>-1.2343832896931001E-4</v>
      </c>
      <c r="L799" s="16">
        <v>3.0340536847032001E-3</v>
      </c>
      <c r="M799" s="16">
        <v>-4.0684292961475799E-2</v>
      </c>
      <c r="N799" s="16">
        <v>2703</v>
      </c>
      <c r="O799" s="16">
        <v>0.96755058831779805</v>
      </c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 t="s">
        <v>402</v>
      </c>
      <c r="AI799" s="16"/>
      <c r="AJ799" s="16" t="s">
        <v>1344</v>
      </c>
    </row>
    <row r="800" spans="1:36" ht="15" customHeight="1" x14ac:dyDescent="0.3">
      <c r="A800" s="16" t="s">
        <v>273</v>
      </c>
      <c r="B800" s="16" t="s">
        <v>326</v>
      </c>
      <c r="C800" s="16" t="s">
        <v>1342</v>
      </c>
      <c r="D800" s="16" t="s">
        <v>324</v>
      </c>
      <c r="E800" s="16" t="s">
        <v>404</v>
      </c>
      <c r="F800" s="16" t="s">
        <v>1343</v>
      </c>
      <c r="G800" s="16">
        <v>0.6</v>
      </c>
      <c r="H800" s="16">
        <v>2705</v>
      </c>
      <c r="I800" s="16">
        <v>113</v>
      </c>
      <c r="J800" s="16">
        <v>112</v>
      </c>
      <c r="K800" s="16">
        <v>-4.2587037186814903E-4</v>
      </c>
      <c r="L800" s="16">
        <v>3.0367416037305498E-3</v>
      </c>
      <c r="M800" s="16">
        <v>-0.14023925227782999</v>
      </c>
      <c r="N800" s="16">
        <v>2703</v>
      </c>
      <c r="O800" s="16">
        <v>0.88848140840796797</v>
      </c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 t="s">
        <v>402</v>
      </c>
      <c r="AI800" s="16"/>
      <c r="AJ800" s="16" t="s">
        <v>1345</v>
      </c>
    </row>
    <row r="801" spans="1:36" ht="15" customHeight="1" x14ac:dyDescent="0.3">
      <c r="A801" s="16" t="s">
        <v>273</v>
      </c>
      <c r="B801" s="16" t="s">
        <v>328</v>
      </c>
      <c r="C801" s="16" t="s">
        <v>1342</v>
      </c>
      <c r="D801" s="16" t="s">
        <v>324</v>
      </c>
      <c r="E801" s="16" t="s">
        <v>404</v>
      </c>
      <c r="F801" s="16" t="s">
        <v>1343</v>
      </c>
      <c r="G801" s="16">
        <v>0.6</v>
      </c>
      <c r="H801" s="16">
        <v>2705</v>
      </c>
      <c r="I801" s="16">
        <v>113</v>
      </c>
      <c r="J801" s="16">
        <v>112</v>
      </c>
      <c r="K801" s="16">
        <v>5.0095455457970896E-3</v>
      </c>
      <c r="L801" s="16">
        <v>8.1369214703810207E-3</v>
      </c>
      <c r="M801" s="16">
        <v>0.61565612548089499</v>
      </c>
      <c r="N801" s="16">
        <v>2703</v>
      </c>
      <c r="O801" s="16">
        <v>0.53817333391977296</v>
      </c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 t="s">
        <v>402</v>
      </c>
      <c r="AI801" s="16"/>
      <c r="AJ801" s="16" t="s">
        <v>1346</v>
      </c>
    </row>
    <row r="802" spans="1:36" ht="15" customHeight="1" x14ac:dyDescent="0.3">
      <c r="A802" s="16" t="s">
        <v>273</v>
      </c>
      <c r="B802" s="16" t="s">
        <v>330</v>
      </c>
      <c r="C802" s="16" t="s">
        <v>1342</v>
      </c>
      <c r="D802" s="16" t="s">
        <v>324</v>
      </c>
      <c r="E802" s="16" t="s">
        <v>404</v>
      </c>
      <c r="F802" s="16" t="s">
        <v>1343</v>
      </c>
      <c r="G802" s="16">
        <v>0.6</v>
      </c>
      <c r="H802" s="16">
        <v>2705</v>
      </c>
      <c r="I802" s="16">
        <v>113</v>
      </c>
      <c r="J802" s="16">
        <v>112</v>
      </c>
      <c r="K802" s="16">
        <v>-3.4737465434629997E-4</v>
      </c>
      <c r="L802" s="16">
        <v>3.0370568789869299E-3</v>
      </c>
      <c r="M802" s="16">
        <v>-0.114378712084633</v>
      </c>
      <c r="N802" s="16">
        <v>2703</v>
      </c>
      <c r="O802" s="16">
        <v>0.90894608352359596</v>
      </c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 t="s">
        <v>402</v>
      </c>
      <c r="AI802" s="16"/>
      <c r="AJ802" s="16" t="s">
        <v>1347</v>
      </c>
    </row>
    <row r="803" spans="1:36" ht="15" customHeight="1" x14ac:dyDescent="0.3">
      <c r="A803" s="16" t="s">
        <v>273</v>
      </c>
      <c r="B803" s="16" t="s">
        <v>332</v>
      </c>
      <c r="C803" s="16" t="s">
        <v>1342</v>
      </c>
      <c r="D803" s="16" t="s">
        <v>324</v>
      </c>
      <c r="E803" s="16" t="s">
        <v>404</v>
      </c>
      <c r="F803" s="16" t="s">
        <v>1343</v>
      </c>
      <c r="G803" s="16">
        <v>0.6</v>
      </c>
      <c r="H803" s="16">
        <v>2705</v>
      </c>
      <c r="I803" s="16">
        <v>113</v>
      </c>
      <c r="J803" s="16">
        <v>112</v>
      </c>
      <c r="K803" s="16">
        <v>7.4838913750802799E-4</v>
      </c>
      <c r="L803" s="16">
        <v>3.0456109104279698E-3</v>
      </c>
      <c r="M803" s="16">
        <v>0.24572710024960601</v>
      </c>
      <c r="N803" s="16">
        <v>2703</v>
      </c>
      <c r="O803" s="16">
        <v>0.80591214823079305</v>
      </c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 t="s">
        <v>402</v>
      </c>
      <c r="AI803" s="16"/>
      <c r="AJ803" s="16" t="s">
        <v>1348</v>
      </c>
    </row>
    <row r="804" spans="1:36" ht="15" customHeight="1" x14ac:dyDescent="0.3">
      <c r="A804" s="16" t="s">
        <v>273</v>
      </c>
      <c r="B804" s="16" t="s">
        <v>334</v>
      </c>
      <c r="C804" s="16" t="s">
        <v>1342</v>
      </c>
      <c r="D804" s="16" t="s">
        <v>324</v>
      </c>
      <c r="E804" s="16" t="s">
        <v>404</v>
      </c>
      <c r="F804" s="16" t="s">
        <v>1343</v>
      </c>
      <c r="G804" s="16">
        <v>0.6</v>
      </c>
      <c r="H804" s="16">
        <v>2705</v>
      </c>
      <c r="I804" s="16">
        <v>113</v>
      </c>
      <c r="J804" s="16">
        <v>112</v>
      </c>
      <c r="K804" s="16">
        <v>6.9683976185968405E-4</v>
      </c>
      <c r="L804" s="16">
        <v>3.0483687383795798E-3</v>
      </c>
      <c r="M804" s="16">
        <v>0.22859431442342601</v>
      </c>
      <c r="N804" s="16">
        <v>2703</v>
      </c>
      <c r="O804" s="16">
        <v>0.81920153630034098</v>
      </c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 t="s">
        <v>402</v>
      </c>
      <c r="AI804" s="16"/>
      <c r="AJ804" s="16" t="s">
        <v>1349</v>
      </c>
    </row>
    <row r="805" spans="1:36" ht="15" customHeight="1" x14ac:dyDescent="0.3">
      <c r="A805" s="16" t="s">
        <v>273</v>
      </c>
      <c r="B805" s="16" t="s">
        <v>336</v>
      </c>
      <c r="C805" s="16" t="s">
        <v>1342</v>
      </c>
      <c r="D805" s="16" t="s">
        <v>324</v>
      </c>
      <c r="E805" s="16" t="s">
        <v>404</v>
      </c>
      <c r="F805" s="16" t="s">
        <v>1343</v>
      </c>
      <c r="G805" s="16">
        <v>0.6</v>
      </c>
      <c r="H805" s="16">
        <v>2705</v>
      </c>
      <c r="I805" s="16">
        <v>113</v>
      </c>
      <c r="J805" s="16">
        <v>112</v>
      </c>
      <c r="K805" s="16">
        <v>4.1721489692747903E-3</v>
      </c>
      <c r="L805" s="16">
        <v>6.5547008615670704E-3</v>
      </c>
      <c r="M805" s="16">
        <v>0.63651249040788904</v>
      </c>
      <c r="N805" s="16">
        <v>2703</v>
      </c>
      <c r="O805" s="16">
        <v>0.52449633868077306</v>
      </c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 t="s">
        <v>402</v>
      </c>
      <c r="AI805" s="16"/>
      <c r="AJ805" s="16" t="s">
        <v>1350</v>
      </c>
    </row>
    <row r="806" spans="1:36" ht="15" customHeight="1" x14ac:dyDescent="0.3">
      <c r="A806" s="16" t="s">
        <v>273</v>
      </c>
      <c r="B806" s="16" t="s">
        <v>338</v>
      </c>
      <c r="C806" s="16" t="s">
        <v>1342</v>
      </c>
      <c r="D806" s="16" t="s">
        <v>324</v>
      </c>
      <c r="E806" s="16" t="s">
        <v>404</v>
      </c>
      <c r="F806" s="16" t="s">
        <v>1343</v>
      </c>
      <c r="G806" s="16">
        <v>0.6</v>
      </c>
      <c r="H806" s="16">
        <v>2705</v>
      </c>
      <c r="I806" s="16">
        <v>113</v>
      </c>
      <c r="J806" s="16">
        <v>112</v>
      </c>
      <c r="K806" s="16">
        <v>1.1186676710029399E-2</v>
      </c>
      <c r="L806" s="16">
        <v>5.9055393445975402E-3</v>
      </c>
      <c r="M806" s="16">
        <v>1.89426842448574</v>
      </c>
      <c r="N806" s="16">
        <v>2703</v>
      </c>
      <c r="O806" s="16">
        <v>5.8296045540630101E-2</v>
      </c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 t="s">
        <v>402</v>
      </c>
      <c r="AI806" s="16"/>
      <c r="AJ806" s="16" t="s">
        <v>1351</v>
      </c>
    </row>
    <row r="807" spans="1:36" ht="15" customHeight="1" x14ac:dyDescent="0.3">
      <c r="A807" s="16" t="s">
        <v>273</v>
      </c>
      <c r="B807" s="16" t="s">
        <v>340</v>
      </c>
      <c r="C807" s="16" t="s">
        <v>1342</v>
      </c>
      <c r="D807" s="16" t="s">
        <v>324</v>
      </c>
      <c r="E807" s="16" t="s">
        <v>404</v>
      </c>
      <c r="F807" s="16" t="s">
        <v>1343</v>
      </c>
      <c r="G807" s="16">
        <v>0.6</v>
      </c>
      <c r="H807" s="16">
        <v>2705</v>
      </c>
      <c r="I807" s="16">
        <v>113</v>
      </c>
      <c r="J807" s="16">
        <v>112</v>
      </c>
      <c r="K807" s="16">
        <v>4.79212640478028E-4</v>
      </c>
      <c r="L807" s="16">
        <v>4.3584925702317102E-3</v>
      </c>
      <c r="M807" s="16">
        <v>0.10994916998391301</v>
      </c>
      <c r="N807" s="16">
        <v>2703</v>
      </c>
      <c r="O807" s="16">
        <v>0.91245784893790405</v>
      </c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 t="s">
        <v>402</v>
      </c>
      <c r="AI807" s="16"/>
      <c r="AJ807" s="16" t="s">
        <v>1352</v>
      </c>
    </row>
    <row r="808" spans="1:36" ht="15" customHeight="1" x14ac:dyDescent="0.3">
      <c r="A808" s="16" t="s">
        <v>273</v>
      </c>
      <c r="B808" s="16" t="s">
        <v>342</v>
      </c>
      <c r="C808" s="16" t="s">
        <v>1342</v>
      </c>
      <c r="D808" s="16" t="s">
        <v>324</v>
      </c>
      <c r="E808" s="16" t="s">
        <v>404</v>
      </c>
      <c r="F808" s="16" t="s">
        <v>1343</v>
      </c>
      <c r="G808" s="16">
        <v>0.6</v>
      </c>
      <c r="H808" s="16">
        <v>929</v>
      </c>
      <c r="I808" s="16">
        <v>40</v>
      </c>
      <c r="J808" s="16">
        <v>40</v>
      </c>
      <c r="K808" s="16">
        <v>5.2262590292687702E-3</v>
      </c>
      <c r="L808" s="16">
        <v>3.2994195730173602E-3</v>
      </c>
      <c r="M808" s="16">
        <v>1.58399346115574</v>
      </c>
      <c r="N808" s="16">
        <v>927</v>
      </c>
      <c r="O808" s="16">
        <v>0.113536276859644</v>
      </c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 t="s">
        <v>402</v>
      </c>
      <c r="AI808" s="16"/>
      <c r="AJ808" s="16" t="s">
        <v>1353</v>
      </c>
    </row>
    <row r="809" spans="1:36" ht="15" customHeight="1" x14ac:dyDescent="0.3">
      <c r="A809" s="16" t="s">
        <v>273</v>
      </c>
      <c r="B809" s="16" t="s">
        <v>449</v>
      </c>
      <c r="C809" s="16" t="s">
        <v>1342</v>
      </c>
      <c r="D809" s="16" t="s">
        <v>324</v>
      </c>
      <c r="E809" s="16" t="s">
        <v>404</v>
      </c>
      <c r="F809" s="16" t="s">
        <v>1343</v>
      </c>
      <c r="G809" s="16">
        <v>0.6</v>
      </c>
      <c r="H809" s="16">
        <v>2692</v>
      </c>
      <c r="I809" s="16">
        <v>113</v>
      </c>
      <c r="J809" s="16">
        <v>112</v>
      </c>
      <c r="K809" s="16">
        <v>-5.9796574937341E-4</v>
      </c>
      <c r="L809" s="16">
        <v>2.8431689450707301E-3</v>
      </c>
      <c r="M809" s="16">
        <v>-0.21031664347984599</v>
      </c>
      <c r="N809" s="16">
        <v>2690</v>
      </c>
      <c r="O809" s="16">
        <v>0.83343647459247805</v>
      </c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 t="s">
        <v>402</v>
      </c>
      <c r="AI809" s="16"/>
      <c r="AJ809" s="16" t="s">
        <v>1354</v>
      </c>
    </row>
    <row r="810" spans="1:36" ht="15" customHeight="1" x14ac:dyDescent="0.3">
      <c r="A810" s="16" t="s">
        <v>273</v>
      </c>
      <c r="B810" s="16" t="s">
        <v>451</v>
      </c>
      <c r="C810" s="16" t="s">
        <v>1342</v>
      </c>
      <c r="D810" s="16" t="s">
        <v>324</v>
      </c>
      <c r="E810" s="16" t="s">
        <v>404</v>
      </c>
      <c r="F810" s="16" t="s">
        <v>1343</v>
      </c>
      <c r="G810" s="16">
        <v>0.6</v>
      </c>
      <c r="H810" s="16">
        <v>2692</v>
      </c>
      <c r="I810" s="16">
        <v>113</v>
      </c>
      <c r="J810" s="16">
        <v>112</v>
      </c>
      <c r="K810" s="16">
        <v>-8.97260008261996E-4</v>
      </c>
      <c r="L810" s="16">
        <v>2.8456640146043198E-3</v>
      </c>
      <c r="M810" s="16">
        <v>-0.31530778182425601</v>
      </c>
      <c r="N810" s="16">
        <v>2690</v>
      </c>
      <c r="O810" s="16">
        <v>0.75255243478226097</v>
      </c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 t="s">
        <v>402</v>
      </c>
      <c r="AI810" s="16"/>
      <c r="AJ810" s="16" t="s">
        <v>1355</v>
      </c>
    </row>
    <row r="811" spans="1:36" ht="15" customHeight="1" x14ac:dyDescent="0.3">
      <c r="A811" s="16" t="s">
        <v>273</v>
      </c>
      <c r="B811" s="16" t="s">
        <v>453</v>
      </c>
      <c r="C811" s="16" t="s">
        <v>1342</v>
      </c>
      <c r="D811" s="16" t="s">
        <v>324</v>
      </c>
      <c r="E811" s="16" t="s">
        <v>404</v>
      </c>
      <c r="F811" s="16" t="s">
        <v>1343</v>
      </c>
      <c r="G811" s="16">
        <v>0.6</v>
      </c>
      <c r="H811" s="16">
        <v>2692</v>
      </c>
      <c r="I811" s="16">
        <v>113</v>
      </c>
      <c r="J811" s="16">
        <v>112</v>
      </c>
      <c r="K811" s="16">
        <v>4.43152734720731E-3</v>
      </c>
      <c r="L811" s="16">
        <v>7.6273895461811004E-3</v>
      </c>
      <c r="M811" s="16">
        <v>0.58100183822735196</v>
      </c>
      <c r="N811" s="16">
        <v>2690</v>
      </c>
      <c r="O811" s="16">
        <v>0.56128788803988705</v>
      </c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 t="s">
        <v>402</v>
      </c>
      <c r="AI811" s="16"/>
      <c r="AJ811" s="16" t="s">
        <v>1356</v>
      </c>
    </row>
    <row r="812" spans="1:36" ht="15" customHeight="1" x14ac:dyDescent="0.3">
      <c r="A812" s="16" t="s">
        <v>273</v>
      </c>
      <c r="B812" s="16" t="s">
        <v>455</v>
      </c>
      <c r="C812" s="16" t="s">
        <v>1342</v>
      </c>
      <c r="D812" s="16" t="s">
        <v>324</v>
      </c>
      <c r="E812" s="16" t="s">
        <v>404</v>
      </c>
      <c r="F812" s="16" t="s">
        <v>1343</v>
      </c>
      <c r="G812" s="16">
        <v>0.6</v>
      </c>
      <c r="H812" s="16">
        <v>2692</v>
      </c>
      <c r="I812" s="16">
        <v>113</v>
      </c>
      <c r="J812" s="16">
        <v>112</v>
      </c>
      <c r="K812" s="16">
        <v>-8.1840511101398405E-4</v>
      </c>
      <c r="L812" s="16">
        <v>2.84596441492247E-3</v>
      </c>
      <c r="M812" s="16">
        <v>-0.28756688127327801</v>
      </c>
      <c r="N812" s="16">
        <v>2690</v>
      </c>
      <c r="O812" s="16">
        <v>0.77370045040385904</v>
      </c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 t="s">
        <v>402</v>
      </c>
      <c r="AI812" s="16"/>
      <c r="AJ812" s="16" t="s">
        <v>1357</v>
      </c>
    </row>
    <row r="813" spans="1:36" ht="15" customHeight="1" x14ac:dyDescent="0.3">
      <c r="A813" s="16" t="s">
        <v>273</v>
      </c>
      <c r="B813" s="16" t="s">
        <v>457</v>
      </c>
      <c r="C813" s="16" t="s">
        <v>1342</v>
      </c>
      <c r="D813" s="16" t="s">
        <v>324</v>
      </c>
      <c r="E813" s="16" t="s">
        <v>404</v>
      </c>
      <c r="F813" s="16" t="s">
        <v>1343</v>
      </c>
      <c r="G813" s="16">
        <v>0.6</v>
      </c>
      <c r="H813" s="16">
        <v>2692</v>
      </c>
      <c r="I813" s="16">
        <v>113</v>
      </c>
      <c r="J813" s="16">
        <v>112</v>
      </c>
      <c r="K813" s="16">
        <v>2.8514843713352999E-4</v>
      </c>
      <c r="L813" s="16">
        <v>2.8540346850899302E-3</v>
      </c>
      <c r="M813" s="16">
        <v>9.9910641809367096E-2</v>
      </c>
      <c r="N813" s="16">
        <v>2690</v>
      </c>
      <c r="O813" s="16">
        <v>0.92042271269604603</v>
      </c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 t="s">
        <v>402</v>
      </c>
      <c r="AI813" s="16"/>
      <c r="AJ813" s="16" t="s">
        <v>1358</v>
      </c>
    </row>
    <row r="814" spans="1:36" ht="15" customHeight="1" x14ac:dyDescent="0.3">
      <c r="A814" s="16" t="s">
        <v>273</v>
      </c>
      <c r="B814" s="16" t="s">
        <v>459</v>
      </c>
      <c r="C814" s="16" t="s">
        <v>1342</v>
      </c>
      <c r="D814" s="16" t="s">
        <v>324</v>
      </c>
      <c r="E814" s="16" t="s">
        <v>404</v>
      </c>
      <c r="F814" s="16" t="s">
        <v>1343</v>
      </c>
      <c r="G814" s="16">
        <v>0.6</v>
      </c>
      <c r="H814" s="16">
        <v>2692</v>
      </c>
      <c r="I814" s="16">
        <v>113</v>
      </c>
      <c r="J814" s="16">
        <v>112</v>
      </c>
      <c r="K814" s="16">
        <v>2.35485655850649E-4</v>
      </c>
      <c r="L814" s="16">
        <v>2.8566142033356499E-3</v>
      </c>
      <c r="M814" s="16">
        <v>8.2435232442544498E-2</v>
      </c>
      <c r="N814" s="16">
        <v>2690</v>
      </c>
      <c r="O814" s="16">
        <v>0.93430675312762801</v>
      </c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 t="s">
        <v>402</v>
      </c>
      <c r="AI814" s="16"/>
      <c r="AJ814" s="16" t="s">
        <v>1359</v>
      </c>
    </row>
    <row r="815" spans="1:36" ht="15" customHeight="1" x14ac:dyDescent="0.3">
      <c r="A815" s="16" t="s">
        <v>273</v>
      </c>
      <c r="B815" s="16" t="s">
        <v>461</v>
      </c>
      <c r="C815" s="16" t="s">
        <v>1342</v>
      </c>
      <c r="D815" s="16" t="s">
        <v>324</v>
      </c>
      <c r="E815" s="16" t="s">
        <v>404</v>
      </c>
      <c r="F815" s="16" t="s">
        <v>1343</v>
      </c>
      <c r="G815" s="16">
        <v>0.6</v>
      </c>
      <c r="H815" s="16">
        <v>2692</v>
      </c>
      <c r="I815" s="16">
        <v>113</v>
      </c>
      <c r="J815" s="16">
        <v>112</v>
      </c>
      <c r="K815" s="16">
        <v>3.6453509385539402E-3</v>
      </c>
      <c r="L815" s="16">
        <v>6.1442821094487001E-3</v>
      </c>
      <c r="M815" s="16">
        <v>0.59329159592918201</v>
      </c>
      <c r="N815" s="16">
        <v>2690</v>
      </c>
      <c r="O815" s="16">
        <v>0.55303590010857595</v>
      </c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 t="s">
        <v>402</v>
      </c>
      <c r="AI815" s="16"/>
      <c r="AJ815" s="16" t="s">
        <v>1360</v>
      </c>
    </row>
    <row r="816" spans="1:36" ht="15" customHeight="1" x14ac:dyDescent="0.3">
      <c r="A816" s="16" t="s">
        <v>273</v>
      </c>
      <c r="B816" s="16" t="s">
        <v>463</v>
      </c>
      <c r="C816" s="16" t="s">
        <v>1342</v>
      </c>
      <c r="D816" s="16" t="s">
        <v>324</v>
      </c>
      <c r="E816" s="16" t="s">
        <v>404</v>
      </c>
      <c r="F816" s="16" t="s">
        <v>1343</v>
      </c>
      <c r="G816" s="16">
        <v>0.6</v>
      </c>
      <c r="H816" s="16">
        <v>2692</v>
      </c>
      <c r="I816" s="16">
        <v>113</v>
      </c>
      <c r="J816" s="16">
        <v>112</v>
      </c>
      <c r="K816" s="16">
        <v>9.1444305495732101E-3</v>
      </c>
      <c r="L816" s="16">
        <v>5.53725255495715E-3</v>
      </c>
      <c r="M816" s="16">
        <v>1.6514382284020599</v>
      </c>
      <c r="N816" s="16">
        <v>2690</v>
      </c>
      <c r="O816" s="16">
        <v>9.87658455094685E-2</v>
      </c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 t="s">
        <v>402</v>
      </c>
      <c r="AI816" s="16"/>
      <c r="AJ816" s="16" t="s">
        <v>1361</v>
      </c>
    </row>
    <row r="817" spans="1:36" ht="15" customHeight="1" x14ac:dyDescent="0.3">
      <c r="A817" s="16" t="s">
        <v>273</v>
      </c>
      <c r="B817" s="16" t="s">
        <v>465</v>
      </c>
      <c r="C817" s="16" t="s">
        <v>1342</v>
      </c>
      <c r="D817" s="16" t="s">
        <v>324</v>
      </c>
      <c r="E817" s="16" t="s">
        <v>404</v>
      </c>
      <c r="F817" s="16" t="s">
        <v>1343</v>
      </c>
      <c r="G817" s="16">
        <v>0.6</v>
      </c>
      <c r="H817" s="16">
        <v>2692</v>
      </c>
      <c r="I817" s="16">
        <v>113</v>
      </c>
      <c r="J817" s="16">
        <v>112</v>
      </c>
      <c r="K817" s="16">
        <v>-5.3592039041744702E-4</v>
      </c>
      <c r="L817" s="16">
        <v>4.0848599368817897E-3</v>
      </c>
      <c r="M817" s="16">
        <v>-0.131196760402646</v>
      </c>
      <c r="N817" s="16">
        <v>2690</v>
      </c>
      <c r="O817" s="16">
        <v>0.89562946943472099</v>
      </c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 t="s">
        <v>402</v>
      </c>
      <c r="AI817" s="16"/>
      <c r="AJ817" s="16" t="s">
        <v>1362</v>
      </c>
    </row>
    <row r="818" spans="1:36" ht="15" customHeight="1" x14ac:dyDescent="0.3">
      <c r="A818" s="16" t="s">
        <v>273</v>
      </c>
      <c r="B818" s="16" t="s">
        <v>467</v>
      </c>
      <c r="C818" s="16" t="s">
        <v>1342</v>
      </c>
      <c r="D818" s="16" t="s">
        <v>324</v>
      </c>
      <c r="E818" s="16" t="s">
        <v>404</v>
      </c>
      <c r="F818" s="16" t="s">
        <v>1343</v>
      </c>
      <c r="G818" s="16">
        <v>0.6</v>
      </c>
      <c r="H818" s="16">
        <v>924</v>
      </c>
      <c r="I818" s="16">
        <v>40</v>
      </c>
      <c r="J818" s="16">
        <v>40</v>
      </c>
      <c r="K818" s="16">
        <v>4.4105978853552002E-3</v>
      </c>
      <c r="L818" s="16">
        <v>3.1010649209779902E-3</v>
      </c>
      <c r="M818" s="16">
        <v>1.4222849239687101</v>
      </c>
      <c r="N818" s="16">
        <v>922</v>
      </c>
      <c r="O818" s="16">
        <v>0.15528176087471501</v>
      </c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 t="s">
        <v>402</v>
      </c>
      <c r="AI818" s="16"/>
      <c r="AJ818" s="16" t="s">
        <v>1363</v>
      </c>
    </row>
    <row r="819" spans="1:36" ht="15" customHeight="1" x14ac:dyDescent="0.3">
      <c r="A819" s="16" t="s">
        <v>273</v>
      </c>
      <c r="B819" s="16" t="s">
        <v>469</v>
      </c>
      <c r="C819" s="16" t="s">
        <v>1342</v>
      </c>
      <c r="D819" s="16" t="s">
        <v>324</v>
      </c>
      <c r="E819" s="16" t="s">
        <v>404</v>
      </c>
      <c r="F819" s="16" t="s">
        <v>1343</v>
      </c>
      <c r="G819" s="16">
        <v>0.6</v>
      </c>
      <c r="H819" s="16">
        <v>2705</v>
      </c>
      <c r="I819" s="16">
        <v>113</v>
      </c>
      <c r="J819" s="16">
        <v>112</v>
      </c>
      <c r="K819" s="16">
        <v>3.3267890314828698E-3</v>
      </c>
      <c r="L819" s="16">
        <v>2.4701545948906398E-3</v>
      </c>
      <c r="M819" s="16">
        <v>1.3467938558842101</v>
      </c>
      <c r="N819" s="16">
        <v>2703</v>
      </c>
      <c r="O819" s="16">
        <v>0.178159541508735</v>
      </c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 t="s">
        <v>402</v>
      </c>
      <c r="AI819" s="16"/>
      <c r="AJ819" s="16" t="s">
        <v>1364</v>
      </c>
    </row>
    <row r="820" spans="1:36" ht="15" customHeight="1" x14ac:dyDescent="0.3">
      <c r="A820" s="16" t="s">
        <v>273</v>
      </c>
      <c r="B820" s="16" t="s">
        <v>471</v>
      </c>
      <c r="C820" s="16" t="s">
        <v>1342</v>
      </c>
      <c r="D820" s="16" t="s">
        <v>324</v>
      </c>
      <c r="E820" s="16" t="s">
        <v>404</v>
      </c>
      <c r="F820" s="16" t="s">
        <v>1343</v>
      </c>
      <c r="G820" s="16">
        <v>0.6</v>
      </c>
      <c r="H820" s="16">
        <v>2705</v>
      </c>
      <c r="I820" s="16">
        <v>113</v>
      </c>
      <c r="J820" s="16">
        <v>112</v>
      </c>
      <c r="K820" s="16">
        <v>3.0725067988749198E-3</v>
      </c>
      <c r="L820" s="16">
        <v>2.4724744019977E-3</v>
      </c>
      <c r="M820" s="16">
        <v>1.24268497841369</v>
      </c>
      <c r="N820" s="16">
        <v>2703</v>
      </c>
      <c r="O820" s="16">
        <v>0.21409173223226</v>
      </c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 t="s">
        <v>402</v>
      </c>
      <c r="AI820" s="16"/>
      <c r="AJ820" s="16" t="s">
        <v>1365</v>
      </c>
    </row>
    <row r="821" spans="1:36" ht="15" customHeight="1" x14ac:dyDescent="0.3">
      <c r="A821" s="16" t="s">
        <v>273</v>
      </c>
      <c r="B821" s="16" t="s">
        <v>473</v>
      </c>
      <c r="C821" s="16" t="s">
        <v>1342</v>
      </c>
      <c r="D821" s="16" t="s">
        <v>324</v>
      </c>
      <c r="E821" s="16" t="s">
        <v>404</v>
      </c>
      <c r="F821" s="16" t="s">
        <v>1343</v>
      </c>
      <c r="G821" s="16">
        <v>0.6</v>
      </c>
      <c r="H821" s="16">
        <v>2705</v>
      </c>
      <c r="I821" s="16">
        <v>113</v>
      </c>
      <c r="J821" s="16">
        <v>112</v>
      </c>
      <c r="K821" s="16">
        <v>2.5774032677836501E-3</v>
      </c>
      <c r="L821" s="16">
        <v>6.6271199314869899E-3</v>
      </c>
      <c r="M821" s="16">
        <v>0.38891755308935999</v>
      </c>
      <c r="N821" s="16">
        <v>2703</v>
      </c>
      <c r="O821" s="16">
        <v>0.69736777038606701</v>
      </c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 t="s">
        <v>402</v>
      </c>
      <c r="AI821" s="16"/>
      <c r="AJ821" s="16" t="s">
        <v>1366</v>
      </c>
    </row>
    <row r="822" spans="1:36" ht="15" customHeight="1" x14ac:dyDescent="0.3">
      <c r="A822" s="16" t="s">
        <v>273</v>
      </c>
      <c r="B822" s="16" t="s">
        <v>475</v>
      </c>
      <c r="C822" s="16" t="s">
        <v>1342</v>
      </c>
      <c r="D822" s="16" t="s">
        <v>324</v>
      </c>
      <c r="E822" s="16" t="s">
        <v>404</v>
      </c>
      <c r="F822" s="16" t="s">
        <v>1343</v>
      </c>
      <c r="G822" s="16">
        <v>0.6</v>
      </c>
      <c r="H822" s="16">
        <v>2705</v>
      </c>
      <c r="I822" s="16">
        <v>113</v>
      </c>
      <c r="J822" s="16">
        <v>112</v>
      </c>
      <c r="K822" s="16">
        <v>3.14693220472563E-3</v>
      </c>
      <c r="L822" s="16">
        <v>2.47269360037889E-3</v>
      </c>
      <c r="M822" s="16">
        <v>1.2726737369496299</v>
      </c>
      <c r="N822" s="16">
        <v>2703</v>
      </c>
      <c r="O822" s="16">
        <v>0.20324329861953799</v>
      </c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 t="s">
        <v>402</v>
      </c>
      <c r="AI822" s="16"/>
      <c r="AJ822" s="16" t="s">
        <v>1367</v>
      </c>
    </row>
    <row r="823" spans="1:36" ht="15" customHeight="1" x14ac:dyDescent="0.3">
      <c r="A823" s="16" t="s">
        <v>273</v>
      </c>
      <c r="B823" s="16" t="s">
        <v>477</v>
      </c>
      <c r="C823" s="16" t="s">
        <v>1342</v>
      </c>
      <c r="D823" s="16" t="s">
        <v>324</v>
      </c>
      <c r="E823" s="16" t="s">
        <v>404</v>
      </c>
      <c r="F823" s="16" t="s">
        <v>1343</v>
      </c>
      <c r="G823" s="16">
        <v>0.6</v>
      </c>
      <c r="H823" s="16">
        <v>2705</v>
      </c>
      <c r="I823" s="16">
        <v>113</v>
      </c>
      <c r="J823" s="16">
        <v>112</v>
      </c>
      <c r="K823" s="16">
        <v>4.1503666007174297E-3</v>
      </c>
      <c r="L823" s="16">
        <v>2.4791376543006499E-3</v>
      </c>
      <c r="M823" s="16">
        <v>1.67411704368963</v>
      </c>
      <c r="N823" s="16">
        <v>2703</v>
      </c>
      <c r="O823" s="16">
        <v>9.4223291507075799E-2</v>
      </c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 t="s">
        <v>402</v>
      </c>
      <c r="AI823" s="16"/>
      <c r="AJ823" s="16" t="s">
        <v>1368</v>
      </c>
    </row>
    <row r="824" spans="1:36" ht="15" customHeight="1" x14ac:dyDescent="0.3">
      <c r="A824" s="16" t="s">
        <v>273</v>
      </c>
      <c r="B824" s="16" t="s">
        <v>479</v>
      </c>
      <c r="C824" s="16" t="s">
        <v>1342</v>
      </c>
      <c r="D824" s="16" t="s">
        <v>324</v>
      </c>
      <c r="E824" s="16" t="s">
        <v>404</v>
      </c>
      <c r="F824" s="16" t="s">
        <v>1343</v>
      </c>
      <c r="G824" s="16">
        <v>0.6</v>
      </c>
      <c r="H824" s="16">
        <v>2705</v>
      </c>
      <c r="I824" s="16">
        <v>113</v>
      </c>
      <c r="J824" s="16">
        <v>112</v>
      </c>
      <c r="K824" s="16">
        <v>4.07666725387619E-3</v>
      </c>
      <c r="L824" s="16">
        <v>2.4814263278649601E-3</v>
      </c>
      <c r="M824" s="16">
        <v>1.6428725721564299</v>
      </c>
      <c r="N824" s="16">
        <v>2703</v>
      </c>
      <c r="O824" s="16">
        <v>0.100525612641218</v>
      </c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 t="s">
        <v>402</v>
      </c>
      <c r="AI824" s="16"/>
      <c r="AJ824" s="16" t="s">
        <v>1369</v>
      </c>
    </row>
    <row r="825" spans="1:36" ht="15" customHeight="1" x14ac:dyDescent="0.3">
      <c r="A825" s="16" t="s">
        <v>273</v>
      </c>
      <c r="B825" s="16" t="s">
        <v>481</v>
      </c>
      <c r="C825" s="16" t="s">
        <v>1342</v>
      </c>
      <c r="D825" s="16" t="s">
        <v>324</v>
      </c>
      <c r="E825" s="16" t="s">
        <v>404</v>
      </c>
      <c r="F825" s="16" t="s">
        <v>1343</v>
      </c>
      <c r="G825" s="16">
        <v>0.6</v>
      </c>
      <c r="H825" s="16">
        <v>2705</v>
      </c>
      <c r="I825" s="16">
        <v>113</v>
      </c>
      <c r="J825" s="16">
        <v>112</v>
      </c>
      <c r="K825" s="16">
        <v>1.9076109448309499E-3</v>
      </c>
      <c r="L825" s="16">
        <v>5.3385285954164804E-3</v>
      </c>
      <c r="M825" s="16">
        <v>0.357328973842862</v>
      </c>
      <c r="N825" s="16">
        <v>2703</v>
      </c>
      <c r="O825" s="16">
        <v>0.72087343780591095</v>
      </c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 t="s">
        <v>402</v>
      </c>
      <c r="AI825" s="16"/>
      <c r="AJ825" s="16" t="s">
        <v>1370</v>
      </c>
    </row>
    <row r="826" spans="1:36" ht="15" customHeight="1" x14ac:dyDescent="0.3">
      <c r="A826" s="16" t="s">
        <v>273</v>
      </c>
      <c r="B826" s="16" t="s">
        <v>483</v>
      </c>
      <c r="C826" s="16" t="s">
        <v>1342</v>
      </c>
      <c r="D826" s="16" t="s">
        <v>324</v>
      </c>
      <c r="E826" s="16" t="s">
        <v>404</v>
      </c>
      <c r="F826" s="16" t="s">
        <v>1343</v>
      </c>
      <c r="G826" s="16">
        <v>0.6</v>
      </c>
      <c r="H826" s="16">
        <v>2705</v>
      </c>
      <c r="I826" s="16">
        <v>113</v>
      </c>
      <c r="J826" s="16">
        <v>112</v>
      </c>
      <c r="K826" s="16">
        <v>7.7756527877853804E-3</v>
      </c>
      <c r="L826" s="16">
        <v>4.8104338884628504E-3</v>
      </c>
      <c r="M826" s="16">
        <v>1.6164140217027401</v>
      </c>
      <c r="N826" s="16">
        <v>2703</v>
      </c>
      <c r="O826" s="16">
        <v>0.106121523070094</v>
      </c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 t="s">
        <v>402</v>
      </c>
      <c r="AI826" s="16"/>
      <c r="AJ826" s="16" t="s">
        <v>1371</v>
      </c>
    </row>
    <row r="827" spans="1:36" ht="15" customHeight="1" x14ac:dyDescent="0.3">
      <c r="A827" s="16" t="s">
        <v>273</v>
      </c>
      <c r="B827" s="16" t="s">
        <v>485</v>
      </c>
      <c r="C827" s="16" t="s">
        <v>1342</v>
      </c>
      <c r="D827" s="16" t="s">
        <v>324</v>
      </c>
      <c r="E827" s="16" t="s">
        <v>404</v>
      </c>
      <c r="F827" s="16" t="s">
        <v>1343</v>
      </c>
      <c r="G827" s="16">
        <v>0.6</v>
      </c>
      <c r="H827" s="16">
        <v>2705</v>
      </c>
      <c r="I827" s="16">
        <v>113</v>
      </c>
      <c r="J827" s="16">
        <v>112</v>
      </c>
      <c r="K827" s="16">
        <v>-2.5045871056514498E-3</v>
      </c>
      <c r="L827" s="16">
        <v>3.5493080213297198E-3</v>
      </c>
      <c r="M827" s="16">
        <v>-0.70565504334930296</v>
      </c>
      <c r="N827" s="16">
        <v>2703</v>
      </c>
      <c r="O827" s="16">
        <v>0.480463493496184</v>
      </c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 t="s">
        <v>402</v>
      </c>
      <c r="AI827" s="16"/>
      <c r="AJ827" s="16" t="s">
        <v>1372</v>
      </c>
    </row>
    <row r="828" spans="1:36" ht="15" customHeight="1" x14ac:dyDescent="0.3">
      <c r="A828" s="16" t="s">
        <v>273</v>
      </c>
      <c r="B828" s="16" t="s">
        <v>487</v>
      </c>
      <c r="C828" s="16" t="s">
        <v>1342</v>
      </c>
      <c r="D828" s="16" t="s">
        <v>324</v>
      </c>
      <c r="E828" s="16" t="s">
        <v>404</v>
      </c>
      <c r="F828" s="16" t="s">
        <v>1343</v>
      </c>
      <c r="G828" s="16">
        <v>0.6</v>
      </c>
      <c r="H828" s="16">
        <v>929</v>
      </c>
      <c r="I828" s="16">
        <v>40</v>
      </c>
      <c r="J828" s="16">
        <v>40</v>
      </c>
      <c r="K828" s="16">
        <v>4.7742094776170004E-3</v>
      </c>
      <c r="L828" s="16">
        <v>3.1011403764376702E-3</v>
      </c>
      <c r="M828" s="16">
        <v>1.53950124731252</v>
      </c>
      <c r="N828" s="16">
        <v>927</v>
      </c>
      <c r="O828" s="16">
        <v>0.124023231826245</v>
      </c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 t="s">
        <v>402</v>
      </c>
      <c r="AI828" s="16"/>
      <c r="AJ828" s="16" t="s">
        <v>1373</v>
      </c>
    </row>
    <row r="829" spans="1:36" ht="15" customHeight="1" x14ac:dyDescent="0.3">
      <c r="A829" s="16" t="s">
        <v>273</v>
      </c>
      <c r="B829" s="16" t="s">
        <v>489</v>
      </c>
      <c r="C829" s="16" t="s">
        <v>1342</v>
      </c>
      <c r="D829" s="16" t="s">
        <v>324</v>
      </c>
      <c r="E829" s="16" t="s">
        <v>404</v>
      </c>
      <c r="F829" s="16" t="s">
        <v>1343</v>
      </c>
      <c r="G829" s="16">
        <v>0.6</v>
      </c>
      <c r="H829" s="16">
        <v>2607</v>
      </c>
      <c r="I829" s="16">
        <v>110</v>
      </c>
      <c r="J829" s="16">
        <v>109</v>
      </c>
      <c r="K829" s="16">
        <v>-3.85657771874191E-4</v>
      </c>
      <c r="L829" s="16">
        <v>3.0978677368908199E-3</v>
      </c>
      <c r="M829" s="16">
        <v>-0.124491361358525</v>
      </c>
      <c r="N829" s="16">
        <v>2605</v>
      </c>
      <c r="O829" s="16">
        <v>0.90093584496215595</v>
      </c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 t="s">
        <v>402</v>
      </c>
      <c r="AI829" s="16"/>
      <c r="AJ829" s="16" t="s">
        <v>1374</v>
      </c>
    </row>
    <row r="830" spans="1:36" ht="15" customHeight="1" x14ac:dyDescent="0.3">
      <c r="A830" s="16" t="s">
        <v>273</v>
      </c>
      <c r="B830" s="16" t="s">
        <v>491</v>
      </c>
      <c r="C830" s="16" t="s">
        <v>1342</v>
      </c>
      <c r="D830" s="16" t="s">
        <v>324</v>
      </c>
      <c r="E830" s="16" t="s">
        <v>404</v>
      </c>
      <c r="F830" s="16" t="s">
        <v>1343</v>
      </c>
      <c r="G830" s="16">
        <v>0.6</v>
      </c>
      <c r="H830" s="16">
        <v>2607</v>
      </c>
      <c r="I830" s="16">
        <v>110</v>
      </c>
      <c r="J830" s="16">
        <v>109</v>
      </c>
      <c r="K830" s="16">
        <v>-6.8589605764437405E-4</v>
      </c>
      <c r="L830" s="16">
        <v>3.1005200236189898E-3</v>
      </c>
      <c r="M830" s="16">
        <v>-0.22121968328518701</v>
      </c>
      <c r="N830" s="16">
        <v>2605</v>
      </c>
      <c r="O830" s="16">
        <v>0.82493872180336403</v>
      </c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 t="s">
        <v>402</v>
      </c>
      <c r="AI830" s="16"/>
      <c r="AJ830" s="16" t="s">
        <v>1375</v>
      </c>
    </row>
    <row r="831" spans="1:36" ht="15" customHeight="1" x14ac:dyDescent="0.3">
      <c r="A831" s="16" t="s">
        <v>273</v>
      </c>
      <c r="B831" s="16" t="s">
        <v>493</v>
      </c>
      <c r="C831" s="16" t="s">
        <v>1342</v>
      </c>
      <c r="D831" s="16" t="s">
        <v>324</v>
      </c>
      <c r="E831" s="16" t="s">
        <v>404</v>
      </c>
      <c r="F831" s="16" t="s">
        <v>1343</v>
      </c>
      <c r="G831" s="16">
        <v>0.6</v>
      </c>
      <c r="H831" s="16">
        <v>2607</v>
      </c>
      <c r="I831" s="16">
        <v>110</v>
      </c>
      <c r="J831" s="16">
        <v>109</v>
      </c>
      <c r="K831" s="16">
        <v>1.72872408613894E-3</v>
      </c>
      <c r="L831" s="16">
        <v>8.68583279091629E-3</v>
      </c>
      <c r="M831" s="16">
        <v>0.19902801812474</v>
      </c>
      <c r="N831" s="16">
        <v>2605</v>
      </c>
      <c r="O831" s="16">
        <v>0.84225635998114101</v>
      </c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 t="s">
        <v>402</v>
      </c>
      <c r="AI831" s="16"/>
      <c r="AJ831" s="16" t="s">
        <v>1376</v>
      </c>
    </row>
    <row r="832" spans="1:36" ht="15" customHeight="1" x14ac:dyDescent="0.3">
      <c r="A832" s="16" t="s">
        <v>273</v>
      </c>
      <c r="B832" s="16" t="s">
        <v>495</v>
      </c>
      <c r="C832" s="16" t="s">
        <v>1342</v>
      </c>
      <c r="D832" s="16" t="s">
        <v>324</v>
      </c>
      <c r="E832" s="16" t="s">
        <v>404</v>
      </c>
      <c r="F832" s="16" t="s">
        <v>1343</v>
      </c>
      <c r="G832" s="16">
        <v>0.6</v>
      </c>
      <c r="H832" s="16">
        <v>2607</v>
      </c>
      <c r="I832" s="16">
        <v>110</v>
      </c>
      <c r="J832" s="16">
        <v>109</v>
      </c>
      <c r="K832" s="16">
        <v>-6.0644779901947502E-4</v>
      </c>
      <c r="L832" s="16">
        <v>3.1008360139675598E-3</v>
      </c>
      <c r="M832" s="16">
        <v>-0.195575579065698</v>
      </c>
      <c r="N832" s="16">
        <v>2605</v>
      </c>
      <c r="O832" s="16">
        <v>0.84495762943154895</v>
      </c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 t="s">
        <v>402</v>
      </c>
      <c r="AI832" s="16"/>
      <c r="AJ832" s="16" t="s">
        <v>1377</v>
      </c>
    </row>
    <row r="833" spans="1:36" ht="15" customHeight="1" x14ac:dyDescent="0.3">
      <c r="A833" s="16" t="s">
        <v>273</v>
      </c>
      <c r="B833" s="16" t="s">
        <v>497</v>
      </c>
      <c r="C833" s="16" t="s">
        <v>1342</v>
      </c>
      <c r="D833" s="16" t="s">
        <v>324</v>
      </c>
      <c r="E833" s="16" t="s">
        <v>404</v>
      </c>
      <c r="F833" s="16" t="s">
        <v>1343</v>
      </c>
      <c r="G833" s="16">
        <v>0.6</v>
      </c>
      <c r="H833" s="16">
        <v>2607</v>
      </c>
      <c r="I833" s="16">
        <v>110</v>
      </c>
      <c r="J833" s="16">
        <v>109</v>
      </c>
      <c r="K833" s="16">
        <v>3.4496244756389999E-4</v>
      </c>
      <c r="L833" s="16">
        <v>3.1082881211314398E-3</v>
      </c>
      <c r="M833" s="16">
        <v>0.110981490170973</v>
      </c>
      <c r="N833" s="16">
        <v>2605</v>
      </c>
      <c r="O833" s="16">
        <v>0.91163957431189901</v>
      </c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 t="s">
        <v>402</v>
      </c>
      <c r="AI833" s="16"/>
      <c r="AJ833" s="16" t="s">
        <v>1378</v>
      </c>
    </row>
    <row r="834" spans="1:36" ht="15" customHeight="1" x14ac:dyDescent="0.3">
      <c r="A834" s="16" t="s">
        <v>273</v>
      </c>
      <c r="B834" s="16" t="s">
        <v>499</v>
      </c>
      <c r="C834" s="16" t="s">
        <v>1342</v>
      </c>
      <c r="D834" s="16" t="s">
        <v>324</v>
      </c>
      <c r="E834" s="16" t="s">
        <v>404</v>
      </c>
      <c r="F834" s="16" t="s">
        <v>1343</v>
      </c>
      <c r="G834" s="16">
        <v>0.6</v>
      </c>
      <c r="H834" s="16">
        <v>2607</v>
      </c>
      <c r="I834" s="16">
        <v>110</v>
      </c>
      <c r="J834" s="16">
        <v>109</v>
      </c>
      <c r="K834" s="16">
        <v>2.9546176818335401E-4</v>
      </c>
      <c r="L834" s="16">
        <v>3.11097285160093E-3</v>
      </c>
      <c r="M834" s="16">
        <v>9.4974074759703195E-2</v>
      </c>
      <c r="N834" s="16">
        <v>2605</v>
      </c>
      <c r="O834" s="16">
        <v>0.92434272378246896</v>
      </c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 t="s">
        <v>402</v>
      </c>
      <c r="AI834" s="16"/>
      <c r="AJ834" s="16" t="s">
        <v>1379</v>
      </c>
    </row>
    <row r="835" spans="1:36" ht="15" customHeight="1" x14ac:dyDescent="0.3">
      <c r="A835" s="16" t="s">
        <v>273</v>
      </c>
      <c r="B835" s="16" t="s">
        <v>501</v>
      </c>
      <c r="C835" s="16" t="s">
        <v>1342</v>
      </c>
      <c r="D835" s="16" t="s">
        <v>324</v>
      </c>
      <c r="E835" s="16" t="s">
        <v>404</v>
      </c>
      <c r="F835" s="16" t="s">
        <v>1343</v>
      </c>
      <c r="G835" s="16">
        <v>0.6</v>
      </c>
      <c r="H835" s="16">
        <v>2607</v>
      </c>
      <c r="I835" s="16">
        <v>110</v>
      </c>
      <c r="J835" s="16">
        <v>109</v>
      </c>
      <c r="K835" s="16">
        <v>1.8871729712670101E-3</v>
      </c>
      <c r="L835" s="16">
        <v>6.8736947990336401E-3</v>
      </c>
      <c r="M835" s="16">
        <v>0.274550009338839</v>
      </c>
      <c r="N835" s="16">
        <v>2605</v>
      </c>
      <c r="O835" s="16">
        <v>0.78368374785065398</v>
      </c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 t="s">
        <v>402</v>
      </c>
      <c r="AI835" s="16"/>
      <c r="AJ835" s="16" t="s">
        <v>1380</v>
      </c>
    </row>
    <row r="836" spans="1:36" ht="15" customHeight="1" x14ac:dyDescent="0.3">
      <c r="A836" s="16" t="s">
        <v>273</v>
      </c>
      <c r="B836" s="16" t="s">
        <v>503</v>
      </c>
      <c r="C836" s="16" t="s">
        <v>1342</v>
      </c>
      <c r="D836" s="16" t="s">
        <v>324</v>
      </c>
      <c r="E836" s="16" t="s">
        <v>404</v>
      </c>
      <c r="F836" s="16" t="s">
        <v>1343</v>
      </c>
      <c r="G836" s="16">
        <v>0.6</v>
      </c>
      <c r="H836" s="16">
        <v>2607</v>
      </c>
      <c r="I836" s="16">
        <v>110</v>
      </c>
      <c r="J836" s="16">
        <v>109</v>
      </c>
      <c r="K836" s="16">
        <v>9.7296939132640696E-3</v>
      </c>
      <c r="L836" s="16">
        <v>6.1540448111520804E-3</v>
      </c>
      <c r="M836" s="16">
        <v>1.58102422257835</v>
      </c>
      <c r="N836" s="16">
        <v>2605</v>
      </c>
      <c r="O836" s="16">
        <v>0.11399389974877799</v>
      </c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 t="s">
        <v>402</v>
      </c>
      <c r="AI836" s="16"/>
      <c r="AJ836" s="16" t="s">
        <v>1381</v>
      </c>
    </row>
    <row r="837" spans="1:36" ht="15" customHeight="1" x14ac:dyDescent="0.3">
      <c r="A837" s="16" t="s">
        <v>273</v>
      </c>
      <c r="B837" s="16" t="s">
        <v>505</v>
      </c>
      <c r="C837" s="16" t="s">
        <v>1342</v>
      </c>
      <c r="D837" s="16" t="s">
        <v>324</v>
      </c>
      <c r="E837" s="16" t="s">
        <v>404</v>
      </c>
      <c r="F837" s="16" t="s">
        <v>1343</v>
      </c>
      <c r="G837" s="16">
        <v>0.6</v>
      </c>
      <c r="H837" s="16">
        <v>2607</v>
      </c>
      <c r="I837" s="16">
        <v>110</v>
      </c>
      <c r="J837" s="16">
        <v>109</v>
      </c>
      <c r="K837" s="16">
        <v>-4.5152935908627698E-4</v>
      </c>
      <c r="L837" s="16">
        <v>4.4847829821071496E-3</v>
      </c>
      <c r="M837" s="16">
        <v>-0.100680314050364</v>
      </c>
      <c r="N837" s="16">
        <v>2605</v>
      </c>
      <c r="O837" s="16">
        <v>0.91981198680541199</v>
      </c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 t="s">
        <v>402</v>
      </c>
      <c r="AI837" s="16"/>
      <c r="AJ837" s="16" t="s">
        <v>1382</v>
      </c>
    </row>
    <row r="838" spans="1:36" ht="15" customHeight="1" x14ac:dyDescent="0.3">
      <c r="A838" s="16" t="s">
        <v>273</v>
      </c>
      <c r="B838" s="16" t="s">
        <v>507</v>
      </c>
      <c r="C838" s="16" t="s">
        <v>1342</v>
      </c>
      <c r="D838" s="16" t="s">
        <v>324</v>
      </c>
      <c r="E838" s="16" t="s">
        <v>404</v>
      </c>
      <c r="F838" s="16" t="s">
        <v>1343</v>
      </c>
      <c r="G838" s="16">
        <v>0.6</v>
      </c>
      <c r="H838" s="16">
        <v>905</v>
      </c>
      <c r="I838" s="16">
        <v>38</v>
      </c>
      <c r="J838" s="16">
        <v>38</v>
      </c>
      <c r="K838" s="16">
        <v>1.84284776834342E-3</v>
      </c>
      <c r="L838" s="16">
        <v>3.4686019700043802E-3</v>
      </c>
      <c r="M838" s="16">
        <v>0.53129410185426695</v>
      </c>
      <c r="N838" s="16">
        <v>903</v>
      </c>
      <c r="O838" s="16">
        <v>0.59534565010084906</v>
      </c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 t="s">
        <v>402</v>
      </c>
      <c r="AI838" s="16"/>
      <c r="AJ838" s="16" t="s">
        <v>1383</v>
      </c>
    </row>
    <row r="839" spans="1:36" ht="15" customHeight="1" x14ac:dyDescent="0.3">
      <c r="A839" s="16" t="s">
        <v>273</v>
      </c>
      <c r="B839" s="16" t="s">
        <v>509</v>
      </c>
      <c r="C839" s="16" t="s">
        <v>1342</v>
      </c>
      <c r="D839" s="16" t="s">
        <v>324</v>
      </c>
      <c r="E839" s="16" t="s">
        <v>404</v>
      </c>
      <c r="F839" s="16" t="s">
        <v>1343</v>
      </c>
      <c r="G839" s="16">
        <v>0.6</v>
      </c>
      <c r="H839" s="16">
        <v>2594</v>
      </c>
      <c r="I839" s="16">
        <v>110</v>
      </c>
      <c r="J839" s="16">
        <v>109</v>
      </c>
      <c r="K839" s="16">
        <v>-8.6444745785594203E-4</v>
      </c>
      <c r="L839" s="16">
        <v>2.9028130328611701E-3</v>
      </c>
      <c r="M839" s="16">
        <v>-0.29779646435027002</v>
      </c>
      <c r="N839" s="16">
        <v>2592</v>
      </c>
      <c r="O839" s="16">
        <v>0.76588237960201599</v>
      </c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 t="s">
        <v>402</v>
      </c>
      <c r="AI839" s="16"/>
      <c r="AJ839" s="16" t="s">
        <v>1384</v>
      </c>
    </row>
    <row r="840" spans="1:36" ht="15" customHeight="1" x14ac:dyDescent="0.3">
      <c r="A840" s="16" t="s">
        <v>273</v>
      </c>
      <c r="B840" s="16" t="s">
        <v>511</v>
      </c>
      <c r="C840" s="16" t="s">
        <v>1342</v>
      </c>
      <c r="D840" s="16" t="s">
        <v>324</v>
      </c>
      <c r="E840" s="16" t="s">
        <v>404</v>
      </c>
      <c r="F840" s="16" t="s">
        <v>1343</v>
      </c>
      <c r="G840" s="16">
        <v>0.6</v>
      </c>
      <c r="H840" s="16">
        <v>2594</v>
      </c>
      <c r="I840" s="16">
        <v>110</v>
      </c>
      <c r="J840" s="16">
        <v>109</v>
      </c>
      <c r="K840" s="16">
        <v>-1.1614727805129099E-3</v>
      </c>
      <c r="L840" s="16">
        <v>2.9052728705384599E-3</v>
      </c>
      <c r="M840" s="16">
        <v>-0.39978096112453798</v>
      </c>
      <c r="N840" s="16">
        <v>2592</v>
      </c>
      <c r="O840" s="16">
        <v>0.68935079530006105</v>
      </c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 t="s">
        <v>402</v>
      </c>
      <c r="AI840" s="16"/>
      <c r="AJ840" s="16" t="s">
        <v>1385</v>
      </c>
    </row>
    <row r="841" spans="1:36" ht="15" customHeight="1" x14ac:dyDescent="0.3">
      <c r="A841" s="16" t="s">
        <v>273</v>
      </c>
      <c r="B841" s="16" t="s">
        <v>513</v>
      </c>
      <c r="C841" s="16" t="s">
        <v>1342</v>
      </c>
      <c r="D841" s="16" t="s">
        <v>324</v>
      </c>
      <c r="E841" s="16" t="s">
        <v>404</v>
      </c>
      <c r="F841" s="16" t="s">
        <v>1343</v>
      </c>
      <c r="G841" s="16">
        <v>0.6</v>
      </c>
      <c r="H841" s="16">
        <v>2594</v>
      </c>
      <c r="I841" s="16">
        <v>110</v>
      </c>
      <c r="J841" s="16">
        <v>109</v>
      </c>
      <c r="K841" s="16">
        <v>1.07187993706331E-3</v>
      </c>
      <c r="L841" s="16">
        <v>8.1418855544649008E-3</v>
      </c>
      <c r="M841" s="16">
        <v>0.131650086444105</v>
      </c>
      <c r="N841" s="16">
        <v>2592</v>
      </c>
      <c r="O841" s="16">
        <v>0.89527128450108495</v>
      </c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 t="s">
        <v>402</v>
      </c>
      <c r="AI841" s="16"/>
      <c r="AJ841" s="16" t="s">
        <v>1386</v>
      </c>
    </row>
    <row r="842" spans="1:36" ht="15" customHeight="1" x14ac:dyDescent="0.3">
      <c r="A842" s="16" t="s">
        <v>273</v>
      </c>
      <c r="B842" s="16" t="s">
        <v>515</v>
      </c>
      <c r="C842" s="16" t="s">
        <v>1342</v>
      </c>
      <c r="D842" s="16" t="s">
        <v>324</v>
      </c>
      <c r="E842" s="16" t="s">
        <v>404</v>
      </c>
      <c r="F842" s="16" t="s">
        <v>1343</v>
      </c>
      <c r="G842" s="16">
        <v>0.6</v>
      </c>
      <c r="H842" s="16">
        <v>2594</v>
      </c>
      <c r="I842" s="16">
        <v>110</v>
      </c>
      <c r="J842" s="16">
        <v>109</v>
      </c>
      <c r="K842" s="16">
        <v>-1.0816570032468201E-3</v>
      </c>
      <c r="L842" s="16">
        <v>2.9055744679932099E-3</v>
      </c>
      <c r="M842" s="16">
        <v>-0.37226958564028401</v>
      </c>
      <c r="N842" s="16">
        <v>2592</v>
      </c>
      <c r="O842" s="16">
        <v>0.70972257450487297</v>
      </c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 t="s">
        <v>402</v>
      </c>
      <c r="AI842" s="16"/>
      <c r="AJ842" s="16" t="s">
        <v>1387</v>
      </c>
    </row>
    <row r="843" spans="1:36" ht="15" customHeight="1" x14ac:dyDescent="0.3">
      <c r="A843" s="16" t="s">
        <v>273</v>
      </c>
      <c r="B843" s="16" t="s">
        <v>517</v>
      </c>
      <c r="C843" s="16" t="s">
        <v>1342</v>
      </c>
      <c r="D843" s="16" t="s">
        <v>324</v>
      </c>
      <c r="E843" s="16" t="s">
        <v>404</v>
      </c>
      <c r="F843" s="16" t="s">
        <v>1343</v>
      </c>
      <c r="G843" s="16">
        <v>0.6</v>
      </c>
      <c r="H843" s="16">
        <v>2594</v>
      </c>
      <c r="I843" s="16">
        <v>110</v>
      </c>
      <c r="J843" s="16">
        <v>109</v>
      </c>
      <c r="K843" s="16">
        <v>-1.2318215915569199E-4</v>
      </c>
      <c r="L843" s="16">
        <v>2.9126111965920602E-3</v>
      </c>
      <c r="M843" s="16">
        <v>-4.2292688876504503E-2</v>
      </c>
      <c r="N843" s="16">
        <v>2592</v>
      </c>
      <c r="O843" s="16">
        <v>0.96626863094968196</v>
      </c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 t="s">
        <v>402</v>
      </c>
      <c r="AI843" s="16"/>
      <c r="AJ843" s="16" t="s">
        <v>1388</v>
      </c>
    </row>
    <row r="844" spans="1:36" ht="15" customHeight="1" x14ac:dyDescent="0.3">
      <c r="A844" s="16" t="s">
        <v>273</v>
      </c>
      <c r="B844" s="16" t="s">
        <v>519</v>
      </c>
      <c r="C844" s="16" t="s">
        <v>1342</v>
      </c>
      <c r="D844" s="16" t="s">
        <v>324</v>
      </c>
      <c r="E844" s="16" t="s">
        <v>404</v>
      </c>
      <c r="F844" s="16" t="s">
        <v>1343</v>
      </c>
      <c r="G844" s="16">
        <v>0.6</v>
      </c>
      <c r="H844" s="16">
        <v>2594</v>
      </c>
      <c r="I844" s="16">
        <v>110</v>
      </c>
      <c r="J844" s="16">
        <v>109</v>
      </c>
      <c r="K844" s="16">
        <v>-1.70730101847975E-4</v>
      </c>
      <c r="L844" s="16">
        <v>2.9151217628449102E-3</v>
      </c>
      <c r="M844" s="16">
        <v>-5.8567056794690299E-2</v>
      </c>
      <c r="N844" s="16">
        <v>2592</v>
      </c>
      <c r="O844" s="16">
        <v>0.95330146509795299</v>
      </c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 t="s">
        <v>402</v>
      </c>
      <c r="AI844" s="16"/>
      <c r="AJ844" s="16" t="s">
        <v>1389</v>
      </c>
    </row>
    <row r="845" spans="1:36" ht="15" customHeight="1" x14ac:dyDescent="0.3">
      <c r="A845" s="16" t="s">
        <v>273</v>
      </c>
      <c r="B845" s="16" t="s">
        <v>521</v>
      </c>
      <c r="C845" s="16" t="s">
        <v>1342</v>
      </c>
      <c r="D845" s="16" t="s">
        <v>324</v>
      </c>
      <c r="E845" s="16" t="s">
        <v>404</v>
      </c>
      <c r="F845" s="16" t="s">
        <v>1343</v>
      </c>
      <c r="G845" s="16">
        <v>0.6</v>
      </c>
      <c r="H845" s="16">
        <v>2594</v>
      </c>
      <c r="I845" s="16">
        <v>110</v>
      </c>
      <c r="J845" s="16">
        <v>109</v>
      </c>
      <c r="K845" s="16">
        <v>1.3147362573316199E-3</v>
      </c>
      <c r="L845" s="16">
        <v>6.4431607364423497E-3</v>
      </c>
      <c r="M845" s="16">
        <v>0.204051444797195</v>
      </c>
      <c r="N845" s="16">
        <v>2592</v>
      </c>
      <c r="O845" s="16">
        <v>0.83832931649604903</v>
      </c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 t="s">
        <v>402</v>
      </c>
      <c r="AI845" s="16"/>
      <c r="AJ845" s="16" t="s">
        <v>1390</v>
      </c>
    </row>
    <row r="846" spans="1:36" ht="15" customHeight="1" x14ac:dyDescent="0.3">
      <c r="A846" s="16" t="s">
        <v>273</v>
      </c>
      <c r="B846" s="16" t="s">
        <v>523</v>
      </c>
      <c r="C846" s="16" t="s">
        <v>1342</v>
      </c>
      <c r="D846" s="16" t="s">
        <v>324</v>
      </c>
      <c r="E846" s="16" t="s">
        <v>404</v>
      </c>
      <c r="F846" s="16" t="s">
        <v>1343</v>
      </c>
      <c r="G846" s="16">
        <v>0.6</v>
      </c>
      <c r="H846" s="16">
        <v>2594</v>
      </c>
      <c r="I846" s="16">
        <v>110</v>
      </c>
      <c r="J846" s="16">
        <v>109</v>
      </c>
      <c r="K846" s="16">
        <v>7.5787959703673699E-3</v>
      </c>
      <c r="L846" s="16">
        <v>5.7700986066964704E-3</v>
      </c>
      <c r="M846" s="16">
        <v>1.31346039070664</v>
      </c>
      <c r="N846" s="16">
        <v>2592</v>
      </c>
      <c r="O846" s="16">
        <v>0.18914411014782601</v>
      </c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 t="s">
        <v>402</v>
      </c>
      <c r="AI846" s="16"/>
      <c r="AJ846" s="16" t="s">
        <v>1391</v>
      </c>
    </row>
    <row r="847" spans="1:36" ht="15" customHeight="1" x14ac:dyDescent="0.3">
      <c r="A847" s="16" t="s">
        <v>273</v>
      </c>
      <c r="B847" s="16" t="s">
        <v>525</v>
      </c>
      <c r="C847" s="16" t="s">
        <v>1342</v>
      </c>
      <c r="D847" s="16" t="s">
        <v>324</v>
      </c>
      <c r="E847" s="16" t="s">
        <v>404</v>
      </c>
      <c r="F847" s="16" t="s">
        <v>1343</v>
      </c>
      <c r="G847" s="16">
        <v>0.6</v>
      </c>
      <c r="H847" s="16">
        <v>2594</v>
      </c>
      <c r="I847" s="16">
        <v>110</v>
      </c>
      <c r="J847" s="16">
        <v>109</v>
      </c>
      <c r="K847" s="16">
        <v>-1.49363253667027E-3</v>
      </c>
      <c r="L847" s="16">
        <v>4.20295701035487E-3</v>
      </c>
      <c r="M847" s="16">
        <v>-0.35537659152601198</v>
      </c>
      <c r="N847" s="16">
        <v>2592</v>
      </c>
      <c r="O847" s="16">
        <v>0.72233639909002401</v>
      </c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 t="s">
        <v>402</v>
      </c>
      <c r="AI847" s="16"/>
      <c r="AJ847" s="16" t="s">
        <v>1392</v>
      </c>
    </row>
    <row r="848" spans="1:36" ht="15" customHeight="1" x14ac:dyDescent="0.3">
      <c r="A848" s="16" t="s">
        <v>273</v>
      </c>
      <c r="B848" s="16" t="s">
        <v>527</v>
      </c>
      <c r="C848" s="16" t="s">
        <v>1342</v>
      </c>
      <c r="D848" s="16" t="s">
        <v>324</v>
      </c>
      <c r="E848" s="16" t="s">
        <v>404</v>
      </c>
      <c r="F848" s="16" t="s">
        <v>1343</v>
      </c>
      <c r="G848" s="16">
        <v>0.6</v>
      </c>
      <c r="H848" s="16">
        <v>900</v>
      </c>
      <c r="I848" s="16">
        <v>38</v>
      </c>
      <c r="J848" s="16">
        <v>38</v>
      </c>
      <c r="K848" s="16">
        <v>9.4773512963708395E-4</v>
      </c>
      <c r="L848" s="16">
        <v>3.2553784748862399E-3</v>
      </c>
      <c r="M848" s="16">
        <v>0.29112901524306001</v>
      </c>
      <c r="N848" s="16">
        <v>898</v>
      </c>
      <c r="O848" s="16">
        <v>0.77101987791610105</v>
      </c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 t="s">
        <v>402</v>
      </c>
      <c r="AI848" s="16"/>
      <c r="AJ848" s="16" t="s">
        <v>1393</v>
      </c>
    </row>
    <row r="849" spans="1:36" ht="15" customHeight="1" x14ac:dyDescent="0.3">
      <c r="A849" s="16" t="s">
        <v>273</v>
      </c>
      <c r="B849" s="16" t="s">
        <v>529</v>
      </c>
      <c r="C849" s="16" t="s">
        <v>1342</v>
      </c>
      <c r="D849" s="16" t="s">
        <v>324</v>
      </c>
      <c r="E849" s="16" t="s">
        <v>404</v>
      </c>
      <c r="F849" s="16" t="s">
        <v>1343</v>
      </c>
      <c r="G849" s="16">
        <v>0.6</v>
      </c>
      <c r="H849" s="16">
        <v>2607</v>
      </c>
      <c r="I849" s="16">
        <v>110</v>
      </c>
      <c r="J849" s="16">
        <v>109</v>
      </c>
      <c r="K849" s="16">
        <v>3.09838219850876E-3</v>
      </c>
      <c r="L849" s="16">
        <v>2.52128166614689E-3</v>
      </c>
      <c r="M849" s="16">
        <v>1.2288917339584</v>
      </c>
      <c r="N849" s="16">
        <v>2605</v>
      </c>
      <c r="O849" s="16">
        <v>0.21922339899459301</v>
      </c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 t="s">
        <v>402</v>
      </c>
      <c r="AI849" s="16"/>
      <c r="AJ849" s="16" t="s">
        <v>1394</v>
      </c>
    </row>
    <row r="850" spans="1:36" ht="15" customHeight="1" x14ac:dyDescent="0.3">
      <c r="A850" s="16" t="s">
        <v>273</v>
      </c>
      <c r="B850" s="16" t="s">
        <v>531</v>
      </c>
      <c r="C850" s="16" t="s">
        <v>1342</v>
      </c>
      <c r="D850" s="16" t="s">
        <v>324</v>
      </c>
      <c r="E850" s="16" t="s">
        <v>404</v>
      </c>
      <c r="F850" s="16" t="s">
        <v>1343</v>
      </c>
      <c r="G850" s="16">
        <v>0.6</v>
      </c>
      <c r="H850" s="16">
        <v>2607</v>
      </c>
      <c r="I850" s="16">
        <v>110</v>
      </c>
      <c r="J850" s="16">
        <v>109</v>
      </c>
      <c r="K850" s="16">
        <v>2.8461264440949401E-3</v>
      </c>
      <c r="L850" s="16">
        <v>2.5235718113304898E-3</v>
      </c>
      <c r="M850" s="16">
        <v>1.1278167046074301</v>
      </c>
      <c r="N850" s="16">
        <v>2605</v>
      </c>
      <c r="O850" s="16">
        <v>0.25950120094081602</v>
      </c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 t="s">
        <v>402</v>
      </c>
      <c r="AI850" s="16"/>
      <c r="AJ850" s="16" t="s">
        <v>1395</v>
      </c>
    </row>
    <row r="851" spans="1:36" ht="15" customHeight="1" x14ac:dyDescent="0.3">
      <c r="A851" s="16" t="s">
        <v>273</v>
      </c>
      <c r="B851" s="16" t="s">
        <v>533</v>
      </c>
      <c r="C851" s="16" t="s">
        <v>1342</v>
      </c>
      <c r="D851" s="16" t="s">
        <v>324</v>
      </c>
      <c r="E851" s="16" t="s">
        <v>404</v>
      </c>
      <c r="F851" s="16" t="s">
        <v>1343</v>
      </c>
      <c r="G851" s="16">
        <v>0.6</v>
      </c>
      <c r="H851" s="16">
        <v>2607</v>
      </c>
      <c r="I851" s="16">
        <v>110</v>
      </c>
      <c r="J851" s="16">
        <v>109</v>
      </c>
      <c r="K851" s="16">
        <v>-7.5224698181402801E-4</v>
      </c>
      <c r="L851" s="16">
        <v>7.0712611074571401E-3</v>
      </c>
      <c r="M851" s="16">
        <v>-0.106380880352549</v>
      </c>
      <c r="N851" s="16">
        <v>2605</v>
      </c>
      <c r="O851" s="16">
        <v>0.91528835340454995</v>
      </c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 t="s">
        <v>402</v>
      </c>
      <c r="AI851" s="16"/>
      <c r="AJ851" s="16" t="s">
        <v>1396</v>
      </c>
    </row>
    <row r="852" spans="1:36" ht="15" customHeight="1" x14ac:dyDescent="0.3">
      <c r="A852" s="16" t="s">
        <v>273</v>
      </c>
      <c r="B852" s="16" t="s">
        <v>535</v>
      </c>
      <c r="C852" s="16" t="s">
        <v>1342</v>
      </c>
      <c r="D852" s="16" t="s">
        <v>324</v>
      </c>
      <c r="E852" s="16" t="s">
        <v>404</v>
      </c>
      <c r="F852" s="16" t="s">
        <v>1343</v>
      </c>
      <c r="G852" s="16">
        <v>0.6</v>
      </c>
      <c r="H852" s="16">
        <v>2607</v>
      </c>
      <c r="I852" s="16">
        <v>110</v>
      </c>
      <c r="J852" s="16">
        <v>109</v>
      </c>
      <c r="K852" s="16">
        <v>2.9214272337550898E-3</v>
      </c>
      <c r="L852" s="16">
        <v>2.5237909181968698E-3</v>
      </c>
      <c r="M852" s="16">
        <v>1.15755517332724</v>
      </c>
      <c r="N852" s="16">
        <v>2605</v>
      </c>
      <c r="O852" s="16">
        <v>0.24715173454833</v>
      </c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 t="s">
        <v>402</v>
      </c>
      <c r="AI852" s="16"/>
      <c r="AJ852" s="16" t="s">
        <v>1397</v>
      </c>
    </row>
    <row r="853" spans="1:36" ht="15" customHeight="1" x14ac:dyDescent="0.3">
      <c r="A853" s="16" t="s">
        <v>273</v>
      </c>
      <c r="B853" s="16" t="s">
        <v>537</v>
      </c>
      <c r="C853" s="16" t="s">
        <v>1342</v>
      </c>
      <c r="D853" s="16" t="s">
        <v>324</v>
      </c>
      <c r="E853" s="16" t="s">
        <v>404</v>
      </c>
      <c r="F853" s="16" t="s">
        <v>1343</v>
      </c>
      <c r="G853" s="16">
        <v>0.6</v>
      </c>
      <c r="H853" s="16">
        <v>2607</v>
      </c>
      <c r="I853" s="16">
        <v>110</v>
      </c>
      <c r="J853" s="16">
        <v>109</v>
      </c>
      <c r="K853" s="16">
        <v>3.7895662509604801E-3</v>
      </c>
      <c r="L853" s="16">
        <v>2.52940469389598E-3</v>
      </c>
      <c r="M853" s="16">
        <v>1.49820479898118</v>
      </c>
      <c r="N853" s="16">
        <v>2605</v>
      </c>
      <c r="O853" s="16">
        <v>0.134201209730337</v>
      </c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 t="s">
        <v>402</v>
      </c>
      <c r="AI853" s="16"/>
      <c r="AJ853" s="16" t="s">
        <v>1398</v>
      </c>
    </row>
    <row r="854" spans="1:36" ht="15" customHeight="1" x14ac:dyDescent="0.3">
      <c r="A854" s="16" t="s">
        <v>273</v>
      </c>
      <c r="B854" s="16" t="s">
        <v>539</v>
      </c>
      <c r="C854" s="16" t="s">
        <v>1342</v>
      </c>
      <c r="D854" s="16" t="s">
        <v>324</v>
      </c>
      <c r="E854" s="16" t="s">
        <v>404</v>
      </c>
      <c r="F854" s="16" t="s">
        <v>1343</v>
      </c>
      <c r="G854" s="16">
        <v>0.6</v>
      </c>
      <c r="H854" s="16">
        <v>2607</v>
      </c>
      <c r="I854" s="16">
        <v>110</v>
      </c>
      <c r="J854" s="16">
        <v>109</v>
      </c>
      <c r="K854" s="16">
        <v>3.7173411001890102E-3</v>
      </c>
      <c r="L854" s="16">
        <v>2.5316308090186901E-3</v>
      </c>
      <c r="M854" s="16">
        <v>1.4683582957461001</v>
      </c>
      <c r="N854" s="16">
        <v>2605</v>
      </c>
      <c r="O854" s="16">
        <v>0.14212765768792901</v>
      </c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 t="s">
        <v>402</v>
      </c>
      <c r="AI854" s="16"/>
      <c r="AJ854" s="16" t="s">
        <v>1399</v>
      </c>
    </row>
    <row r="855" spans="1:36" ht="15" customHeight="1" x14ac:dyDescent="0.3">
      <c r="A855" s="16" t="s">
        <v>273</v>
      </c>
      <c r="B855" s="16" t="s">
        <v>541</v>
      </c>
      <c r="C855" s="16" t="s">
        <v>1342</v>
      </c>
      <c r="D855" s="16" t="s">
        <v>324</v>
      </c>
      <c r="E855" s="16" t="s">
        <v>404</v>
      </c>
      <c r="F855" s="16" t="s">
        <v>1343</v>
      </c>
      <c r="G855" s="16">
        <v>0.6</v>
      </c>
      <c r="H855" s="16">
        <v>2607</v>
      </c>
      <c r="I855" s="16">
        <v>110</v>
      </c>
      <c r="J855" s="16">
        <v>109</v>
      </c>
      <c r="K855" s="16">
        <v>-3.9740961445005501E-4</v>
      </c>
      <c r="L855" s="16">
        <v>5.5960187188421502E-3</v>
      </c>
      <c r="M855" s="16">
        <v>-7.1016491262252499E-2</v>
      </c>
      <c r="N855" s="16">
        <v>2605</v>
      </c>
      <c r="O855" s="16">
        <v>0.94339008180211004</v>
      </c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 t="s">
        <v>402</v>
      </c>
      <c r="AI855" s="16"/>
      <c r="AJ855" s="16" t="s">
        <v>1400</v>
      </c>
    </row>
    <row r="856" spans="1:36" ht="15" customHeight="1" x14ac:dyDescent="0.3">
      <c r="A856" s="16" t="s">
        <v>273</v>
      </c>
      <c r="B856" s="16" t="s">
        <v>543</v>
      </c>
      <c r="C856" s="16" t="s">
        <v>1342</v>
      </c>
      <c r="D856" s="16" t="s">
        <v>324</v>
      </c>
      <c r="E856" s="16" t="s">
        <v>404</v>
      </c>
      <c r="F856" s="16" t="s">
        <v>1343</v>
      </c>
      <c r="G856" s="16">
        <v>0.6</v>
      </c>
      <c r="H856" s="16">
        <v>2607</v>
      </c>
      <c r="I856" s="16">
        <v>110</v>
      </c>
      <c r="J856" s="16">
        <v>109</v>
      </c>
      <c r="K856" s="16">
        <v>6.2474849836335299E-3</v>
      </c>
      <c r="L856" s="16">
        <v>5.0109773060648304E-3</v>
      </c>
      <c r="M856" s="16">
        <v>1.24675978397909</v>
      </c>
      <c r="N856" s="16">
        <v>2605</v>
      </c>
      <c r="O856" s="16">
        <v>0.21259768010163299</v>
      </c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 t="s">
        <v>402</v>
      </c>
      <c r="AI856" s="16"/>
      <c r="AJ856" s="16" t="s">
        <v>1401</v>
      </c>
    </row>
    <row r="857" spans="1:36" ht="15" customHeight="1" x14ac:dyDescent="0.3">
      <c r="A857" s="16" t="s">
        <v>273</v>
      </c>
      <c r="B857" s="16" t="s">
        <v>545</v>
      </c>
      <c r="C857" s="16" t="s">
        <v>1342</v>
      </c>
      <c r="D857" s="16" t="s">
        <v>324</v>
      </c>
      <c r="E857" s="16" t="s">
        <v>404</v>
      </c>
      <c r="F857" s="16" t="s">
        <v>1343</v>
      </c>
      <c r="G857" s="16">
        <v>0.6</v>
      </c>
      <c r="H857" s="16">
        <v>2607</v>
      </c>
      <c r="I857" s="16">
        <v>110</v>
      </c>
      <c r="J857" s="16">
        <v>109</v>
      </c>
      <c r="K857" s="16">
        <v>-3.4605335422259499E-3</v>
      </c>
      <c r="L857" s="16">
        <v>3.6504838583456601E-3</v>
      </c>
      <c r="M857" s="16">
        <v>-0.94796571537073004</v>
      </c>
      <c r="N857" s="16">
        <v>2605</v>
      </c>
      <c r="O857" s="16">
        <v>0.343234836840488</v>
      </c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 t="s">
        <v>402</v>
      </c>
      <c r="AI857" s="16"/>
      <c r="AJ857" s="16" t="s">
        <v>1402</v>
      </c>
    </row>
    <row r="858" spans="1:36" ht="15" customHeight="1" x14ac:dyDescent="0.3">
      <c r="A858" s="16" t="s">
        <v>273</v>
      </c>
      <c r="B858" s="16" t="s">
        <v>547</v>
      </c>
      <c r="C858" s="16" t="s">
        <v>1342</v>
      </c>
      <c r="D858" s="16" t="s">
        <v>324</v>
      </c>
      <c r="E858" s="16" t="s">
        <v>404</v>
      </c>
      <c r="F858" s="16" t="s">
        <v>1343</v>
      </c>
      <c r="G858" s="16">
        <v>0.6</v>
      </c>
      <c r="H858" s="16">
        <v>905</v>
      </c>
      <c r="I858" s="16">
        <v>38</v>
      </c>
      <c r="J858" s="16">
        <v>38</v>
      </c>
      <c r="K858" s="16">
        <v>1.3494669142757999E-3</v>
      </c>
      <c r="L858" s="16">
        <v>3.2557548860632302E-3</v>
      </c>
      <c r="M858" s="16">
        <v>0.414486643344192</v>
      </c>
      <c r="N858" s="16">
        <v>903</v>
      </c>
      <c r="O858" s="16">
        <v>0.67861618898783804</v>
      </c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 t="s">
        <v>402</v>
      </c>
      <c r="AI858" s="16"/>
      <c r="AJ858" s="16" t="s">
        <v>1403</v>
      </c>
    </row>
    <row r="859" spans="1:36" ht="15" customHeight="1" x14ac:dyDescent="0.3">
      <c r="A859" s="16" t="s">
        <v>273</v>
      </c>
      <c r="B859" s="16" t="s">
        <v>549</v>
      </c>
      <c r="C859" s="16" t="s">
        <v>1342</v>
      </c>
      <c r="D859" s="16" t="s">
        <v>324</v>
      </c>
      <c r="E859" s="16" t="s">
        <v>404</v>
      </c>
      <c r="F859" s="16" t="s">
        <v>1343</v>
      </c>
      <c r="G859" s="16">
        <v>0.6</v>
      </c>
      <c r="H859" s="16">
        <v>2705</v>
      </c>
      <c r="I859" s="16">
        <v>113</v>
      </c>
      <c r="J859" s="16">
        <v>112</v>
      </c>
      <c r="K859" s="16">
        <v>-1.30478916183591E-4</v>
      </c>
      <c r="L859" s="16">
        <v>3.0329892779976299E-3</v>
      </c>
      <c r="M859" s="16">
        <v>-4.3019906839147401E-2</v>
      </c>
      <c r="N859" s="16">
        <v>2703</v>
      </c>
      <c r="O859" s="16">
        <v>0.96568884267187904</v>
      </c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 t="s">
        <v>402</v>
      </c>
      <c r="AI859" s="16"/>
      <c r="AJ859" s="16" t="s">
        <v>1404</v>
      </c>
    </row>
    <row r="860" spans="1:36" ht="15" customHeight="1" x14ac:dyDescent="0.3">
      <c r="A860" s="16" t="s">
        <v>273</v>
      </c>
      <c r="B860" s="16" t="s">
        <v>551</v>
      </c>
      <c r="C860" s="16" t="s">
        <v>1342</v>
      </c>
      <c r="D860" s="16" t="s">
        <v>324</v>
      </c>
      <c r="E860" s="16" t="s">
        <v>404</v>
      </c>
      <c r="F860" s="16" t="s">
        <v>1343</v>
      </c>
      <c r="G860" s="16">
        <v>0.6</v>
      </c>
      <c r="H860" s="16">
        <v>2705</v>
      </c>
      <c r="I860" s="16">
        <v>113</v>
      </c>
      <c r="J860" s="16">
        <v>112</v>
      </c>
      <c r="K860" s="16">
        <v>-4.33250731472823E-4</v>
      </c>
      <c r="L860" s="16">
        <v>3.0356651480226999E-3</v>
      </c>
      <c r="M860" s="16">
        <v>-0.142720198159874</v>
      </c>
      <c r="N860" s="16">
        <v>2703</v>
      </c>
      <c r="O860" s="16">
        <v>0.88652180153966598</v>
      </c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 t="s">
        <v>402</v>
      </c>
      <c r="AI860" s="16"/>
      <c r="AJ860" s="16" t="s">
        <v>1405</v>
      </c>
    </row>
    <row r="861" spans="1:36" ht="15" customHeight="1" x14ac:dyDescent="0.3">
      <c r="A861" s="16" t="s">
        <v>273</v>
      </c>
      <c r="B861" s="16" t="s">
        <v>553</v>
      </c>
      <c r="C861" s="16" t="s">
        <v>1342</v>
      </c>
      <c r="D861" s="16" t="s">
        <v>324</v>
      </c>
      <c r="E861" s="16" t="s">
        <v>404</v>
      </c>
      <c r="F861" s="16" t="s">
        <v>1343</v>
      </c>
      <c r="G861" s="16">
        <v>0.6</v>
      </c>
      <c r="H861" s="16">
        <v>2705</v>
      </c>
      <c r="I861" s="16">
        <v>113</v>
      </c>
      <c r="J861" s="16">
        <v>112</v>
      </c>
      <c r="K861" s="16">
        <v>4.9440546449988397E-3</v>
      </c>
      <c r="L861" s="16">
        <v>8.14297145396547E-3</v>
      </c>
      <c r="M861" s="16">
        <v>0.60715608214384498</v>
      </c>
      <c r="N861" s="16">
        <v>2703</v>
      </c>
      <c r="O861" s="16">
        <v>0.54379833197650596</v>
      </c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 t="s">
        <v>402</v>
      </c>
      <c r="AI861" s="16"/>
      <c r="AJ861" s="16" t="s">
        <v>1406</v>
      </c>
    </row>
    <row r="862" spans="1:36" ht="15" customHeight="1" x14ac:dyDescent="0.3">
      <c r="A862" s="16" t="s">
        <v>273</v>
      </c>
      <c r="B862" s="16" t="s">
        <v>555</v>
      </c>
      <c r="C862" s="16" t="s">
        <v>1342</v>
      </c>
      <c r="D862" s="16" t="s">
        <v>324</v>
      </c>
      <c r="E862" s="16" t="s">
        <v>404</v>
      </c>
      <c r="F862" s="16" t="s">
        <v>1343</v>
      </c>
      <c r="G862" s="16">
        <v>0.6</v>
      </c>
      <c r="H862" s="16">
        <v>2705</v>
      </c>
      <c r="I862" s="16">
        <v>113</v>
      </c>
      <c r="J862" s="16">
        <v>112</v>
      </c>
      <c r="K862" s="16">
        <v>-3.54944214868681E-4</v>
      </c>
      <c r="L862" s="16">
        <v>3.0359791330237399E-3</v>
      </c>
      <c r="M862" s="16">
        <v>-0.116912600290229</v>
      </c>
      <c r="N862" s="16">
        <v>2703</v>
      </c>
      <c r="O862" s="16">
        <v>0.90693799870674197</v>
      </c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 t="s">
        <v>402</v>
      </c>
      <c r="AI862" s="16"/>
      <c r="AJ862" s="16" t="s">
        <v>1407</v>
      </c>
    </row>
    <row r="863" spans="1:36" ht="15" customHeight="1" x14ac:dyDescent="0.3">
      <c r="A863" s="16" t="s">
        <v>273</v>
      </c>
      <c r="B863" s="16" t="s">
        <v>557</v>
      </c>
      <c r="C863" s="16" t="s">
        <v>1342</v>
      </c>
      <c r="D863" s="16" t="s">
        <v>324</v>
      </c>
      <c r="E863" s="16" t="s">
        <v>404</v>
      </c>
      <c r="F863" s="16" t="s">
        <v>1343</v>
      </c>
      <c r="G863" s="16">
        <v>0.6</v>
      </c>
      <c r="H863" s="16">
        <v>2705</v>
      </c>
      <c r="I863" s="16">
        <v>113</v>
      </c>
      <c r="J863" s="16">
        <v>112</v>
      </c>
      <c r="K863" s="16">
        <v>7.4006091996555595E-4</v>
      </c>
      <c r="L863" s="16">
        <v>3.0445066802738201E-3</v>
      </c>
      <c r="M863" s="16">
        <v>0.24308073447846601</v>
      </c>
      <c r="N863" s="16">
        <v>2703</v>
      </c>
      <c r="O863" s="16">
        <v>0.80796129975736897</v>
      </c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 t="s">
        <v>402</v>
      </c>
      <c r="AI863" s="16"/>
      <c r="AJ863" s="16" t="s">
        <v>1408</v>
      </c>
    </row>
    <row r="864" spans="1:36" ht="15" customHeight="1" x14ac:dyDescent="0.3">
      <c r="A864" s="16" t="s">
        <v>273</v>
      </c>
      <c r="B864" s="16" t="s">
        <v>559</v>
      </c>
      <c r="C864" s="16" t="s">
        <v>1342</v>
      </c>
      <c r="D864" s="16" t="s">
        <v>324</v>
      </c>
      <c r="E864" s="16" t="s">
        <v>404</v>
      </c>
      <c r="F864" s="16" t="s">
        <v>1343</v>
      </c>
      <c r="G864" s="16">
        <v>0.6</v>
      </c>
      <c r="H864" s="16">
        <v>2705</v>
      </c>
      <c r="I864" s="16">
        <v>113</v>
      </c>
      <c r="J864" s="16">
        <v>112</v>
      </c>
      <c r="K864" s="16">
        <v>6.8887033838231301E-4</v>
      </c>
      <c r="L864" s="16">
        <v>3.0472378590785899E-3</v>
      </c>
      <c r="M864" s="16">
        <v>0.226063855281258</v>
      </c>
      <c r="N864" s="16">
        <v>2703</v>
      </c>
      <c r="O864" s="16">
        <v>0.82116884821582403</v>
      </c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 t="s">
        <v>402</v>
      </c>
      <c r="AI864" s="16"/>
      <c r="AJ864" s="16" t="s">
        <v>1409</v>
      </c>
    </row>
    <row r="865" spans="1:36" ht="15" customHeight="1" x14ac:dyDescent="0.3">
      <c r="A865" s="16" t="s">
        <v>273</v>
      </c>
      <c r="B865" s="16" t="s">
        <v>561</v>
      </c>
      <c r="C865" s="16" t="s">
        <v>1342</v>
      </c>
      <c r="D865" s="16" t="s">
        <v>324</v>
      </c>
      <c r="E865" s="16" t="s">
        <v>404</v>
      </c>
      <c r="F865" s="16" t="s">
        <v>1343</v>
      </c>
      <c r="G865" s="16">
        <v>0.6</v>
      </c>
      <c r="H865" s="16">
        <v>2705</v>
      </c>
      <c r="I865" s="16">
        <v>113</v>
      </c>
      <c r="J865" s="16">
        <v>112</v>
      </c>
      <c r="K865" s="16">
        <v>4.1117986337873402E-3</v>
      </c>
      <c r="L865" s="16">
        <v>6.5582773109121402E-3</v>
      </c>
      <c r="M865" s="16">
        <v>0.62696321592651005</v>
      </c>
      <c r="N865" s="16">
        <v>2703</v>
      </c>
      <c r="O865" s="16">
        <v>0.530736297669955</v>
      </c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 t="s">
        <v>402</v>
      </c>
      <c r="AI865" s="16"/>
      <c r="AJ865" s="16" t="s">
        <v>1410</v>
      </c>
    </row>
    <row r="866" spans="1:36" ht="15" customHeight="1" x14ac:dyDescent="0.3">
      <c r="A866" s="16" t="s">
        <v>273</v>
      </c>
      <c r="B866" s="16" t="s">
        <v>563</v>
      </c>
      <c r="C866" s="16" t="s">
        <v>1342</v>
      </c>
      <c r="D866" s="16" t="s">
        <v>324</v>
      </c>
      <c r="E866" s="16" t="s">
        <v>404</v>
      </c>
      <c r="F866" s="16" t="s">
        <v>1343</v>
      </c>
      <c r="G866" s="16">
        <v>0.6</v>
      </c>
      <c r="H866" s="16">
        <v>2705</v>
      </c>
      <c r="I866" s="16">
        <v>113</v>
      </c>
      <c r="J866" s="16">
        <v>112</v>
      </c>
      <c r="K866" s="16">
        <v>1.1138239344781999E-2</v>
      </c>
      <c r="L866" s="16">
        <v>5.9081295809504499E-3</v>
      </c>
      <c r="M866" s="16">
        <v>1.88523951483646</v>
      </c>
      <c r="N866" s="16">
        <v>2703</v>
      </c>
      <c r="O866" s="16">
        <v>5.9504678349164099E-2</v>
      </c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 t="s">
        <v>402</v>
      </c>
      <c r="AI866" s="16"/>
      <c r="AJ866" s="16" t="s">
        <v>1411</v>
      </c>
    </row>
    <row r="867" spans="1:36" ht="15" customHeight="1" x14ac:dyDescent="0.3">
      <c r="A867" s="16" t="s">
        <v>273</v>
      </c>
      <c r="B867" s="16" t="s">
        <v>565</v>
      </c>
      <c r="C867" s="16" t="s">
        <v>1342</v>
      </c>
      <c r="D867" s="16" t="s">
        <v>324</v>
      </c>
      <c r="E867" s="16" t="s">
        <v>404</v>
      </c>
      <c r="F867" s="16" t="s">
        <v>1343</v>
      </c>
      <c r="G867" s="16">
        <v>0.6</v>
      </c>
      <c r="H867" s="16">
        <v>2705</v>
      </c>
      <c r="I867" s="16">
        <v>113</v>
      </c>
      <c r="J867" s="16">
        <v>112</v>
      </c>
      <c r="K867" s="16">
        <v>4.48745881337091E-4</v>
      </c>
      <c r="L867" s="16">
        <v>4.3588294907257897E-3</v>
      </c>
      <c r="M867" s="16">
        <v>0.102951006065248</v>
      </c>
      <c r="N867" s="16">
        <v>2703</v>
      </c>
      <c r="O867" s="16">
        <v>0.91800949272524102</v>
      </c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 t="s">
        <v>402</v>
      </c>
      <c r="AI867" s="16"/>
      <c r="AJ867" s="16" t="s">
        <v>1412</v>
      </c>
    </row>
    <row r="868" spans="1:36" ht="15" customHeight="1" x14ac:dyDescent="0.3">
      <c r="A868" s="16" t="s">
        <v>273</v>
      </c>
      <c r="B868" s="16" t="s">
        <v>567</v>
      </c>
      <c r="C868" s="16" t="s">
        <v>1342</v>
      </c>
      <c r="D868" s="16" t="s">
        <v>324</v>
      </c>
      <c r="E868" s="16" t="s">
        <v>404</v>
      </c>
      <c r="F868" s="16" t="s">
        <v>1343</v>
      </c>
      <c r="G868" s="16">
        <v>0.6</v>
      </c>
      <c r="H868" s="16">
        <v>929</v>
      </c>
      <c r="I868" s="16">
        <v>40</v>
      </c>
      <c r="J868" s="16">
        <v>40</v>
      </c>
      <c r="K868" s="16">
        <v>5.1592307975841601E-3</v>
      </c>
      <c r="L868" s="16">
        <v>3.2963403441960901E-3</v>
      </c>
      <c r="M868" s="16">
        <v>1.56513899017378</v>
      </c>
      <c r="N868" s="16">
        <v>927</v>
      </c>
      <c r="O868" s="16">
        <v>0.11789160871882499</v>
      </c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 t="s">
        <v>402</v>
      </c>
      <c r="AI868" s="16"/>
      <c r="AJ868" s="16" t="s">
        <v>1413</v>
      </c>
    </row>
    <row r="869" spans="1:36" ht="15" customHeight="1" x14ac:dyDescent="0.3">
      <c r="A869" s="16" t="s">
        <v>273</v>
      </c>
      <c r="B869" s="16" t="s">
        <v>569</v>
      </c>
      <c r="C869" s="16" t="s">
        <v>1342</v>
      </c>
      <c r="D869" s="16" t="s">
        <v>324</v>
      </c>
      <c r="E869" s="16" t="s">
        <v>404</v>
      </c>
      <c r="F869" s="16" t="s">
        <v>1343</v>
      </c>
      <c r="G869" s="16">
        <v>0.6</v>
      </c>
      <c r="H869" s="16">
        <v>2692</v>
      </c>
      <c r="I869" s="16">
        <v>113</v>
      </c>
      <c r="J869" s="16">
        <v>112</v>
      </c>
      <c r="K869" s="16">
        <v>-6.0223386299905501E-4</v>
      </c>
      <c r="L869" s="16">
        <v>2.8430833300619801E-3</v>
      </c>
      <c r="M869" s="16">
        <v>-0.21182420389553899</v>
      </c>
      <c r="N869" s="16">
        <v>2690</v>
      </c>
      <c r="O869" s="16">
        <v>0.83226023226685497</v>
      </c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 t="s">
        <v>402</v>
      </c>
      <c r="AI869" s="16"/>
      <c r="AJ869" s="16" t="s">
        <v>1414</v>
      </c>
    </row>
    <row r="870" spans="1:36" ht="15" customHeight="1" x14ac:dyDescent="0.3">
      <c r="A870" s="16" t="s">
        <v>273</v>
      </c>
      <c r="B870" s="16" t="s">
        <v>571</v>
      </c>
      <c r="C870" s="16" t="s">
        <v>1342</v>
      </c>
      <c r="D870" s="16" t="s">
        <v>324</v>
      </c>
      <c r="E870" s="16" t="s">
        <v>404</v>
      </c>
      <c r="F870" s="16" t="s">
        <v>1343</v>
      </c>
      <c r="G870" s="16">
        <v>0.6</v>
      </c>
      <c r="H870" s="16">
        <v>2692</v>
      </c>
      <c r="I870" s="16">
        <v>113</v>
      </c>
      <c r="J870" s="16">
        <v>112</v>
      </c>
      <c r="K870" s="16">
        <v>-9.0190165744598999E-4</v>
      </c>
      <c r="L870" s="16">
        <v>2.8455680236968198E-3</v>
      </c>
      <c r="M870" s="16">
        <v>-0.31694960371191</v>
      </c>
      <c r="N870" s="16">
        <v>2690</v>
      </c>
      <c r="O870" s="16">
        <v>0.75130643802306196</v>
      </c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 t="s">
        <v>402</v>
      </c>
      <c r="AI870" s="16"/>
      <c r="AJ870" s="16" t="s">
        <v>1415</v>
      </c>
    </row>
    <row r="871" spans="1:36" ht="15" customHeight="1" x14ac:dyDescent="0.3">
      <c r="A871" s="16" t="s">
        <v>273</v>
      </c>
      <c r="B871" s="16" t="s">
        <v>573</v>
      </c>
      <c r="C871" s="16" t="s">
        <v>1342</v>
      </c>
      <c r="D871" s="16" t="s">
        <v>324</v>
      </c>
      <c r="E871" s="16" t="s">
        <v>404</v>
      </c>
      <c r="F871" s="16" t="s">
        <v>1343</v>
      </c>
      <c r="G871" s="16">
        <v>0.6</v>
      </c>
      <c r="H871" s="16">
        <v>2692</v>
      </c>
      <c r="I871" s="16">
        <v>113</v>
      </c>
      <c r="J871" s="16">
        <v>112</v>
      </c>
      <c r="K871" s="16">
        <v>4.3774031531036003E-3</v>
      </c>
      <c r="L871" s="16">
        <v>7.6354568996386298E-3</v>
      </c>
      <c r="M871" s="16">
        <v>0.57329943848033205</v>
      </c>
      <c r="N871" s="16">
        <v>2690</v>
      </c>
      <c r="O871" s="16">
        <v>0.56648988700713798</v>
      </c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 t="s">
        <v>402</v>
      </c>
      <c r="AI871" s="16"/>
      <c r="AJ871" s="16" t="s">
        <v>1416</v>
      </c>
    </row>
    <row r="872" spans="1:36" ht="15" customHeight="1" x14ac:dyDescent="0.3">
      <c r="A872" s="16" t="s">
        <v>273</v>
      </c>
      <c r="B872" s="16" t="s">
        <v>575</v>
      </c>
      <c r="C872" s="16" t="s">
        <v>1342</v>
      </c>
      <c r="D872" s="16" t="s">
        <v>324</v>
      </c>
      <c r="E872" s="16" t="s">
        <v>404</v>
      </c>
      <c r="F872" s="16" t="s">
        <v>1343</v>
      </c>
      <c r="G872" s="16">
        <v>0.6</v>
      </c>
      <c r="H872" s="16">
        <v>2692</v>
      </c>
      <c r="I872" s="16">
        <v>113</v>
      </c>
      <c r="J872" s="16">
        <v>112</v>
      </c>
      <c r="K872" s="16">
        <v>-8.2323971724643599E-4</v>
      </c>
      <c r="L872" s="16">
        <v>2.8458672817212598E-3</v>
      </c>
      <c r="M872" s="16">
        <v>-0.28927551278797398</v>
      </c>
      <c r="N872" s="16">
        <v>2690</v>
      </c>
      <c r="O872" s="16">
        <v>0.77239284156821297</v>
      </c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 t="s">
        <v>402</v>
      </c>
      <c r="AI872" s="16"/>
      <c r="AJ872" s="16" t="s">
        <v>1417</v>
      </c>
    </row>
    <row r="873" spans="1:36" ht="15" customHeight="1" x14ac:dyDescent="0.3">
      <c r="A873" s="16" t="s">
        <v>273</v>
      </c>
      <c r="B873" s="16" t="s">
        <v>577</v>
      </c>
      <c r="C873" s="16" t="s">
        <v>1342</v>
      </c>
      <c r="D873" s="16" t="s">
        <v>324</v>
      </c>
      <c r="E873" s="16" t="s">
        <v>404</v>
      </c>
      <c r="F873" s="16" t="s">
        <v>1343</v>
      </c>
      <c r="G873" s="16">
        <v>0.6</v>
      </c>
      <c r="H873" s="16">
        <v>2692</v>
      </c>
      <c r="I873" s="16">
        <v>113</v>
      </c>
      <c r="J873" s="16">
        <v>112</v>
      </c>
      <c r="K873" s="16">
        <v>2.79479517472949E-4</v>
      </c>
      <c r="L873" s="16">
        <v>2.85391515744978E-3</v>
      </c>
      <c r="M873" s="16">
        <v>9.7928460397080697E-2</v>
      </c>
      <c r="N873" s="16">
        <v>2690</v>
      </c>
      <c r="O873" s="16">
        <v>0.92199639637169095</v>
      </c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 t="s">
        <v>402</v>
      </c>
      <c r="AI873" s="16"/>
      <c r="AJ873" s="16" t="s">
        <v>1418</v>
      </c>
    </row>
    <row r="874" spans="1:36" ht="15" customHeight="1" x14ac:dyDescent="0.3">
      <c r="A874" s="16" t="s">
        <v>273</v>
      </c>
      <c r="B874" s="16" t="s">
        <v>579</v>
      </c>
      <c r="C874" s="16" t="s">
        <v>1342</v>
      </c>
      <c r="D874" s="16" t="s">
        <v>324</v>
      </c>
      <c r="E874" s="16" t="s">
        <v>404</v>
      </c>
      <c r="F874" s="16" t="s">
        <v>1343</v>
      </c>
      <c r="G874" s="16">
        <v>0.6</v>
      </c>
      <c r="H874" s="16">
        <v>2692</v>
      </c>
      <c r="I874" s="16">
        <v>113</v>
      </c>
      <c r="J874" s="16">
        <v>112</v>
      </c>
      <c r="K874" s="16">
        <v>2.3014461142220301E-4</v>
      </c>
      <c r="L874" s="16">
        <v>2.8564705987393999E-3</v>
      </c>
      <c r="M874" s="16">
        <v>8.0569571247737795E-2</v>
      </c>
      <c r="N874" s="16">
        <v>2690</v>
      </c>
      <c r="O874" s="16">
        <v>0.93579025961448004</v>
      </c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 t="s">
        <v>402</v>
      </c>
      <c r="AI874" s="16"/>
      <c r="AJ874" s="16" t="s">
        <v>1419</v>
      </c>
    </row>
    <row r="875" spans="1:36" ht="15" customHeight="1" x14ac:dyDescent="0.3">
      <c r="A875" s="16" t="s">
        <v>273</v>
      </c>
      <c r="B875" s="16" t="s">
        <v>581</v>
      </c>
      <c r="C875" s="16" t="s">
        <v>1342</v>
      </c>
      <c r="D875" s="16" t="s">
        <v>324</v>
      </c>
      <c r="E875" s="16" t="s">
        <v>404</v>
      </c>
      <c r="F875" s="16" t="s">
        <v>1343</v>
      </c>
      <c r="G875" s="16">
        <v>0.6</v>
      </c>
      <c r="H875" s="16">
        <v>2692</v>
      </c>
      <c r="I875" s="16">
        <v>113</v>
      </c>
      <c r="J875" s="16">
        <v>112</v>
      </c>
      <c r="K875" s="16">
        <v>3.59323724753202E-3</v>
      </c>
      <c r="L875" s="16">
        <v>6.1495754295256E-3</v>
      </c>
      <c r="M875" s="16">
        <v>0.58430655721044</v>
      </c>
      <c r="N875" s="16">
        <v>2690</v>
      </c>
      <c r="O875" s="16">
        <v>0.55906307806477795</v>
      </c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 t="s">
        <v>402</v>
      </c>
      <c r="AI875" s="16"/>
      <c r="AJ875" s="16" t="s">
        <v>1420</v>
      </c>
    </row>
    <row r="876" spans="1:36" ht="15" customHeight="1" x14ac:dyDescent="0.3">
      <c r="A876" s="16" t="s">
        <v>273</v>
      </c>
      <c r="B876" s="16" t="s">
        <v>583</v>
      </c>
      <c r="C876" s="16" t="s">
        <v>1342</v>
      </c>
      <c r="D876" s="16" t="s">
        <v>324</v>
      </c>
      <c r="E876" s="16" t="s">
        <v>404</v>
      </c>
      <c r="F876" s="16" t="s">
        <v>1343</v>
      </c>
      <c r="G876" s="16">
        <v>0.6</v>
      </c>
      <c r="H876" s="16">
        <v>2692</v>
      </c>
      <c r="I876" s="16">
        <v>113</v>
      </c>
      <c r="J876" s="16">
        <v>112</v>
      </c>
      <c r="K876" s="16">
        <v>9.1073857439736491E-3</v>
      </c>
      <c r="L876" s="16">
        <v>5.5414265287554E-3</v>
      </c>
      <c r="M876" s="16">
        <v>1.64350924743185</v>
      </c>
      <c r="N876" s="16">
        <v>2690</v>
      </c>
      <c r="O876" s="16">
        <v>0.100394476543061</v>
      </c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 t="s">
        <v>402</v>
      </c>
      <c r="AI876" s="16"/>
      <c r="AJ876" s="16" t="s">
        <v>1421</v>
      </c>
    </row>
    <row r="877" spans="1:36" ht="15" customHeight="1" x14ac:dyDescent="0.3">
      <c r="A877" s="16" t="s">
        <v>273</v>
      </c>
      <c r="B877" s="16" t="s">
        <v>585</v>
      </c>
      <c r="C877" s="16" t="s">
        <v>1342</v>
      </c>
      <c r="D877" s="16" t="s">
        <v>324</v>
      </c>
      <c r="E877" s="16" t="s">
        <v>404</v>
      </c>
      <c r="F877" s="16" t="s">
        <v>1343</v>
      </c>
      <c r="G877" s="16">
        <v>0.6</v>
      </c>
      <c r="H877" s="16">
        <v>2692</v>
      </c>
      <c r="I877" s="16">
        <v>113</v>
      </c>
      <c r="J877" s="16">
        <v>112</v>
      </c>
      <c r="K877" s="16">
        <v>-5.6017694287126296E-4</v>
      </c>
      <c r="L877" s="16">
        <v>4.0864766443852903E-3</v>
      </c>
      <c r="M877" s="16">
        <v>-0.137080666701211</v>
      </c>
      <c r="N877" s="16">
        <v>2690</v>
      </c>
      <c r="O877" s="16">
        <v>0.89097729253867697</v>
      </c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 t="s">
        <v>402</v>
      </c>
      <c r="AI877" s="16"/>
      <c r="AJ877" s="16" t="s">
        <v>1422</v>
      </c>
    </row>
    <row r="878" spans="1:36" ht="15" customHeight="1" x14ac:dyDescent="0.3">
      <c r="A878" s="16" t="s">
        <v>273</v>
      </c>
      <c r="B878" s="16" t="s">
        <v>587</v>
      </c>
      <c r="C878" s="16" t="s">
        <v>1342</v>
      </c>
      <c r="D878" s="16" t="s">
        <v>324</v>
      </c>
      <c r="E878" s="16" t="s">
        <v>404</v>
      </c>
      <c r="F878" s="16" t="s">
        <v>1343</v>
      </c>
      <c r="G878" s="16">
        <v>0.6</v>
      </c>
      <c r="H878" s="16">
        <v>924</v>
      </c>
      <c r="I878" s="16">
        <v>40</v>
      </c>
      <c r="J878" s="16">
        <v>40</v>
      </c>
      <c r="K878" s="16">
        <v>4.3560139000106803E-3</v>
      </c>
      <c r="L878" s="16">
        <v>3.09949546923468E-3</v>
      </c>
      <c r="M878" s="16">
        <v>1.4053945047663701</v>
      </c>
      <c r="N878" s="16">
        <v>922</v>
      </c>
      <c r="O878" s="16">
        <v>0.16024085755241099</v>
      </c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 t="s">
        <v>402</v>
      </c>
      <c r="AI878" s="16"/>
      <c r="AJ878" s="16" t="s">
        <v>1423</v>
      </c>
    </row>
    <row r="879" spans="1:36" ht="15" customHeight="1" x14ac:dyDescent="0.3">
      <c r="A879" s="16" t="s">
        <v>273</v>
      </c>
      <c r="B879" s="16" t="s">
        <v>589</v>
      </c>
      <c r="C879" s="16" t="s">
        <v>1342</v>
      </c>
      <c r="D879" s="16" t="s">
        <v>324</v>
      </c>
      <c r="E879" s="16" t="s">
        <v>404</v>
      </c>
      <c r="F879" s="16" t="s">
        <v>1343</v>
      </c>
      <c r="G879" s="16">
        <v>0.6</v>
      </c>
      <c r="H879" s="16">
        <v>2705</v>
      </c>
      <c r="I879" s="16">
        <v>113</v>
      </c>
      <c r="J879" s="16">
        <v>112</v>
      </c>
      <c r="K879" s="16">
        <v>3.3241697438281198E-3</v>
      </c>
      <c r="L879" s="16">
        <v>2.4699309651867599E-3</v>
      </c>
      <c r="M879" s="16">
        <v>1.3458553257891499</v>
      </c>
      <c r="N879" s="16">
        <v>2703</v>
      </c>
      <c r="O879" s="16">
        <v>0.17846204859901901</v>
      </c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 t="s">
        <v>402</v>
      </c>
      <c r="AI879" s="16"/>
      <c r="AJ879" s="16" t="s">
        <v>1424</v>
      </c>
    </row>
    <row r="880" spans="1:36" ht="15" customHeight="1" x14ac:dyDescent="0.3">
      <c r="A880" s="16" t="s">
        <v>273</v>
      </c>
      <c r="B880" s="16" t="s">
        <v>591</v>
      </c>
      <c r="C880" s="16" t="s">
        <v>1342</v>
      </c>
      <c r="D880" s="16" t="s">
        <v>324</v>
      </c>
      <c r="E880" s="16" t="s">
        <v>404</v>
      </c>
      <c r="F880" s="16" t="s">
        <v>1343</v>
      </c>
      <c r="G880" s="16">
        <v>0.6</v>
      </c>
      <c r="H880" s="16">
        <v>2705</v>
      </c>
      <c r="I880" s="16">
        <v>113</v>
      </c>
      <c r="J880" s="16">
        <v>112</v>
      </c>
      <c r="K880" s="16">
        <v>3.06959193341593E-3</v>
      </c>
      <c r="L880" s="16">
        <v>2.4722418002488199E-3</v>
      </c>
      <c r="M880" s="16">
        <v>1.2416228595062999</v>
      </c>
      <c r="N880" s="16">
        <v>2703</v>
      </c>
      <c r="O880" s="16">
        <v>0.21448347246085001</v>
      </c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 t="s">
        <v>402</v>
      </c>
      <c r="AI880" s="16"/>
      <c r="AJ880" s="16" t="s">
        <v>1425</v>
      </c>
    </row>
    <row r="881" spans="1:36" ht="15" customHeight="1" x14ac:dyDescent="0.3">
      <c r="A881" s="16" t="s">
        <v>273</v>
      </c>
      <c r="B881" s="16" t="s">
        <v>593</v>
      </c>
      <c r="C881" s="16" t="s">
        <v>1342</v>
      </c>
      <c r="D881" s="16" t="s">
        <v>324</v>
      </c>
      <c r="E881" s="16" t="s">
        <v>404</v>
      </c>
      <c r="F881" s="16" t="s">
        <v>1343</v>
      </c>
      <c r="G881" s="16">
        <v>0.6</v>
      </c>
      <c r="H881" s="16">
        <v>2705</v>
      </c>
      <c r="I881" s="16">
        <v>113</v>
      </c>
      <c r="J881" s="16">
        <v>112</v>
      </c>
      <c r="K881" s="16">
        <v>2.5193331622243701E-3</v>
      </c>
      <c r="L881" s="16">
        <v>6.6337667199654103E-3</v>
      </c>
      <c r="M881" s="16">
        <v>0.37977415676104898</v>
      </c>
      <c r="N881" s="16">
        <v>2703</v>
      </c>
      <c r="O881" s="16">
        <v>0.70414290285802905</v>
      </c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 t="s">
        <v>402</v>
      </c>
      <c r="AI881" s="16"/>
      <c r="AJ881" s="16" t="s">
        <v>1426</v>
      </c>
    </row>
    <row r="882" spans="1:36" ht="15" customHeight="1" x14ac:dyDescent="0.3">
      <c r="A882" s="16" t="s">
        <v>273</v>
      </c>
      <c r="B882" s="16" t="s">
        <v>595</v>
      </c>
      <c r="C882" s="16" t="s">
        <v>1342</v>
      </c>
      <c r="D882" s="16" t="s">
        <v>324</v>
      </c>
      <c r="E882" s="16" t="s">
        <v>404</v>
      </c>
      <c r="F882" s="16" t="s">
        <v>1343</v>
      </c>
      <c r="G882" s="16">
        <v>0.6</v>
      </c>
      <c r="H882" s="16">
        <v>2705</v>
      </c>
      <c r="I882" s="16">
        <v>113</v>
      </c>
      <c r="J882" s="16">
        <v>112</v>
      </c>
      <c r="K882" s="16">
        <v>3.1438292324550299E-3</v>
      </c>
      <c r="L882" s="16">
        <v>2.4724600788147799E-3</v>
      </c>
      <c r="M882" s="16">
        <v>1.27153892570111</v>
      </c>
      <c r="N882" s="16">
        <v>2703</v>
      </c>
      <c r="O882" s="16">
        <v>0.203646386016024</v>
      </c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 t="s">
        <v>402</v>
      </c>
      <c r="AI882" s="16"/>
      <c r="AJ882" s="16" t="s">
        <v>1427</v>
      </c>
    </row>
    <row r="883" spans="1:36" ht="15" customHeight="1" x14ac:dyDescent="0.3">
      <c r="A883" s="16" t="s">
        <v>273</v>
      </c>
      <c r="B883" s="16" t="s">
        <v>597</v>
      </c>
      <c r="C883" s="16" t="s">
        <v>1342</v>
      </c>
      <c r="D883" s="16" t="s">
        <v>324</v>
      </c>
      <c r="E883" s="16" t="s">
        <v>404</v>
      </c>
      <c r="F883" s="16" t="s">
        <v>1343</v>
      </c>
      <c r="G883" s="16">
        <v>0.6</v>
      </c>
      <c r="H883" s="16">
        <v>2705</v>
      </c>
      <c r="I883" s="16">
        <v>113</v>
      </c>
      <c r="J883" s="16">
        <v>112</v>
      </c>
      <c r="K883" s="16">
        <v>4.1464430106807303E-3</v>
      </c>
      <c r="L883" s="16">
        <v>2.4788844112625299E-3</v>
      </c>
      <c r="M883" s="16">
        <v>1.67270526686998</v>
      </c>
      <c r="N883" s="16">
        <v>2703</v>
      </c>
      <c r="O883" s="16">
        <v>9.4501056456896701E-2</v>
      </c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 t="s">
        <v>402</v>
      </c>
      <c r="AI883" s="16"/>
      <c r="AJ883" s="16" t="s">
        <v>1428</v>
      </c>
    </row>
    <row r="884" spans="1:36" ht="15" customHeight="1" x14ac:dyDescent="0.3">
      <c r="A884" s="16" t="s">
        <v>273</v>
      </c>
      <c r="B884" s="16" t="s">
        <v>599</v>
      </c>
      <c r="C884" s="16" t="s">
        <v>1342</v>
      </c>
      <c r="D884" s="16" t="s">
        <v>324</v>
      </c>
      <c r="E884" s="16" t="s">
        <v>404</v>
      </c>
      <c r="F884" s="16" t="s">
        <v>1343</v>
      </c>
      <c r="G884" s="16">
        <v>0.6</v>
      </c>
      <c r="H884" s="16">
        <v>2705</v>
      </c>
      <c r="I884" s="16">
        <v>113</v>
      </c>
      <c r="J884" s="16">
        <v>112</v>
      </c>
      <c r="K884" s="16">
        <v>4.0731652712560403E-3</v>
      </c>
      <c r="L884" s="16">
        <v>2.4811517177150298E-3</v>
      </c>
      <c r="M884" s="16">
        <v>1.64164296853525</v>
      </c>
      <c r="N884" s="16">
        <v>2703</v>
      </c>
      <c r="O884" s="16">
        <v>0.10078034967616301</v>
      </c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 t="s">
        <v>402</v>
      </c>
      <c r="AI884" s="16"/>
      <c r="AJ884" s="16" t="s">
        <v>1429</v>
      </c>
    </row>
    <row r="885" spans="1:36" ht="15" customHeight="1" x14ac:dyDescent="0.3">
      <c r="A885" s="16" t="s">
        <v>273</v>
      </c>
      <c r="B885" s="16" t="s">
        <v>601</v>
      </c>
      <c r="C885" s="16" t="s">
        <v>1342</v>
      </c>
      <c r="D885" s="16" t="s">
        <v>324</v>
      </c>
      <c r="E885" s="16" t="s">
        <v>404</v>
      </c>
      <c r="F885" s="16" t="s">
        <v>1343</v>
      </c>
      <c r="G885" s="16">
        <v>0.6</v>
      </c>
      <c r="H885" s="16">
        <v>2705</v>
      </c>
      <c r="I885" s="16">
        <v>113</v>
      </c>
      <c r="J885" s="16">
        <v>112</v>
      </c>
      <c r="K885" s="16">
        <v>1.8523314040095099E-3</v>
      </c>
      <c r="L885" s="16">
        <v>5.3428250476243201E-3</v>
      </c>
      <c r="M885" s="16">
        <v>0.346695126173585</v>
      </c>
      <c r="N885" s="16">
        <v>2703</v>
      </c>
      <c r="O885" s="16">
        <v>0.72884735908550802</v>
      </c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 t="s">
        <v>402</v>
      </c>
      <c r="AI885" s="16"/>
      <c r="AJ885" s="16" t="s">
        <v>1430</v>
      </c>
    </row>
    <row r="886" spans="1:36" ht="15" customHeight="1" x14ac:dyDescent="0.3">
      <c r="A886" s="16" t="s">
        <v>273</v>
      </c>
      <c r="B886" s="16" t="s">
        <v>603</v>
      </c>
      <c r="C886" s="16" t="s">
        <v>1342</v>
      </c>
      <c r="D886" s="16" t="s">
        <v>324</v>
      </c>
      <c r="E886" s="16" t="s">
        <v>404</v>
      </c>
      <c r="F886" s="16" t="s">
        <v>1343</v>
      </c>
      <c r="G886" s="16">
        <v>0.6</v>
      </c>
      <c r="H886" s="16">
        <v>2705</v>
      </c>
      <c r="I886" s="16">
        <v>113</v>
      </c>
      <c r="J886" s="16">
        <v>112</v>
      </c>
      <c r="K886" s="16">
        <v>7.73609204325304E-3</v>
      </c>
      <c r="L886" s="16">
        <v>4.8137909126509601E-3</v>
      </c>
      <c r="M886" s="16">
        <v>1.60706856272508</v>
      </c>
      <c r="N886" s="16">
        <v>2703</v>
      </c>
      <c r="O886" s="16">
        <v>0.108156126582306</v>
      </c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 t="s">
        <v>402</v>
      </c>
      <c r="AI886" s="16"/>
      <c r="AJ886" s="16" t="s">
        <v>1431</v>
      </c>
    </row>
    <row r="887" spans="1:36" ht="15" customHeight="1" x14ac:dyDescent="0.3">
      <c r="A887" s="16" t="s">
        <v>273</v>
      </c>
      <c r="B887" s="16" t="s">
        <v>605</v>
      </c>
      <c r="C887" s="16" t="s">
        <v>1342</v>
      </c>
      <c r="D887" s="16" t="s">
        <v>324</v>
      </c>
      <c r="E887" s="16" t="s">
        <v>404</v>
      </c>
      <c r="F887" s="16" t="s">
        <v>1343</v>
      </c>
      <c r="G887" s="16">
        <v>0.6</v>
      </c>
      <c r="H887" s="16">
        <v>2705</v>
      </c>
      <c r="I887" s="16">
        <v>113</v>
      </c>
      <c r="J887" s="16">
        <v>112</v>
      </c>
      <c r="K887" s="16">
        <v>-2.5304263152650598E-3</v>
      </c>
      <c r="L887" s="16">
        <v>3.5504973022219698E-3</v>
      </c>
      <c r="M887" s="16">
        <v>-0.71269630698816999</v>
      </c>
      <c r="N887" s="16">
        <v>2703</v>
      </c>
      <c r="O887" s="16">
        <v>0.47609521900125101</v>
      </c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 t="s">
        <v>402</v>
      </c>
      <c r="AI887" s="16"/>
      <c r="AJ887" s="16" t="s">
        <v>1432</v>
      </c>
    </row>
    <row r="888" spans="1:36" ht="15" customHeight="1" x14ac:dyDescent="0.3">
      <c r="A888" s="16" t="s">
        <v>273</v>
      </c>
      <c r="B888" s="16" t="s">
        <v>607</v>
      </c>
      <c r="C888" s="16" t="s">
        <v>1342</v>
      </c>
      <c r="D888" s="16" t="s">
        <v>324</v>
      </c>
      <c r="E888" s="16" t="s">
        <v>404</v>
      </c>
      <c r="F888" s="16" t="s">
        <v>1343</v>
      </c>
      <c r="G888" s="16">
        <v>0.6</v>
      </c>
      <c r="H888" s="16">
        <v>929</v>
      </c>
      <c r="I888" s="16">
        <v>40</v>
      </c>
      <c r="J888" s="16">
        <v>40</v>
      </c>
      <c r="K888" s="16">
        <v>4.7161893732970001E-3</v>
      </c>
      <c r="L888" s="16">
        <v>3.0996493849689698E-3</v>
      </c>
      <c r="M888" s="16">
        <v>1.52152349751784</v>
      </c>
      <c r="N888" s="16">
        <v>927</v>
      </c>
      <c r="O888" s="16">
        <v>0.12846953631076999</v>
      </c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 t="s">
        <v>402</v>
      </c>
      <c r="AI888" s="16"/>
      <c r="AJ888" s="16" t="s">
        <v>1433</v>
      </c>
    </row>
    <row r="889" spans="1:36" ht="15" customHeight="1" x14ac:dyDescent="0.3">
      <c r="A889" s="16" t="s">
        <v>273</v>
      </c>
      <c r="B889" s="16" t="s">
        <v>609</v>
      </c>
      <c r="C889" s="16" t="s">
        <v>1342</v>
      </c>
      <c r="D889" s="16" t="s">
        <v>324</v>
      </c>
      <c r="E889" s="16" t="s">
        <v>404</v>
      </c>
      <c r="F889" s="16" t="s">
        <v>1343</v>
      </c>
      <c r="G889" s="16">
        <v>0.6</v>
      </c>
      <c r="H889" s="16">
        <v>2607</v>
      </c>
      <c r="I889" s="16">
        <v>110</v>
      </c>
      <c r="J889" s="16">
        <v>109</v>
      </c>
      <c r="K889" s="16">
        <v>-3.9165308836757199E-4</v>
      </c>
      <c r="L889" s="16">
        <v>3.09678475717869E-3</v>
      </c>
      <c r="M889" s="16">
        <v>-0.126470878371407</v>
      </c>
      <c r="N889" s="16">
        <v>2605</v>
      </c>
      <c r="O889" s="16">
        <v>0.89936895984739396</v>
      </c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 t="s">
        <v>402</v>
      </c>
      <c r="AI889" s="16"/>
      <c r="AJ889" s="16" t="s">
        <v>1434</v>
      </c>
    </row>
    <row r="890" spans="1:36" ht="15" customHeight="1" x14ac:dyDescent="0.3">
      <c r="A890" s="16" t="s">
        <v>273</v>
      </c>
      <c r="B890" s="16" t="s">
        <v>611</v>
      </c>
      <c r="C890" s="16" t="s">
        <v>1342</v>
      </c>
      <c r="D890" s="16" t="s">
        <v>324</v>
      </c>
      <c r="E890" s="16" t="s">
        <v>404</v>
      </c>
      <c r="F890" s="16" t="s">
        <v>1343</v>
      </c>
      <c r="G890" s="16">
        <v>0.6</v>
      </c>
      <c r="H890" s="16">
        <v>2607</v>
      </c>
      <c r="I890" s="16">
        <v>110</v>
      </c>
      <c r="J890" s="16">
        <v>109</v>
      </c>
      <c r="K890" s="16">
        <v>-6.9224882188157995E-4</v>
      </c>
      <c r="L890" s="16">
        <v>3.0994248984873699E-3</v>
      </c>
      <c r="M890" s="16">
        <v>-0.22334750624847199</v>
      </c>
      <c r="N890" s="16">
        <v>2605</v>
      </c>
      <c r="O890" s="16">
        <v>0.82328256850160797</v>
      </c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 t="s">
        <v>402</v>
      </c>
      <c r="AI890" s="16"/>
      <c r="AJ890" s="16" t="s">
        <v>1435</v>
      </c>
    </row>
    <row r="891" spans="1:36" ht="15" customHeight="1" x14ac:dyDescent="0.3">
      <c r="A891" s="16" t="s">
        <v>273</v>
      </c>
      <c r="B891" s="16" t="s">
        <v>613</v>
      </c>
      <c r="C891" s="16" t="s">
        <v>1342</v>
      </c>
      <c r="D891" s="16" t="s">
        <v>324</v>
      </c>
      <c r="E891" s="16" t="s">
        <v>404</v>
      </c>
      <c r="F891" s="16" t="s">
        <v>1343</v>
      </c>
      <c r="G891" s="16">
        <v>0.6</v>
      </c>
      <c r="H891" s="16">
        <v>2607</v>
      </c>
      <c r="I891" s="16">
        <v>110</v>
      </c>
      <c r="J891" s="16">
        <v>109</v>
      </c>
      <c r="K891" s="16">
        <v>1.6507592705524599E-3</v>
      </c>
      <c r="L891" s="16">
        <v>8.6931386023847701E-3</v>
      </c>
      <c r="M891" s="16">
        <v>0.189892206492557</v>
      </c>
      <c r="N891" s="16">
        <v>2605</v>
      </c>
      <c r="O891" s="16">
        <v>0.84940839459002104</v>
      </c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 t="s">
        <v>402</v>
      </c>
      <c r="AI891" s="16"/>
      <c r="AJ891" s="16" t="s">
        <v>1436</v>
      </c>
    </row>
    <row r="892" spans="1:36" ht="15" customHeight="1" x14ac:dyDescent="0.3">
      <c r="A892" s="16" t="s">
        <v>273</v>
      </c>
      <c r="B892" s="16" t="s">
        <v>615</v>
      </c>
      <c r="C892" s="16" t="s">
        <v>1342</v>
      </c>
      <c r="D892" s="16" t="s">
        <v>324</v>
      </c>
      <c r="E892" s="16" t="s">
        <v>404</v>
      </c>
      <c r="F892" s="16" t="s">
        <v>1343</v>
      </c>
      <c r="G892" s="16">
        <v>0.6</v>
      </c>
      <c r="H892" s="16">
        <v>2607</v>
      </c>
      <c r="I892" s="16">
        <v>110</v>
      </c>
      <c r="J892" s="16">
        <v>109</v>
      </c>
      <c r="K892" s="16">
        <v>-6.12993934113595E-4</v>
      </c>
      <c r="L892" s="16">
        <v>3.0997395690018502E-3</v>
      </c>
      <c r="M892" s="16">
        <v>-0.19775659227751999</v>
      </c>
      <c r="N892" s="16">
        <v>2605</v>
      </c>
      <c r="O892" s="16">
        <v>0.84325093916619898</v>
      </c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 t="s">
        <v>402</v>
      </c>
      <c r="AI892" s="16"/>
      <c r="AJ892" s="16" t="s">
        <v>1437</v>
      </c>
    </row>
    <row r="893" spans="1:36" ht="15" customHeight="1" x14ac:dyDescent="0.3">
      <c r="A893" s="16" t="s">
        <v>273</v>
      </c>
      <c r="B893" s="16" t="s">
        <v>617</v>
      </c>
      <c r="C893" s="16" t="s">
        <v>1342</v>
      </c>
      <c r="D893" s="16" t="s">
        <v>324</v>
      </c>
      <c r="E893" s="16" t="s">
        <v>404</v>
      </c>
      <c r="F893" s="16" t="s">
        <v>1343</v>
      </c>
      <c r="G893" s="16">
        <v>0.6</v>
      </c>
      <c r="H893" s="16">
        <v>2607</v>
      </c>
      <c r="I893" s="16">
        <v>110</v>
      </c>
      <c r="J893" s="16">
        <v>109</v>
      </c>
      <c r="K893" s="16">
        <v>3.3800610231289298E-4</v>
      </c>
      <c r="L893" s="16">
        <v>3.10716987620275E-3</v>
      </c>
      <c r="M893" s="16">
        <v>0.108782627207357</v>
      </c>
      <c r="N893" s="16">
        <v>2605</v>
      </c>
      <c r="O893" s="16">
        <v>0.91338328170829497</v>
      </c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 t="s">
        <v>402</v>
      </c>
      <c r="AI893" s="16"/>
      <c r="AJ893" s="16" t="s">
        <v>1438</v>
      </c>
    </row>
    <row r="894" spans="1:36" ht="15" customHeight="1" x14ac:dyDescent="0.3">
      <c r="A894" s="16" t="s">
        <v>273</v>
      </c>
      <c r="B894" s="16" t="s">
        <v>619</v>
      </c>
      <c r="C894" s="16" t="s">
        <v>1342</v>
      </c>
      <c r="D894" s="16" t="s">
        <v>324</v>
      </c>
      <c r="E894" s="16" t="s">
        <v>404</v>
      </c>
      <c r="F894" s="16" t="s">
        <v>1343</v>
      </c>
      <c r="G894" s="16">
        <v>0.6</v>
      </c>
      <c r="H894" s="16">
        <v>2607</v>
      </c>
      <c r="I894" s="16">
        <v>110</v>
      </c>
      <c r="J894" s="16">
        <v>109</v>
      </c>
      <c r="K894" s="16">
        <v>2.8884408469831402E-4</v>
      </c>
      <c r="L894" s="16">
        <v>3.1098285584304501E-3</v>
      </c>
      <c r="M894" s="16">
        <v>9.2881031629632904E-2</v>
      </c>
      <c r="N894" s="16">
        <v>2605</v>
      </c>
      <c r="O894" s="16">
        <v>0.92600521742356801</v>
      </c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 t="s">
        <v>402</v>
      </c>
      <c r="AI894" s="16"/>
      <c r="AJ894" s="16" t="s">
        <v>1439</v>
      </c>
    </row>
    <row r="895" spans="1:36" ht="15" customHeight="1" x14ac:dyDescent="0.3">
      <c r="A895" s="16" t="s">
        <v>273</v>
      </c>
      <c r="B895" s="16" t="s">
        <v>621</v>
      </c>
      <c r="C895" s="16" t="s">
        <v>1342</v>
      </c>
      <c r="D895" s="16" t="s">
        <v>324</v>
      </c>
      <c r="E895" s="16" t="s">
        <v>404</v>
      </c>
      <c r="F895" s="16" t="s">
        <v>1343</v>
      </c>
      <c r="G895" s="16">
        <v>0.6</v>
      </c>
      <c r="H895" s="16">
        <v>2607</v>
      </c>
      <c r="I895" s="16">
        <v>110</v>
      </c>
      <c r="J895" s="16">
        <v>109</v>
      </c>
      <c r="K895" s="16">
        <v>1.8272793220835001E-3</v>
      </c>
      <c r="L895" s="16">
        <v>6.8776470721903403E-3</v>
      </c>
      <c r="M895" s="16">
        <v>0.26568378733361803</v>
      </c>
      <c r="N895" s="16">
        <v>2605</v>
      </c>
      <c r="O895" s="16">
        <v>0.79050377432810903</v>
      </c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 t="s">
        <v>402</v>
      </c>
      <c r="AI895" s="16"/>
      <c r="AJ895" s="16" t="s">
        <v>1440</v>
      </c>
    </row>
    <row r="896" spans="1:36" ht="15" customHeight="1" x14ac:dyDescent="0.3">
      <c r="A896" s="16" t="s">
        <v>273</v>
      </c>
      <c r="B896" s="16" t="s">
        <v>623</v>
      </c>
      <c r="C896" s="16" t="s">
        <v>1342</v>
      </c>
      <c r="D896" s="16" t="s">
        <v>324</v>
      </c>
      <c r="E896" s="16" t="s">
        <v>404</v>
      </c>
      <c r="F896" s="16" t="s">
        <v>1343</v>
      </c>
      <c r="G896" s="16">
        <v>0.6</v>
      </c>
      <c r="H896" s="16">
        <v>2607</v>
      </c>
      <c r="I896" s="16">
        <v>110</v>
      </c>
      <c r="J896" s="16">
        <v>109</v>
      </c>
      <c r="K896" s="16">
        <v>9.6828050596289295E-3</v>
      </c>
      <c r="L896" s="16">
        <v>6.1568632413713702E-3</v>
      </c>
      <c r="M896" s="16">
        <v>1.5726847714538801</v>
      </c>
      <c r="N896" s="16">
        <v>2605</v>
      </c>
      <c r="O896" s="16">
        <v>0.115913266410654</v>
      </c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 t="s">
        <v>402</v>
      </c>
      <c r="AI896" s="16"/>
      <c r="AJ896" s="16" t="s">
        <v>1441</v>
      </c>
    </row>
    <row r="897" spans="1:36" ht="15" customHeight="1" x14ac:dyDescent="0.3">
      <c r="A897" s="16" t="s">
        <v>273</v>
      </c>
      <c r="B897" s="16" t="s">
        <v>625</v>
      </c>
      <c r="C897" s="16" t="s">
        <v>1342</v>
      </c>
      <c r="D897" s="16" t="s">
        <v>324</v>
      </c>
      <c r="E897" s="16" t="s">
        <v>404</v>
      </c>
      <c r="F897" s="16" t="s">
        <v>1343</v>
      </c>
      <c r="G897" s="16">
        <v>0.6</v>
      </c>
      <c r="H897" s="16">
        <v>2607</v>
      </c>
      <c r="I897" s="16">
        <v>110</v>
      </c>
      <c r="J897" s="16">
        <v>109</v>
      </c>
      <c r="K897" s="16">
        <v>-4.8033291483109302E-4</v>
      </c>
      <c r="L897" s="16">
        <v>4.4851522206750998E-3</v>
      </c>
      <c r="M897" s="16">
        <v>-0.10709400510799</v>
      </c>
      <c r="N897" s="16">
        <v>2605</v>
      </c>
      <c r="O897" s="16">
        <v>0.91472264971768602</v>
      </c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 t="s">
        <v>402</v>
      </c>
      <c r="AI897" s="16"/>
      <c r="AJ897" s="16" t="s">
        <v>1442</v>
      </c>
    </row>
    <row r="898" spans="1:36" ht="15" customHeight="1" x14ac:dyDescent="0.3">
      <c r="A898" s="16" t="s">
        <v>273</v>
      </c>
      <c r="B898" s="16" t="s">
        <v>627</v>
      </c>
      <c r="C898" s="16" t="s">
        <v>1342</v>
      </c>
      <c r="D898" s="16" t="s">
        <v>324</v>
      </c>
      <c r="E898" s="16" t="s">
        <v>404</v>
      </c>
      <c r="F898" s="16" t="s">
        <v>1343</v>
      </c>
      <c r="G898" s="16">
        <v>0.6</v>
      </c>
      <c r="H898" s="16">
        <v>905</v>
      </c>
      <c r="I898" s="16">
        <v>38</v>
      </c>
      <c r="J898" s="16">
        <v>38</v>
      </c>
      <c r="K898" s="16">
        <v>1.76411380688494E-3</v>
      </c>
      <c r="L898" s="16">
        <v>3.4655690459556598E-3</v>
      </c>
      <c r="M898" s="16">
        <v>0.50904015574113903</v>
      </c>
      <c r="N898" s="16">
        <v>903</v>
      </c>
      <c r="O898" s="16">
        <v>0.61084843437796499</v>
      </c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 t="s">
        <v>402</v>
      </c>
      <c r="AI898" s="16"/>
      <c r="AJ898" s="16" t="s">
        <v>1443</v>
      </c>
    </row>
    <row r="899" spans="1:36" ht="15" customHeight="1" x14ac:dyDescent="0.3">
      <c r="A899" s="16" t="s">
        <v>273</v>
      </c>
      <c r="B899" s="16" t="s">
        <v>629</v>
      </c>
      <c r="C899" s="16" t="s">
        <v>1342</v>
      </c>
      <c r="D899" s="16" t="s">
        <v>324</v>
      </c>
      <c r="E899" s="16" t="s">
        <v>404</v>
      </c>
      <c r="F899" s="16" t="s">
        <v>1343</v>
      </c>
      <c r="G899" s="16">
        <v>0.6</v>
      </c>
      <c r="H899" s="16">
        <v>2594</v>
      </c>
      <c r="I899" s="16">
        <v>110</v>
      </c>
      <c r="J899" s="16">
        <v>109</v>
      </c>
      <c r="K899" s="16">
        <v>-8.6763566681671205E-4</v>
      </c>
      <c r="L899" s="16">
        <v>2.9027345008550199E-3</v>
      </c>
      <c r="M899" s="16">
        <v>-0.29890286781692998</v>
      </c>
      <c r="N899" s="16">
        <v>2592</v>
      </c>
      <c r="O899" s="16">
        <v>0.76503812053738296</v>
      </c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 t="s">
        <v>402</v>
      </c>
      <c r="AI899" s="16"/>
      <c r="AJ899" s="16" t="s">
        <v>1444</v>
      </c>
    </row>
    <row r="900" spans="1:36" ht="15" customHeight="1" x14ac:dyDescent="0.3">
      <c r="A900" s="16" t="s">
        <v>273</v>
      </c>
      <c r="B900" s="16" t="s">
        <v>631</v>
      </c>
      <c r="C900" s="16" t="s">
        <v>1342</v>
      </c>
      <c r="D900" s="16" t="s">
        <v>324</v>
      </c>
      <c r="E900" s="16" t="s">
        <v>404</v>
      </c>
      <c r="F900" s="16" t="s">
        <v>1343</v>
      </c>
      <c r="G900" s="16">
        <v>0.6</v>
      </c>
      <c r="H900" s="16">
        <v>2594</v>
      </c>
      <c r="I900" s="16">
        <v>110</v>
      </c>
      <c r="J900" s="16">
        <v>109</v>
      </c>
      <c r="K900" s="16">
        <v>-1.1650529962566099E-3</v>
      </c>
      <c r="L900" s="16">
        <v>2.9051838767613601E-3</v>
      </c>
      <c r="M900" s="16">
        <v>-0.401025561781439</v>
      </c>
      <c r="N900" s="16">
        <v>2592</v>
      </c>
      <c r="O900" s="16">
        <v>0.68843435923030005</v>
      </c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 t="s">
        <v>402</v>
      </c>
      <c r="AI900" s="16"/>
      <c r="AJ900" s="16" t="s">
        <v>1445</v>
      </c>
    </row>
    <row r="901" spans="1:36" ht="15" customHeight="1" x14ac:dyDescent="0.3">
      <c r="A901" s="16" t="s">
        <v>273</v>
      </c>
      <c r="B901" s="16" t="s">
        <v>633</v>
      </c>
      <c r="C901" s="16" t="s">
        <v>1342</v>
      </c>
      <c r="D901" s="16" t="s">
        <v>324</v>
      </c>
      <c r="E901" s="16" t="s">
        <v>404</v>
      </c>
      <c r="F901" s="16" t="s">
        <v>1343</v>
      </c>
      <c r="G901" s="16">
        <v>0.6</v>
      </c>
      <c r="H901" s="16">
        <v>2594</v>
      </c>
      <c r="I901" s="16">
        <v>110</v>
      </c>
      <c r="J901" s="16">
        <v>109</v>
      </c>
      <c r="K901" s="16">
        <v>1.00646859475817E-3</v>
      </c>
      <c r="L901" s="16">
        <v>8.15130067244417E-3</v>
      </c>
      <c r="M901" s="16">
        <v>0.123473373784454</v>
      </c>
      <c r="N901" s="16">
        <v>2592</v>
      </c>
      <c r="O901" s="16">
        <v>0.90174183078918602</v>
      </c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 t="s">
        <v>402</v>
      </c>
      <c r="AI901" s="16"/>
      <c r="AJ901" s="16" t="s">
        <v>1446</v>
      </c>
    </row>
    <row r="902" spans="1:36" ht="15" customHeight="1" x14ac:dyDescent="0.3">
      <c r="A902" s="16" t="s">
        <v>273</v>
      </c>
      <c r="B902" s="16" t="s">
        <v>635</v>
      </c>
      <c r="C902" s="16" t="s">
        <v>1342</v>
      </c>
      <c r="D902" s="16" t="s">
        <v>324</v>
      </c>
      <c r="E902" s="16" t="s">
        <v>404</v>
      </c>
      <c r="F902" s="16" t="s">
        <v>1343</v>
      </c>
      <c r="G902" s="16">
        <v>0.6</v>
      </c>
      <c r="H902" s="16">
        <v>2594</v>
      </c>
      <c r="I902" s="16">
        <v>110</v>
      </c>
      <c r="J902" s="16">
        <v>109</v>
      </c>
      <c r="K902" s="16">
        <v>-1.0854344337231201E-3</v>
      </c>
      <c r="L902" s="16">
        <v>2.90548429973351E-3</v>
      </c>
      <c r="M902" s="16">
        <v>-0.37358124214358202</v>
      </c>
      <c r="N902" s="16">
        <v>2592</v>
      </c>
      <c r="O902" s="16">
        <v>0.70874644368392703</v>
      </c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 t="s">
        <v>402</v>
      </c>
      <c r="AI902" s="16"/>
      <c r="AJ902" s="16" t="s">
        <v>1447</v>
      </c>
    </row>
    <row r="903" spans="1:36" ht="15" customHeight="1" x14ac:dyDescent="0.3">
      <c r="A903" s="16" t="s">
        <v>273</v>
      </c>
      <c r="B903" s="16" t="s">
        <v>637</v>
      </c>
      <c r="C903" s="16" t="s">
        <v>1342</v>
      </c>
      <c r="D903" s="16" t="s">
        <v>324</v>
      </c>
      <c r="E903" s="16" t="s">
        <v>404</v>
      </c>
      <c r="F903" s="16" t="s">
        <v>1343</v>
      </c>
      <c r="G903" s="16">
        <v>0.6</v>
      </c>
      <c r="H903" s="16">
        <v>2594</v>
      </c>
      <c r="I903" s="16">
        <v>110</v>
      </c>
      <c r="J903" s="16">
        <v>109</v>
      </c>
      <c r="K903" s="16">
        <v>-1.27436781153765E-4</v>
      </c>
      <c r="L903" s="16">
        <v>2.9125026869390698E-3</v>
      </c>
      <c r="M903" s="16">
        <v>-4.37550776262789E-2</v>
      </c>
      <c r="N903" s="16">
        <v>2592</v>
      </c>
      <c r="O903" s="16">
        <v>0.96510300591633502</v>
      </c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 t="s">
        <v>402</v>
      </c>
      <c r="AI903" s="16"/>
      <c r="AJ903" s="16" t="s">
        <v>1448</v>
      </c>
    </row>
    <row r="904" spans="1:36" ht="15" customHeight="1" x14ac:dyDescent="0.3">
      <c r="A904" s="16" t="s">
        <v>273</v>
      </c>
      <c r="B904" s="16" t="s">
        <v>639</v>
      </c>
      <c r="C904" s="16" t="s">
        <v>1342</v>
      </c>
      <c r="D904" s="16" t="s">
        <v>324</v>
      </c>
      <c r="E904" s="16" t="s">
        <v>404</v>
      </c>
      <c r="F904" s="16" t="s">
        <v>1343</v>
      </c>
      <c r="G904" s="16">
        <v>0.6</v>
      </c>
      <c r="H904" s="16">
        <v>2594</v>
      </c>
      <c r="I904" s="16">
        <v>110</v>
      </c>
      <c r="J904" s="16">
        <v>109</v>
      </c>
      <c r="K904" s="16">
        <v>-1.7467800950138701E-4</v>
      </c>
      <c r="L904" s="16">
        <v>2.9149897278382799E-3</v>
      </c>
      <c r="M904" s="16">
        <v>-5.9924056621265001E-2</v>
      </c>
      <c r="N904" s="16">
        <v>2592</v>
      </c>
      <c r="O904" s="16">
        <v>0.95222073948496999</v>
      </c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 t="s">
        <v>402</v>
      </c>
      <c r="AI904" s="16"/>
      <c r="AJ904" s="16" t="s">
        <v>1449</v>
      </c>
    </row>
    <row r="905" spans="1:36" ht="15" customHeight="1" x14ac:dyDescent="0.3">
      <c r="A905" s="16" t="s">
        <v>273</v>
      </c>
      <c r="B905" s="16" t="s">
        <v>641</v>
      </c>
      <c r="C905" s="16" t="s">
        <v>1342</v>
      </c>
      <c r="D905" s="16" t="s">
        <v>324</v>
      </c>
      <c r="E905" s="16" t="s">
        <v>404</v>
      </c>
      <c r="F905" s="16" t="s">
        <v>1343</v>
      </c>
      <c r="G905" s="16">
        <v>0.6</v>
      </c>
      <c r="H905" s="16">
        <v>2594</v>
      </c>
      <c r="I905" s="16">
        <v>110</v>
      </c>
      <c r="J905" s="16">
        <v>109</v>
      </c>
      <c r="K905" s="16">
        <v>1.2636776655585501E-3</v>
      </c>
      <c r="L905" s="16">
        <v>6.4489097142109699E-3</v>
      </c>
      <c r="M905" s="16">
        <v>0.19595214099119401</v>
      </c>
      <c r="N905" s="16">
        <v>2592</v>
      </c>
      <c r="O905" s="16">
        <v>0.84466298594307798</v>
      </c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 t="s">
        <v>402</v>
      </c>
      <c r="AI905" s="16"/>
      <c r="AJ905" s="16" t="s">
        <v>1450</v>
      </c>
    </row>
    <row r="906" spans="1:36" ht="15" customHeight="1" x14ac:dyDescent="0.3">
      <c r="A906" s="16" t="s">
        <v>273</v>
      </c>
      <c r="B906" s="16" t="s">
        <v>643</v>
      </c>
      <c r="C906" s="16" t="s">
        <v>1342</v>
      </c>
      <c r="D906" s="16" t="s">
        <v>324</v>
      </c>
      <c r="E906" s="16" t="s">
        <v>404</v>
      </c>
      <c r="F906" s="16" t="s">
        <v>1343</v>
      </c>
      <c r="G906" s="16">
        <v>0.6</v>
      </c>
      <c r="H906" s="16">
        <v>2594</v>
      </c>
      <c r="I906" s="16">
        <v>110</v>
      </c>
      <c r="J906" s="16">
        <v>109</v>
      </c>
      <c r="K906" s="16">
        <v>7.5438793337865998E-3</v>
      </c>
      <c r="L906" s="16">
        <v>5.7745685514306701E-3</v>
      </c>
      <c r="M906" s="16">
        <v>1.30639705228152</v>
      </c>
      <c r="N906" s="16">
        <v>2592</v>
      </c>
      <c r="O906" s="16">
        <v>0.19153347560293699</v>
      </c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 t="s">
        <v>402</v>
      </c>
      <c r="AI906" s="16"/>
      <c r="AJ906" s="16" t="s">
        <v>1451</v>
      </c>
    </row>
    <row r="907" spans="1:36" ht="15" customHeight="1" x14ac:dyDescent="0.3">
      <c r="A907" s="16" t="s">
        <v>273</v>
      </c>
      <c r="B907" s="16" t="s">
        <v>645</v>
      </c>
      <c r="C907" s="16" t="s">
        <v>1342</v>
      </c>
      <c r="D907" s="16" t="s">
        <v>324</v>
      </c>
      <c r="E907" s="16" t="s">
        <v>404</v>
      </c>
      <c r="F907" s="16" t="s">
        <v>1343</v>
      </c>
      <c r="G907" s="16">
        <v>0.6</v>
      </c>
      <c r="H907" s="16">
        <v>2594</v>
      </c>
      <c r="I907" s="16">
        <v>110</v>
      </c>
      <c r="J907" s="16">
        <v>109</v>
      </c>
      <c r="K907" s="16">
        <v>-1.5160449703759001E-3</v>
      </c>
      <c r="L907" s="16">
        <v>4.2046492738254298E-3</v>
      </c>
      <c r="M907" s="16">
        <v>-0.36056395471877001</v>
      </c>
      <c r="N907" s="16">
        <v>2592</v>
      </c>
      <c r="O907" s="16">
        <v>0.71845481927727295</v>
      </c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 t="s">
        <v>402</v>
      </c>
      <c r="AI907" s="16"/>
      <c r="AJ907" s="16" t="s">
        <v>1452</v>
      </c>
    </row>
    <row r="908" spans="1:36" ht="15" customHeight="1" x14ac:dyDescent="0.3">
      <c r="A908" s="16" t="s">
        <v>273</v>
      </c>
      <c r="B908" s="16" t="s">
        <v>647</v>
      </c>
      <c r="C908" s="16" t="s">
        <v>1342</v>
      </c>
      <c r="D908" s="16" t="s">
        <v>324</v>
      </c>
      <c r="E908" s="16" t="s">
        <v>404</v>
      </c>
      <c r="F908" s="16" t="s">
        <v>1343</v>
      </c>
      <c r="G908" s="16">
        <v>0.6</v>
      </c>
      <c r="H908" s="16">
        <v>900</v>
      </c>
      <c r="I908" s="16">
        <v>38</v>
      </c>
      <c r="J908" s="16">
        <v>38</v>
      </c>
      <c r="K908" s="16">
        <v>8.8263847574923302E-4</v>
      </c>
      <c r="L908" s="16">
        <v>3.2539465502215599E-3</v>
      </c>
      <c r="M908" s="16">
        <v>0.27125168226538099</v>
      </c>
      <c r="N908" s="16">
        <v>898</v>
      </c>
      <c r="O908" s="16">
        <v>0.78625980592543199</v>
      </c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 t="s">
        <v>402</v>
      </c>
      <c r="AI908" s="16"/>
      <c r="AJ908" s="16" t="s">
        <v>1453</v>
      </c>
    </row>
    <row r="909" spans="1:36" ht="15" customHeight="1" x14ac:dyDescent="0.3">
      <c r="A909" s="16" t="s">
        <v>273</v>
      </c>
      <c r="B909" s="16" t="s">
        <v>649</v>
      </c>
      <c r="C909" s="16" t="s">
        <v>1342</v>
      </c>
      <c r="D909" s="16" t="s">
        <v>324</v>
      </c>
      <c r="E909" s="16" t="s">
        <v>404</v>
      </c>
      <c r="F909" s="16" t="s">
        <v>1343</v>
      </c>
      <c r="G909" s="16">
        <v>0.6</v>
      </c>
      <c r="H909" s="16">
        <v>2607</v>
      </c>
      <c r="I909" s="16">
        <v>110</v>
      </c>
      <c r="J909" s="16">
        <v>109</v>
      </c>
      <c r="K909" s="16">
        <v>3.09680379863864E-3</v>
      </c>
      <c r="L909" s="16">
        <v>2.52106659679891E-3</v>
      </c>
      <c r="M909" s="16">
        <v>1.22837048516321</v>
      </c>
      <c r="N909" s="16">
        <v>2605</v>
      </c>
      <c r="O909" s="16">
        <v>0.21941888756026701</v>
      </c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 t="s">
        <v>402</v>
      </c>
      <c r="AI909" s="16"/>
      <c r="AJ909" s="16" t="s">
        <v>1454</v>
      </c>
    </row>
    <row r="910" spans="1:36" ht="15" customHeight="1" x14ac:dyDescent="0.3">
      <c r="A910" s="16" t="s">
        <v>273</v>
      </c>
      <c r="B910" s="16" t="s">
        <v>651</v>
      </c>
      <c r="C910" s="16" t="s">
        <v>1342</v>
      </c>
      <c r="D910" s="16" t="s">
        <v>324</v>
      </c>
      <c r="E910" s="16" t="s">
        <v>404</v>
      </c>
      <c r="F910" s="16" t="s">
        <v>1343</v>
      </c>
      <c r="G910" s="16">
        <v>0.6</v>
      </c>
      <c r="H910" s="16">
        <v>2607</v>
      </c>
      <c r="I910" s="16">
        <v>110</v>
      </c>
      <c r="J910" s="16">
        <v>109</v>
      </c>
      <c r="K910" s="16">
        <v>2.84423521084789E-3</v>
      </c>
      <c r="L910" s="16">
        <v>2.5233477198810901E-3</v>
      </c>
      <c r="M910" s="16">
        <v>1.12716736914163</v>
      </c>
      <c r="N910" s="16">
        <v>2605</v>
      </c>
      <c r="O910" s="16">
        <v>0.25977553707349099</v>
      </c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 t="s">
        <v>402</v>
      </c>
      <c r="AI910" s="16"/>
      <c r="AJ910" s="16" t="s">
        <v>1455</v>
      </c>
    </row>
    <row r="911" spans="1:36" ht="15" customHeight="1" x14ac:dyDescent="0.3">
      <c r="A911" s="16" t="s">
        <v>273</v>
      </c>
      <c r="B911" s="16" t="s">
        <v>653</v>
      </c>
      <c r="C911" s="16" t="s">
        <v>1342</v>
      </c>
      <c r="D911" s="16" t="s">
        <v>324</v>
      </c>
      <c r="E911" s="16" t="s">
        <v>404</v>
      </c>
      <c r="F911" s="16" t="s">
        <v>1343</v>
      </c>
      <c r="G911" s="16">
        <v>0.6</v>
      </c>
      <c r="H911" s="16">
        <v>2607</v>
      </c>
      <c r="I911" s="16">
        <v>110</v>
      </c>
      <c r="J911" s="16">
        <v>109</v>
      </c>
      <c r="K911" s="16">
        <v>-8.21912904595268E-4</v>
      </c>
      <c r="L911" s="16">
        <v>7.0790697613788301E-3</v>
      </c>
      <c r="M911" s="16">
        <v>-0.11610464825186</v>
      </c>
      <c r="N911" s="16">
        <v>2605</v>
      </c>
      <c r="O911" s="16">
        <v>0.90757855425771605</v>
      </c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 t="s">
        <v>402</v>
      </c>
      <c r="AI911" s="16"/>
      <c r="AJ911" s="16" t="s">
        <v>1456</v>
      </c>
    </row>
    <row r="912" spans="1:36" ht="15" customHeight="1" x14ac:dyDescent="0.3">
      <c r="A912" s="16" t="s">
        <v>273</v>
      </c>
      <c r="B912" s="16" t="s">
        <v>655</v>
      </c>
      <c r="C912" s="16" t="s">
        <v>1342</v>
      </c>
      <c r="D912" s="16" t="s">
        <v>324</v>
      </c>
      <c r="E912" s="16" t="s">
        <v>404</v>
      </c>
      <c r="F912" s="16" t="s">
        <v>1343</v>
      </c>
      <c r="G912" s="16">
        <v>0.6</v>
      </c>
      <c r="H912" s="16">
        <v>2607</v>
      </c>
      <c r="I912" s="16">
        <v>110</v>
      </c>
      <c r="J912" s="16">
        <v>109</v>
      </c>
      <c r="K912" s="16">
        <v>2.9193438520111301E-3</v>
      </c>
      <c r="L912" s="16">
        <v>2.5235658814403801E-3</v>
      </c>
      <c r="M912" s="16">
        <v>1.15683282670823</v>
      </c>
      <c r="N912" s="16">
        <v>2605</v>
      </c>
      <c r="O912" s="16">
        <v>0.24744673706491299</v>
      </c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 t="s">
        <v>402</v>
      </c>
      <c r="AI912" s="16"/>
      <c r="AJ912" s="16" t="s">
        <v>1457</v>
      </c>
    </row>
    <row r="913" spans="1:36" ht="15" customHeight="1" x14ac:dyDescent="0.3">
      <c r="A913" s="16" t="s">
        <v>273</v>
      </c>
      <c r="B913" s="16" t="s">
        <v>657</v>
      </c>
      <c r="C913" s="16" t="s">
        <v>1342</v>
      </c>
      <c r="D913" s="16" t="s">
        <v>324</v>
      </c>
      <c r="E913" s="16" t="s">
        <v>404</v>
      </c>
      <c r="F913" s="16" t="s">
        <v>1343</v>
      </c>
      <c r="G913" s="16">
        <v>0.6</v>
      </c>
      <c r="H913" s="16">
        <v>2607</v>
      </c>
      <c r="I913" s="16">
        <v>110</v>
      </c>
      <c r="J913" s="16">
        <v>109</v>
      </c>
      <c r="K913" s="16">
        <v>3.78700052067656E-3</v>
      </c>
      <c r="L913" s="16">
        <v>2.52916336083329E-3</v>
      </c>
      <c r="M913" s="16">
        <v>1.4973332997473301</v>
      </c>
      <c r="N913" s="16">
        <v>2605</v>
      </c>
      <c r="O913" s="16">
        <v>0.13442770497079801</v>
      </c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 t="s">
        <v>402</v>
      </c>
      <c r="AI913" s="16"/>
      <c r="AJ913" s="16" t="s">
        <v>1458</v>
      </c>
    </row>
    <row r="914" spans="1:36" ht="15" customHeight="1" x14ac:dyDescent="0.3">
      <c r="A914" s="16" t="s">
        <v>273</v>
      </c>
      <c r="B914" s="16" t="s">
        <v>659</v>
      </c>
      <c r="C914" s="16" t="s">
        <v>1342</v>
      </c>
      <c r="D914" s="16" t="s">
        <v>324</v>
      </c>
      <c r="E914" s="16" t="s">
        <v>404</v>
      </c>
      <c r="F914" s="16" t="s">
        <v>1343</v>
      </c>
      <c r="G914" s="16">
        <v>0.6</v>
      </c>
      <c r="H914" s="16">
        <v>2607</v>
      </c>
      <c r="I914" s="16">
        <v>110</v>
      </c>
      <c r="J914" s="16">
        <v>109</v>
      </c>
      <c r="K914" s="16">
        <v>3.71518066137231E-3</v>
      </c>
      <c r="L914" s="16">
        <v>2.5313686228937001E-3</v>
      </c>
      <c r="M914" s="16">
        <v>1.46765691403939</v>
      </c>
      <c r="N914" s="16">
        <v>2605</v>
      </c>
      <c r="O914" s="16">
        <v>0.142318161801093</v>
      </c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 t="s">
        <v>402</v>
      </c>
      <c r="AI914" s="16"/>
      <c r="AJ914" s="16" t="s">
        <v>1459</v>
      </c>
    </row>
    <row r="915" spans="1:36" ht="15" customHeight="1" x14ac:dyDescent="0.3">
      <c r="A915" s="16" t="s">
        <v>273</v>
      </c>
      <c r="B915" s="16" t="s">
        <v>661</v>
      </c>
      <c r="C915" s="16" t="s">
        <v>1342</v>
      </c>
      <c r="D915" s="16" t="s">
        <v>324</v>
      </c>
      <c r="E915" s="16" t="s">
        <v>404</v>
      </c>
      <c r="F915" s="16" t="s">
        <v>1343</v>
      </c>
      <c r="G915" s="16">
        <v>0.6</v>
      </c>
      <c r="H915" s="16">
        <v>2607</v>
      </c>
      <c r="I915" s="16">
        <v>110</v>
      </c>
      <c r="J915" s="16">
        <v>109</v>
      </c>
      <c r="K915" s="16">
        <v>-4.5179447298198902E-4</v>
      </c>
      <c r="L915" s="16">
        <v>5.6007080381529099E-3</v>
      </c>
      <c r="M915" s="16">
        <v>-8.0667385249203E-2</v>
      </c>
      <c r="N915" s="16">
        <v>2605</v>
      </c>
      <c r="O915" s="16">
        <v>0.93571267165647498</v>
      </c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 t="s">
        <v>402</v>
      </c>
      <c r="AI915" s="16"/>
      <c r="AJ915" s="16" t="s">
        <v>1460</v>
      </c>
    </row>
    <row r="916" spans="1:36" ht="15" customHeight="1" x14ac:dyDescent="0.3">
      <c r="A916" s="16" t="s">
        <v>273</v>
      </c>
      <c r="B916" s="16" t="s">
        <v>663</v>
      </c>
      <c r="C916" s="16" t="s">
        <v>1342</v>
      </c>
      <c r="D916" s="16" t="s">
        <v>324</v>
      </c>
      <c r="E916" s="16" t="s">
        <v>404</v>
      </c>
      <c r="F916" s="16" t="s">
        <v>1343</v>
      </c>
      <c r="G916" s="16">
        <v>0.6</v>
      </c>
      <c r="H916" s="16">
        <v>2607</v>
      </c>
      <c r="I916" s="16">
        <v>110</v>
      </c>
      <c r="J916" s="16">
        <v>109</v>
      </c>
      <c r="K916" s="16">
        <v>6.2099716314958702E-3</v>
      </c>
      <c r="L916" s="16">
        <v>5.0145906716559498E-3</v>
      </c>
      <c r="M916" s="16">
        <v>1.23838056545604</v>
      </c>
      <c r="N916" s="16">
        <v>2605</v>
      </c>
      <c r="O916" s="16">
        <v>0.21568656772643799</v>
      </c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 t="s">
        <v>402</v>
      </c>
      <c r="AI916" s="16"/>
      <c r="AJ916" s="16" t="s">
        <v>1461</v>
      </c>
    </row>
    <row r="917" spans="1:36" ht="15" customHeight="1" x14ac:dyDescent="0.3">
      <c r="A917" s="16" t="s">
        <v>273</v>
      </c>
      <c r="B917" s="16" t="s">
        <v>665</v>
      </c>
      <c r="C917" s="16" t="s">
        <v>1342</v>
      </c>
      <c r="D917" s="16" t="s">
        <v>324</v>
      </c>
      <c r="E917" s="16" t="s">
        <v>404</v>
      </c>
      <c r="F917" s="16" t="s">
        <v>1343</v>
      </c>
      <c r="G917" s="16">
        <v>0.6</v>
      </c>
      <c r="H917" s="16">
        <v>2607</v>
      </c>
      <c r="I917" s="16">
        <v>110</v>
      </c>
      <c r="J917" s="16">
        <v>109</v>
      </c>
      <c r="K917" s="16">
        <v>-3.4845419761366301E-3</v>
      </c>
      <c r="L917" s="16">
        <v>3.65174096177039E-3</v>
      </c>
      <c r="M917" s="16">
        <v>-0.95421389759456099</v>
      </c>
      <c r="N917" s="16">
        <v>2605</v>
      </c>
      <c r="O917" s="16">
        <v>0.340063915758272</v>
      </c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 t="s">
        <v>402</v>
      </c>
      <c r="AI917" s="16"/>
      <c r="AJ917" s="16" t="s">
        <v>1462</v>
      </c>
    </row>
    <row r="918" spans="1:36" ht="15" customHeight="1" x14ac:dyDescent="0.3">
      <c r="A918" s="16" t="s">
        <v>273</v>
      </c>
      <c r="B918" s="16" t="s">
        <v>667</v>
      </c>
      <c r="C918" s="16" t="s">
        <v>1342</v>
      </c>
      <c r="D918" s="16" t="s">
        <v>324</v>
      </c>
      <c r="E918" s="16" t="s">
        <v>404</v>
      </c>
      <c r="F918" s="16" t="s">
        <v>1343</v>
      </c>
      <c r="G918" s="16">
        <v>0.6</v>
      </c>
      <c r="H918" s="16">
        <v>905</v>
      </c>
      <c r="I918" s="16">
        <v>38</v>
      </c>
      <c r="J918" s="16">
        <v>38</v>
      </c>
      <c r="K918" s="16">
        <v>1.28060095180287E-3</v>
      </c>
      <c r="L918" s="16">
        <v>3.2544064194716098E-3</v>
      </c>
      <c r="M918" s="16">
        <v>0.39349754970394601</v>
      </c>
      <c r="N918" s="16">
        <v>903</v>
      </c>
      <c r="O918" s="16">
        <v>0.69404492251219096</v>
      </c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 t="s">
        <v>402</v>
      </c>
      <c r="AI918" s="16"/>
      <c r="AJ918" s="16" t="s">
        <v>1463</v>
      </c>
    </row>
    <row r="919" spans="1:36" ht="15" customHeight="1" x14ac:dyDescent="0.3">
      <c r="A919" s="16" t="s">
        <v>273</v>
      </c>
      <c r="B919" s="16" t="s">
        <v>669</v>
      </c>
      <c r="C919" s="16" t="s">
        <v>1342</v>
      </c>
      <c r="D919" s="16" t="s">
        <v>324</v>
      </c>
      <c r="E919" s="16" t="s">
        <v>404</v>
      </c>
      <c r="F919" s="16" t="s">
        <v>1343</v>
      </c>
      <c r="G919" s="16">
        <v>0.6</v>
      </c>
      <c r="H919" s="16">
        <v>2704</v>
      </c>
      <c r="I919" s="16">
        <v>113</v>
      </c>
      <c r="J919" s="16">
        <v>112</v>
      </c>
      <c r="K919" s="16">
        <v>-1.3754387899051301E-4</v>
      </c>
      <c r="L919" s="16">
        <v>3.0324847832724701E-3</v>
      </c>
      <c r="M919" s="16">
        <v>-4.5356824129578602E-2</v>
      </c>
      <c r="N919" s="16">
        <v>2702</v>
      </c>
      <c r="O919" s="16">
        <v>0.96382624658247296</v>
      </c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 t="s">
        <v>402</v>
      </c>
      <c r="AI919" s="16"/>
      <c r="AJ919" s="16" t="s">
        <v>1464</v>
      </c>
    </row>
    <row r="920" spans="1:36" ht="15" customHeight="1" x14ac:dyDescent="0.3">
      <c r="A920" s="16" t="s">
        <v>273</v>
      </c>
      <c r="B920" s="16" t="s">
        <v>671</v>
      </c>
      <c r="C920" s="16" t="s">
        <v>1342</v>
      </c>
      <c r="D920" s="16" t="s">
        <v>324</v>
      </c>
      <c r="E920" s="16" t="s">
        <v>404</v>
      </c>
      <c r="F920" s="16" t="s">
        <v>1343</v>
      </c>
      <c r="G920" s="16">
        <v>0.6</v>
      </c>
      <c r="H920" s="16">
        <v>2704</v>
      </c>
      <c r="I920" s="16">
        <v>113</v>
      </c>
      <c r="J920" s="16">
        <v>112</v>
      </c>
      <c r="K920" s="16">
        <v>-4.4065605269619202E-4</v>
      </c>
      <c r="L920" s="16">
        <v>3.0351491171336899E-3</v>
      </c>
      <c r="M920" s="16">
        <v>-0.145184317372958</v>
      </c>
      <c r="N920" s="16">
        <v>2702</v>
      </c>
      <c r="O920" s="16">
        <v>0.884576176354397</v>
      </c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 t="s">
        <v>402</v>
      </c>
      <c r="AI920" s="16"/>
      <c r="AJ920" s="16" t="s">
        <v>1465</v>
      </c>
    </row>
    <row r="921" spans="1:36" ht="15" customHeight="1" x14ac:dyDescent="0.3">
      <c r="A921" s="16" t="s">
        <v>273</v>
      </c>
      <c r="B921" s="16" t="s">
        <v>673</v>
      </c>
      <c r="C921" s="16" t="s">
        <v>1342</v>
      </c>
      <c r="D921" s="16" t="s">
        <v>324</v>
      </c>
      <c r="E921" s="16" t="s">
        <v>404</v>
      </c>
      <c r="F921" s="16" t="s">
        <v>1343</v>
      </c>
      <c r="G921" s="16">
        <v>0.6</v>
      </c>
      <c r="H921" s="16">
        <v>2704</v>
      </c>
      <c r="I921" s="16">
        <v>113</v>
      </c>
      <c r="J921" s="16">
        <v>112</v>
      </c>
      <c r="K921" s="16">
        <v>4.8782003073593004E-3</v>
      </c>
      <c r="L921" s="16">
        <v>8.1505577291543004E-3</v>
      </c>
      <c r="M921" s="16">
        <v>0.59851122701825898</v>
      </c>
      <c r="N921" s="16">
        <v>2702</v>
      </c>
      <c r="O921" s="16">
        <v>0.54954903752506001</v>
      </c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 t="s">
        <v>402</v>
      </c>
      <c r="AI921" s="16"/>
      <c r="AJ921" s="16" t="s">
        <v>1466</v>
      </c>
    </row>
    <row r="922" spans="1:36" ht="15" customHeight="1" x14ac:dyDescent="0.3">
      <c r="A922" s="16" t="s">
        <v>273</v>
      </c>
      <c r="B922" s="16" t="s">
        <v>675</v>
      </c>
      <c r="C922" s="16" t="s">
        <v>1342</v>
      </c>
      <c r="D922" s="16" t="s">
        <v>324</v>
      </c>
      <c r="E922" s="16" t="s">
        <v>404</v>
      </c>
      <c r="F922" s="16" t="s">
        <v>1343</v>
      </c>
      <c r="G922" s="16">
        <v>0.6</v>
      </c>
      <c r="H922" s="16">
        <v>2704</v>
      </c>
      <c r="I922" s="16">
        <v>113</v>
      </c>
      <c r="J922" s="16">
        <v>112</v>
      </c>
      <c r="K922" s="16">
        <v>-3.6253891664947099E-4</v>
      </c>
      <c r="L922" s="16">
        <v>3.0354618721571002E-3</v>
      </c>
      <c r="M922" s="16">
        <v>-0.119434515048558</v>
      </c>
      <c r="N922" s="16">
        <v>2702</v>
      </c>
      <c r="O922" s="16">
        <v>0.90493999680941695</v>
      </c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 t="s">
        <v>402</v>
      </c>
      <c r="AI922" s="16"/>
      <c r="AJ922" s="16" t="s">
        <v>1467</v>
      </c>
    </row>
    <row r="923" spans="1:36" ht="15" customHeight="1" x14ac:dyDescent="0.3">
      <c r="A923" s="16" t="s">
        <v>273</v>
      </c>
      <c r="B923" s="16" t="s">
        <v>677</v>
      </c>
      <c r="C923" s="16" t="s">
        <v>1342</v>
      </c>
      <c r="D923" s="16" t="s">
        <v>324</v>
      </c>
      <c r="E923" s="16" t="s">
        <v>404</v>
      </c>
      <c r="F923" s="16" t="s">
        <v>1343</v>
      </c>
      <c r="G923" s="16">
        <v>0.6</v>
      </c>
      <c r="H923" s="16">
        <v>2704</v>
      </c>
      <c r="I923" s="16">
        <v>113</v>
      </c>
      <c r="J923" s="16">
        <v>112</v>
      </c>
      <c r="K923" s="16">
        <v>7.3170695026794999E-4</v>
      </c>
      <c r="L923" s="16">
        <v>3.0439645402781401E-3</v>
      </c>
      <c r="M923" s="16">
        <v>0.24037959069033399</v>
      </c>
      <c r="N923" s="16">
        <v>2702</v>
      </c>
      <c r="O923" s="16">
        <v>0.81005423431180701</v>
      </c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 t="s">
        <v>402</v>
      </c>
      <c r="AI923" s="16"/>
      <c r="AJ923" s="16" t="s">
        <v>1468</v>
      </c>
    </row>
    <row r="924" spans="1:36" ht="15" customHeight="1" x14ac:dyDescent="0.3">
      <c r="A924" s="16" t="s">
        <v>273</v>
      </c>
      <c r="B924" s="16" t="s">
        <v>679</v>
      </c>
      <c r="C924" s="16" t="s">
        <v>1342</v>
      </c>
      <c r="D924" s="16" t="s">
        <v>324</v>
      </c>
      <c r="E924" s="16" t="s">
        <v>404</v>
      </c>
      <c r="F924" s="16" t="s">
        <v>1343</v>
      </c>
      <c r="G924" s="16">
        <v>0.6</v>
      </c>
      <c r="H924" s="16">
        <v>2704</v>
      </c>
      <c r="I924" s="16">
        <v>113</v>
      </c>
      <c r="J924" s="16">
        <v>112</v>
      </c>
      <c r="K924" s="16">
        <v>6.8087416891694796E-4</v>
      </c>
      <c r="L924" s="16">
        <v>3.0466696541195598E-3</v>
      </c>
      <c r="M924" s="16">
        <v>0.22348145556125601</v>
      </c>
      <c r="N924" s="16">
        <v>2702</v>
      </c>
      <c r="O924" s="16">
        <v>0.82317770864897899</v>
      </c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 t="s">
        <v>402</v>
      </c>
      <c r="AI924" s="16"/>
      <c r="AJ924" s="16" t="s">
        <v>1469</v>
      </c>
    </row>
    <row r="925" spans="1:36" ht="15" customHeight="1" x14ac:dyDescent="0.3">
      <c r="A925" s="16" t="s">
        <v>273</v>
      </c>
      <c r="B925" s="16" t="s">
        <v>681</v>
      </c>
      <c r="C925" s="16" t="s">
        <v>1342</v>
      </c>
      <c r="D925" s="16" t="s">
        <v>324</v>
      </c>
      <c r="E925" s="16" t="s">
        <v>404</v>
      </c>
      <c r="F925" s="16" t="s">
        <v>1343</v>
      </c>
      <c r="G925" s="16">
        <v>0.6</v>
      </c>
      <c r="H925" s="16">
        <v>2704</v>
      </c>
      <c r="I925" s="16">
        <v>113</v>
      </c>
      <c r="J925" s="16">
        <v>112</v>
      </c>
      <c r="K925" s="16">
        <v>4.0511646486399502E-3</v>
      </c>
      <c r="L925" s="16">
        <v>6.5630830612687704E-3</v>
      </c>
      <c r="M925" s="16">
        <v>0.61726548495895095</v>
      </c>
      <c r="N925" s="16">
        <v>2702</v>
      </c>
      <c r="O925" s="16">
        <v>0.53711164036107495</v>
      </c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 t="s">
        <v>402</v>
      </c>
      <c r="AI925" s="16"/>
      <c r="AJ925" s="16" t="s">
        <v>1470</v>
      </c>
    </row>
    <row r="926" spans="1:36" ht="15" customHeight="1" x14ac:dyDescent="0.3">
      <c r="A926" s="16" t="s">
        <v>273</v>
      </c>
      <c r="B926" s="16" t="s">
        <v>683</v>
      </c>
      <c r="C926" s="16" t="s">
        <v>1342</v>
      </c>
      <c r="D926" s="16" t="s">
        <v>324</v>
      </c>
      <c r="E926" s="16" t="s">
        <v>404</v>
      </c>
      <c r="F926" s="16" t="s">
        <v>1343</v>
      </c>
      <c r="G926" s="16">
        <v>0.6</v>
      </c>
      <c r="H926" s="16">
        <v>2704</v>
      </c>
      <c r="I926" s="16">
        <v>113</v>
      </c>
      <c r="J926" s="16">
        <v>112</v>
      </c>
      <c r="K926" s="16">
        <v>1.10895979846184E-2</v>
      </c>
      <c r="L926" s="16">
        <v>5.9118238863481798E-3</v>
      </c>
      <c r="M926" s="16">
        <v>1.8758336171391901</v>
      </c>
      <c r="N926" s="16">
        <v>2702</v>
      </c>
      <c r="O926" s="16">
        <v>6.0785864825462402E-2</v>
      </c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 t="s">
        <v>402</v>
      </c>
      <c r="AI926" s="16"/>
      <c r="AJ926" s="16" t="s">
        <v>1471</v>
      </c>
    </row>
    <row r="927" spans="1:36" ht="15" customHeight="1" x14ac:dyDescent="0.3">
      <c r="A927" s="16" t="s">
        <v>273</v>
      </c>
      <c r="B927" s="16" t="s">
        <v>685</v>
      </c>
      <c r="C927" s="16" t="s">
        <v>1342</v>
      </c>
      <c r="D927" s="16" t="s">
        <v>324</v>
      </c>
      <c r="E927" s="16" t="s">
        <v>404</v>
      </c>
      <c r="F927" s="16" t="s">
        <v>1343</v>
      </c>
      <c r="G927" s="16">
        <v>0.6</v>
      </c>
      <c r="H927" s="16">
        <v>2704</v>
      </c>
      <c r="I927" s="16">
        <v>113</v>
      </c>
      <c r="J927" s="16">
        <v>112</v>
      </c>
      <c r="K927" s="16">
        <v>4.1819475466492098E-4</v>
      </c>
      <c r="L927" s="16">
        <v>4.35997460677124E-3</v>
      </c>
      <c r="M927" s="16">
        <v>9.5916786766474499E-2</v>
      </c>
      <c r="N927" s="16">
        <v>2702</v>
      </c>
      <c r="O927" s="16">
        <v>0.92359377507087004</v>
      </c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 t="s">
        <v>402</v>
      </c>
      <c r="AI927" s="16"/>
      <c r="AJ927" s="16" t="s">
        <v>1472</v>
      </c>
    </row>
    <row r="928" spans="1:36" ht="15" customHeight="1" x14ac:dyDescent="0.3">
      <c r="A928" s="16" t="s">
        <v>273</v>
      </c>
      <c r="B928" s="16" t="s">
        <v>687</v>
      </c>
      <c r="C928" s="16" t="s">
        <v>1342</v>
      </c>
      <c r="D928" s="16" t="s">
        <v>324</v>
      </c>
      <c r="E928" s="16" t="s">
        <v>404</v>
      </c>
      <c r="F928" s="16" t="s">
        <v>1343</v>
      </c>
      <c r="G928" s="16">
        <v>0.6</v>
      </c>
      <c r="H928" s="16">
        <v>929</v>
      </c>
      <c r="I928" s="16">
        <v>40</v>
      </c>
      <c r="J928" s="16">
        <v>40</v>
      </c>
      <c r="K928" s="16">
        <v>5.09182908389767E-3</v>
      </c>
      <c r="L928" s="16">
        <v>3.2932426708472602E-3</v>
      </c>
      <c r="M928" s="16">
        <v>1.54614451251103</v>
      </c>
      <c r="N928" s="16">
        <v>927</v>
      </c>
      <c r="O928" s="16">
        <v>0.12241097164688999</v>
      </c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 t="s">
        <v>402</v>
      </c>
      <c r="AI928" s="16"/>
      <c r="AJ928" s="16" t="s">
        <v>1473</v>
      </c>
    </row>
    <row r="929" spans="1:36" ht="15" customHeight="1" x14ac:dyDescent="0.3">
      <c r="A929" s="16" t="s">
        <v>273</v>
      </c>
      <c r="B929" s="16" t="s">
        <v>689</v>
      </c>
      <c r="C929" s="16" t="s">
        <v>1342</v>
      </c>
      <c r="D929" s="16" t="s">
        <v>324</v>
      </c>
      <c r="E929" s="16" t="s">
        <v>404</v>
      </c>
      <c r="F929" s="16" t="s">
        <v>1343</v>
      </c>
      <c r="G929" s="16">
        <v>0.6</v>
      </c>
      <c r="H929" s="16">
        <v>2691</v>
      </c>
      <c r="I929" s="16">
        <v>113</v>
      </c>
      <c r="J929" s="16">
        <v>112</v>
      </c>
      <c r="K929" s="16">
        <v>-6.0652304473090396E-4</v>
      </c>
      <c r="L929" s="16">
        <v>2.8435263725958E-3</v>
      </c>
      <c r="M929" s="16">
        <v>-0.213299602414878</v>
      </c>
      <c r="N929" s="16">
        <v>2689</v>
      </c>
      <c r="O929" s="16">
        <v>0.831109453333021</v>
      </c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 t="s">
        <v>402</v>
      </c>
      <c r="AI929" s="16"/>
      <c r="AJ929" s="16" t="s">
        <v>1474</v>
      </c>
    </row>
    <row r="930" spans="1:36" ht="15" customHeight="1" x14ac:dyDescent="0.3">
      <c r="A930" s="16" t="s">
        <v>273</v>
      </c>
      <c r="B930" s="16" t="s">
        <v>691</v>
      </c>
      <c r="C930" s="16" t="s">
        <v>1342</v>
      </c>
      <c r="D930" s="16" t="s">
        <v>324</v>
      </c>
      <c r="E930" s="16" t="s">
        <v>404</v>
      </c>
      <c r="F930" s="16" t="s">
        <v>1343</v>
      </c>
      <c r="G930" s="16">
        <v>0.6</v>
      </c>
      <c r="H930" s="16">
        <v>2691</v>
      </c>
      <c r="I930" s="16">
        <v>113</v>
      </c>
      <c r="J930" s="16">
        <v>112</v>
      </c>
      <c r="K930" s="16">
        <v>-9.06564913549963E-4</v>
      </c>
      <c r="L930" s="16">
        <v>2.8460011637226001E-3</v>
      </c>
      <c r="M930" s="16">
        <v>-0.318539895593074</v>
      </c>
      <c r="N930" s="16">
        <v>2689</v>
      </c>
      <c r="O930" s="16">
        <v>0.75010017534568696</v>
      </c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 t="s">
        <v>402</v>
      </c>
      <c r="AI930" s="16"/>
      <c r="AJ930" s="16" t="s">
        <v>1475</v>
      </c>
    </row>
    <row r="931" spans="1:36" ht="15" customHeight="1" x14ac:dyDescent="0.3">
      <c r="A931" s="16" t="s">
        <v>273</v>
      </c>
      <c r="B931" s="16" t="s">
        <v>693</v>
      </c>
      <c r="C931" s="16" t="s">
        <v>1342</v>
      </c>
      <c r="D931" s="16" t="s">
        <v>324</v>
      </c>
      <c r="E931" s="16" t="s">
        <v>404</v>
      </c>
      <c r="F931" s="16" t="s">
        <v>1343</v>
      </c>
      <c r="G931" s="16">
        <v>0.6</v>
      </c>
      <c r="H931" s="16">
        <v>2691</v>
      </c>
      <c r="I931" s="16">
        <v>113</v>
      </c>
      <c r="J931" s="16">
        <v>112</v>
      </c>
      <c r="K931" s="16">
        <v>4.3229830600588198E-3</v>
      </c>
      <c r="L931" s="16">
        <v>7.6449799775734897E-3</v>
      </c>
      <c r="M931" s="16">
        <v>0.56546689105011005</v>
      </c>
      <c r="N931" s="16">
        <v>2689</v>
      </c>
      <c r="O931" s="16">
        <v>0.57180341489473996</v>
      </c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 t="s">
        <v>402</v>
      </c>
      <c r="AI931" s="16"/>
      <c r="AJ931" s="16" t="s">
        <v>1476</v>
      </c>
    </row>
    <row r="932" spans="1:36" ht="15" customHeight="1" x14ac:dyDescent="0.3">
      <c r="A932" s="16" t="s">
        <v>273</v>
      </c>
      <c r="B932" s="16" t="s">
        <v>695</v>
      </c>
      <c r="C932" s="16" t="s">
        <v>1342</v>
      </c>
      <c r="D932" s="16" t="s">
        <v>324</v>
      </c>
      <c r="E932" s="16" t="s">
        <v>404</v>
      </c>
      <c r="F932" s="16" t="s">
        <v>1343</v>
      </c>
      <c r="G932" s="16">
        <v>0.6</v>
      </c>
      <c r="H932" s="16">
        <v>2691</v>
      </c>
      <c r="I932" s="16">
        <v>113</v>
      </c>
      <c r="J932" s="16">
        <v>112</v>
      </c>
      <c r="K932" s="16">
        <v>-8.2809610486975899E-4</v>
      </c>
      <c r="L932" s="16">
        <v>2.84629933653125E-3</v>
      </c>
      <c r="M932" s="16">
        <v>-0.29093781326561002</v>
      </c>
      <c r="N932" s="16">
        <v>2689</v>
      </c>
      <c r="O932" s="16">
        <v>0.77112131831275899</v>
      </c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 t="s">
        <v>402</v>
      </c>
      <c r="AI932" s="16"/>
      <c r="AJ932" s="16" t="s">
        <v>1477</v>
      </c>
    </row>
    <row r="933" spans="1:36" ht="15" customHeight="1" x14ac:dyDescent="0.3">
      <c r="A933" s="16" t="s">
        <v>273</v>
      </c>
      <c r="B933" s="16" t="s">
        <v>697</v>
      </c>
      <c r="C933" s="16" t="s">
        <v>1342</v>
      </c>
      <c r="D933" s="16" t="s">
        <v>324</v>
      </c>
      <c r="E933" s="16" t="s">
        <v>404</v>
      </c>
      <c r="F933" s="16" t="s">
        <v>1343</v>
      </c>
      <c r="G933" s="16">
        <v>0.6</v>
      </c>
      <c r="H933" s="16">
        <v>2691</v>
      </c>
      <c r="I933" s="16">
        <v>113</v>
      </c>
      <c r="J933" s="16">
        <v>112</v>
      </c>
      <c r="K933" s="16">
        <v>2.7378819122883899E-4</v>
      </c>
      <c r="L933" s="16">
        <v>2.8543263278879099E-3</v>
      </c>
      <c r="M933" s="16">
        <v>9.5920423868083499E-2</v>
      </c>
      <c r="N933" s="16">
        <v>2689</v>
      </c>
      <c r="O933" s="16">
        <v>0.92359092106208596</v>
      </c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 t="s">
        <v>402</v>
      </c>
      <c r="AI933" s="16"/>
      <c r="AJ933" s="16" t="s">
        <v>1478</v>
      </c>
    </row>
    <row r="934" spans="1:36" ht="15" customHeight="1" x14ac:dyDescent="0.3">
      <c r="A934" s="16" t="s">
        <v>273</v>
      </c>
      <c r="B934" s="16" t="s">
        <v>699</v>
      </c>
      <c r="C934" s="16" t="s">
        <v>1342</v>
      </c>
      <c r="D934" s="16" t="s">
        <v>324</v>
      </c>
      <c r="E934" s="16" t="s">
        <v>404</v>
      </c>
      <c r="F934" s="16" t="s">
        <v>1343</v>
      </c>
      <c r="G934" s="16">
        <v>0.6</v>
      </c>
      <c r="H934" s="16">
        <v>2691</v>
      </c>
      <c r="I934" s="16">
        <v>113</v>
      </c>
      <c r="J934" s="16">
        <v>112</v>
      </c>
      <c r="K934" s="16">
        <v>2.2478037573226201E-4</v>
      </c>
      <c r="L934" s="16">
        <v>2.8568582263909701E-3</v>
      </c>
      <c r="M934" s="16">
        <v>7.8680969764545999E-2</v>
      </c>
      <c r="N934" s="16">
        <v>2689</v>
      </c>
      <c r="O934" s="16">
        <v>0.93729223677071305</v>
      </c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 t="s">
        <v>402</v>
      </c>
      <c r="AI934" s="16"/>
      <c r="AJ934" s="16" t="s">
        <v>1479</v>
      </c>
    </row>
    <row r="935" spans="1:36" ht="15" customHeight="1" x14ac:dyDescent="0.3">
      <c r="A935" s="16" t="s">
        <v>273</v>
      </c>
      <c r="B935" s="16" t="s">
        <v>701</v>
      </c>
      <c r="C935" s="16" t="s">
        <v>1342</v>
      </c>
      <c r="D935" s="16" t="s">
        <v>324</v>
      </c>
      <c r="E935" s="16" t="s">
        <v>404</v>
      </c>
      <c r="F935" s="16" t="s">
        <v>1343</v>
      </c>
      <c r="G935" s="16">
        <v>0.6</v>
      </c>
      <c r="H935" s="16">
        <v>2691</v>
      </c>
      <c r="I935" s="16">
        <v>113</v>
      </c>
      <c r="J935" s="16">
        <v>112</v>
      </c>
      <c r="K935" s="16">
        <v>3.54088315972571E-3</v>
      </c>
      <c r="L935" s="16">
        <v>6.1560330018444803E-3</v>
      </c>
      <c r="M935" s="16">
        <v>0.57518911264198602</v>
      </c>
      <c r="N935" s="16">
        <v>2689</v>
      </c>
      <c r="O935" s="16">
        <v>0.56521152880224801</v>
      </c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 t="s">
        <v>402</v>
      </c>
      <c r="AI935" s="16"/>
      <c r="AJ935" s="16" t="s">
        <v>1480</v>
      </c>
    </row>
    <row r="936" spans="1:36" ht="15" customHeight="1" x14ac:dyDescent="0.3">
      <c r="A936" s="16" t="s">
        <v>273</v>
      </c>
      <c r="B936" s="16" t="s">
        <v>703</v>
      </c>
      <c r="C936" s="16" t="s">
        <v>1342</v>
      </c>
      <c r="D936" s="16" t="s">
        <v>324</v>
      </c>
      <c r="E936" s="16" t="s">
        <v>404</v>
      </c>
      <c r="F936" s="16" t="s">
        <v>1343</v>
      </c>
      <c r="G936" s="16">
        <v>0.6</v>
      </c>
      <c r="H936" s="16">
        <v>2691</v>
      </c>
      <c r="I936" s="16">
        <v>113</v>
      </c>
      <c r="J936" s="16">
        <v>112</v>
      </c>
      <c r="K936" s="16">
        <v>9.0701872091297903E-3</v>
      </c>
      <c r="L936" s="16">
        <v>5.5466460866820597E-3</v>
      </c>
      <c r="M936" s="16">
        <v>1.635256165146</v>
      </c>
      <c r="N936" s="16">
        <v>2689</v>
      </c>
      <c r="O936" s="16">
        <v>0.10211240001534699</v>
      </c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 t="s">
        <v>402</v>
      </c>
      <c r="AI936" s="16"/>
      <c r="AJ936" s="16" t="s">
        <v>1481</v>
      </c>
    </row>
    <row r="937" spans="1:36" ht="15" customHeight="1" x14ac:dyDescent="0.3">
      <c r="A937" s="16" t="s">
        <v>273</v>
      </c>
      <c r="B937" s="16" t="s">
        <v>705</v>
      </c>
      <c r="C937" s="16" t="s">
        <v>1342</v>
      </c>
      <c r="D937" s="16" t="s">
        <v>324</v>
      </c>
      <c r="E937" s="16" t="s">
        <v>404</v>
      </c>
      <c r="F937" s="16" t="s">
        <v>1343</v>
      </c>
      <c r="G937" s="16">
        <v>0.6</v>
      </c>
      <c r="H937" s="16">
        <v>2691</v>
      </c>
      <c r="I937" s="16">
        <v>113</v>
      </c>
      <c r="J937" s="16">
        <v>112</v>
      </c>
      <c r="K937" s="16">
        <v>-5.8449878456086704E-4</v>
      </c>
      <c r="L937" s="16">
        <v>4.0888576182646196E-3</v>
      </c>
      <c r="M937" s="16">
        <v>-0.142949165544419</v>
      </c>
      <c r="N937" s="16">
        <v>2689</v>
      </c>
      <c r="O937" s="16">
        <v>0.88634103898923999</v>
      </c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 t="s">
        <v>402</v>
      </c>
      <c r="AI937" s="16"/>
      <c r="AJ937" s="16" t="s">
        <v>1482</v>
      </c>
    </row>
    <row r="938" spans="1:36" ht="15" customHeight="1" x14ac:dyDescent="0.3">
      <c r="A938" s="16" t="s">
        <v>273</v>
      </c>
      <c r="B938" s="16" t="s">
        <v>707</v>
      </c>
      <c r="C938" s="16" t="s">
        <v>1342</v>
      </c>
      <c r="D938" s="16" t="s">
        <v>324</v>
      </c>
      <c r="E938" s="16" t="s">
        <v>404</v>
      </c>
      <c r="F938" s="16" t="s">
        <v>1343</v>
      </c>
      <c r="G938" s="16">
        <v>0.6</v>
      </c>
      <c r="H938" s="16">
        <v>924</v>
      </c>
      <c r="I938" s="16">
        <v>40</v>
      </c>
      <c r="J938" s="16">
        <v>40</v>
      </c>
      <c r="K938" s="16">
        <v>4.3011247097999999E-3</v>
      </c>
      <c r="L938" s="16">
        <v>3.0979175700773598E-3</v>
      </c>
      <c r="M938" s="16">
        <v>1.3883922384973599</v>
      </c>
      <c r="N938" s="16">
        <v>922</v>
      </c>
      <c r="O938" s="16">
        <v>0.16535297643621999</v>
      </c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 t="s">
        <v>402</v>
      </c>
      <c r="AI938" s="16"/>
      <c r="AJ938" s="16" t="s">
        <v>1483</v>
      </c>
    </row>
    <row r="939" spans="1:36" ht="15" customHeight="1" x14ac:dyDescent="0.3">
      <c r="A939" s="16" t="s">
        <v>273</v>
      </c>
      <c r="B939" s="16" t="s">
        <v>709</v>
      </c>
      <c r="C939" s="16" t="s">
        <v>1342</v>
      </c>
      <c r="D939" s="16" t="s">
        <v>324</v>
      </c>
      <c r="E939" s="16" t="s">
        <v>404</v>
      </c>
      <c r="F939" s="16" t="s">
        <v>1343</v>
      </c>
      <c r="G939" s="16">
        <v>0.6</v>
      </c>
      <c r="H939" s="16">
        <v>2704</v>
      </c>
      <c r="I939" s="16">
        <v>113</v>
      </c>
      <c r="J939" s="16">
        <v>112</v>
      </c>
      <c r="K939" s="16">
        <v>3.3215306517126899E-3</v>
      </c>
      <c r="L939" s="16">
        <v>2.47016430583947E-3</v>
      </c>
      <c r="M939" s="16">
        <v>1.3446598041517299</v>
      </c>
      <c r="N939" s="16">
        <v>2702</v>
      </c>
      <c r="O939" s="16">
        <v>0.17884798455862999</v>
      </c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 t="s">
        <v>402</v>
      </c>
      <c r="AI939" s="16"/>
      <c r="AJ939" s="16" t="s">
        <v>1484</v>
      </c>
    </row>
    <row r="940" spans="1:36" ht="15" customHeight="1" x14ac:dyDescent="0.3">
      <c r="A940" s="16" t="s">
        <v>273</v>
      </c>
      <c r="B940" s="16" t="s">
        <v>711</v>
      </c>
      <c r="C940" s="16" t="s">
        <v>1342</v>
      </c>
      <c r="D940" s="16" t="s">
        <v>324</v>
      </c>
      <c r="E940" s="16" t="s">
        <v>404</v>
      </c>
      <c r="F940" s="16" t="s">
        <v>1343</v>
      </c>
      <c r="G940" s="16">
        <v>0.6</v>
      </c>
      <c r="H940" s="16">
        <v>2704</v>
      </c>
      <c r="I940" s="16">
        <v>113</v>
      </c>
      <c r="J940" s="16">
        <v>112</v>
      </c>
      <c r="K940" s="16">
        <v>3.0666568669502699E-3</v>
      </c>
      <c r="L940" s="16">
        <v>2.4724666078134801E-3</v>
      </c>
      <c r="M940" s="16">
        <v>1.24032286513356</v>
      </c>
      <c r="N940" s="16">
        <v>2702</v>
      </c>
      <c r="O940" s="16">
        <v>0.214963691354701</v>
      </c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 t="s">
        <v>402</v>
      </c>
      <c r="AI940" s="16"/>
      <c r="AJ940" s="16" t="s">
        <v>1485</v>
      </c>
    </row>
    <row r="941" spans="1:36" ht="15" customHeight="1" x14ac:dyDescent="0.3">
      <c r="A941" s="16" t="s">
        <v>273</v>
      </c>
      <c r="B941" s="16" t="s">
        <v>713</v>
      </c>
      <c r="C941" s="16" t="s">
        <v>1342</v>
      </c>
      <c r="D941" s="16" t="s">
        <v>324</v>
      </c>
      <c r="E941" s="16" t="s">
        <v>404</v>
      </c>
      <c r="F941" s="16" t="s">
        <v>1343</v>
      </c>
      <c r="G941" s="16">
        <v>0.6</v>
      </c>
      <c r="H941" s="16">
        <v>2704</v>
      </c>
      <c r="I941" s="16">
        <v>113</v>
      </c>
      <c r="J941" s="16">
        <v>112</v>
      </c>
      <c r="K941" s="16">
        <v>2.46094703782975E-3</v>
      </c>
      <c r="L941" s="16">
        <v>6.6416714436814198E-3</v>
      </c>
      <c r="M941" s="16">
        <v>0.370531282478748</v>
      </c>
      <c r="N941" s="16">
        <v>2702</v>
      </c>
      <c r="O941" s="16">
        <v>0.71101571655825502</v>
      </c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 t="s">
        <v>402</v>
      </c>
      <c r="AI941" s="16"/>
      <c r="AJ941" s="16" t="s">
        <v>1486</v>
      </c>
    </row>
    <row r="942" spans="1:36" ht="15" customHeight="1" x14ac:dyDescent="0.3">
      <c r="A942" s="16" t="s">
        <v>273</v>
      </c>
      <c r="B942" s="16" t="s">
        <v>715</v>
      </c>
      <c r="C942" s="16" t="s">
        <v>1342</v>
      </c>
      <c r="D942" s="16" t="s">
        <v>324</v>
      </c>
      <c r="E942" s="16" t="s">
        <v>404</v>
      </c>
      <c r="F942" s="16" t="s">
        <v>1343</v>
      </c>
      <c r="G942" s="16">
        <v>0.6</v>
      </c>
      <c r="H942" s="16">
        <v>2704</v>
      </c>
      <c r="I942" s="16">
        <v>113</v>
      </c>
      <c r="J942" s="16">
        <v>112</v>
      </c>
      <c r="K942" s="16">
        <v>3.1407058971479199E-3</v>
      </c>
      <c r="L942" s="16">
        <v>2.4726840085241199E-3</v>
      </c>
      <c r="M942" s="16">
        <v>1.27016063772036</v>
      </c>
      <c r="N942" s="16">
        <v>2702</v>
      </c>
      <c r="O942" s="16">
        <v>0.204136779957307</v>
      </c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 t="s">
        <v>402</v>
      </c>
      <c r="AI942" s="16"/>
      <c r="AJ942" s="16" t="s">
        <v>1487</v>
      </c>
    </row>
    <row r="943" spans="1:36" ht="15" customHeight="1" x14ac:dyDescent="0.3">
      <c r="A943" s="16" t="s">
        <v>273</v>
      </c>
      <c r="B943" s="16" t="s">
        <v>717</v>
      </c>
      <c r="C943" s="16" t="s">
        <v>1342</v>
      </c>
      <c r="D943" s="16" t="s">
        <v>324</v>
      </c>
      <c r="E943" s="16" t="s">
        <v>404</v>
      </c>
      <c r="F943" s="16" t="s">
        <v>1343</v>
      </c>
      <c r="G943" s="16">
        <v>0.6</v>
      </c>
      <c r="H943" s="16">
        <v>2704</v>
      </c>
      <c r="I943" s="16">
        <v>113</v>
      </c>
      <c r="J943" s="16">
        <v>112</v>
      </c>
      <c r="K943" s="16">
        <v>4.14249852934594E-3</v>
      </c>
      <c r="L943" s="16">
        <v>2.4790898232503402E-3</v>
      </c>
      <c r="M943" s="16">
        <v>1.6709755695397499</v>
      </c>
      <c r="N943" s="16">
        <v>2702</v>
      </c>
      <c r="O943" s="16">
        <v>9.4842309328313598E-2</v>
      </c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 t="s">
        <v>402</v>
      </c>
      <c r="AI943" s="16"/>
      <c r="AJ943" s="16" t="s">
        <v>1488</v>
      </c>
    </row>
    <row r="944" spans="1:36" ht="15" customHeight="1" x14ac:dyDescent="0.3">
      <c r="A944" s="16" t="s">
        <v>273</v>
      </c>
      <c r="B944" s="16" t="s">
        <v>719</v>
      </c>
      <c r="C944" s="16" t="s">
        <v>1342</v>
      </c>
      <c r="D944" s="16" t="s">
        <v>324</v>
      </c>
      <c r="E944" s="16" t="s">
        <v>404</v>
      </c>
      <c r="F944" s="16" t="s">
        <v>1343</v>
      </c>
      <c r="G944" s="16">
        <v>0.6</v>
      </c>
      <c r="H944" s="16">
        <v>2704</v>
      </c>
      <c r="I944" s="16">
        <v>113</v>
      </c>
      <c r="J944" s="16">
        <v>112</v>
      </c>
      <c r="K944" s="16">
        <v>4.0696419579409398E-3</v>
      </c>
      <c r="L944" s="16">
        <v>2.4813362363525801E-3</v>
      </c>
      <c r="M944" s="16">
        <v>1.6401009658904899</v>
      </c>
      <c r="N944" s="16">
        <v>2702</v>
      </c>
      <c r="O944" s="16">
        <v>0.101100576610351</v>
      </c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 t="s">
        <v>402</v>
      </c>
      <c r="AI944" s="16"/>
      <c r="AJ944" s="16" t="s">
        <v>1489</v>
      </c>
    </row>
    <row r="945" spans="1:36" ht="15" customHeight="1" x14ac:dyDescent="0.3">
      <c r="A945" s="16" t="s">
        <v>273</v>
      </c>
      <c r="B945" s="16" t="s">
        <v>721</v>
      </c>
      <c r="C945" s="16" t="s">
        <v>1342</v>
      </c>
      <c r="D945" s="16" t="s">
        <v>324</v>
      </c>
      <c r="E945" s="16" t="s">
        <v>404</v>
      </c>
      <c r="F945" s="16" t="s">
        <v>1343</v>
      </c>
      <c r="G945" s="16">
        <v>0.6</v>
      </c>
      <c r="H945" s="16">
        <v>2704</v>
      </c>
      <c r="I945" s="16">
        <v>113</v>
      </c>
      <c r="J945" s="16">
        <v>112</v>
      </c>
      <c r="K945" s="16">
        <v>1.79679796782789E-3</v>
      </c>
      <c r="L945" s="16">
        <v>5.3481275336498399E-3</v>
      </c>
      <c r="M945" s="16">
        <v>0.33596767401723798</v>
      </c>
      <c r="N945" s="16">
        <v>2702</v>
      </c>
      <c r="O945" s="16">
        <v>0.73692132931927101</v>
      </c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 t="s">
        <v>402</v>
      </c>
      <c r="AI945" s="16"/>
      <c r="AJ945" s="16" t="s">
        <v>1490</v>
      </c>
    </row>
    <row r="946" spans="1:36" ht="15" customHeight="1" x14ac:dyDescent="0.3">
      <c r="A946" s="16" t="s">
        <v>273</v>
      </c>
      <c r="B946" s="16" t="s">
        <v>723</v>
      </c>
      <c r="C946" s="16" t="s">
        <v>1342</v>
      </c>
      <c r="D946" s="16" t="s">
        <v>324</v>
      </c>
      <c r="E946" s="16" t="s">
        <v>404</v>
      </c>
      <c r="F946" s="16" t="s">
        <v>1343</v>
      </c>
      <c r="G946" s="16">
        <v>0.6</v>
      </c>
      <c r="H946" s="16">
        <v>2704</v>
      </c>
      <c r="I946" s="16">
        <v>113</v>
      </c>
      <c r="J946" s="16">
        <v>112</v>
      </c>
      <c r="K946" s="16">
        <v>7.6963684446891096E-3</v>
      </c>
      <c r="L946" s="16">
        <v>4.8180513639522003E-3</v>
      </c>
      <c r="M946" s="16">
        <v>1.5974027388483201</v>
      </c>
      <c r="N946" s="16">
        <v>2702</v>
      </c>
      <c r="O946" s="16">
        <v>0.11029289332070499</v>
      </c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 t="s">
        <v>402</v>
      </c>
      <c r="AI946" s="16"/>
      <c r="AJ946" s="16" t="s">
        <v>1491</v>
      </c>
    </row>
    <row r="947" spans="1:36" ht="15" customHeight="1" x14ac:dyDescent="0.3">
      <c r="A947" s="16" t="s">
        <v>273</v>
      </c>
      <c r="B947" s="16" t="s">
        <v>725</v>
      </c>
      <c r="C947" s="16" t="s">
        <v>1342</v>
      </c>
      <c r="D947" s="16" t="s">
        <v>324</v>
      </c>
      <c r="E947" s="16" t="s">
        <v>404</v>
      </c>
      <c r="F947" s="16" t="s">
        <v>1343</v>
      </c>
      <c r="G947" s="16">
        <v>0.6</v>
      </c>
      <c r="H947" s="16">
        <v>2704</v>
      </c>
      <c r="I947" s="16">
        <v>113</v>
      </c>
      <c r="J947" s="16">
        <v>112</v>
      </c>
      <c r="K947" s="16">
        <v>-2.55633422200955E-3</v>
      </c>
      <c r="L947" s="16">
        <v>3.5523470908783899E-3</v>
      </c>
      <c r="M947" s="16">
        <v>-0.71961836966146497</v>
      </c>
      <c r="N947" s="16">
        <v>2702</v>
      </c>
      <c r="O947" s="16">
        <v>0.47182223508348498</v>
      </c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 t="s">
        <v>402</v>
      </c>
      <c r="AI947" s="16"/>
      <c r="AJ947" s="16" t="s">
        <v>1492</v>
      </c>
    </row>
    <row r="948" spans="1:36" ht="15" customHeight="1" x14ac:dyDescent="0.3">
      <c r="A948" s="16" t="s">
        <v>273</v>
      </c>
      <c r="B948" s="16" t="s">
        <v>727</v>
      </c>
      <c r="C948" s="16" t="s">
        <v>1342</v>
      </c>
      <c r="D948" s="16" t="s">
        <v>324</v>
      </c>
      <c r="E948" s="16" t="s">
        <v>404</v>
      </c>
      <c r="F948" s="16" t="s">
        <v>1343</v>
      </c>
      <c r="G948" s="16">
        <v>0.6</v>
      </c>
      <c r="H948" s="16">
        <v>929</v>
      </c>
      <c r="I948" s="16">
        <v>40</v>
      </c>
      <c r="J948" s="16">
        <v>40</v>
      </c>
      <c r="K948" s="16">
        <v>4.6578441113412699E-3</v>
      </c>
      <c r="L948" s="16">
        <v>3.0981502410047002E-3</v>
      </c>
      <c r="M948" s="16">
        <v>1.5034274483185699</v>
      </c>
      <c r="N948" s="16">
        <v>927</v>
      </c>
      <c r="O948" s="16">
        <v>0.133069441805403</v>
      </c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 t="s">
        <v>402</v>
      </c>
      <c r="AI948" s="16"/>
      <c r="AJ948" s="16" t="s">
        <v>1493</v>
      </c>
    </row>
    <row r="949" spans="1:36" ht="15" customHeight="1" x14ac:dyDescent="0.3">
      <c r="A949" s="16" t="s">
        <v>273</v>
      </c>
      <c r="B949" s="16" t="s">
        <v>729</v>
      </c>
      <c r="C949" s="16" t="s">
        <v>1342</v>
      </c>
      <c r="D949" s="16" t="s">
        <v>324</v>
      </c>
      <c r="E949" s="16" t="s">
        <v>404</v>
      </c>
      <c r="F949" s="16" t="s">
        <v>1343</v>
      </c>
      <c r="G949" s="16">
        <v>0.6</v>
      </c>
      <c r="H949" s="16">
        <v>2606</v>
      </c>
      <c r="I949" s="16">
        <v>110</v>
      </c>
      <c r="J949" s="16">
        <v>109</v>
      </c>
      <c r="K949" s="16">
        <v>-3.9767143669311097E-4</v>
      </c>
      <c r="L949" s="16">
        <v>3.09629505632687E-3</v>
      </c>
      <c r="M949" s="16">
        <v>-0.12843460634687301</v>
      </c>
      <c r="N949" s="16">
        <v>2604</v>
      </c>
      <c r="O949" s="16">
        <v>0.89781496401245797</v>
      </c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 t="s">
        <v>402</v>
      </c>
      <c r="AI949" s="16"/>
      <c r="AJ949" s="16" t="s">
        <v>1494</v>
      </c>
    </row>
    <row r="950" spans="1:36" ht="15" customHeight="1" x14ac:dyDescent="0.3">
      <c r="A950" s="16" t="s">
        <v>273</v>
      </c>
      <c r="B950" s="16" t="s">
        <v>731</v>
      </c>
      <c r="C950" s="16" t="s">
        <v>1342</v>
      </c>
      <c r="D950" s="16" t="s">
        <v>324</v>
      </c>
      <c r="E950" s="16" t="s">
        <v>404</v>
      </c>
      <c r="F950" s="16" t="s">
        <v>1343</v>
      </c>
      <c r="G950" s="16">
        <v>0.6</v>
      </c>
      <c r="H950" s="16">
        <v>2606</v>
      </c>
      <c r="I950" s="16">
        <v>110</v>
      </c>
      <c r="J950" s="16">
        <v>109</v>
      </c>
      <c r="K950" s="16">
        <v>-6.9862518186044101E-4</v>
      </c>
      <c r="L950" s="16">
        <v>3.0989235777933301E-3</v>
      </c>
      <c r="M950" s="16">
        <v>-0.225441242522642</v>
      </c>
      <c r="N950" s="16">
        <v>2604</v>
      </c>
      <c r="O950" s="16">
        <v>0.82165372108614898</v>
      </c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 t="s">
        <v>402</v>
      </c>
      <c r="AI950" s="16"/>
      <c r="AJ950" s="16" t="s">
        <v>1495</v>
      </c>
    </row>
    <row r="951" spans="1:36" ht="15" customHeight="1" x14ac:dyDescent="0.3">
      <c r="A951" s="16" t="s">
        <v>273</v>
      </c>
      <c r="B951" s="16" t="s">
        <v>733</v>
      </c>
      <c r="C951" s="16" t="s">
        <v>1342</v>
      </c>
      <c r="D951" s="16" t="s">
        <v>324</v>
      </c>
      <c r="E951" s="16" t="s">
        <v>404</v>
      </c>
      <c r="F951" s="16" t="s">
        <v>1343</v>
      </c>
      <c r="G951" s="16">
        <v>0.6</v>
      </c>
      <c r="H951" s="16">
        <v>2606</v>
      </c>
      <c r="I951" s="16">
        <v>110</v>
      </c>
      <c r="J951" s="16">
        <v>109</v>
      </c>
      <c r="K951" s="16">
        <v>1.5723370250645601E-3</v>
      </c>
      <c r="L951" s="16">
        <v>8.7021510356071492E-3</v>
      </c>
      <c r="M951" s="16">
        <v>0.18068372045382</v>
      </c>
      <c r="N951" s="16">
        <v>2604</v>
      </c>
      <c r="O951" s="16">
        <v>0.85662989811560897</v>
      </c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 t="s">
        <v>402</v>
      </c>
      <c r="AI951" s="16"/>
      <c r="AJ951" s="16" t="s">
        <v>1496</v>
      </c>
    </row>
    <row r="952" spans="1:36" ht="15" customHeight="1" x14ac:dyDescent="0.3">
      <c r="A952" s="16" t="s">
        <v>273</v>
      </c>
      <c r="B952" s="16" t="s">
        <v>735</v>
      </c>
      <c r="C952" s="16" t="s">
        <v>1342</v>
      </c>
      <c r="D952" s="16" t="s">
        <v>324</v>
      </c>
      <c r="E952" s="16" t="s">
        <v>404</v>
      </c>
      <c r="F952" s="16" t="s">
        <v>1343</v>
      </c>
      <c r="G952" s="16">
        <v>0.6</v>
      </c>
      <c r="H952" s="16">
        <v>2606</v>
      </c>
      <c r="I952" s="16">
        <v>110</v>
      </c>
      <c r="J952" s="16">
        <v>109</v>
      </c>
      <c r="K952" s="16">
        <v>-6.1956384052344604E-4</v>
      </c>
      <c r="L952" s="16">
        <v>3.09923699118327E-3</v>
      </c>
      <c r="M952" s="16">
        <v>-0.19990850725065101</v>
      </c>
      <c r="N952" s="16">
        <v>2604</v>
      </c>
      <c r="O952" s="16">
        <v>0.84156774641963095</v>
      </c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 t="s">
        <v>402</v>
      </c>
      <c r="AI952" s="16"/>
      <c r="AJ952" s="16" t="s">
        <v>1497</v>
      </c>
    </row>
    <row r="953" spans="1:36" ht="15" customHeight="1" x14ac:dyDescent="0.3">
      <c r="A953" s="16" t="s">
        <v>273</v>
      </c>
      <c r="B953" s="16" t="s">
        <v>737</v>
      </c>
      <c r="C953" s="16" t="s">
        <v>1342</v>
      </c>
      <c r="D953" s="16" t="s">
        <v>324</v>
      </c>
      <c r="E953" s="16" t="s">
        <v>404</v>
      </c>
      <c r="F953" s="16" t="s">
        <v>1343</v>
      </c>
      <c r="G953" s="16">
        <v>0.6</v>
      </c>
      <c r="H953" s="16">
        <v>2606</v>
      </c>
      <c r="I953" s="16">
        <v>110</v>
      </c>
      <c r="J953" s="16">
        <v>109</v>
      </c>
      <c r="K953" s="16">
        <v>3.3102579020310302E-4</v>
      </c>
      <c r="L953" s="16">
        <v>3.1066469434935899E-3</v>
      </c>
      <c r="M953" s="16">
        <v>0.106554042420684</v>
      </c>
      <c r="N953" s="16">
        <v>2604</v>
      </c>
      <c r="O953" s="16">
        <v>0.91515098754369095</v>
      </c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 t="s">
        <v>402</v>
      </c>
      <c r="AI953" s="16"/>
      <c r="AJ953" s="16" t="s">
        <v>1498</v>
      </c>
    </row>
    <row r="954" spans="1:36" ht="15" customHeight="1" x14ac:dyDescent="0.3">
      <c r="A954" s="16" t="s">
        <v>273</v>
      </c>
      <c r="B954" s="16" t="s">
        <v>739</v>
      </c>
      <c r="C954" s="16" t="s">
        <v>1342</v>
      </c>
      <c r="D954" s="16" t="s">
        <v>324</v>
      </c>
      <c r="E954" s="16" t="s">
        <v>404</v>
      </c>
      <c r="F954" s="16" t="s">
        <v>1343</v>
      </c>
      <c r="G954" s="16">
        <v>0.6</v>
      </c>
      <c r="H954" s="16">
        <v>2606</v>
      </c>
      <c r="I954" s="16">
        <v>110</v>
      </c>
      <c r="J954" s="16">
        <v>109</v>
      </c>
      <c r="K954" s="16">
        <v>2.8220148429278599E-4</v>
      </c>
      <c r="L954" s="16">
        <v>3.1092801662435301E-3</v>
      </c>
      <c r="M954" s="16">
        <v>9.0761034453105405E-2</v>
      </c>
      <c r="N954" s="16">
        <v>2604</v>
      </c>
      <c r="O954" s="16">
        <v>0.927689452798936</v>
      </c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 t="s">
        <v>402</v>
      </c>
      <c r="AI954" s="16"/>
      <c r="AJ954" s="16" t="s">
        <v>1499</v>
      </c>
    </row>
    <row r="955" spans="1:36" ht="15" customHeight="1" x14ac:dyDescent="0.3">
      <c r="A955" s="16" t="s">
        <v>273</v>
      </c>
      <c r="B955" s="16" t="s">
        <v>741</v>
      </c>
      <c r="C955" s="16" t="s">
        <v>1342</v>
      </c>
      <c r="D955" s="16" t="s">
        <v>324</v>
      </c>
      <c r="E955" s="16" t="s">
        <v>404</v>
      </c>
      <c r="F955" s="16" t="s">
        <v>1343</v>
      </c>
      <c r="G955" s="16">
        <v>0.6</v>
      </c>
      <c r="H955" s="16">
        <v>2606</v>
      </c>
      <c r="I955" s="16">
        <v>110</v>
      </c>
      <c r="J955" s="16">
        <v>109</v>
      </c>
      <c r="K955" s="16">
        <v>1.7670993369504099E-3</v>
      </c>
      <c r="L955" s="16">
        <v>6.8829375139910602E-3</v>
      </c>
      <c r="M955" s="16">
        <v>0.25673621667469698</v>
      </c>
      <c r="N955" s="16">
        <v>2604</v>
      </c>
      <c r="O955" s="16">
        <v>0.79740269363043703</v>
      </c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 t="s">
        <v>402</v>
      </c>
      <c r="AI955" s="16"/>
      <c r="AJ955" s="16" t="s">
        <v>1500</v>
      </c>
    </row>
    <row r="956" spans="1:36" ht="15" customHeight="1" x14ac:dyDescent="0.3">
      <c r="A956" s="16" t="s">
        <v>273</v>
      </c>
      <c r="B956" s="16" t="s">
        <v>743</v>
      </c>
      <c r="C956" s="16" t="s">
        <v>1342</v>
      </c>
      <c r="D956" s="16" t="s">
        <v>324</v>
      </c>
      <c r="E956" s="16" t="s">
        <v>404</v>
      </c>
      <c r="F956" s="16" t="s">
        <v>1343</v>
      </c>
      <c r="G956" s="16">
        <v>0.6</v>
      </c>
      <c r="H956" s="16">
        <v>2606</v>
      </c>
      <c r="I956" s="16">
        <v>110</v>
      </c>
      <c r="J956" s="16">
        <v>109</v>
      </c>
      <c r="K956" s="16">
        <v>9.6357170767307106E-3</v>
      </c>
      <c r="L956" s="16">
        <v>6.1608756649521902E-3</v>
      </c>
      <c r="M956" s="16">
        <v>1.56401745478262</v>
      </c>
      <c r="N956" s="16">
        <v>2604</v>
      </c>
      <c r="O956" s="16">
        <v>0.11793497974349</v>
      </c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 t="s">
        <v>402</v>
      </c>
      <c r="AI956" s="16"/>
      <c r="AJ956" s="16" t="s">
        <v>1501</v>
      </c>
    </row>
    <row r="957" spans="1:36" ht="15" customHeight="1" x14ac:dyDescent="0.3">
      <c r="A957" s="16" t="s">
        <v>273</v>
      </c>
      <c r="B957" s="16" t="s">
        <v>745</v>
      </c>
      <c r="C957" s="16" t="s">
        <v>1342</v>
      </c>
      <c r="D957" s="16" t="s">
        <v>324</v>
      </c>
      <c r="E957" s="16" t="s">
        <v>404</v>
      </c>
      <c r="F957" s="16" t="s">
        <v>1343</v>
      </c>
      <c r="G957" s="16">
        <v>0.6</v>
      </c>
      <c r="H957" s="16">
        <v>2606</v>
      </c>
      <c r="I957" s="16">
        <v>110</v>
      </c>
      <c r="J957" s="16">
        <v>109</v>
      </c>
      <c r="K957" s="16">
        <v>-5.09215308576679E-4</v>
      </c>
      <c r="L957" s="16">
        <v>4.4863843756104997E-3</v>
      </c>
      <c r="M957" s="16">
        <v>-0.113502380969617</v>
      </c>
      <c r="N957" s="16">
        <v>2604</v>
      </c>
      <c r="O957" s="16">
        <v>0.90964102507120004</v>
      </c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 t="s">
        <v>402</v>
      </c>
      <c r="AI957" s="16"/>
      <c r="AJ957" s="16" t="s">
        <v>1502</v>
      </c>
    </row>
    <row r="958" spans="1:36" ht="15" customHeight="1" x14ac:dyDescent="0.3">
      <c r="A958" s="16" t="s">
        <v>273</v>
      </c>
      <c r="B958" s="16" t="s">
        <v>747</v>
      </c>
      <c r="C958" s="16" t="s">
        <v>1342</v>
      </c>
      <c r="D958" s="16" t="s">
        <v>324</v>
      </c>
      <c r="E958" s="16" t="s">
        <v>404</v>
      </c>
      <c r="F958" s="16" t="s">
        <v>1343</v>
      </c>
      <c r="G958" s="16">
        <v>0.6</v>
      </c>
      <c r="H958" s="16">
        <v>905</v>
      </c>
      <c r="I958" s="16">
        <v>38</v>
      </c>
      <c r="J958" s="16">
        <v>38</v>
      </c>
      <c r="K958" s="16">
        <v>1.6849128666000001E-3</v>
      </c>
      <c r="L958" s="16">
        <v>3.4625165764225301E-3</v>
      </c>
      <c r="M958" s="16">
        <v>0.486615104768928</v>
      </c>
      <c r="N958" s="16">
        <v>903</v>
      </c>
      <c r="O958" s="16">
        <v>0.62664919902382998</v>
      </c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 t="s">
        <v>402</v>
      </c>
      <c r="AI958" s="16"/>
      <c r="AJ958" s="16" t="s">
        <v>1503</v>
      </c>
    </row>
    <row r="959" spans="1:36" ht="15" customHeight="1" x14ac:dyDescent="0.3">
      <c r="A959" s="16" t="s">
        <v>273</v>
      </c>
      <c r="B959" s="16" t="s">
        <v>749</v>
      </c>
      <c r="C959" s="16" t="s">
        <v>1342</v>
      </c>
      <c r="D959" s="16" t="s">
        <v>324</v>
      </c>
      <c r="E959" s="16" t="s">
        <v>404</v>
      </c>
      <c r="F959" s="16" t="s">
        <v>1343</v>
      </c>
      <c r="G959" s="16">
        <v>0.6</v>
      </c>
      <c r="H959" s="16">
        <v>2593</v>
      </c>
      <c r="I959" s="16">
        <v>110</v>
      </c>
      <c r="J959" s="16">
        <v>109</v>
      </c>
      <c r="K959" s="16">
        <v>-8.7084364259200396E-4</v>
      </c>
      <c r="L959" s="16">
        <v>2.90321614131731E-3</v>
      </c>
      <c r="M959" s="16">
        <v>-0.29995825326214498</v>
      </c>
      <c r="N959" s="16">
        <v>2591</v>
      </c>
      <c r="O959" s="16">
        <v>0.76423306110454403</v>
      </c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 t="s">
        <v>402</v>
      </c>
      <c r="AI959" s="16"/>
      <c r="AJ959" s="16" t="s">
        <v>1504</v>
      </c>
    </row>
    <row r="960" spans="1:36" ht="15" customHeight="1" x14ac:dyDescent="0.3">
      <c r="A960" s="16" t="s">
        <v>273</v>
      </c>
      <c r="B960" s="16" t="s">
        <v>751</v>
      </c>
      <c r="C960" s="16" t="s">
        <v>1342</v>
      </c>
      <c r="D960" s="16" t="s">
        <v>324</v>
      </c>
      <c r="E960" s="16" t="s">
        <v>404</v>
      </c>
      <c r="F960" s="16" t="s">
        <v>1343</v>
      </c>
      <c r="G960" s="16">
        <v>0.6</v>
      </c>
      <c r="H960" s="16">
        <v>2593</v>
      </c>
      <c r="I960" s="16">
        <v>110</v>
      </c>
      <c r="J960" s="16">
        <v>109</v>
      </c>
      <c r="K960" s="16">
        <v>-1.16865349268524E-3</v>
      </c>
      <c r="L960" s="16">
        <v>2.9056555402985798E-3</v>
      </c>
      <c r="M960" s="16">
        <v>-0.40219959884341799</v>
      </c>
      <c r="N960" s="16">
        <v>2591</v>
      </c>
      <c r="O960" s="16">
        <v>0.68757031326385298</v>
      </c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 t="s">
        <v>402</v>
      </c>
      <c r="AI960" s="16"/>
      <c r="AJ960" s="16" t="s">
        <v>1505</v>
      </c>
    </row>
    <row r="961" spans="1:36" ht="15" customHeight="1" x14ac:dyDescent="0.3">
      <c r="A961" s="16" t="s">
        <v>273</v>
      </c>
      <c r="B961" s="16" t="s">
        <v>753</v>
      </c>
      <c r="C961" s="16" t="s">
        <v>1342</v>
      </c>
      <c r="D961" s="16" t="s">
        <v>324</v>
      </c>
      <c r="E961" s="16" t="s">
        <v>404</v>
      </c>
      <c r="F961" s="16" t="s">
        <v>1343</v>
      </c>
      <c r="G961" s="16">
        <v>0.6</v>
      </c>
      <c r="H961" s="16">
        <v>2593</v>
      </c>
      <c r="I961" s="16">
        <v>110</v>
      </c>
      <c r="J961" s="16">
        <v>109</v>
      </c>
      <c r="K961" s="16">
        <v>9.40679297340465E-4</v>
      </c>
      <c r="L961" s="16">
        <v>8.1623332504641103E-3</v>
      </c>
      <c r="M961" s="16">
        <v>0.115246372388309</v>
      </c>
      <c r="N961" s="16">
        <v>2591</v>
      </c>
      <c r="O961" s="16">
        <v>0.908258773939421</v>
      </c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 t="s">
        <v>402</v>
      </c>
      <c r="AI961" s="16"/>
      <c r="AJ961" s="16" t="s">
        <v>1506</v>
      </c>
    </row>
    <row r="962" spans="1:36" ht="15" customHeight="1" x14ac:dyDescent="0.3">
      <c r="A962" s="16" t="s">
        <v>273</v>
      </c>
      <c r="B962" s="16" t="s">
        <v>755</v>
      </c>
      <c r="C962" s="16" t="s">
        <v>1342</v>
      </c>
      <c r="D962" s="16" t="s">
        <v>324</v>
      </c>
      <c r="E962" s="16" t="s">
        <v>404</v>
      </c>
      <c r="F962" s="16" t="s">
        <v>1343</v>
      </c>
      <c r="G962" s="16">
        <v>0.6</v>
      </c>
      <c r="H962" s="16">
        <v>2593</v>
      </c>
      <c r="I962" s="16">
        <v>110</v>
      </c>
      <c r="J962" s="16">
        <v>109</v>
      </c>
      <c r="K962" s="16">
        <v>-1.0892323149815899E-3</v>
      </c>
      <c r="L962" s="16">
        <v>2.9059548483013902E-3</v>
      </c>
      <c r="M962" s="16">
        <v>-0.37482768034688302</v>
      </c>
      <c r="N962" s="16">
        <v>2591</v>
      </c>
      <c r="O962" s="16">
        <v>0.70781930320739095</v>
      </c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 t="s">
        <v>402</v>
      </c>
      <c r="AI962" s="16"/>
      <c r="AJ962" s="16" t="s">
        <v>1507</v>
      </c>
    </row>
    <row r="963" spans="1:36" ht="15" customHeight="1" x14ac:dyDescent="0.3">
      <c r="A963" s="16" t="s">
        <v>273</v>
      </c>
      <c r="B963" s="16" t="s">
        <v>757</v>
      </c>
      <c r="C963" s="16" t="s">
        <v>1342</v>
      </c>
      <c r="D963" s="16" t="s">
        <v>324</v>
      </c>
      <c r="E963" s="16" t="s">
        <v>404</v>
      </c>
      <c r="F963" s="16" t="s">
        <v>1343</v>
      </c>
      <c r="G963" s="16">
        <v>0.6</v>
      </c>
      <c r="H963" s="16">
        <v>2593</v>
      </c>
      <c r="I963" s="16">
        <v>110</v>
      </c>
      <c r="J963" s="16">
        <v>109</v>
      </c>
      <c r="K963" s="16">
        <v>-1.31712085464055E-4</v>
      </c>
      <c r="L963" s="16">
        <v>2.9129562562293298E-3</v>
      </c>
      <c r="M963" s="16">
        <v>-4.5215950353662201E-2</v>
      </c>
      <c r="N963" s="16">
        <v>2591</v>
      </c>
      <c r="O963" s="16">
        <v>0.96393866509621495</v>
      </c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 t="s">
        <v>402</v>
      </c>
      <c r="AI963" s="16"/>
      <c r="AJ963" s="16" t="s">
        <v>1508</v>
      </c>
    </row>
    <row r="964" spans="1:36" ht="15" customHeight="1" x14ac:dyDescent="0.3">
      <c r="A964" s="16" t="s">
        <v>273</v>
      </c>
      <c r="B964" s="16" t="s">
        <v>759</v>
      </c>
      <c r="C964" s="16" t="s">
        <v>1342</v>
      </c>
      <c r="D964" s="16" t="s">
        <v>324</v>
      </c>
      <c r="E964" s="16" t="s">
        <v>404</v>
      </c>
      <c r="F964" s="16" t="s">
        <v>1343</v>
      </c>
      <c r="G964" s="16">
        <v>0.6</v>
      </c>
      <c r="H964" s="16">
        <v>2593</v>
      </c>
      <c r="I964" s="16">
        <v>110</v>
      </c>
      <c r="J964" s="16">
        <v>109</v>
      </c>
      <c r="K964" s="16">
        <v>-1.78647332212789E-4</v>
      </c>
      <c r="L964" s="16">
        <v>2.9154203104035398E-3</v>
      </c>
      <c r="M964" s="16">
        <v>-6.1276698792038398E-2</v>
      </c>
      <c r="N964" s="16">
        <v>2591</v>
      </c>
      <c r="O964" s="16">
        <v>0.95114357365384194</v>
      </c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 t="s">
        <v>402</v>
      </c>
      <c r="AI964" s="16"/>
      <c r="AJ964" s="16" t="s">
        <v>1509</v>
      </c>
    </row>
    <row r="965" spans="1:36" ht="15" customHeight="1" x14ac:dyDescent="0.3">
      <c r="A965" s="16" t="s">
        <v>273</v>
      </c>
      <c r="B965" s="16" t="s">
        <v>761</v>
      </c>
      <c r="C965" s="16" t="s">
        <v>1342</v>
      </c>
      <c r="D965" s="16" t="s">
        <v>324</v>
      </c>
      <c r="E965" s="16" t="s">
        <v>404</v>
      </c>
      <c r="F965" s="16" t="s">
        <v>1343</v>
      </c>
      <c r="G965" s="16">
        <v>0.6</v>
      </c>
      <c r="H965" s="16">
        <v>2593</v>
      </c>
      <c r="I965" s="16">
        <v>110</v>
      </c>
      <c r="J965" s="16">
        <v>109</v>
      </c>
      <c r="K965" s="16">
        <v>1.2123797002653301E-3</v>
      </c>
      <c r="L965" s="16">
        <v>6.45592610787979E-3</v>
      </c>
      <c r="M965" s="16">
        <v>0.18779330494281199</v>
      </c>
      <c r="N965" s="16">
        <v>2591</v>
      </c>
      <c r="O965" s="16">
        <v>0.85105338928979801</v>
      </c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 t="s">
        <v>402</v>
      </c>
      <c r="AI965" s="16"/>
      <c r="AJ965" s="16" t="s">
        <v>1510</v>
      </c>
    </row>
    <row r="966" spans="1:36" ht="15" customHeight="1" x14ac:dyDescent="0.3">
      <c r="A966" s="16" t="s">
        <v>273</v>
      </c>
      <c r="B966" s="16" t="s">
        <v>763</v>
      </c>
      <c r="C966" s="16" t="s">
        <v>1342</v>
      </c>
      <c r="D966" s="16" t="s">
        <v>324</v>
      </c>
      <c r="E966" s="16" t="s">
        <v>404</v>
      </c>
      <c r="F966" s="16" t="s">
        <v>1343</v>
      </c>
      <c r="G966" s="16">
        <v>0.6</v>
      </c>
      <c r="H966" s="16">
        <v>2593</v>
      </c>
      <c r="I966" s="16">
        <v>110</v>
      </c>
      <c r="J966" s="16">
        <v>109</v>
      </c>
      <c r="K966" s="16">
        <v>7.5088168604223599E-3</v>
      </c>
      <c r="L966" s="16">
        <v>5.7801692675199298E-3</v>
      </c>
      <c r="M966" s="16">
        <v>1.2990652198744601</v>
      </c>
      <c r="N966" s="16">
        <v>2591</v>
      </c>
      <c r="O966" s="16">
        <v>0.19403713455162799</v>
      </c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 t="s">
        <v>402</v>
      </c>
      <c r="AI966" s="16"/>
      <c r="AJ966" s="16" t="s">
        <v>1511</v>
      </c>
    </row>
    <row r="967" spans="1:36" ht="15" customHeight="1" x14ac:dyDescent="0.3">
      <c r="A967" s="16" t="s">
        <v>273</v>
      </c>
      <c r="B967" s="16" t="s">
        <v>765</v>
      </c>
      <c r="C967" s="16" t="s">
        <v>1342</v>
      </c>
      <c r="D967" s="16" t="s">
        <v>324</v>
      </c>
      <c r="E967" s="16" t="s">
        <v>404</v>
      </c>
      <c r="F967" s="16" t="s">
        <v>1343</v>
      </c>
      <c r="G967" s="16">
        <v>0.6</v>
      </c>
      <c r="H967" s="16">
        <v>2593</v>
      </c>
      <c r="I967" s="16">
        <v>110</v>
      </c>
      <c r="J967" s="16">
        <v>109</v>
      </c>
      <c r="K967" s="16">
        <v>-1.5385167268986599E-3</v>
      </c>
      <c r="L967" s="16">
        <v>4.2071575350662296E-3</v>
      </c>
      <c r="M967" s="16">
        <v>-0.36569030612124198</v>
      </c>
      <c r="N967" s="16">
        <v>2591</v>
      </c>
      <c r="O967" s="16">
        <v>0.71462603243483203</v>
      </c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 t="s">
        <v>402</v>
      </c>
      <c r="AI967" s="16"/>
      <c r="AJ967" s="16" t="s">
        <v>1512</v>
      </c>
    </row>
    <row r="968" spans="1:36" ht="15" customHeight="1" x14ac:dyDescent="0.3">
      <c r="A968" s="16" t="s">
        <v>273</v>
      </c>
      <c r="B968" s="16" t="s">
        <v>767</v>
      </c>
      <c r="C968" s="16" t="s">
        <v>1342</v>
      </c>
      <c r="D968" s="16" t="s">
        <v>324</v>
      </c>
      <c r="E968" s="16" t="s">
        <v>404</v>
      </c>
      <c r="F968" s="16" t="s">
        <v>1343</v>
      </c>
      <c r="G968" s="16">
        <v>0.6</v>
      </c>
      <c r="H968" s="16">
        <v>900</v>
      </c>
      <c r="I968" s="16">
        <v>38</v>
      </c>
      <c r="J968" s="16">
        <v>38</v>
      </c>
      <c r="K968" s="16">
        <v>8.1715503378438498E-4</v>
      </c>
      <c r="L968" s="16">
        <v>3.2525061680896399E-3</v>
      </c>
      <c r="M968" s="16">
        <v>0.25123858082161299</v>
      </c>
      <c r="N968" s="16">
        <v>898</v>
      </c>
      <c r="O968" s="16">
        <v>0.801687135874811</v>
      </c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 t="s">
        <v>402</v>
      </c>
      <c r="AI968" s="16"/>
      <c r="AJ968" s="16" t="s">
        <v>1513</v>
      </c>
    </row>
    <row r="969" spans="1:36" ht="15" customHeight="1" x14ac:dyDescent="0.3">
      <c r="A969" s="16" t="s">
        <v>273</v>
      </c>
      <c r="B969" s="16" t="s">
        <v>769</v>
      </c>
      <c r="C969" s="16" t="s">
        <v>1342</v>
      </c>
      <c r="D969" s="16" t="s">
        <v>324</v>
      </c>
      <c r="E969" s="16" t="s">
        <v>404</v>
      </c>
      <c r="F969" s="16" t="s">
        <v>1343</v>
      </c>
      <c r="G969" s="16">
        <v>0.6</v>
      </c>
      <c r="H969" s="16">
        <v>2606</v>
      </c>
      <c r="I969" s="16">
        <v>110</v>
      </c>
      <c r="J969" s="16">
        <v>109</v>
      </c>
      <c r="K969" s="16">
        <v>3.0952068030435701E-3</v>
      </c>
      <c r="L969" s="16">
        <v>2.5213355325654401E-3</v>
      </c>
      <c r="M969" s="16">
        <v>1.22760606950802</v>
      </c>
      <c r="N969" s="16">
        <v>2604</v>
      </c>
      <c r="O969" s="16">
        <v>0.21970584215712999</v>
      </c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 t="s">
        <v>402</v>
      </c>
      <c r="AI969" s="16"/>
      <c r="AJ969" s="16" t="s">
        <v>1514</v>
      </c>
    </row>
    <row r="970" spans="1:36" ht="15" customHeight="1" x14ac:dyDescent="0.3">
      <c r="A970" s="16" t="s">
        <v>273</v>
      </c>
      <c r="B970" s="16" t="s">
        <v>771</v>
      </c>
      <c r="C970" s="16" t="s">
        <v>1342</v>
      </c>
      <c r="D970" s="16" t="s">
        <v>324</v>
      </c>
      <c r="E970" s="16" t="s">
        <v>404</v>
      </c>
      <c r="F970" s="16" t="s">
        <v>1343</v>
      </c>
      <c r="G970" s="16">
        <v>0.6</v>
      </c>
      <c r="H970" s="16">
        <v>2606</v>
      </c>
      <c r="I970" s="16">
        <v>110</v>
      </c>
      <c r="J970" s="16">
        <v>109</v>
      </c>
      <c r="K970" s="16">
        <v>2.8423250097639298E-3</v>
      </c>
      <c r="L970" s="16">
        <v>2.52360808357069E-3</v>
      </c>
      <c r="M970" s="16">
        <v>1.12629414538183</v>
      </c>
      <c r="N970" s="16">
        <v>2604</v>
      </c>
      <c r="O970" s="16">
        <v>0.260144819713788</v>
      </c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 t="s">
        <v>402</v>
      </c>
      <c r="AI970" s="16"/>
      <c r="AJ970" s="16" t="s">
        <v>1515</v>
      </c>
    </row>
    <row r="971" spans="1:36" ht="15" customHeight="1" x14ac:dyDescent="0.3">
      <c r="A971" s="16" t="s">
        <v>273</v>
      </c>
      <c r="B971" s="16" t="s">
        <v>773</v>
      </c>
      <c r="C971" s="16" t="s">
        <v>1342</v>
      </c>
      <c r="D971" s="16" t="s">
        <v>324</v>
      </c>
      <c r="E971" s="16" t="s">
        <v>404</v>
      </c>
      <c r="F971" s="16" t="s">
        <v>1343</v>
      </c>
      <c r="G971" s="16">
        <v>0.6</v>
      </c>
      <c r="H971" s="16">
        <v>2606</v>
      </c>
      <c r="I971" s="16">
        <v>110</v>
      </c>
      <c r="J971" s="16">
        <v>109</v>
      </c>
      <c r="K971" s="16">
        <v>-8.91980554318588E-4</v>
      </c>
      <c r="L971" s="16">
        <v>7.0882753787793601E-3</v>
      </c>
      <c r="M971" s="16">
        <v>-0.125838868646239</v>
      </c>
      <c r="N971" s="16">
        <v>2604</v>
      </c>
      <c r="O971" s="16">
        <v>0.89986918802110405</v>
      </c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 t="s">
        <v>402</v>
      </c>
      <c r="AI971" s="16"/>
      <c r="AJ971" s="16" t="s">
        <v>1516</v>
      </c>
    </row>
    <row r="972" spans="1:36" ht="15" customHeight="1" x14ac:dyDescent="0.3">
      <c r="A972" s="16" t="s">
        <v>273</v>
      </c>
      <c r="B972" s="16" t="s">
        <v>775</v>
      </c>
      <c r="C972" s="16" t="s">
        <v>1342</v>
      </c>
      <c r="D972" s="16" t="s">
        <v>324</v>
      </c>
      <c r="E972" s="16" t="s">
        <v>404</v>
      </c>
      <c r="F972" s="16" t="s">
        <v>1343</v>
      </c>
      <c r="G972" s="16">
        <v>0.6</v>
      </c>
      <c r="H972" s="16">
        <v>2606</v>
      </c>
      <c r="I972" s="16">
        <v>110</v>
      </c>
      <c r="J972" s="16">
        <v>109</v>
      </c>
      <c r="K972" s="16">
        <v>2.917241344878E-3</v>
      </c>
      <c r="L972" s="16">
        <v>2.5238253433797499E-3</v>
      </c>
      <c r="M972" s="16">
        <v>1.15588083483281</v>
      </c>
      <c r="N972" s="16">
        <v>2604</v>
      </c>
      <c r="O972" s="16">
        <v>0.247835942829533</v>
      </c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 t="s">
        <v>402</v>
      </c>
      <c r="AI972" s="16"/>
      <c r="AJ972" s="16" t="s">
        <v>1517</v>
      </c>
    </row>
    <row r="973" spans="1:36" ht="15" customHeight="1" x14ac:dyDescent="0.3">
      <c r="A973" s="16" t="s">
        <v>273</v>
      </c>
      <c r="B973" s="16" t="s">
        <v>777</v>
      </c>
      <c r="C973" s="16" t="s">
        <v>1342</v>
      </c>
      <c r="D973" s="16" t="s">
        <v>324</v>
      </c>
      <c r="E973" s="16" t="s">
        <v>404</v>
      </c>
      <c r="F973" s="16" t="s">
        <v>1343</v>
      </c>
      <c r="G973" s="16">
        <v>0.6</v>
      </c>
      <c r="H973" s="16">
        <v>2606</v>
      </c>
      <c r="I973" s="16">
        <v>110</v>
      </c>
      <c r="J973" s="16">
        <v>109</v>
      </c>
      <c r="K973" s="16">
        <v>3.7844154825922901E-3</v>
      </c>
      <c r="L973" s="16">
        <v>2.5294076101751001E-3</v>
      </c>
      <c r="M973" s="16">
        <v>1.49616671799699</v>
      </c>
      <c r="N973" s="16">
        <v>2604</v>
      </c>
      <c r="O973" s="16">
        <v>0.134731398895578</v>
      </c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 t="s">
        <v>402</v>
      </c>
      <c r="AI973" s="16"/>
      <c r="AJ973" s="16" t="s">
        <v>1518</v>
      </c>
    </row>
    <row r="974" spans="1:36" ht="15" customHeight="1" x14ac:dyDescent="0.3">
      <c r="A974" s="16" t="s">
        <v>273</v>
      </c>
      <c r="B974" s="16" t="s">
        <v>779</v>
      </c>
      <c r="C974" s="16" t="s">
        <v>1342</v>
      </c>
      <c r="D974" s="16" t="s">
        <v>324</v>
      </c>
      <c r="E974" s="16" t="s">
        <v>404</v>
      </c>
      <c r="F974" s="16" t="s">
        <v>1343</v>
      </c>
      <c r="G974" s="16">
        <v>0.6</v>
      </c>
      <c r="H974" s="16">
        <v>2606</v>
      </c>
      <c r="I974" s="16">
        <v>110</v>
      </c>
      <c r="J974" s="16">
        <v>109</v>
      </c>
      <c r="K974" s="16">
        <v>3.7130005255136302E-3</v>
      </c>
      <c r="L974" s="16">
        <v>2.5315924963320801E-3</v>
      </c>
      <c r="M974" s="16">
        <v>1.4666659546879099</v>
      </c>
      <c r="N974" s="16">
        <v>2604</v>
      </c>
      <c r="O974" s="16">
        <v>0.14258769951495801</v>
      </c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 t="s">
        <v>402</v>
      </c>
      <c r="AI974" s="16"/>
      <c r="AJ974" s="16" t="s">
        <v>1519</v>
      </c>
    </row>
    <row r="975" spans="1:36" ht="15" customHeight="1" x14ac:dyDescent="0.3">
      <c r="A975" s="16" t="s">
        <v>273</v>
      </c>
      <c r="B975" s="16" t="s">
        <v>781</v>
      </c>
      <c r="C975" s="16" t="s">
        <v>1342</v>
      </c>
      <c r="D975" s="16" t="s">
        <v>324</v>
      </c>
      <c r="E975" s="16" t="s">
        <v>404</v>
      </c>
      <c r="F975" s="16" t="s">
        <v>1343</v>
      </c>
      <c r="G975" s="16">
        <v>0.6</v>
      </c>
      <c r="H975" s="16">
        <v>2606</v>
      </c>
      <c r="I975" s="16">
        <v>110</v>
      </c>
      <c r="J975" s="16">
        <v>109</v>
      </c>
      <c r="K975" s="16">
        <v>-5.0643330325235404E-4</v>
      </c>
      <c r="L975" s="16">
        <v>5.60649198791148E-3</v>
      </c>
      <c r="M975" s="16">
        <v>-9.0329800585519093E-2</v>
      </c>
      <c r="N975" s="16">
        <v>2604</v>
      </c>
      <c r="O975" s="16">
        <v>0.92803208665041903</v>
      </c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 t="s">
        <v>402</v>
      </c>
      <c r="AI975" s="16"/>
      <c r="AJ975" s="16" t="s">
        <v>1520</v>
      </c>
    </row>
    <row r="976" spans="1:36" ht="15" customHeight="1" x14ac:dyDescent="0.3">
      <c r="A976" s="16" t="s">
        <v>273</v>
      </c>
      <c r="B976" s="16" t="s">
        <v>783</v>
      </c>
      <c r="C976" s="16" t="s">
        <v>1342</v>
      </c>
      <c r="D976" s="16" t="s">
        <v>324</v>
      </c>
      <c r="E976" s="16" t="s">
        <v>404</v>
      </c>
      <c r="F976" s="16" t="s">
        <v>1343</v>
      </c>
      <c r="G976" s="16">
        <v>0.6</v>
      </c>
      <c r="H976" s="16">
        <v>2606</v>
      </c>
      <c r="I976" s="16">
        <v>110</v>
      </c>
      <c r="J976" s="16">
        <v>109</v>
      </c>
      <c r="K976" s="16">
        <v>6.1723028352357696E-3</v>
      </c>
      <c r="L976" s="16">
        <v>5.0191806187472399E-3</v>
      </c>
      <c r="M976" s="16">
        <v>1.22974312025781</v>
      </c>
      <c r="N976" s="16">
        <v>2604</v>
      </c>
      <c r="O976" s="16">
        <v>0.21890440782228199</v>
      </c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 t="s">
        <v>402</v>
      </c>
      <c r="AI976" s="16"/>
      <c r="AJ976" s="16" t="s">
        <v>1521</v>
      </c>
    </row>
    <row r="977" spans="1:36" ht="15" customHeight="1" x14ac:dyDescent="0.3">
      <c r="A977" s="16" t="s">
        <v>273</v>
      </c>
      <c r="B977" s="16" t="s">
        <v>785</v>
      </c>
      <c r="C977" s="16" t="s">
        <v>1342</v>
      </c>
      <c r="D977" s="16" t="s">
        <v>324</v>
      </c>
      <c r="E977" s="16" t="s">
        <v>404</v>
      </c>
      <c r="F977" s="16" t="s">
        <v>1343</v>
      </c>
      <c r="G977" s="16">
        <v>0.6</v>
      </c>
      <c r="H977" s="16">
        <v>2606</v>
      </c>
      <c r="I977" s="16">
        <v>110</v>
      </c>
      <c r="J977" s="16">
        <v>109</v>
      </c>
      <c r="K977" s="16">
        <v>-3.5086131929723198E-3</v>
      </c>
      <c r="L977" s="16">
        <v>3.6537029161592899E-3</v>
      </c>
      <c r="M977" s="16">
        <v>-0.96028967693424605</v>
      </c>
      <c r="N977" s="16">
        <v>2604</v>
      </c>
      <c r="O977" s="16">
        <v>0.336998599106138</v>
      </c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 t="s">
        <v>402</v>
      </c>
      <c r="AI977" s="16"/>
      <c r="AJ977" s="16" t="s">
        <v>1522</v>
      </c>
    </row>
    <row r="978" spans="1:36" ht="15" customHeight="1" x14ac:dyDescent="0.3">
      <c r="A978" s="16" t="s">
        <v>273</v>
      </c>
      <c r="B978" s="16" t="s">
        <v>787</v>
      </c>
      <c r="C978" s="16" t="s">
        <v>1342</v>
      </c>
      <c r="D978" s="16" t="s">
        <v>324</v>
      </c>
      <c r="E978" s="16" t="s">
        <v>404</v>
      </c>
      <c r="F978" s="16" t="s">
        <v>1343</v>
      </c>
      <c r="G978" s="16">
        <v>0.6</v>
      </c>
      <c r="H978" s="16">
        <v>905</v>
      </c>
      <c r="I978" s="16">
        <v>38</v>
      </c>
      <c r="J978" s="16">
        <v>38</v>
      </c>
      <c r="K978" s="16">
        <v>1.2113245680781799E-3</v>
      </c>
      <c r="L978" s="16">
        <v>3.2530498057838199E-3</v>
      </c>
      <c r="M978" s="16">
        <v>0.37236582296541598</v>
      </c>
      <c r="N978" s="16">
        <v>903</v>
      </c>
      <c r="O978" s="16">
        <v>0.70970786988253698</v>
      </c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 t="s">
        <v>402</v>
      </c>
      <c r="AI978" s="16"/>
      <c r="AJ978" s="16" t="s">
        <v>1523</v>
      </c>
    </row>
    <row r="979" spans="1:36" ht="15" customHeight="1" x14ac:dyDescent="0.3">
      <c r="A979" s="16" t="s">
        <v>273</v>
      </c>
      <c r="B979" s="16" t="s">
        <v>322</v>
      </c>
      <c r="C979" s="16" t="s">
        <v>1524</v>
      </c>
      <c r="D979" s="16" t="s">
        <v>324</v>
      </c>
      <c r="E979" s="16" t="s">
        <v>404</v>
      </c>
      <c r="F979" s="16" t="s">
        <v>401</v>
      </c>
      <c r="G979" s="16">
        <v>0.8</v>
      </c>
      <c r="H979" s="16">
        <v>2705</v>
      </c>
      <c r="I979" s="16">
        <v>113</v>
      </c>
      <c r="J979" s="16">
        <v>112</v>
      </c>
      <c r="K979" s="16">
        <v>1.00020869935732E-2</v>
      </c>
      <c r="L979" s="16">
        <v>1.8158354336579401E-2</v>
      </c>
      <c r="M979" s="16">
        <v>0.55082563145186902</v>
      </c>
      <c r="N979" s="16">
        <v>15.574421703845699</v>
      </c>
      <c r="O979" s="16">
        <v>0.58956798549026401</v>
      </c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 t="s">
        <v>402</v>
      </c>
      <c r="AI979" s="16"/>
      <c r="AJ979" s="16" t="s">
        <v>1525</v>
      </c>
    </row>
    <row r="980" spans="1:36" ht="15" customHeight="1" x14ac:dyDescent="0.3">
      <c r="A980" s="16" t="s">
        <v>273</v>
      </c>
      <c r="B980" s="16" t="s">
        <v>326</v>
      </c>
      <c r="C980" s="16" t="s">
        <v>1524</v>
      </c>
      <c r="D980" s="16" t="s">
        <v>324</v>
      </c>
      <c r="E980" s="16" t="s">
        <v>404</v>
      </c>
      <c r="F980" s="16" t="s">
        <v>401</v>
      </c>
      <c r="G980" s="16">
        <v>0.8</v>
      </c>
      <c r="H980" s="16">
        <v>2705</v>
      </c>
      <c r="I980" s="16">
        <v>113</v>
      </c>
      <c r="J980" s="16">
        <v>112</v>
      </c>
      <c r="K980" s="16">
        <v>9.6896358441064499E-3</v>
      </c>
      <c r="L980" s="16">
        <v>1.7786422917013101E-2</v>
      </c>
      <c r="M980" s="16">
        <v>0.54477709707656297</v>
      </c>
      <c r="N980" s="16">
        <v>12.7090234061572</v>
      </c>
      <c r="O980" s="16">
        <v>0.59533744514370202</v>
      </c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 t="s">
        <v>402</v>
      </c>
      <c r="AI980" s="16"/>
      <c r="AJ980" s="16" t="s">
        <v>1526</v>
      </c>
    </row>
    <row r="981" spans="1:36" ht="15" customHeight="1" x14ac:dyDescent="0.3">
      <c r="A981" s="16" t="s">
        <v>273</v>
      </c>
      <c r="B981" s="16" t="s">
        <v>328</v>
      </c>
      <c r="C981" s="16" t="s">
        <v>1524</v>
      </c>
      <c r="D981" s="16" t="s">
        <v>324</v>
      </c>
      <c r="E981" s="16" t="s">
        <v>404</v>
      </c>
      <c r="F981" s="16" t="s">
        <v>401</v>
      </c>
      <c r="G981" s="16">
        <v>0.8</v>
      </c>
      <c r="H981" s="16">
        <v>2705</v>
      </c>
      <c r="I981" s="16">
        <v>113</v>
      </c>
      <c r="J981" s="16">
        <v>112</v>
      </c>
      <c r="K981" s="16">
        <v>-1.9509188277132501E-2</v>
      </c>
      <c r="L981" s="16">
        <v>2.09606394796755E-2</v>
      </c>
      <c r="M981" s="16">
        <v>-0.93075348660281099</v>
      </c>
      <c r="N981" s="16">
        <v>41.407675473447298</v>
      </c>
      <c r="O981" s="16">
        <v>0.35737607387361497</v>
      </c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 t="s">
        <v>402</v>
      </c>
      <c r="AI981" s="16"/>
      <c r="AJ981" s="16" t="s">
        <v>1527</v>
      </c>
    </row>
    <row r="982" spans="1:36" ht="15" customHeight="1" x14ac:dyDescent="0.3">
      <c r="A982" s="16" t="s">
        <v>273</v>
      </c>
      <c r="B982" s="16" t="s">
        <v>330</v>
      </c>
      <c r="C982" s="16" t="s">
        <v>1524</v>
      </c>
      <c r="D982" s="16" t="s">
        <v>324</v>
      </c>
      <c r="E982" s="16" t="s">
        <v>404</v>
      </c>
      <c r="F982" s="16" t="s">
        <v>401</v>
      </c>
      <c r="G982" s="16">
        <v>0.8</v>
      </c>
      <c r="H982" s="16">
        <v>2705</v>
      </c>
      <c r="I982" s="16">
        <v>113</v>
      </c>
      <c r="J982" s="16">
        <v>112</v>
      </c>
      <c r="K982" s="16">
        <v>7.9697126483017199E-3</v>
      </c>
      <c r="L982" s="16">
        <v>1.80181473855444E-2</v>
      </c>
      <c r="M982" s="16">
        <v>0.442315876197998</v>
      </c>
      <c r="N982" s="16">
        <v>11.235143511023599</v>
      </c>
      <c r="O982" s="16">
        <v>0.66665481869769905</v>
      </c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 t="s">
        <v>402</v>
      </c>
      <c r="AI982" s="16"/>
      <c r="AJ982" s="16" t="s">
        <v>1528</v>
      </c>
    </row>
    <row r="983" spans="1:36" ht="15" customHeight="1" x14ac:dyDescent="0.3">
      <c r="A983" s="16" t="s">
        <v>273</v>
      </c>
      <c r="B983" s="16" t="s">
        <v>332</v>
      </c>
      <c r="C983" s="16" t="s">
        <v>1524</v>
      </c>
      <c r="D983" s="16" t="s">
        <v>324</v>
      </c>
      <c r="E983" s="16" t="s">
        <v>404</v>
      </c>
      <c r="F983" s="16" t="s">
        <v>401</v>
      </c>
      <c r="G983" s="16">
        <v>0.8</v>
      </c>
      <c r="H983" s="16">
        <v>2705</v>
      </c>
      <c r="I983" s="16">
        <v>113</v>
      </c>
      <c r="J983" s="16">
        <v>112</v>
      </c>
      <c r="K983" s="16">
        <v>3.4728385903237402E-3</v>
      </c>
      <c r="L983" s="16">
        <v>2.23863572395042E-2</v>
      </c>
      <c r="M983" s="16">
        <v>0.15513192044462601</v>
      </c>
      <c r="N983" s="16">
        <v>18.762780347284899</v>
      </c>
      <c r="O983" s="16">
        <v>0.87837402839934897</v>
      </c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 t="s">
        <v>402</v>
      </c>
      <c r="AI983" s="16"/>
      <c r="AJ983" s="16" t="s">
        <v>1529</v>
      </c>
    </row>
    <row r="984" spans="1:36" ht="15" customHeight="1" x14ac:dyDescent="0.3">
      <c r="A984" s="16" t="s">
        <v>273</v>
      </c>
      <c r="B984" s="16" t="s">
        <v>334</v>
      </c>
      <c r="C984" s="16" t="s">
        <v>1524</v>
      </c>
      <c r="D984" s="16" t="s">
        <v>324</v>
      </c>
      <c r="E984" s="16" t="s">
        <v>404</v>
      </c>
      <c r="F984" s="16" t="s">
        <v>401</v>
      </c>
      <c r="G984" s="16">
        <v>0.8</v>
      </c>
      <c r="H984" s="16">
        <v>2705</v>
      </c>
      <c r="I984" s="16">
        <v>113</v>
      </c>
      <c r="J984" s="16">
        <v>112</v>
      </c>
      <c r="K984" s="16">
        <v>4.1816950270599298E-3</v>
      </c>
      <c r="L984" s="16">
        <v>2.30135467577871E-2</v>
      </c>
      <c r="M984" s="16">
        <v>0.18170580445819301</v>
      </c>
      <c r="N984" s="16">
        <v>15.432600966214499</v>
      </c>
      <c r="O984" s="16">
        <v>0.85817875608658101</v>
      </c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 t="s">
        <v>402</v>
      </c>
      <c r="AI984" s="16"/>
      <c r="AJ984" s="16" t="s">
        <v>1530</v>
      </c>
    </row>
    <row r="985" spans="1:36" ht="15" customHeight="1" x14ac:dyDescent="0.3">
      <c r="A985" s="16" t="s">
        <v>273</v>
      </c>
      <c r="B985" s="16" t="s">
        <v>336</v>
      </c>
      <c r="C985" s="16" t="s">
        <v>1524</v>
      </c>
      <c r="D985" s="16" t="s">
        <v>324</v>
      </c>
      <c r="E985" s="16" t="s">
        <v>404</v>
      </c>
      <c r="F985" s="16" t="s">
        <v>401</v>
      </c>
      <c r="G985" s="16">
        <v>0.8</v>
      </c>
      <c r="H985" s="16">
        <v>2705</v>
      </c>
      <c r="I985" s="16">
        <v>113</v>
      </c>
      <c r="J985" s="16">
        <v>112</v>
      </c>
      <c r="K985" s="16">
        <v>-7.02312669496337E-3</v>
      </c>
      <c r="L985" s="16">
        <v>2.06359360778961E-2</v>
      </c>
      <c r="M985" s="16">
        <v>-0.34033477659809702</v>
      </c>
      <c r="N985" s="16">
        <v>18.414654567711501</v>
      </c>
      <c r="O985" s="16">
        <v>0.73745606822448495</v>
      </c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 t="s">
        <v>402</v>
      </c>
      <c r="AI985" s="16"/>
      <c r="AJ985" s="16" t="s">
        <v>1531</v>
      </c>
    </row>
    <row r="986" spans="1:36" ht="15" customHeight="1" x14ac:dyDescent="0.3">
      <c r="A986" s="16" t="s">
        <v>273</v>
      </c>
      <c r="B986" s="16" t="s">
        <v>338</v>
      </c>
      <c r="C986" s="16" t="s">
        <v>1524</v>
      </c>
      <c r="D986" s="16" t="s">
        <v>324</v>
      </c>
      <c r="E986" s="16" t="s">
        <v>404</v>
      </c>
      <c r="F986" s="16" t="s">
        <v>401</v>
      </c>
      <c r="G986" s="16">
        <v>0.8</v>
      </c>
      <c r="H986" s="16">
        <v>2705</v>
      </c>
      <c r="I986" s="16">
        <v>113</v>
      </c>
      <c r="J986" s="16">
        <v>112</v>
      </c>
      <c r="K986" s="16">
        <v>3.93665965787749E-2</v>
      </c>
      <c r="L986" s="16">
        <v>2.6306076617435399E-2</v>
      </c>
      <c r="M986" s="16">
        <v>1.4964830047169799</v>
      </c>
      <c r="N986" s="16">
        <v>22.890666566371099</v>
      </c>
      <c r="O986" s="16">
        <v>0.148189680817991</v>
      </c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 t="s">
        <v>402</v>
      </c>
      <c r="AI986" s="16"/>
      <c r="AJ986" s="16" t="s">
        <v>1532</v>
      </c>
    </row>
    <row r="987" spans="1:36" ht="15" customHeight="1" x14ac:dyDescent="0.3">
      <c r="A987" s="16" t="s">
        <v>273</v>
      </c>
      <c r="B987" s="16" t="s">
        <v>340</v>
      </c>
      <c r="C987" s="16" t="s">
        <v>1524</v>
      </c>
      <c r="D987" s="16" t="s">
        <v>324</v>
      </c>
      <c r="E987" s="16" t="s">
        <v>404</v>
      </c>
      <c r="F987" s="16" t="s">
        <v>401</v>
      </c>
      <c r="G987" s="16">
        <v>0.8</v>
      </c>
      <c r="H987" s="16">
        <v>2705</v>
      </c>
      <c r="I987" s="16">
        <v>113</v>
      </c>
      <c r="J987" s="16">
        <v>112</v>
      </c>
      <c r="K987" s="16">
        <v>2.08247656532261E-2</v>
      </c>
      <c r="L987" s="16">
        <v>2.1890148173462E-2</v>
      </c>
      <c r="M987" s="16">
        <v>0.951330502114758</v>
      </c>
      <c r="N987" s="16">
        <v>23.2683791137427</v>
      </c>
      <c r="O987" s="16">
        <v>0.35121471886533701</v>
      </c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 t="s">
        <v>402</v>
      </c>
      <c r="AI987" s="16"/>
      <c r="AJ987" s="16" t="s">
        <v>1533</v>
      </c>
    </row>
    <row r="988" spans="1:36" ht="15" customHeight="1" x14ac:dyDescent="0.3">
      <c r="A988" s="16" t="s">
        <v>273</v>
      </c>
      <c r="B988" s="16" t="s">
        <v>342</v>
      </c>
      <c r="C988" s="16" t="s">
        <v>1524</v>
      </c>
      <c r="D988" s="16" t="s">
        <v>324</v>
      </c>
      <c r="E988" s="16" t="s">
        <v>404</v>
      </c>
      <c r="F988" s="16" t="s">
        <v>401</v>
      </c>
      <c r="G988" s="16">
        <v>0.8</v>
      </c>
      <c r="H988" s="16">
        <v>929</v>
      </c>
      <c r="I988" s="16">
        <v>40</v>
      </c>
      <c r="J988" s="16">
        <v>40</v>
      </c>
      <c r="K988" s="16">
        <v>-1.0893791957108E-2</v>
      </c>
      <c r="L988" s="16">
        <v>1.6305412007311199E-2</v>
      </c>
      <c r="M988" s="16">
        <v>-0.66810896604288805</v>
      </c>
      <c r="N988" s="16">
        <v>22.126978498374299</v>
      </c>
      <c r="O988" s="16">
        <v>0.51097367505223401</v>
      </c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 t="s">
        <v>402</v>
      </c>
      <c r="AI988" s="16"/>
      <c r="AJ988" s="16" t="s">
        <v>1534</v>
      </c>
    </row>
    <row r="989" spans="1:36" ht="15" customHeight="1" x14ac:dyDescent="0.3">
      <c r="A989" s="16" t="s">
        <v>273</v>
      </c>
      <c r="B989" s="16" t="s">
        <v>449</v>
      </c>
      <c r="C989" s="16" t="s">
        <v>1524</v>
      </c>
      <c r="D989" s="16" t="s">
        <v>324</v>
      </c>
      <c r="E989" s="16" t="s">
        <v>404</v>
      </c>
      <c r="F989" s="16" t="s">
        <v>401</v>
      </c>
      <c r="G989" s="16">
        <v>0.8</v>
      </c>
      <c r="H989" s="16">
        <v>2692</v>
      </c>
      <c r="I989" s="16">
        <v>113</v>
      </c>
      <c r="J989" s="16">
        <v>112</v>
      </c>
      <c r="K989" s="16">
        <v>-1.37668155011681E-2</v>
      </c>
      <c r="L989" s="16">
        <v>1.0400820504957199E-2</v>
      </c>
      <c r="M989" s="16">
        <v>-1.32362783249713</v>
      </c>
      <c r="N989" s="16">
        <v>41.363378716083801</v>
      </c>
      <c r="O989" s="16">
        <v>0.192896018338263</v>
      </c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 t="s">
        <v>402</v>
      </c>
      <c r="AI989" s="16"/>
      <c r="AJ989" s="16" t="s">
        <v>1535</v>
      </c>
    </row>
    <row r="990" spans="1:36" ht="15" customHeight="1" x14ac:dyDescent="0.3">
      <c r="A990" s="16" t="s">
        <v>273</v>
      </c>
      <c r="B990" s="16" t="s">
        <v>451</v>
      </c>
      <c r="C990" s="16" t="s">
        <v>1524</v>
      </c>
      <c r="D990" s="16" t="s">
        <v>324</v>
      </c>
      <c r="E990" s="16" t="s">
        <v>404</v>
      </c>
      <c r="F990" s="16" t="s">
        <v>401</v>
      </c>
      <c r="G990" s="16">
        <v>0.8</v>
      </c>
      <c r="H990" s="16">
        <v>2692</v>
      </c>
      <c r="I990" s="16">
        <v>113</v>
      </c>
      <c r="J990" s="16">
        <v>112</v>
      </c>
      <c r="K990" s="16">
        <v>-1.2592905526335499E-2</v>
      </c>
      <c r="L990" s="16">
        <v>1.0949680120476601E-2</v>
      </c>
      <c r="M990" s="16">
        <v>-1.15007063108501</v>
      </c>
      <c r="N990" s="16">
        <v>31.227737385935399</v>
      </c>
      <c r="O990" s="16">
        <v>0.25884627464517102</v>
      </c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 t="s">
        <v>402</v>
      </c>
      <c r="AI990" s="16"/>
      <c r="AJ990" s="16" t="s">
        <v>1536</v>
      </c>
    </row>
    <row r="991" spans="1:36" ht="15" customHeight="1" x14ac:dyDescent="0.3">
      <c r="A991" s="16" t="s">
        <v>273</v>
      </c>
      <c r="B991" s="16" t="s">
        <v>453</v>
      </c>
      <c r="C991" s="16" t="s">
        <v>1524</v>
      </c>
      <c r="D991" s="16" t="s">
        <v>324</v>
      </c>
      <c r="E991" s="16" t="s">
        <v>404</v>
      </c>
      <c r="F991" s="16" t="s">
        <v>401</v>
      </c>
      <c r="G991" s="16">
        <v>0.8</v>
      </c>
      <c r="H991" s="16">
        <v>2692</v>
      </c>
      <c r="I991" s="16">
        <v>113</v>
      </c>
      <c r="J991" s="16">
        <v>112</v>
      </c>
      <c r="K991" s="16">
        <v>1.4725220692321901E-3</v>
      </c>
      <c r="L991" s="16">
        <v>1.0482243939071699E-2</v>
      </c>
      <c r="M991" s="16">
        <v>0.14047775245369801</v>
      </c>
      <c r="N991" s="16">
        <v>34.154093868377998</v>
      </c>
      <c r="O991" s="16">
        <v>0.88910775955907895</v>
      </c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 t="s">
        <v>402</v>
      </c>
      <c r="AI991" s="16"/>
      <c r="AJ991" s="16" t="s">
        <v>1537</v>
      </c>
    </row>
    <row r="992" spans="1:36" ht="15" customHeight="1" x14ac:dyDescent="0.3">
      <c r="A992" s="16" t="s">
        <v>273</v>
      </c>
      <c r="B992" s="16" t="s">
        <v>455</v>
      </c>
      <c r="C992" s="16" t="s">
        <v>1524</v>
      </c>
      <c r="D992" s="16" t="s">
        <v>324</v>
      </c>
      <c r="E992" s="16" t="s">
        <v>404</v>
      </c>
      <c r="F992" s="16" t="s">
        <v>401</v>
      </c>
      <c r="G992" s="16">
        <v>0.8</v>
      </c>
      <c r="H992" s="16">
        <v>2692</v>
      </c>
      <c r="I992" s="16">
        <v>113</v>
      </c>
      <c r="J992" s="16">
        <v>112</v>
      </c>
      <c r="K992" s="16">
        <v>-1.28005018856124E-2</v>
      </c>
      <c r="L992" s="16">
        <v>1.13808054358885E-2</v>
      </c>
      <c r="M992" s="16">
        <v>-1.12474481333694</v>
      </c>
      <c r="N992" s="16">
        <v>27.310066070384998</v>
      </c>
      <c r="O992" s="16">
        <v>0.27048582907913998</v>
      </c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 t="s">
        <v>402</v>
      </c>
      <c r="AI992" s="16"/>
      <c r="AJ992" s="16" t="s">
        <v>1538</v>
      </c>
    </row>
    <row r="993" spans="1:36" ht="15" customHeight="1" x14ac:dyDescent="0.3">
      <c r="A993" s="16" t="s">
        <v>273</v>
      </c>
      <c r="B993" s="16" t="s">
        <v>457</v>
      </c>
      <c r="C993" s="16" t="s">
        <v>1524</v>
      </c>
      <c r="D993" s="16" t="s">
        <v>324</v>
      </c>
      <c r="E993" s="16" t="s">
        <v>404</v>
      </c>
      <c r="F993" s="16" t="s">
        <v>401</v>
      </c>
      <c r="G993" s="16">
        <v>0.8</v>
      </c>
      <c r="H993" s="16">
        <v>2692</v>
      </c>
      <c r="I993" s="16">
        <v>113</v>
      </c>
      <c r="J993" s="16">
        <v>112</v>
      </c>
      <c r="K993" s="16">
        <v>-1.29778332407433E-2</v>
      </c>
      <c r="L993" s="16">
        <v>1.4829809276327899E-2</v>
      </c>
      <c r="M993" s="16">
        <v>-0.875118013922079</v>
      </c>
      <c r="N993" s="16">
        <v>17.474251630192899</v>
      </c>
      <c r="O993" s="16">
        <v>0.393379649095489</v>
      </c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 t="s">
        <v>402</v>
      </c>
      <c r="AI993" s="16"/>
      <c r="AJ993" s="16" t="s">
        <v>1539</v>
      </c>
    </row>
    <row r="994" spans="1:36" ht="15" customHeight="1" x14ac:dyDescent="0.3">
      <c r="A994" s="16" t="s">
        <v>273</v>
      </c>
      <c r="B994" s="16" t="s">
        <v>459</v>
      </c>
      <c r="C994" s="16" t="s">
        <v>1524</v>
      </c>
      <c r="D994" s="16" t="s">
        <v>324</v>
      </c>
      <c r="E994" s="16" t="s">
        <v>404</v>
      </c>
      <c r="F994" s="16" t="s">
        <v>401</v>
      </c>
      <c r="G994" s="16">
        <v>0.8</v>
      </c>
      <c r="H994" s="16">
        <v>2692</v>
      </c>
      <c r="I994" s="16">
        <v>113</v>
      </c>
      <c r="J994" s="16">
        <v>112</v>
      </c>
      <c r="K994" s="16">
        <v>-1.3710925162244701E-2</v>
      </c>
      <c r="L994" s="16">
        <v>1.6081371944757099E-2</v>
      </c>
      <c r="M994" s="16">
        <v>-0.85259673175551198</v>
      </c>
      <c r="N994" s="16">
        <v>14.3671605534555</v>
      </c>
      <c r="O994" s="16">
        <v>0.407871913049001</v>
      </c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 t="s">
        <v>402</v>
      </c>
      <c r="AI994" s="16"/>
      <c r="AJ994" s="16" t="s">
        <v>1540</v>
      </c>
    </row>
    <row r="995" spans="1:36" ht="15" customHeight="1" x14ac:dyDescent="0.3">
      <c r="A995" s="16" t="s">
        <v>273</v>
      </c>
      <c r="B995" s="16" t="s">
        <v>461</v>
      </c>
      <c r="C995" s="16" t="s">
        <v>1524</v>
      </c>
      <c r="D995" s="16" t="s">
        <v>324</v>
      </c>
      <c r="E995" s="16" t="s">
        <v>404</v>
      </c>
      <c r="F995" s="16" t="s">
        <v>401</v>
      </c>
      <c r="G995" s="16">
        <v>0.8</v>
      </c>
      <c r="H995" s="16">
        <v>2692</v>
      </c>
      <c r="I995" s="16">
        <v>113</v>
      </c>
      <c r="J995" s="16">
        <v>112</v>
      </c>
      <c r="K995" s="16">
        <v>2.25694102807086E-3</v>
      </c>
      <c r="L995" s="16">
        <v>9.0120324094744506E-3</v>
      </c>
      <c r="M995" s="16">
        <v>0.25043640829543801</v>
      </c>
      <c r="N995" s="16">
        <v>47.187289220485603</v>
      </c>
      <c r="O995" s="16">
        <v>0.80333709220547</v>
      </c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 t="s">
        <v>402</v>
      </c>
      <c r="AI995" s="16"/>
      <c r="AJ995" s="16" t="s">
        <v>1541</v>
      </c>
    </row>
    <row r="996" spans="1:36" ht="15" customHeight="1" x14ac:dyDescent="0.3">
      <c r="A996" s="16" t="s">
        <v>273</v>
      </c>
      <c r="B996" s="16" t="s">
        <v>463</v>
      </c>
      <c r="C996" s="16" t="s">
        <v>1524</v>
      </c>
      <c r="D996" s="16" t="s">
        <v>324</v>
      </c>
      <c r="E996" s="16" t="s">
        <v>404</v>
      </c>
      <c r="F996" s="16" t="s">
        <v>401</v>
      </c>
      <c r="G996" s="16">
        <v>0.8</v>
      </c>
      <c r="H996" s="16">
        <v>2692</v>
      </c>
      <c r="I996" s="16">
        <v>113</v>
      </c>
      <c r="J996" s="16">
        <v>112</v>
      </c>
      <c r="K996" s="16">
        <v>1.02569625806909E-2</v>
      </c>
      <c r="L996" s="16">
        <v>8.7555717994327303E-3</v>
      </c>
      <c r="M996" s="16">
        <v>1.1714783243917199</v>
      </c>
      <c r="N996" s="16">
        <v>63.401444746779099</v>
      </c>
      <c r="O996" s="16">
        <v>0.245790309676886</v>
      </c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 t="s">
        <v>402</v>
      </c>
      <c r="AI996" s="16"/>
      <c r="AJ996" s="16" t="s">
        <v>1542</v>
      </c>
    </row>
    <row r="997" spans="1:36" ht="15" customHeight="1" x14ac:dyDescent="0.3">
      <c r="A997" s="16" t="s">
        <v>273</v>
      </c>
      <c r="B997" s="16" t="s">
        <v>465</v>
      </c>
      <c r="C997" s="16" t="s">
        <v>1524</v>
      </c>
      <c r="D997" s="16" t="s">
        <v>324</v>
      </c>
      <c r="E997" s="16" t="s">
        <v>404</v>
      </c>
      <c r="F997" s="16" t="s">
        <v>401</v>
      </c>
      <c r="G997" s="16">
        <v>0.8</v>
      </c>
      <c r="H997" s="16">
        <v>2692</v>
      </c>
      <c r="I997" s="16">
        <v>113</v>
      </c>
      <c r="J997" s="16">
        <v>112</v>
      </c>
      <c r="K997" s="16">
        <v>-1.1302064546979799E-3</v>
      </c>
      <c r="L997" s="16">
        <v>8.9916563016114101E-3</v>
      </c>
      <c r="M997" s="16">
        <v>-0.12569502400747101</v>
      </c>
      <c r="N997" s="16">
        <v>73.002083623850098</v>
      </c>
      <c r="O997" s="16">
        <v>0.90031886237738401</v>
      </c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 t="s">
        <v>402</v>
      </c>
      <c r="AI997" s="16"/>
      <c r="AJ997" s="16" t="s">
        <v>1543</v>
      </c>
    </row>
    <row r="998" spans="1:36" ht="15" customHeight="1" x14ac:dyDescent="0.3">
      <c r="A998" s="16" t="s">
        <v>273</v>
      </c>
      <c r="B998" s="16" t="s">
        <v>467</v>
      </c>
      <c r="C998" s="16" t="s">
        <v>1524</v>
      </c>
      <c r="D998" s="16" t="s">
        <v>324</v>
      </c>
      <c r="E998" s="16" t="s">
        <v>404</v>
      </c>
      <c r="F998" s="16" t="s">
        <v>401</v>
      </c>
      <c r="G998" s="16">
        <v>0.8</v>
      </c>
      <c r="H998" s="16">
        <v>924</v>
      </c>
      <c r="I998" s="16">
        <v>40</v>
      </c>
      <c r="J998" s="16">
        <v>40</v>
      </c>
      <c r="K998" s="16">
        <v>-1.98000368537193E-2</v>
      </c>
      <c r="L998" s="16">
        <v>1.9165408975965598E-2</v>
      </c>
      <c r="M998" s="16">
        <v>-1.0331131925517201</v>
      </c>
      <c r="N998" s="16">
        <v>23.566398201069902</v>
      </c>
      <c r="O998" s="16">
        <v>0.31203715971887502</v>
      </c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 t="s">
        <v>402</v>
      </c>
      <c r="AI998" s="16"/>
      <c r="AJ998" s="16" t="s">
        <v>1544</v>
      </c>
    </row>
    <row r="999" spans="1:36" ht="15" customHeight="1" x14ac:dyDescent="0.3">
      <c r="A999" s="16" t="s">
        <v>273</v>
      </c>
      <c r="B999" s="16" t="s">
        <v>469</v>
      </c>
      <c r="C999" s="16" t="s">
        <v>1524</v>
      </c>
      <c r="D999" s="16" t="s">
        <v>324</v>
      </c>
      <c r="E999" s="16" t="s">
        <v>404</v>
      </c>
      <c r="F999" s="16" t="s">
        <v>401</v>
      </c>
      <c r="G999" s="16">
        <v>0.8</v>
      </c>
      <c r="H999" s="16">
        <v>2705</v>
      </c>
      <c r="I999" s="16">
        <v>113</v>
      </c>
      <c r="J999" s="16">
        <v>112</v>
      </c>
      <c r="K999" s="16">
        <v>-1.0273265668305101E-2</v>
      </c>
      <c r="L999" s="16">
        <v>1.0877392813762101E-2</v>
      </c>
      <c r="M999" s="16">
        <v>-0.94446029891531902</v>
      </c>
      <c r="N999" s="16">
        <v>37.709304078865699</v>
      </c>
      <c r="O999" s="16">
        <v>0.35094693598695897</v>
      </c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 t="s">
        <v>402</v>
      </c>
      <c r="AI999" s="16"/>
      <c r="AJ999" s="16" t="s">
        <v>1545</v>
      </c>
    </row>
    <row r="1000" spans="1:36" ht="15" customHeight="1" x14ac:dyDescent="0.3">
      <c r="A1000" s="16" t="s">
        <v>273</v>
      </c>
      <c r="B1000" s="16" t="s">
        <v>471</v>
      </c>
      <c r="C1000" s="16" t="s">
        <v>1524</v>
      </c>
      <c r="D1000" s="16" t="s">
        <v>324</v>
      </c>
      <c r="E1000" s="16" t="s">
        <v>404</v>
      </c>
      <c r="F1000" s="16" t="s">
        <v>401</v>
      </c>
      <c r="G1000" s="16">
        <v>0.8</v>
      </c>
      <c r="H1000" s="16">
        <v>2705</v>
      </c>
      <c r="I1000" s="16">
        <v>113</v>
      </c>
      <c r="J1000" s="16">
        <v>112</v>
      </c>
      <c r="K1000" s="16">
        <v>-8.1589000353498396E-3</v>
      </c>
      <c r="L1000" s="16">
        <v>1.1204780825217499E-2</v>
      </c>
      <c r="M1000" s="16">
        <v>-0.72816239448320497</v>
      </c>
      <c r="N1000" s="16">
        <v>28.701379526052801</v>
      </c>
      <c r="O1000" s="16">
        <v>0.472413612227434</v>
      </c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 t="s">
        <v>402</v>
      </c>
      <c r="AI1000" s="16"/>
      <c r="AJ1000" s="16" t="s">
        <v>1546</v>
      </c>
    </row>
    <row r="1001" spans="1:36" ht="15" customHeight="1" x14ac:dyDescent="0.3">
      <c r="A1001" s="16" t="s">
        <v>273</v>
      </c>
      <c r="B1001" s="16" t="s">
        <v>473</v>
      </c>
      <c r="C1001" s="16" t="s">
        <v>1524</v>
      </c>
      <c r="D1001" s="16" t="s">
        <v>324</v>
      </c>
      <c r="E1001" s="16" t="s">
        <v>404</v>
      </c>
      <c r="F1001" s="16" t="s">
        <v>401</v>
      </c>
      <c r="G1001" s="16">
        <v>0.8</v>
      </c>
      <c r="H1001" s="16">
        <v>2705</v>
      </c>
      <c r="I1001" s="16">
        <v>113</v>
      </c>
      <c r="J1001" s="16">
        <v>112</v>
      </c>
      <c r="K1001" s="16">
        <v>2.3211185687080798E-3</v>
      </c>
      <c r="L1001" s="16">
        <v>1.0447456716274501E-2</v>
      </c>
      <c r="M1001" s="16">
        <v>0.22217068055351299</v>
      </c>
      <c r="N1001" s="16">
        <v>35.167215289362701</v>
      </c>
      <c r="O1001" s="16">
        <v>0.82546624241789002</v>
      </c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 t="s">
        <v>402</v>
      </c>
      <c r="AI1001" s="16"/>
      <c r="AJ1001" s="16" t="s">
        <v>1547</v>
      </c>
    </row>
    <row r="1002" spans="1:36" ht="15" customHeight="1" x14ac:dyDescent="0.3">
      <c r="A1002" s="16" t="s">
        <v>273</v>
      </c>
      <c r="B1002" s="16" t="s">
        <v>475</v>
      </c>
      <c r="C1002" s="16" t="s">
        <v>1524</v>
      </c>
      <c r="D1002" s="16" t="s">
        <v>324</v>
      </c>
      <c r="E1002" s="16" t="s">
        <v>404</v>
      </c>
      <c r="F1002" s="16" t="s">
        <v>401</v>
      </c>
      <c r="G1002" s="16">
        <v>0.8</v>
      </c>
      <c r="H1002" s="16">
        <v>2705</v>
      </c>
      <c r="I1002" s="16">
        <v>113</v>
      </c>
      <c r="J1002" s="16">
        <v>112</v>
      </c>
      <c r="K1002" s="16">
        <v>-8.5797505623292393E-3</v>
      </c>
      <c r="L1002" s="16">
        <v>1.1673719921402899E-2</v>
      </c>
      <c r="M1002" s="16">
        <v>-0.73496285846287002</v>
      </c>
      <c r="N1002" s="16">
        <v>25.045815963785099</v>
      </c>
      <c r="O1002" s="16">
        <v>0.46918857426239902</v>
      </c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 t="s">
        <v>402</v>
      </c>
      <c r="AI1002" s="16"/>
      <c r="AJ1002" s="16" t="s">
        <v>1548</v>
      </c>
    </row>
    <row r="1003" spans="1:36" ht="15" customHeight="1" x14ac:dyDescent="0.3">
      <c r="A1003" s="16" t="s">
        <v>273</v>
      </c>
      <c r="B1003" s="16" t="s">
        <v>477</v>
      </c>
      <c r="C1003" s="16" t="s">
        <v>1524</v>
      </c>
      <c r="D1003" s="16" t="s">
        <v>324</v>
      </c>
      <c r="E1003" s="16" t="s">
        <v>404</v>
      </c>
      <c r="F1003" s="16" t="s">
        <v>401</v>
      </c>
      <c r="G1003" s="16">
        <v>0.8</v>
      </c>
      <c r="H1003" s="16">
        <v>2705</v>
      </c>
      <c r="I1003" s="16">
        <v>113</v>
      </c>
      <c r="J1003" s="16">
        <v>112</v>
      </c>
      <c r="K1003" s="16">
        <v>-9.48562271869474E-3</v>
      </c>
      <c r="L1003" s="16">
        <v>1.5089728607377799E-2</v>
      </c>
      <c r="M1003" s="16">
        <v>-0.62861453413131396</v>
      </c>
      <c r="N1003" s="16">
        <v>17.668779836490302</v>
      </c>
      <c r="O1003" s="16">
        <v>0.53764379181781097</v>
      </c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 t="s">
        <v>402</v>
      </c>
      <c r="AI1003" s="16"/>
      <c r="AJ1003" s="16" t="s">
        <v>1549</v>
      </c>
    </row>
    <row r="1004" spans="1:36" ht="15" customHeight="1" x14ac:dyDescent="0.3">
      <c r="A1004" s="16" t="s">
        <v>273</v>
      </c>
      <c r="B1004" s="16" t="s">
        <v>479</v>
      </c>
      <c r="C1004" s="16" t="s">
        <v>1524</v>
      </c>
      <c r="D1004" s="16" t="s">
        <v>324</v>
      </c>
      <c r="E1004" s="16" t="s">
        <v>404</v>
      </c>
      <c r="F1004" s="16" t="s">
        <v>401</v>
      </c>
      <c r="G1004" s="16">
        <v>0.8</v>
      </c>
      <c r="H1004" s="16">
        <v>2705</v>
      </c>
      <c r="I1004" s="16">
        <v>113</v>
      </c>
      <c r="J1004" s="16">
        <v>112</v>
      </c>
      <c r="K1004" s="16">
        <v>-9.9967646665302806E-3</v>
      </c>
      <c r="L1004" s="16">
        <v>1.6406879799551501E-2</v>
      </c>
      <c r="M1004" s="16">
        <v>-0.60930321844641799</v>
      </c>
      <c r="N1004" s="16">
        <v>14.526184481301399</v>
      </c>
      <c r="O1004" s="16">
        <v>0.55173492022589499</v>
      </c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16"/>
      <c r="AG1004" s="16"/>
      <c r="AH1004" s="16" t="s">
        <v>402</v>
      </c>
      <c r="AI1004" s="16"/>
      <c r="AJ1004" s="16" t="s">
        <v>1550</v>
      </c>
    </row>
    <row r="1005" spans="1:36" ht="15" customHeight="1" x14ac:dyDescent="0.3">
      <c r="A1005" s="16" t="s">
        <v>273</v>
      </c>
      <c r="B1005" s="16" t="s">
        <v>481</v>
      </c>
      <c r="C1005" s="16" t="s">
        <v>1524</v>
      </c>
      <c r="D1005" s="16" t="s">
        <v>324</v>
      </c>
      <c r="E1005" s="16" t="s">
        <v>404</v>
      </c>
      <c r="F1005" s="16" t="s">
        <v>401</v>
      </c>
      <c r="G1005" s="16">
        <v>0.8</v>
      </c>
      <c r="H1005" s="16">
        <v>2705</v>
      </c>
      <c r="I1005" s="16">
        <v>113</v>
      </c>
      <c r="J1005" s="16">
        <v>112</v>
      </c>
      <c r="K1005" s="16">
        <v>4.96959530659639E-3</v>
      </c>
      <c r="L1005" s="16">
        <v>9.3236036680637707E-3</v>
      </c>
      <c r="M1005" s="16">
        <v>0.53301228618487795</v>
      </c>
      <c r="N1005" s="16">
        <v>42.811385921321602</v>
      </c>
      <c r="O1005" s="16">
        <v>0.59678130388200901</v>
      </c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  <c r="AH1005" s="16" t="s">
        <v>402</v>
      </c>
      <c r="AI1005" s="16"/>
      <c r="AJ1005" s="16" t="s">
        <v>1551</v>
      </c>
    </row>
    <row r="1006" spans="1:36" ht="15" customHeight="1" x14ac:dyDescent="0.3">
      <c r="A1006" s="16" t="s">
        <v>273</v>
      </c>
      <c r="B1006" s="16" t="s">
        <v>483</v>
      </c>
      <c r="C1006" s="16" t="s">
        <v>1524</v>
      </c>
      <c r="D1006" s="16" t="s">
        <v>324</v>
      </c>
      <c r="E1006" s="16" t="s">
        <v>404</v>
      </c>
      <c r="F1006" s="16" t="s">
        <v>401</v>
      </c>
      <c r="G1006" s="16">
        <v>0.8</v>
      </c>
      <c r="H1006" s="16">
        <v>2705</v>
      </c>
      <c r="I1006" s="16">
        <v>113</v>
      </c>
      <c r="J1006" s="16">
        <v>112</v>
      </c>
      <c r="K1006" s="16">
        <v>1.6357233965518001E-2</v>
      </c>
      <c r="L1006" s="16">
        <v>9.1489947194238804E-3</v>
      </c>
      <c r="M1006" s="16">
        <v>1.78787227090541</v>
      </c>
      <c r="N1006" s="16">
        <v>57.507832499243499</v>
      </c>
      <c r="O1006" s="16">
        <v>7.9065591575480196E-2</v>
      </c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16"/>
      <c r="AG1006" s="16"/>
      <c r="AH1006" s="16" t="s">
        <v>402</v>
      </c>
      <c r="AI1006" s="16"/>
      <c r="AJ1006" s="16" t="s">
        <v>1552</v>
      </c>
    </row>
    <row r="1007" spans="1:36" ht="15" customHeight="1" x14ac:dyDescent="0.3">
      <c r="A1007" s="16" t="s">
        <v>273</v>
      </c>
      <c r="B1007" s="16" t="s">
        <v>485</v>
      </c>
      <c r="C1007" s="16" t="s">
        <v>1524</v>
      </c>
      <c r="D1007" s="16" t="s">
        <v>324</v>
      </c>
      <c r="E1007" s="16" t="s">
        <v>404</v>
      </c>
      <c r="F1007" s="16" t="s">
        <v>401</v>
      </c>
      <c r="G1007" s="16">
        <v>0.8</v>
      </c>
      <c r="H1007" s="16">
        <v>2705</v>
      </c>
      <c r="I1007" s="16">
        <v>113</v>
      </c>
      <c r="J1007" s="16">
        <v>112</v>
      </c>
      <c r="K1007" s="16">
        <v>4.2103978030216304E-3</v>
      </c>
      <c r="L1007" s="16">
        <v>9.1092583313915898E-3</v>
      </c>
      <c r="M1007" s="16">
        <v>0.46221082439962202</v>
      </c>
      <c r="N1007" s="16">
        <v>64.701643468868497</v>
      </c>
      <c r="O1007" s="16">
        <v>0.64548068585525697</v>
      </c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  <c r="AH1007" s="16" t="s">
        <v>402</v>
      </c>
      <c r="AI1007" s="16"/>
      <c r="AJ1007" s="16" t="s">
        <v>1553</v>
      </c>
    </row>
    <row r="1008" spans="1:36" ht="15" customHeight="1" x14ac:dyDescent="0.3">
      <c r="A1008" s="16" t="s">
        <v>273</v>
      </c>
      <c r="B1008" s="16" t="s">
        <v>487</v>
      </c>
      <c r="C1008" s="16" t="s">
        <v>1524</v>
      </c>
      <c r="D1008" s="16" t="s">
        <v>324</v>
      </c>
      <c r="E1008" s="16" t="s">
        <v>404</v>
      </c>
      <c r="F1008" s="16" t="s">
        <v>401</v>
      </c>
      <c r="G1008" s="16">
        <v>0.8</v>
      </c>
      <c r="H1008" s="16">
        <v>929</v>
      </c>
      <c r="I1008" s="16">
        <v>40</v>
      </c>
      <c r="J1008" s="16">
        <v>40</v>
      </c>
      <c r="K1008" s="16">
        <v>-1.52428883148292E-2</v>
      </c>
      <c r="L1008" s="16">
        <v>1.8609606132048599E-2</v>
      </c>
      <c r="M1008" s="16">
        <v>-0.81908709978437699</v>
      </c>
      <c r="N1008" s="16">
        <v>23.419332100393898</v>
      </c>
      <c r="O1008" s="16">
        <v>0.420994204561776</v>
      </c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16"/>
      <c r="AG1008" s="16"/>
      <c r="AH1008" s="16" t="s">
        <v>402</v>
      </c>
      <c r="AI1008" s="16"/>
      <c r="AJ1008" s="16" t="s">
        <v>1554</v>
      </c>
    </row>
    <row r="1009" spans="1:36" ht="15" customHeight="1" x14ac:dyDescent="0.3">
      <c r="A1009" s="16" t="s">
        <v>273</v>
      </c>
      <c r="B1009" s="16" t="s">
        <v>489</v>
      </c>
      <c r="C1009" s="16" t="s">
        <v>1524</v>
      </c>
      <c r="D1009" s="16" t="s">
        <v>324</v>
      </c>
      <c r="E1009" s="16" t="s">
        <v>404</v>
      </c>
      <c r="F1009" s="16" t="s">
        <v>401</v>
      </c>
      <c r="G1009" s="16">
        <v>0.8</v>
      </c>
      <c r="H1009" s="16">
        <v>2607</v>
      </c>
      <c r="I1009" s="16">
        <v>110</v>
      </c>
      <c r="J1009" s="16">
        <v>109</v>
      </c>
      <c r="K1009" s="16">
        <v>5.95071583001976E-3</v>
      </c>
      <c r="L1009" s="16">
        <v>1.9174091690099201E-2</v>
      </c>
      <c r="M1009" s="16">
        <v>0.31035190225425302</v>
      </c>
      <c r="N1009" s="16">
        <v>14.829161981342301</v>
      </c>
      <c r="O1009" s="16">
        <v>0.76061248795620096</v>
      </c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  <c r="AH1009" s="16" t="s">
        <v>402</v>
      </c>
      <c r="AI1009" s="16"/>
      <c r="AJ1009" s="16" t="s">
        <v>1555</v>
      </c>
    </row>
    <row r="1010" spans="1:36" ht="15" customHeight="1" x14ac:dyDescent="0.3">
      <c r="A1010" s="16" t="s">
        <v>273</v>
      </c>
      <c r="B1010" s="16" t="s">
        <v>491</v>
      </c>
      <c r="C1010" s="16" t="s">
        <v>1524</v>
      </c>
      <c r="D1010" s="16" t="s">
        <v>324</v>
      </c>
      <c r="E1010" s="16" t="s">
        <v>404</v>
      </c>
      <c r="F1010" s="16" t="s">
        <v>401</v>
      </c>
      <c r="G1010" s="16">
        <v>0.8</v>
      </c>
      <c r="H1010" s="16">
        <v>2607</v>
      </c>
      <c r="I1010" s="16">
        <v>110</v>
      </c>
      <c r="J1010" s="16">
        <v>109</v>
      </c>
      <c r="K1010" s="16">
        <v>5.5953266624008003E-3</v>
      </c>
      <c r="L1010" s="16">
        <v>1.8848651495573299E-2</v>
      </c>
      <c r="M1010" s="16">
        <v>0.29685554235616701</v>
      </c>
      <c r="N1010" s="16">
        <v>12.146860971578899</v>
      </c>
      <c r="O1010" s="16">
        <v>0.77159184494093103</v>
      </c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16"/>
      <c r="AG1010" s="16"/>
      <c r="AH1010" s="16" t="s">
        <v>402</v>
      </c>
      <c r="AI1010" s="16"/>
      <c r="AJ1010" s="16" t="s">
        <v>1556</v>
      </c>
    </row>
    <row r="1011" spans="1:36" ht="15" customHeight="1" x14ac:dyDescent="0.3">
      <c r="A1011" s="16" t="s">
        <v>273</v>
      </c>
      <c r="B1011" s="16" t="s">
        <v>493</v>
      </c>
      <c r="C1011" s="16" t="s">
        <v>1524</v>
      </c>
      <c r="D1011" s="16" t="s">
        <v>324</v>
      </c>
      <c r="E1011" s="16" t="s">
        <v>404</v>
      </c>
      <c r="F1011" s="16" t="s">
        <v>401</v>
      </c>
      <c r="G1011" s="16">
        <v>0.8</v>
      </c>
      <c r="H1011" s="16">
        <v>2607</v>
      </c>
      <c r="I1011" s="16">
        <v>110</v>
      </c>
      <c r="J1011" s="16">
        <v>109</v>
      </c>
      <c r="K1011" s="16">
        <v>-1.8304626109201898E-2</v>
      </c>
      <c r="L1011" s="16">
        <v>2.1875973583288799E-2</v>
      </c>
      <c r="M1011" s="16">
        <v>-0.83674566709044196</v>
      </c>
      <c r="N1011" s="16">
        <v>37.2700937453668</v>
      </c>
      <c r="O1011" s="16">
        <v>0.40806879456413198</v>
      </c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  <c r="AH1011" s="16" t="s">
        <v>402</v>
      </c>
      <c r="AI1011" s="16"/>
      <c r="AJ1011" s="16" t="s">
        <v>1557</v>
      </c>
    </row>
    <row r="1012" spans="1:36" ht="15" customHeight="1" x14ac:dyDescent="0.3">
      <c r="A1012" s="16" t="s">
        <v>273</v>
      </c>
      <c r="B1012" s="16" t="s">
        <v>495</v>
      </c>
      <c r="C1012" s="16" t="s">
        <v>1524</v>
      </c>
      <c r="D1012" s="16" t="s">
        <v>324</v>
      </c>
      <c r="E1012" s="16" t="s">
        <v>404</v>
      </c>
      <c r="F1012" s="16" t="s">
        <v>401</v>
      </c>
      <c r="G1012" s="16">
        <v>0.8</v>
      </c>
      <c r="H1012" s="16">
        <v>2607</v>
      </c>
      <c r="I1012" s="16">
        <v>110</v>
      </c>
      <c r="J1012" s="16">
        <v>109</v>
      </c>
      <c r="K1012" s="16">
        <v>3.7975245697020499E-3</v>
      </c>
      <c r="L1012" s="16">
        <v>1.9171740655969799E-2</v>
      </c>
      <c r="M1012" s="16">
        <v>0.198079279176956</v>
      </c>
      <c r="N1012" s="16">
        <v>10.752425811222</v>
      </c>
      <c r="O1012" s="16">
        <v>0.84667814106782802</v>
      </c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16"/>
      <c r="AG1012" s="16"/>
      <c r="AH1012" s="16" t="s">
        <v>402</v>
      </c>
      <c r="AI1012" s="16"/>
      <c r="AJ1012" s="16" t="s">
        <v>1558</v>
      </c>
    </row>
    <row r="1013" spans="1:36" ht="15" customHeight="1" x14ac:dyDescent="0.3">
      <c r="A1013" s="16" t="s">
        <v>273</v>
      </c>
      <c r="B1013" s="16" t="s">
        <v>497</v>
      </c>
      <c r="C1013" s="16" t="s">
        <v>1524</v>
      </c>
      <c r="D1013" s="16" t="s">
        <v>324</v>
      </c>
      <c r="E1013" s="16" t="s">
        <v>404</v>
      </c>
      <c r="F1013" s="16" t="s">
        <v>401</v>
      </c>
      <c r="G1013" s="16">
        <v>0.8</v>
      </c>
      <c r="H1013" s="16">
        <v>2607</v>
      </c>
      <c r="I1013" s="16">
        <v>110</v>
      </c>
      <c r="J1013" s="16">
        <v>109</v>
      </c>
      <c r="K1013" s="16">
        <v>-2.7229260763571E-3</v>
      </c>
      <c r="L1013" s="16">
        <v>2.2921217619454499E-2</v>
      </c>
      <c r="M1013" s="16">
        <v>-0.11879500127628501</v>
      </c>
      <c r="N1013" s="16">
        <v>18.9287640050132</v>
      </c>
      <c r="O1013" s="16">
        <v>0.90668943007168201</v>
      </c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6"/>
      <c r="AA1013" s="16"/>
      <c r="AB1013" s="16"/>
      <c r="AC1013" s="16"/>
      <c r="AD1013" s="16"/>
      <c r="AE1013" s="16"/>
      <c r="AF1013" s="16"/>
      <c r="AG1013" s="16"/>
      <c r="AH1013" s="16" t="s">
        <v>402</v>
      </c>
      <c r="AI1013" s="16"/>
      <c r="AJ1013" s="16" t="s">
        <v>1559</v>
      </c>
    </row>
    <row r="1014" spans="1:36" ht="15" customHeight="1" x14ac:dyDescent="0.3">
      <c r="A1014" s="16" t="s">
        <v>273</v>
      </c>
      <c r="B1014" s="16" t="s">
        <v>499</v>
      </c>
      <c r="C1014" s="16" t="s">
        <v>1524</v>
      </c>
      <c r="D1014" s="16" t="s">
        <v>324</v>
      </c>
      <c r="E1014" s="16" t="s">
        <v>404</v>
      </c>
      <c r="F1014" s="16" t="s">
        <v>401</v>
      </c>
      <c r="G1014" s="16">
        <v>0.8</v>
      </c>
      <c r="H1014" s="16">
        <v>2607</v>
      </c>
      <c r="I1014" s="16">
        <v>110</v>
      </c>
      <c r="J1014" s="16">
        <v>109</v>
      </c>
      <c r="K1014" s="16">
        <v>-2.4554168784575699E-3</v>
      </c>
      <c r="L1014" s="16">
        <v>2.3499233276158899E-2</v>
      </c>
      <c r="M1014" s="16">
        <v>-0.104489233738052</v>
      </c>
      <c r="N1014" s="16">
        <v>15.5496328273712</v>
      </c>
      <c r="O1014" s="16">
        <v>0.91811700141840202</v>
      </c>
      <c r="P1014" s="16"/>
      <c r="Q1014" s="16"/>
      <c r="R1014" s="16"/>
      <c r="S1014" s="16"/>
      <c r="T1014" s="16"/>
      <c r="U1014" s="16"/>
      <c r="V1014" s="16"/>
      <c r="W1014" s="16"/>
      <c r="X1014" s="16"/>
      <c r="Y1014" s="16"/>
      <c r="Z1014" s="16"/>
      <c r="AA1014" s="16"/>
      <c r="AB1014" s="16"/>
      <c r="AC1014" s="16"/>
      <c r="AD1014" s="16"/>
      <c r="AE1014" s="16"/>
      <c r="AF1014" s="16"/>
      <c r="AG1014" s="16"/>
      <c r="AH1014" s="16" t="s">
        <v>402</v>
      </c>
      <c r="AI1014" s="16"/>
      <c r="AJ1014" s="16" t="s">
        <v>1560</v>
      </c>
    </row>
    <row r="1015" spans="1:36" ht="15" customHeight="1" x14ac:dyDescent="0.3">
      <c r="A1015" s="16" t="s">
        <v>273</v>
      </c>
      <c r="B1015" s="16" t="s">
        <v>501</v>
      </c>
      <c r="C1015" s="16" t="s">
        <v>1524</v>
      </c>
      <c r="D1015" s="16" t="s">
        <v>324</v>
      </c>
      <c r="E1015" s="16" t="s">
        <v>404</v>
      </c>
      <c r="F1015" s="16" t="s">
        <v>401</v>
      </c>
      <c r="G1015" s="16">
        <v>0.8</v>
      </c>
      <c r="H1015" s="16">
        <v>2607</v>
      </c>
      <c r="I1015" s="16">
        <v>110</v>
      </c>
      <c r="J1015" s="16">
        <v>109</v>
      </c>
      <c r="K1015" s="16">
        <v>-1.33305774683236E-2</v>
      </c>
      <c r="L1015" s="16">
        <v>2.2371391585625702E-2</v>
      </c>
      <c r="M1015" s="16">
        <v>-0.59587609547225795</v>
      </c>
      <c r="N1015" s="16">
        <v>16.6389825975882</v>
      </c>
      <c r="O1015" s="16">
        <v>0.55927729547620197</v>
      </c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6"/>
      <c r="AA1015" s="16"/>
      <c r="AB1015" s="16"/>
      <c r="AC1015" s="16"/>
      <c r="AD1015" s="16"/>
      <c r="AE1015" s="16"/>
      <c r="AF1015" s="16"/>
      <c r="AG1015" s="16"/>
      <c r="AH1015" s="16" t="s">
        <v>402</v>
      </c>
      <c r="AI1015" s="16"/>
      <c r="AJ1015" s="16" t="s">
        <v>1561</v>
      </c>
    </row>
    <row r="1016" spans="1:36" ht="15" customHeight="1" x14ac:dyDescent="0.3">
      <c r="A1016" s="16" t="s">
        <v>273</v>
      </c>
      <c r="B1016" s="16" t="s">
        <v>503</v>
      </c>
      <c r="C1016" s="16" t="s">
        <v>1524</v>
      </c>
      <c r="D1016" s="16" t="s">
        <v>324</v>
      </c>
      <c r="E1016" s="16" t="s">
        <v>404</v>
      </c>
      <c r="F1016" s="16" t="s">
        <v>401</v>
      </c>
      <c r="G1016" s="16">
        <v>0.8</v>
      </c>
      <c r="H1016" s="16">
        <v>2607</v>
      </c>
      <c r="I1016" s="16">
        <v>110</v>
      </c>
      <c r="J1016" s="16">
        <v>109</v>
      </c>
      <c r="K1016" s="16">
        <v>3.54687693306334E-2</v>
      </c>
      <c r="L1016" s="16">
        <v>2.75360308081238E-2</v>
      </c>
      <c r="M1016" s="16">
        <v>1.2880857658021401</v>
      </c>
      <c r="N1016" s="16">
        <v>20.788835482647698</v>
      </c>
      <c r="O1016" s="16">
        <v>0.21186955626382001</v>
      </c>
      <c r="P1016" s="16"/>
      <c r="Q1016" s="16"/>
      <c r="R1016" s="16"/>
      <c r="S1016" s="16"/>
      <c r="T1016" s="16"/>
      <c r="U1016" s="16"/>
      <c r="V1016" s="16"/>
      <c r="W1016" s="16"/>
      <c r="X1016" s="16"/>
      <c r="Y1016" s="16"/>
      <c r="Z1016" s="16"/>
      <c r="AA1016" s="16"/>
      <c r="AB1016" s="16"/>
      <c r="AC1016" s="16"/>
      <c r="AD1016" s="16"/>
      <c r="AE1016" s="16"/>
      <c r="AF1016" s="16"/>
      <c r="AG1016" s="16"/>
      <c r="AH1016" s="16" t="s">
        <v>402</v>
      </c>
      <c r="AI1016" s="16"/>
      <c r="AJ1016" s="16" t="s">
        <v>1562</v>
      </c>
    </row>
    <row r="1017" spans="1:36" ht="15" customHeight="1" x14ac:dyDescent="0.3">
      <c r="A1017" s="16" t="s">
        <v>273</v>
      </c>
      <c r="B1017" s="16" t="s">
        <v>505</v>
      </c>
      <c r="C1017" s="16" t="s">
        <v>1524</v>
      </c>
      <c r="D1017" s="16" t="s">
        <v>324</v>
      </c>
      <c r="E1017" s="16" t="s">
        <v>404</v>
      </c>
      <c r="F1017" s="16" t="s">
        <v>401</v>
      </c>
      <c r="G1017" s="16">
        <v>0.8</v>
      </c>
      <c r="H1017" s="16">
        <v>2607</v>
      </c>
      <c r="I1017" s="16">
        <v>110</v>
      </c>
      <c r="J1017" s="16">
        <v>109</v>
      </c>
      <c r="K1017" s="16">
        <v>1.7234379092898499E-2</v>
      </c>
      <c r="L1017" s="16">
        <v>2.2809360490513599E-2</v>
      </c>
      <c r="M1017" s="16">
        <v>0.75558361665011398</v>
      </c>
      <c r="N1017" s="16">
        <v>21.463452496216899</v>
      </c>
      <c r="O1017" s="16">
        <v>0.45811136457440299</v>
      </c>
      <c r="P1017" s="16"/>
      <c r="Q1017" s="16"/>
      <c r="R1017" s="16"/>
      <c r="S1017" s="16"/>
      <c r="T1017" s="16"/>
      <c r="U1017" s="16"/>
      <c r="V1017" s="16"/>
      <c r="W1017" s="16"/>
      <c r="X1017" s="16"/>
      <c r="Y1017" s="16"/>
      <c r="Z1017" s="16"/>
      <c r="AA1017" s="16"/>
      <c r="AB1017" s="16"/>
      <c r="AC1017" s="16"/>
      <c r="AD1017" s="16"/>
      <c r="AE1017" s="16"/>
      <c r="AF1017" s="16"/>
      <c r="AG1017" s="16"/>
      <c r="AH1017" s="16" t="s">
        <v>402</v>
      </c>
      <c r="AI1017" s="16"/>
      <c r="AJ1017" s="16" t="s">
        <v>1563</v>
      </c>
    </row>
    <row r="1018" spans="1:36" ht="15" customHeight="1" x14ac:dyDescent="0.3">
      <c r="A1018" s="16" t="s">
        <v>273</v>
      </c>
      <c r="B1018" s="16" t="s">
        <v>507</v>
      </c>
      <c r="C1018" s="16" t="s">
        <v>1524</v>
      </c>
      <c r="D1018" s="16" t="s">
        <v>324</v>
      </c>
      <c r="E1018" s="16" t="s">
        <v>404</v>
      </c>
      <c r="F1018" s="16" t="s">
        <v>401</v>
      </c>
      <c r="G1018" s="16">
        <v>0.8</v>
      </c>
      <c r="H1018" s="16">
        <v>905</v>
      </c>
      <c r="I1018" s="16">
        <v>38</v>
      </c>
      <c r="J1018" s="16">
        <v>38</v>
      </c>
      <c r="K1018" s="16">
        <v>-1.70426711209925E-2</v>
      </c>
      <c r="L1018" s="16">
        <v>1.7128383629544702E-2</v>
      </c>
      <c r="M1018" s="16">
        <v>-0.994995878746885</v>
      </c>
      <c r="N1018" s="16">
        <v>22.8122641851084</v>
      </c>
      <c r="O1018" s="16">
        <v>0.33017598480697602</v>
      </c>
      <c r="P1018" s="16"/>
      <c r="Q1018" s="16"/>
      <c r="R1018" s="16"/>
      <c r="S1018" s="16"/>
      <c r="T1018" s="16"/>
      <c r="U1018" s="16"/>
      <c r="V1018" s="16"/>
      <c r="W1018" s="16"/>
      <c r="X1018" s="16"/>
      <c r="Y1018" s="16"/>
      <c r="Z1018" s="16"/>
      <c r="AA1018" s="16"/>
      <c r="AB1018" s="16"/>
      <c r="AC1018" s="16"/>
      <c r="AD1018" s="16"/>
      <c r="AE1018" s="16"/>
      <c r="AF1018" s="16"/>
      <c r="AG1018" s="16"/>
      <c r="AH1018" s="16" t="s">
        <v>402</v>
      </c>
      <c r="AI1018" s="16"/>
      <c r="AJ1018" s="16" t="s">
        <v>1564</v>
      </c>
    </row>
    <row r="1019" spans="1:36" ht="15" customHeight="1" x14ac:dyDescent="0.3">
      <c r="A1019" s="16" t="s">
        <v>273</v>
      </c>
      <c r="B1019" s="16" t="s">
        <v>509</v>
      </c>
      <c r="C1019" s="16" t="s">
        <v>1524</v>
      </c>
      <c r="D1019" s="16" t="s">
        <v>324</v>
      </c>
      <c r="E1019" s="16" t="s">
        <v>404</v>
      </c>
      <c r="F1019" s="16" t="s">
        <v>401</v>
      </c>
      <c r="G1019" s="16">
        <v>0.8</v>
      </c>
      <c r="H1019" s="16">
        <v>2594</v>
      </c>
      <c r="I1019" s="16">
        <v>110</v>
      </c>
      <c r="J1019" s="16">
        <v>109</v>
      </c>
      <c r="K1019" s="16">
        <v>-1.7871113104439802E-2</v>
      </c>
      <c r="L1019" s="16">
        <v>1.0770311661261E-2</v>
      </c>
      <c r="M1019" s="16">
        <v>-1.65929396163337</v>
      </c>
      <c r="N1019" s="16">
        <v>40.5069218307939</v>
      </c>
      <c r="O1019" s="16">
        <v>0.104780672690431</v>
      </c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6"/>
      <c r="AA1019" s="16"/>
      <c r="AB1019" s="16"/>
      <c r="AC1019" s="16"/>
      <c r="AD1019" s="16"/>
      <c r="AE1019" s="16"/>
      <c r="AF1019" s="16"/>
      <c r="AG1019" s="16"/>
      <c r="AH1019" s="16" t="s">
        <v>402</v>
      </c>
      <c r="AI1019" s="16"/>
      <c r="AJ1019" s="16" t="s">
        <v>1565</v>
      </c>
    </row>
    <row r="1020" spans="1:36" ht="15" customHeight="1" x14ac:dyDescent="0.3">
      <c r="A1020" s="16" t="s">
        <v>273</v>
      </c>
      <c r="B1020" s="16" t="s">
        <v>511</v>
      </c>
      <c r="C1020" s="16" t="s">
        <v>1524</v>
      </c>
      <c r="D1020" s="16" t="s">
        <v>324</v>
      </c>
      <c r="E1020" s="16" t="s">
        <v>404</v>
      </c>
      <c r="F1020" s="16" t="s">
        <v>401</v>
      </c>
      <c r="G1020" s="16">
        <v>0.8</v>
      </c>
      <c r="H1020" s="16">
        <v>2594</v>
      </c>
      <c r="I1020" s="16">
        <v>110</v>
      </c>
      <c r="J1020" s="16">
        <v>109</v>
      </c>
      <c r="K1020" s="16">
        <v>-1.6893197786246601E-2</v>
      </c>
      <c r="L1020" s="16">
        <v>1.1362468345686799E-2</v>
      </c>
      <c r="M1020" s="16">
        <v>-1.4867542220840799</v>
      </c>
      <c r="N1020" s="16">
        <v>30.5621293134467</v>
      </c>
      <c r="O1020" s="16">
        <v>0.14732449986434501</v>
      </c>
      <c r="P1020" s="16"/>
      <c r="Q1020" s="16"/>
      <c r="R1020" s="16"/>
      <c r="S1020" s="16"/>
      <c r="T1020" s="16"/>
      <c r="U1020" s="16"/>
      <c r="V1020" s="16"/>
      <c r="W1020" s="16"/>
      <c r="X1020" s="16"/>
      <c r="Y1020" s="16"/>
      <c r="Z1020" s="16"/>
      <c r="AA1020" s="16"/>
      <c r="AB1020" s="16"/>
      <c r="AC1020" s="16"/>
      <c r="AD1020" s="16"/>
      <c r="AE1020" s="16"/>
      <c r="AF1020" s="16"/>
      <c r="AG1020" s="16"/>
      <c r="AH1020" s="16" t="s">
        <v>402</v>
      </c>
      <c r="AI1020" s="16"/>
      <c r="AJ1020" s="16" t="s">
        <v>1566</v>
      </c>
    </row>
    <row r="1021" spans="1:36" ht="15" customHeight="1" x14ac:dyDescent="0.3">
      <c r="A1021" s="16" t="s">
        <v>273</v>
      </c>
      <c r="B1021" s="16" t="s">
        <v>513</v>
      </c>
      <c r="C1021" s="16" t="s">
        <v>1524</v>
      </c>
      <c r="D1021" s="16" t="s">
        <v>324</v>
      </c>
      <c r="E1021" s="16" t="s">
        <v>404</v>
      </c>
      <c r="F1021" s="16" t="s">
        <v>401</v>
      </c>
      <c r="G1021" s="16">
        <v>0.8</v>
      </c>
      <c r="H1021" s="16">
        <v>2594</v>
      </c>
      <c r="I1021" s="16">
        <v>110</v>
      </c>
      <c r="J1021" s="16">
        <v>109</v>
      </c>
      <c r="K1021" s="16">
        <v>3.7731559830154999E-4</v>
      </c>
      <c r="L1021" s="16">
        <v>1.1332833691264199E-2</v>
      </c>
      <c r="M1021" s="16">
        <v>3.32940205936667E-2</v>
      </c>
      <c r="N1021" s="16">
        <v>30.7048106643729</v>
      </c>
      <c r="O1021" s="16">
        <v>0.97365561633999298</v>
      </c>
      <c r="P1021" s="16"/>
      <c r="Q1021" s="16"/>
      <c r="R1021" s="16"/>
      <c r="S1021" s="16"/>
      <c r="T1021" s="16"/>
      <c r="U1021" s="16"/>
      <c r="V1021" s="16"/>
      <c r="W1021" s="16"/>
      <c r="X1021" s="16"/>
      <c r="Y1021" s="16"/>
      <c r="Z1021" s="16"/>
      <c r="AA1021" s="16"/>
      <c r="AB1021" s="16"/>
      <c r="AC1021" s="16"/>
      <c r="AD1021" s="16"/>
      <c r="AE1021" s="16"/>
      <c r="AF1021" s="16"/>
      <c r="AG1021" s="16"/>
      <c r="AH1021" s="16" t="s">
        <v>402</v>
      </c>
      <c r="AI1021" s="16"/>
      <c r="AJ1021" s="16" t="s">
        <v>1567</v>
      </c>
    </row>
    <row r="1022" spans="1:36" ht="15" customHeight="1" x14ac:dyDescent="0.3">
      <c r="A1022" s="16" t="s">
        <v>273</v>
      </c>
      <c r="B1022" s="16" t="s">
        <v>515</v>
      </c>
      <c r="C1022" s="16" t="s">
        <v>1524</v>
      </c>
      <c r="D1022" s="16" t="s">
        <v>324</v>
      </c>
      <c r="E1022" s="16" t="s">
        <v>404</v>
      </c>
      <c r="F1022" s="16" t="s">
        <v>401</v>
      </c>
      <c r="G1022" s="16">
        <v>0.8</v>
      </c>
      <c r="H1022" s="16">
        <v>2594</v>
      </c>
      <c r="I1022" s="16">
        <v>110</v>
      </c>
      <c r="J1022" s="16">
        <v>109</v>
      </c>
      <c r="K1022" s="16">
        <v>-1.7271433972517101E-2</v>
      </c>
      <c r="L1022" s="16">
        <v>1.18386450465443E-2</v>
      </c>
      <c r="M1022" s="16">
        <v>-1.45890293227084</v>
      </c>
      <c r="N1022" s="16">
        <v>26.654426331860101</v>
      </c>
      <c r="O1022" s="16">
        <v>0.15627668626893601</v>
      </c>
      <c r="P1022" s="16"/>
      <c r="Q1022" s="16"/>
      <c r="R1022" s="16"/>
      <c r="S1022" s="16"/>
      <c r="T1022" s="16"/>
      <c r="U1022" s="16"/>
      <c r="V1022" s="16"/>
      <c r="W1022" s="16"/>
      <c r="X1022" s="16"/>
      <c r="Y1022" s="16"/>
      <c r="Z1022" s="16"/>
      <c r="AA1022" s="16"/>
      <c r="AB1022" s="16"/>
      <c r="AC1022" s="16"/>
      <c r="AD1022" s="16"/>
      <c r="AE1022" s="16"/>
      <c r="AF1022" s="16"/>
      <c r="AG1022" s="16"/>
      <c r="AH1022" s="16" t="s">
        <v>402</v>
      </c>
      <c r="AI1022" s="16"/>
      <c r="AJ1022" s="16" t="s">
        <v>1568</v>
      </c>
    </row>
    <row r="1023" spans="1:36" ht="15" customHeight="1" x14ac:dyDescent="0.3">
      <c r="A1023" s="16" t="s">
        <v>273</v>
      </c>
      <c r="B1023" s="16" t="s">
        <v>517</v>
      </c>
      <c r="C1023" s="16" t="s">
        <v>1524</v>
      </c>
      <c r="D1023" s="16" t="s">
        <v>324</v>
      </c>
      <c r="E1023" s="16" t="s">
        <v>404</v>
      </c>
      <c r="F1023" s="16" t="s">
        <v>401</v>
      </c>
      <c r="G1023" s="16">
        <v>0.8</v>
      </c>
      <c r="H1023" s="16">
        <v>2594</v>
      </c>
      <c r="I1023" s="16">
        <v>110</v>
      </c>
      <c r="J1023" s="16">
        <v>109</v>
      </c>
      <c r="K1023" s="16">
        <v>-1.8697229685435E-2</v>
      </c>
      <c r="L1023" s="16">
        <v>1.4702383544907801E-2</v>
      </c>
      <c r="M1023" s="16">
        <v>-1.2717141835080701</v>
      </c>
      <c r="N1023" s="16">
        <v>17.717554462046099</v>
      </c>
      <c r="O1023" s="16">
        <v>0.219915096627992</v>
      </c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6"/>
      <c r="AA1023" s="16"/>
      <c r="AB1023" s="16"/>
      <c r="AC1023" s="16"/>
      <c r="AD1023" s="16"/>
      <c r="AE1023" s="16"/>
      <c r="AF1023" s="16"/>
      <c r="AG1023" s="16"/>
      <c r="AH1023" s="16" t="s">
        <v>402</v>
      </c>
      <c r="AI1023" s="16"/>
      <c r="AJ1023" s="16" t="s">
        <v>1569</v>
      </c>
    </row>
    <row r="1024" spans="1:36" ht="15" customHeight="1" x14ac:dyDescent="0.3">
      <c r="A1024" s="16" t="s">
        <v>273</v>
      </c>
      <c r="B1024" s="16" t="s">
        <v>519</v>
      </c>
      <c r="C1024" s="16" t="s">
        <v>1524</v>
      </c>
      <c r="D1024" s="16" t="s">
        <v>324</v>
      </c>
      <c r="E1024" s="16" t="s">
        <v>404</v>
      </c>
      <c r="F1024" s="16" t="s">
        <v>401</v>
      </c>
      <c r="G1024" s="16">
        <v>0.8</v>
      </c>
      <c r="H1024" s="16">
        <v>2594</v>
      </c>
      <c r="I1024" s="16">
        <v>110</v>
      </c>
      <c r="J1024" s="16">
        <v>109</v>
      </c>
      <c r="K1024" s="16">
        <v>-1.98692893324692E-2</v>
      </c>
      <c r="L1024" s="16">
        <v>1.5818287389761002E-2</v>
      </c>
      <c r="M1024" s="16">
        <v>-1.2560961147621099</v>
      </c>
      <c r="N1024" s="16">
        <v>14.540955115829201</v>
      </c>
      <c r="O1024" s="16">
        <v>0.2288884182616</v>
      </c>
      <c r="P1024" s="16"/>
      <c r="Q1024" s="16"/>
      <c r="R1024" s="16"/>
      <c r="S1024" s="16"/>
      <c r="T1024" s="16"/>
      <c r="U1024" s="16"/>
      <c r="V1024" s="16"/>
      <c r="W1024" s="16"/>
      <c r="X1024" s="16"/>
      <c r="Y1024" s="16"/>
      <c r="Z1024" s="16"/>
      <c r="AA1024" s="16"/>
      <c r="AB1024" s="16"/>
      <c r="AC1024" s="16"/>
      <c r="AD1024" s="16"/>
      <c r="AE1024" s="16"/>
      <c r="AF1024" s="16"/>
      <c r="AG1024" s="16"/>
      <c r="AH1024" s="16" t="s">
        <v>402</v>
      </c>
      <c r="AI1024" s="16"/>
      <c r="AJ1024" s="16" t="s">
        <v>1570</v>
      </c>
    </row>
    <row r="1025" spans="1:36" ht="15" customHeight="1" x14ac:dyDescent="0.3">
      <c r="A1025" s="16" t="s">
        <v>273</v>
      </c>
      <c r="B1025" s="16" t="s">
        <v>521</v>
      </c>
      <c r="C1025" s="16" t="s">
        <v>1524</v>
      </c>
      <c r="D1025" s="16" t="s">
        <v>324</v>
      </c>
      <c r="E1025" s="16" t="s">
        <v>404</v>
      </c>
      <c r="F1025" s="16" t="s">
        <v>401</v>
      </c>
      <c r="G1025" s="16">
        <v>0.8</v>
      </c>
      <c r="H1025" s="16">
        <v>2594</v>
      </c>
      <c r="I1025" s="16">
        <v>110</v>
      </c>
      <c r="J1025" s="16">
        <v>109</v>
      </c>
      <c r="K1025" s="16">
        <v>-2.9329782235510602E-3</v>
      </c>
      <c r="L1025" s="16">
        <v>9.9829595574139306E-3</v>
      </c>
      <c r="M1025" s="16">
        <v>-0.29379846794760001</v>
      </c>
      <c r="N1025" s="16">
        <v>42.4870981907887</v>
      </c>
      <c r="O1025" s="16">
        <v>0.77034239153850004</v>
      </c>
      <c r="P1025" s="16"/>
      <c r="Q1025" s="16"/>
      <c r="R1025" s="16"/>
      <c r="S1025" s="16"/>
      <c r="T1025" s="16"/>
      <c r="U1025" s="16"/>
      <c r="V1025" s="16"/>
      <c r="W1025" s="16"/>
      <c r="X1025" s="16"/>
      <c r="Y1025" s="16"/>
      <c r="Z1025" s="16"/>
      <c r="AA1025" s="16"/>
      <c r="AB1025" s="16"/>
      <c r="AC1025" s="16"/>
      <c r="AD1025" s="16"/>
      <c r="AE1025" s="16"/>
      <c r="AF1025" s="16"/>
      <c r="AG1025" s="16"/>
      <c r="AH1025" s="16" t="s">
        <v>402</v>
      </c>
      <c r="AI1025" s="16"/>
      <c r="AJ1025" s="16" t="s">
        <v>1571</v>
      </c>
    </row>
    <row r="1026" spans="1:36" ht="15" customHeight="1" x14ac:dyDescent="0.3">
      <c r="A1026" s="16" t="s">
        <v>273</v>
      </c>
      <c r="B1026" s="16" t="s">
        <v>523</v>
      </c>
      <c r="C1026" s="16" t="s">
        <v>1524</v>
      </c>
      <c r="D1026" s="16" t="s">
        <v>324</v>
      </c>
      <c r="E1026" s="16" t="s">
        <v>404</v>
      </c>
      <c r="F1026" s="16" t="s">
        <v>401</v>
      </c>
      <c r="G1026" s="16">
        <v>0.8</v>
      </c>
      <c r="H1026" s="16">
        <v>2594</v>
      </c>
      <c r="I1026" s="16">
        <v>110</v>
      </c>
      <c r="J1026" s="16">
        <v>109</v>
      </c>
      <c r="K1026" s="16">
        <v>6.3407518425650901E-3</v>
      </c>
      <c r="L1026" s="16">
        <v>9.4291249156195304E-3</v>
      </c>
      <c r="M1026" s="16">
        <v>0.67246450750286602</v>
      </c>
      <c r="N1026" s="16">
        <v>58.228153350168199</v>
      </c>
      <c r="O1026" s="16">
        <v>0.50394790468965001</v>
      </c>
      <c r="P1026" s="16"/>
      <c r="Q1026" s="16"/>
      <c r="R1026" s="16"/>
      <c r="S1026" s="16"/>
      <c r="T1026" s="16"/>
      <c r="U1026" s="16"/>
      <c r="V1026" s="16"/>
      <c r="W1026" s="16"/>
      <c r="X1026" s="16"/>
      <c r="Y1026" s="16"/>
      <c r="Z1026" s="16"/>
      <c r="AA1026" s="16"/>
      <c r="AB1026" s="16"/>
      <c r="AC1026" s="16"/>
      <c r="AD1026" s="16"/>
      <c r="AE1026" s="16"/>
      <c r="AF1026" s="16"/>
      <c r="AG1026" s="16"/>
      <c r="AH1026" s="16" t="s">
        <v>402</v>
      </c>
      <c r="AI1026" s="16"/>
      <c r="AJ1026" s="16" t="s">
        <v>1572</v>
      </c>
    </row>
    <row r="1027" spans="1:36" ht="15" customHeight="1" x14ac:dyDescent="0.3">
      <c r="A1027" s="16" t="s">
        <v>273</v>
      </c>
      <c r="B1027" s="16" t="s">
        <v>525</v>
      </c>
      <c r="C1027" s="16" t="s">
        <v>1524</v>
      </c>
      <c r="D1027" s="16" t="s">
        <v>324</v>
      </c>
      <c r="E1027" s="16" t="s">
        <v>404</v>
      </c>
      <c r="F1027" s="16" t="s">
        <v>401</v>
      </c>
      <c r="G1027" s="16">
        <v>0.8</v>
      </c>
      <c r="H1027" s="16">
        <v>2594</v>
      </c>
      <c r="I1027" s="16">
        <v>110</v>
      </c>
      <c r="J1027" s="16">
        <v>109</v>
      </c>
      <c r="K1027" s="16">
        <v>-4.7357743141616697E-3</v>
      </c>
      <c r="L1027" s="16">
        <v>9.4633372269008996E-3</v>
      </c>
      <c r="M1027" s="16">
        <v>-0.50043385336618296</v>
      </c>
      <c r="N1027" s="16">
        <v>68.585031196491798</v>
      </c>
      <c r="O1027" s="16">
        <v>0.61837170214779902</v>
      </c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6"/>
      <c r="AA1027" s="16"/>
      <c r="AB1027" s="16"/>
      <c r="AC1027" s="16"/>
      <c r="AD1027" s="16"/>
      <c r="AE1027" s="16"/>
      <c r="AF1027" s="16"/>
      <c r="AG1027" s="16"/>
      <c r="AH1027" s="16" t="s">
        <v>402</v>
      </c>
      <c r="AI1027" s="16"/>
      <c r="AJ1027" s="16" t="s">
        <v>1573</v>
      </c>
    </row>
    <row r="1028" spans="1:36" ht="15" customHeight="1" x14ac:dyDescent="0.3">
      <c r="A1028" s="16" t="s">
        <v>273</v>
      </c>
      <c r="B1028" s="16" t="s">
        <v>527</v>
      </c>
      <c r="C1028" s="16" t="s">
        <v>1524</v>
      </c>
      <c r="D1028" s="16" t="s">
        <v>324</v>
      </c>
      <c r="E1028" s="16" t="s">
        <v>404</v>
      </c>
      <c r="F1028" s="16" t="s">
        <v>401</v>
      </c>
      <c r="G1028" s="16">
        <v>0.8</v>
      </c>
      <c r="H1028" s="16">
        <v>900</v>
      </c>
      <c r="I1028" s="16">
        <v>38</v>
      </c>
      <c r="J1028" s="16">
        <v>38</v>
      </c>
      <c r="K1028" s="16">
        <v>-2.6033047473409999E-2</v>
      </c>
      <c r="L1028" s="16">
        <v>1.91342778242953E-2</v>
      </c>
      <c r="M1028" s="16">
        <v>-1.3605450758301001</v>
      </c>
      <c r="N1028" s="16">
        <v>24.112572941719801</v>
      </c>
      <c r="O1028" s="16">
        <v>0.18624091020420699</v>
      </c>
      <c r="P1028" s="16"/>
      <c r="Q1028" s="16"/>
      <c r="R1028" s="16"/>
      <c r="S1028" s="16"/>
      <c r="T1028" s="16"/>
      <c r="U1028" s="16"/>
      <c r="V1028" s="16"/>
      <c r="W1028" s="16"/>
      <c r="X1028" s="16"/>
      <c r="Y1028" s="16"/>
      <c r="Z1028" s="16"/>
      <c r="AA1028" s="16"/>
      <c r="AB1028" s="16"/>
      <c r="AC1028" s="16"/>
      <c r="AD1028" s="16"/>
      <c r="AE1028" s="16"/>
      <c r="AF1028" s="16"/>
      <c r="AG1028" s="16"/>
      <c r="AH1028" s="16" t="s">
        <v>402</v>
      </c>
      <c r="AI1028" s="16"/>
      <c r="AJ1028" s="16" t="s">
        <v>1574</v>
      </c>
    </row>
    <row r="1029" spans="1:36" ht="15" customHeight="1" x14ac:dyDescent="0.3">
      <c r="A1029" s="16" t="s">
        <v>273</v>
      </c>
      <c r="B1029" s="16" t="s">
        <v>529</v>
      </c>
      <c r="C1029" s="16" t="s">
        <v>1524</v>
      </c>
      <c r="D1029" s="16" t="s">
        <v>324</v>
      </c>
      <c r="E1029" s="16" t="s">
        <v>404</v>
      </c>
      <c r="F1029" s="16" t="s">
        <v>401</v>
      </c>
      <c r="G1029" s="16">
        <v>0.8</v>
      </c>
      <c r="H1029" s="16">
        <v>2607</v>
      </c>
      <c r="I1029" s="16">
        <v>110</v>
      </c>
      <c r="J1029" s="16">
        <v>109</v>
      </c>
      <c r="K1029" s="16">
        <v>-1.4097745122660999E-2</v>
      </c>
      <c r="L1029" s="16">
        <v>1.12283367821445E-2</v>
      </c>
      <c r="M1029" s="16">
        <v>-1.2555506123649101</v>
      </c>
      <c r="N1029" s="16">
        <v>36.7477711221295</v>
      </c>
      <c r="O1029" s="16">
        <v>0.21720404897554599</v>
      </c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6"/>
      <c r="AA1029" s="16"/>
      <c r="AB1029" s="16"/>
      <c r="AC1029" s="16"/>
      <c r="AD1029" s="16"/>
      <c r="AE1029" s="16"/>
      <c r="AF1029" s="16"/>
      <c r="AG1029" s="16"/>
      <c r="AH1029" s="16" t="s">
        <v>402</v>
      </c>
      <c r="AI1029" s="16"/>
      <c r="AJ1029" s="16" t="s">
        <v>1575</v>
      </c>
    </row>
    <row r="1030" spans="1:36" ht="15" customHeight="1" x14ac:dyDescent="0.3">
      <c r="A1030" s="16" t="s">
        <v>273</v>
      </c>
      <c r="B1030" s="16" t="s">
        <v>531</v>
      </c>
      <c r="C1030" s="16" t="s">
        <v>1524</v>
      </c>
      <c r="D1030" s="16" t="s">
        <v>324</v>
      </c>
      <c r="E1030" s="16" t="s">
        <v>404</v>
      </c>
      <c r="F1030" s="16" t="s">
        <v>401</v>
      </c>
      <c r="G1030" s="16">
        <v>0.8</v>
      </c>
      <c r="H1030" s="16">
        <v>2607</v>
      </c>
      <c r="I1030" s="16">
        <v>110</v>
      </c>
      <c r="J1030" s="16">
        <v>109</v>
      </c>
      <c r="K1030" s="16">
        <v>-1.2156444163472E-2</v>
      </c>
      <c r="L1030" s="16">
        <v>1.1591997483867E-2</v>
      </c>
      <c r="M1030" s="16">
        <v>-1.0486927883128501</v>
      </c>
      <c r="N1030" s="16">
        <v>27.9444300253219</v>
      </c>
      <c r="O1030" s="16">
        <v>0.303305278433671</v>
      </c>
      <c r="P1030" s="16"/>
      <c r="Q1030" s="16"/>
      <c r="R1030" s="16"/>
      <c r="S1030" s="16"/>
      <c r="T1030" s="16"/>
      <c r="U1030" s="16"/>
      <c r="V1030" s="16"/>
      <c r="W1030" s="16"/>
      <c r="X1030" s="16"/>
      <c r="Y1030" s="16"/>
      <c r="Z1030" s="16"/>
      <c r="AA1030" s="16"/>
      <c r="AB1030" s="16"/>
      <c r="AC1030" s="16"/>
      <c r="AD1030" s="16"/>
      <c r="AE1030" s="16"/>
      <c r="AF1030" s="16"/>
      <c r="AG1030" s="16"/>
      <c r="AH1030" s="16" t="s">
        <v>402</v>
      </c>
      <c r="AI1030" s="16"/>
      <c r="AJ1030" s="16" t="s">
        <v>1576</v>
      </c>
    </row>
    <row r="1031" spans="1:36" ht="15" customHeight="1" x14ac:dyDescent="0.3">
      <c r="A1031" s="16" t="s">
        <v>273</v>
      </c>
      <c r="B1031" s="16" t="s">
        <v>533</v>
      </c>
      <c r="C1031" s="16" t="s">
        <v>1524</v>
      </c>
      <c r="D1031" s="16" t="s">
        <v>324</v>
      </c>
      <c r="E1031" s="16" t="s">
        <v>404</v>
      </c>
      <c r="F1031" s="16" t="s">
        <v>401</v>
      </c>
      <c r="G1031" s="16">
        <v>0.8</v>
      </c>
      <c r="H1031" s="16">
        <v>2607</v>
      </c>
      <c r="I1031" s="16">
        <v>110</v>
      </c>
      <c r="J1031" s="16">
        <v>109</v>
      </c>
      <c r="K1031" s="16">
        <v>1.5997968824303401E-3</v>
      </c>
      <c r="L1031" s="16">
        <v>1.12489453452791E-2</v>
      </c>
      <c r="M1031" s="16">
        <v>0.14221749980337001</v>
      </c>
      <c r="N1031" s="16">
        <v>31.554546399040301</v>
      </c>
      <c r="O1031" s="16">
        <v>0.88781240122259597</v>
      </c>
      <c r="P1031" s="16"/>
      <c r="Q1031" s="16"/>
      <c r="R1031" s="16"/>
      <c r="S1031" s="16"/>
      <c r="T1031" s="16"/>
      <c r="U1031" s="16"/>
      <c r="V1031" s="16"/>
      <c r="W1031" s="16"/>
      <c r="X1031" s="16"/>
      <c r="Y1031" s="16"/>
      <c r="Z1031" s="16"/>
      <c r="AA1031" s="16"/>
      <c r="AB1031" s="16"/>
      <c r="AC1031" s="16"/>
      <c r="AD1031" s="16"/>
      <c r="AE1031" s="16"/>
      <c r="AF1031" s="16"/>
      <c r="AG1031" s="16"/>
      <c r="AH1031" s="16" t="s">
        <v>402</v>
      </c>
      <c r="AI1031" s="16"/>
      <c r="AJ1031" s="16" t="s">
        <v>1577</v>
      </c>
    </row>
    <row r="1032" spans="1:36" ht="15" customHeight="1" x14ac:dyDescent="0.3">
      <c r="A1032" s="16" t="s">
        <v>273</v>
      </c>
      <c r="B1032" s="16" t="s">
        <v>535</v>
      </c>
      <c r="C1032" s="16" t="s">
        <v>1524</v>
      </c>
      <c r="D1032" s="16" t="s">
        <v>324</v>
      </c>
      <c r="E1032" s="16" t="s">
        <v>404</v>
      </c>
      <c r="F1032" s="16" t="s">
        <v>401</v>
      </c>
      <c r="G1032" s="16">
        <v>0.8</v>
      </c>
      <c r="H1032" s="16">
        <v>2607</v>
      </c>
      <c r="I1032" s="16">
        <v>110</v>
      </c>
      <c r="J1032" s="16">
        <v>109</v>
      </c>
      <c r="K1032" s="16">
        <v>-1.2747599123935501E-2</v>
      </c>
      <c r="L1032" s="16">
        <v>1.21022903088312E-2</v>
      </c>
      <c r="M1032" s="16">
        <v>-1.05332121430217</v>
      </c>
      <c r="N1032" s="16">
        <v>24.339643349085101</v>
      </c>
      <c r="O1032" s="16">
        <v>0.302538717545772</v>
      </c>
      <c r="P1032" s="16"/>
      <c r="Q1032" s="16"/>
      <c r="R1032" s="16"/>
      <c r="S1032" s="16"/>
      <c r="T1032" s="16"/>
      <c r="U1032" s="16"/>
      <c r="V1032" s="16"/>
      <c r="W1032" s="16"/>
      <c r="X1032" s="16"/>
      <c r="Y1032" s="16"/>
      <c r="Z1032" s="16"/>
      <c r="AA1032" s="16"/>
      <c r="AB1032" s="16"/>
      <c r="AC1032" s="16"/>
      <c r="AD1032" s="16"/>
      <c r="AE1032" s="16"/>
      <c r="AF1032" s="16"/>
      <c r="AG1032" s="16"/>
      <c r="AH1032" s="16" t="s">
        <v>402</v>
      </c>
      <c r="AI1032" s="16"/>
      <c r="AJ1032" s="16" t="s">
        <v>1578</v>
      </c>
    </row>
    <row r="1033" spans="1:36" ht="15" customHeight="1" x14ac:dyDescent="0.3">
      <c r="A1033" s="16" t="s">
        <v>273</v>
      </c>
      <c r="B1033" s="16" t="s">
        <v>537</v>
      </c>
      <c r="C1033" s="16" t="s">
        <v>1524</v>
      </c>
      <c r="D1033" s="16" t="s">
        <v>324</v>
      </c>
      <c r="E1033" s="16" t="s">
        <v>404</v>
      </c>
      <c r="F1033" s="16" t="s">
        <v>401</v>
      </c>
      <c r="G1033" s="16">
        <v>0.8</v>
      </c>
      <c r="H1033" s="16">
        <v>2607</v>
      </c>
      <c r="I1033" s="16">
        <v>110</v>
      </c>
      <c r="J1033" s="16">
        <v>109</v>
      </c>
      <c r="K1033" s="16">
        <v>-1.4925868898809E-2</v>
      </c>
      <c r="L1033" s="16">
        <v>1.48248653158294E-2</v>
      </c>
      <c r="M1033" s="16">
        <v>-1.0068131197705901</v>
      </c>
      <c r="N1033" s="16">
        <v>17.885877398063499</v>
      </c>
      <c r="O1033" s="16">
        <v>0.32745211304919197</v>
      </c>
      <c r="P1033" s="16"/>
      <c r="Q1033" s="16"/>
      <c r="R1033" s="16"/>
      <c r="S1033" s="16"/>
      <c r="T1033" s="16"/>
      <c r="U1033" s="16"/>
      <c r="V1033" s="16"/>
      <c r="W1033" s="16"/>
      <c r="X1033" s="16"/>
      <c r="Y1033" s="16"/>
      <c r="Z1033" s="16"/>
      <c r="AA1033" s="16"/>
      <c r="AB1033" s="16"/>
      <c r="AC1033" s="16"/>
      <c r="AD1033" s="16"/>
      <c r="AE1033" s="16"/>
      <c r="AF1033" s="16"/>
      <c r="AG1033" s="16"/>
      <c r="AH1033" s="16" t="s">
        <v>402</v>
      </c>
      <c r="AI1033" s="16"/>
      <c r="AJ1033" s="16" t="s">
        <v>1579</v>
      </c>
    </row>
    <row r="1034" spans="1:36" ht="15" customHeight="1" x14ac:dyDescent="0.3">
      <c r="A1034" s="16" t="s">
        <v>273</v>
      </c>
      <c r="B1034" s="16" t="s">
        <v>539</v>
      </c>
      <c r="C1034" s="16" t="s">
        <v>1524</v>
      </c>
      <c r="D1034" s="16" t="s">
        <v>324</v>
      </c>
      <c r="E1034" s="16" t="s">
        <v>404</v>
      </c>
      <c r="F1034" s="16" t="s">
        <v>401</v>
      </c>
      <c r="G1034" s="16">
        <v>0.8</v>
      </c>
      <c r="H1034" s="16">
        <v>2607</v>
      </c>
      <c r="I1034" s="16">
        <v>110</v>
      </c>
      <c r="J1034" s="16">
        <v>109</v>
      </c>
      <c r="K1034" s="16">
        <v>-1.59018758530904E-2</v>
      </c>
      <c r="L1034" s="16">
        <v>1.5989826552278499E-2</v>
      </c>
      <c r="M1034" s="16">
        <v>-0.994499583913524</v>
      </c>
      <c r="N1034" s="16">
        <v>14.6814459562948</v>
      </c>
      <c r="O1034" s="16">
        <v>0.33608899401056702</v>
      </c>
      <c r="P1034" s="16"/>
      <c r="Q1034" s="16"/>
      <c r="R1034" s="16"/>
      <c r="S1034" s="16"/>
      <c r="T1034" s="16"/>
      <c r="U1034" s="16"/>
      <c r="V1034" s="16"/>
      <c r="W1034" s="16"/>
      <c r="X1034" s="16"/>
      <c r="Y1034" s="16"/>
      <c r="Z1034" s="16"/>
      <c r="AA1034" s="16"/>
      <c r="AB1034" s="16"/>
      <c r="AC1034" s="16"/>
      <c r="AD1034" s="16"/>
      <c r="AE1034" s="16"/>
      <c r="AF1034" s="16"/>
      <c r="AG1034" s="16"/>
      <c r="AH1034" s="16" t="s">
        <v>402</v>
      </c>
      <c r="AI1034" s="16"/>
      <c r="AJ1034" s="16" t="s">
        <v>1580</v>
      </c>
    </row>
    <row r="1035" spans="1:36" ht="15" customHeight="1" x14ac:dyDescent="0.3">
      <c r="A1035" s="16" t="s">
        <v>273</v>
      </c>
      <c r="B1035" s="16" t="s">
        <v>541</v>
      </c>
      <c r="C1035" s="16" t="s">
        <v>1524</v>
      </c>
      <c r="D1035" s="16" t="s">
        <v>324</v>
      </c>
      <c r="E1035" s="16" t="s">
        <v>404</v>
      </c>
      <c r="F1035" s="16" t="s">
        <v>401</v>
      </c>
      <c r="G1035" s="16">
        <v>0.8</v>
      </c>
      <c r="H1035" s="16">
        <v>2607</v>
      </c>
      <c r="I1035" s="16">
        <v>110</v>
      </c>
      <c r="J1035" s="16">
        <v>109</v>
      </c>
      <c r="K1035" s="16">
        <v>4.5756285505160098E-4</v>
      </c>
      <c r="L1035" s="16">
        <v>1.02336223733463E-2</v>
      </c>
      <c r="M1035" s="16">
        <v>4.4711719697937399E-2</v>
      </c>
      <c r="N1035" s="16">
        <v>38.379300178357802</v>
      </c>
      <c r="O1035" s="16">
        <v>0.96456892394913696</v>
      </c>
      <c r="P1035" s="16"/>
      <c r="Q1035" s="16"/>
      <c r="R1035" s="16"/>
      <c r="S1035" s="16"/>
      <c r="T1035" s="16"/>
      <c r="U1035" s="16"/>
      <c r="V1035" s="16"/>
      <c r="W1035" s="16"/>
      <c r="X1035" s="16"/>
      <c r="Y1035" s="16"/>
      <c r="Z1035" s="16"/>
      <c r="AA1035" s="16"/>
      <c r="AB1035" s="16"/>
      <c r="AC1035" s="16"/>
      <c r="AD1035" s="16"/>
      <c r="AE1035" s="16"/>
      <c r="AF1035" s="16"/>
      <c r="AG1035" s="16"/>
      <c r="AH1035" s="16" t="s">
        <v>402</v>
      </c>
      <c r="AI1035" s="16"/>
      <c r="AJ1035" s="16" t="s">
        <v>1581</v>
      </c>
    </row>
    <row r="1036" spans="1:36" ht="15" customHeight="1" x14ac:dyDescent="0.3">
      <c r="A1036" s="16" t="s">
        <v>273</v>
      </c>
      <c r="B1036" s="16" t="s">
        <v>543</v>
      </c>
      <c r="C1036" s="16" t="s">
        <v>1524</v>
      </c>
      <c r="D1036" s="16" t="s">
        <v>324</v>
      </c>
      <c r="E1036" s="16" t="s">
        <v>404</v>
      </c>
      <c r="F1036" s="16" t="s">
        <v>401</v>
      </c>
      <c r="G1036" s="16">
        <v>0.8</v>
      </c>
      <c r="H1036" s="16">
        <v>2607</v>
      </c>
      <c r="I1036" s="16">
        <v>110</v>
      </c>
      <c r="J1036" s="16">
        <v>109</v>
      </c>
      <c r="K1036" s="16">
        <v>1.31404078044746E-2</v>
      </c>
      <c r="L1036" s="16">
        <v>9.7651802943714804E-3</v>
      </c>
      <c r="M1036" s="16">
        <v>1.3456390366953599</v>
      </c>
      <c r="N1036" s="16">
        <v>52.467894428059502</v>
      </c>
      <c r="O1036" s="16">
        <v>0.18420542768696399</v>
      </c>
      <c r="P1036" s="16"/>
      <c r="Q1036" s="16"/>
      <c r="R1036" s="16"/>
      <c r="S1036" s="16"/>
      <c r="T1036" s="16"/>
      <c r="U1036" s="16"/>
      <c r="V1036" s="16"/>
      <c r="W1036" s="16"/>
      <c r="X1036" s="16"/>
      <c r="Y1036" s="16"/>
      <c r="Z1036" s="16"/>
      <c r="AA1036" s="16"/>
      <c r="AB1036" s="16"/>
      <c r="AC1036" s="16"/>
      <c r="AD1036" s="16"/>
      <c r="AE1036" s="16"/>
      <c r="AF1036" s="16"/>
      <c r="AG1036" s="16"/>
      <c r="AH1036" s="16" t="s">
        <v>402</v>
      </c>
      <c r="AI1036" s="16"/>
      <c r="AJ1036" s="16" t="s">
        <v>1582</v>
      </c>
    </row>
    <row r="1037" spans="1:36" ht="15" customHeight="1" x14ac:dyDescent="0.3">
      <c r="A1037" s="16" t="s">
        <v>273</v>
      </c>
      <c r="B1037" s="16" t="s">
        <v>545</v>
      </c>
      <c r="C1037" s="16" t="s">
        <v>1524</v>
      </c>
      <c r="D1037" s="16" t="s">
        <v>324</v>
      </c>
      <c r="E1037" s="16" t="s">
        <v>404</v>
      </c>
      <c r="F1037" s="16" t="s">
        <v>401</v>
      </c>
      <c r="G1037" s="16">
        <v>0.8</v>
      </c>
      <c r="H1037" s="16">
        <v>2607</v>
      </c>
      <c r="I1037" s="16">
        <v>110</v>
      </c>
      <c r="J1037" s="16">
        <v>109</v>
      </c>
      <c r="K1037" s="16">
        <v>1.1233777472512E-3</v>
      </c>
      <c r="L1037" s="16">
        <v>9.5477689507407499E-3</v>
      </c>
      <c r="M1037" s="16">
        <v>0.11765866487207401</v>
      </c>
      <c r="N1037" s="16">
        <v>60.3485027033799</v>
      </c>
      <c r="O1037" s="16">
        <v>0.90672884817166199</v>
      </c>
      <c r="P1037" s="16"/>
      <c r="Q1037" s="16"/>
      <c r="R1037" s="16"/>
      <c r="S1037" s="16"/>
      <c r="T1037" s="16"/>
      <c r="U1037" s="16"/>
      <c r="V1037" s="16"/>
      <c r="W1037" s="16"/>
      <c r="X1037" s="16"/>
      <c r="Y1037" s="16"/>
      <c r="Z1037" s="16"/>
      <c r="AA1037" s="16"/>
      <c r="AB1037" s="16"/>
      <c r="AC1037" s="16"/>
      <c r="AD1037" s="16"/>
      <c r="AE1037" s="16"/>
      <c r="AF1037" s="16"/>
      <c r="AG1037" s="16"/>
      <c r="AH1037" s="16" t="s">
        <v>402</v>
      </c>
      <c r="AI1037" s="16"/>
      <c r="AJ1037" s="16" t="s">
        <v>1583</v>
      </c>
    </row>
    <row r="1038" spans="1:36" ht="15" customHeight="1" x14ac:dyDescent="0.3">
      <c r="A1038" s="16" t="s">
        <v>273</v>
      </c>
      <c r="B1038" s="16" t="s">
        <v>547</v>
      </c>
      <c r="C1038" s="16" t="s">
        <v>1524</v>
      </c>
      <c r="D1038" s="16" t="s">
        <v>324</v>
      </c>
      <c r="E1038" s="16" t="s">
        <v>404</v>
      </c>
      <c r="F1038" s="16" t="s">
        <v>401</v>
      </c>
      <c r="G1038" s="16">
        <v>0.8</v>
      </c>
      <c r="H1038" s="16">
        <v>905</v>
      </c>
      <c r="I1038" s="16">
        <v>38</v>
      </c>
      <c r="J1038" s="16">
        <v>38</v>
      </c>
      <c r="K1038" s="16">
        <v>-2.1040352355548901E-2</v>
      </c>
      <c r="L1038" s="16">
        <v>1.8461554176239601E-2</v>
      </c>
      <c r="M1038" s="16">
        <v>-1.1396847824777601</v>
      </c>
      <c r="N1038" s="16">
        <v>23.9566904390072</v>
      </c>
      <c r="O1038" s="16">
        <v>0.26568493975117002</v>
      </c>
      <c r="P1038" s="16"/>
      <c r="Q1038" s="16"/>
      <c r="R1038" s="16"/>
      <c r="S1038" s="16"/>
      <c r="T1038" s="16"/>
      <c r="U1038" s="16"/>
      <c r="V1038" s="16"/>
      <c r="W1038" s="16"/>
      <c r="X1038" s="16"/>
      <c r="Y1038" s="16"/>
      <c r="Z1038" s="16"/>
      <c r="AA1038" s="16"/>
      <c r="AB1038" s="16"/>
      <c r="AC1038" s="16"/>
      <c r="AD1038" s="16"/>
      <c r="AE1038" s="16"/>
      <c r="AF1038" s="16"/>
      <c r="AG1038" s="16"/>
      <c r="AH1038" s="16" t="s">
        <v>402</v>
      </c>
      <c r="AI1038" s="16"/>
      <c r="AJ1038" s="16" t="s">
        <v>1584</v>
      </c>
    </row>
    <row r="1039" spans="1:36" ht="15" customHeight="1" x14ac:dyDescent="0.3">
      <c r="A1039" s="16" t="s">
        <v>273</v>
      </c>
      <c r="B1039" s="16" t="s">
        <v>549</v>
      </c>
      <c r="C1039" s="16" t="s">
        <v>1524</v>
      </c>
      <c r="D1039" s="16" t="s">
        <v>324</v>
      </c>
      <c r="E1039" s="16" t="s">
        <v>404</v>
      </c>
      <c r="F1039" s="16" t="s">
        <v>401</v>
      </c>
      <c r="G1039" s="16">
        <v>0.8</v>
      </c>
      <c r="H1039" s="16">
        <v>2705</v>
      </c>
      <c r="I1039" s="16">
        <v>113</v>
      </c>
      <c r="J1039" s="16">
        <v>112</v>
      </c>
      <c r="K1039" s="16">
        <v>9.9842613739592797E-3</v>
      </c>
      <c r="L1039" s="16">
        <v>1.8198133546485099E-2</v>
      </c>
      <c r="M1039" s="16">
        <v>0.54864205433241697</v>
      </c>
      <c r="N1039" s="16">
        <v>15.3918593868669</v>
      </c>
      <c r="O1039" s="16">
        <v>0.59112126871800996</v>
      </c>
      <c r="P1039" s="16"/>
      <c r="Q1039" s="16"/>
      <c r="R1039" s="16"/>
      <c r="S1039" s="16"/>
      <c r="T1039" s="16"/>
      <c r="U1039" s="16"/>
      <c r="V1039" s="16"/>
      <c r="W1039" s="16"/>
      <c r="X1039" s="16"/>
      <c r="Y1039" s="16"/>
      <c r="Z1039" s="16"/>
      <c r="AA1039" s="16"/>
      <c r="AB1039" s="16"/>
      <c r="AC1039" s="16"/>
      <c r="AD1039" s="16"/>
      <c r="AE1039" s="16"/>
      <c r="AF1039" s="16"/>
      <c r="AG1039" s="16"/>
      <c r="AH1039" s="16" t="s">
        <v>402</v>
      </c>
      <c r="AI1039" s="16"/>
      <c r="AJ1039" s="16" t="s">
        <v>1585</v>
      </c>
    </row>
    <row r="1040" spans="1:36" ht="15" customHeight="1" x14ac:dyDescent="0.3">
      <c r="A1040" s="16" t="s">
        <v>273</v>
      </c>
      <c r="B1040" s="16" t="s">
        <v>551</v>
      </c>
      <c r="C1040" s="16" t="s">
        <v>1524</v>
      </c>
      <c r="D1040" s="16" t="s">
        <v>324</v>
      </c>
      <c r="E1040" s="16" t="s">
        <v>404</v>
      </c>
      <c r="F1040" s="16" t="s">
        <v>401</v>
      </c>
      <c r="G1040" s="16">
        <v>0.8</v>
      </c>
      <c r="H1040" s="16">
        <v>2705</v>
      </c>
      <c r="I1040" s="16">
        <v>113</v>
      </c>
      <c r="J1040" s="16">
        <v>112</v>
      </c>
      <c r="K1040" s="16">
        <v>9.6971869672507292E-3</v>
      </c>
      <c r="L1040" s="16">
        <v>1.7829373077213599E-2</v>
      </c>
      <c r="M1040" s="16">
        <v>0.543888274997398</v>
      </c>
      <c r="N1040" s="16">
        <v>12.5667291189185</v>
      </c>
      <c r="O1040" s="16">
        <v>0.596036250499552</v>
      </c>
      <c r="P1040" s="16"/>
      <c r="Q1040" s="16"/>
      <c r="R1040" s="16"/>
      <c r="S1040" s="16"/>
      <c r="T1040" s="16"/>
      <c r="U1040" s="16"/>
      <c r="V1040" s="16"/>
      <c r="W1040" s="16"/>
      <c r="X1040" s="16"/>
      <c r="Y1040" s="16"/>
      <c r="Z1040" s="16"/>
      <c r="AA1040" s="16"/>
      <c r="AB1040" s="16"/>
      <c r="AC1040" s="16"/>
      <c r="AD1040" s="16"/>
      <c r="AE1040" s="16"/>
      <c r="AF1040" s="16"/>
      <c r="AG1040" s="16"/>
      <c r="AH1040" s="16" t="s">
        <v>402</v>
      </c>
      <c r="AI1040" s="16"/>
      <c r="AJ1040" s="16" t="s">
        <v>1586</v>
      </c>
    </row>
    <row r="1041" spans="1:36" ht="15" customHeight="1" x14ac:dyDescent="0.3">
      <c r="A1041" s="16" t="s">
        <v>273</v>
      </c>
      <c r="B1041" s="16" t="s">
        <v>553</v>
      </c>
      <c r="C1041" s="16" t="s">
        <v>1524</v>
      </c>
      <c r="D1041" s="16" t="s">
        <v>324</v>
      </c>
      <c r="E1041" s="16" t="s">
        <v>404</v>
      </c>
      <c r="F1041" s="16" t="s">
        <v>401</v>
      </c>
      <c r="G1041" s="16">
        <v>0.8</v>
      </c>
      <c r="H1041" s="16">
        <v>2705</v>
      </c>
      <c r="I1041" s="16">
        <v>113</v>
      </c>
      <c r="J1041" s="16">
        <v>112</v>
      </c>
      <c r="K1041" s="16">
        <v>-2.03298096324704E-2</v>
      </c>
      <c r="L1041" s="16">
        <v>2.1098505582871199E-2</v>
      </c>
      <c r="M1041" s="16">
        <v>-0.96356633187211105</v>
      </c>
      <c r="N1041" s="16">
        <v>41.306014547533401</v>
      </c>
      <c r="O1041" s="16">
        <v>0.34087084171910298</v>
      </c>
      <c r="P1041" s="16"/>
      <c r="Q1041" s="16"/>
      <c r="R1041" s="16"/>
      <c r="S1041" s="16"/>
      <c r="T1041" s="16"/>
      <c r="U1041" s="16"/>
      <c r="V1041" s="16"/>
      <c r="W1041" s="16"/>
      <c r="X1041" s="16"/>
      <c r="Y1041" s="16"/>
      <c r="Z1041" s="16"/>
      <c r="AA1041" s="16"/>
      <c r="AB1041" s="16"/>
      <c r="AC1041" s="16"/>
      <c r="AD1041" s="16"/>
      <c r="AE1041" s="16"/>
      <c r="AF1041" s="16"/>
      <c r="AG1041" s="16"/>
      <c r="AH1041" s="16" t="s">
        <v>402</v>
      </c>
      <c r="AI1041" s="16"/>
      <c r="AJ1041" s="16" t="s">
        <v>1587</v>
      </c>
    </row>
    <row r="1042" spans="1:36" ht="15" customHeight="1" x14ac:dyDescent="0.3">
      <c r="A1042" s="16" t="s">
        <v>273</v>
      </c>
      <c r="B1042" s="16" t="s">
        <v>555</v>
      </c>
      <c r="C1042" s="16" t="s">
        <v>1524</v>
      </c>
      <c r="D1042" s="16" t="s">
        <v>324</v>
      </c>
      <c r="E1042" s="16" t="s">
        <v>404</v>
      </c>
      <c r="F1042" s="16" t="s">
        <v>401</v>
      </c>
      <c r="G1042" s="16">
        <v>0.8</v>
      </c>
      <c r="H1042" s="16">
        <v>2705</v>
      </c>
      <c r="I1042" s="16">
        <v>113</v>
      </c>
      <c r="J1042" s="16">
        <v>112</v>
      </c>
      <c r="K1042" s="16">
        <v>7.9902782027119097E-3</v>
      </c>
      <c r="L1042" s="16">
        <v>1.8066888987123199E-2</v>
      </c>
      <c r="M1042" s="16">
        <v>0.44226087891539001</v>
      </c>
      <c r="N1042" s="16">
        <v>11.110981917441</v>
      </c>
      <c r="O1042" s="16">
        <v>0.66678577204463396</v>
      </c>
      <c r="P1042" s="16"/>
      <c r="Q1042" s="16"/>
      <c r="R1042" s="16"/>
      <c r="S1042" s="16"/>
      <c r="T1042" s="16"/>
      <c r="U1042" s="16"/>
      <c r="V1042" s="16"/>
      <c r="W1042" s="16"/>
      <c r="X1042" s="16"/>
      <c r="Y1042" s="16"/>
      <c r="Z1042" s="16"/>
      <c r="AA1042" s="16"/>
      <c r="AB1042" s="16"/>
      <c r="AC1042" s="16"/>
      <c r="AD1042" s="16"/>
      <c r="AE1042" s="16"/>
      <c r="AF1042" s="16"/>
      <c r="AG1042" s="16"/>
      <c r="AH1042" s="16" t="s">
        <v>402</v>
      </c>
      <c r="AI1042" s="16"/>
      <c r="AJ1042" s="16" t="s">
        <v>1588</v>
      </c>
    </row>
    <row r="1043" spans="1:36" ht="15" customHeight="1" x14ac:dyDescent="0.3">
      <c r="A1043" s="16" t="s">
        <v>273</v>
      </c>
      <c r="B1043" s="16" t="s">
        <v>557</v>
      </c>
      <c r="C1043" s="16" t="s">
        <v>1524</v>
      </c>
      <c r="D1043" s="16" t="s">
        <v>324</v>
      </c>
      <c r="E1043" s="16" t="s">
        <v>404</v>
      </c>
      <c r="F1043" s="16" t="s">
        <v>401</v>
      </c>
      <c r="G1043" s="16">
        <v>0.8</v>
      </c>
      <c r="H1043" s="16">
        <v>2705</v>
      </c>
      <c r="I1043" s="16">
        <v>113</v>
      </c>
      <c r="J1043" s="16">
        <v>112</v>
      </c>
      <c r="K1043" s="16">
        <v>3.47014376425422E-3</v>
      </c>
      <c r="L1043" s="16">
        <v>2.2491194897448601E-2</v>
      </c>
      <c r="M1043" s="16">
        <v>0.154288990872951</v>
      </c>
      <c r="N1043" s="16">
        <v>18.762168506978899</v>
      </c>
      <c r="O1043" s="16">
        <v>0.87902943639742603</v>
      </c>
      <c r="P1043" s="16"/>
      <c r="Q1043" s="16"/>
      <c r="R1043" s="16"/>
      <c r="S1043" s="16"/>
      <c r="T1043" s="16"/>
      <c r="U1043" s="16"/>
      <c r="V1043" s="16"/>
      <c r="W1043" s="16"/>
      <c r="X1043" s="16"/>
      <c r="Y1043" s="16"/>
      <c r="Z1043" s="16"/>
      <c r="AA1043" s="16"/>
      <c r="AB1043" s="16"/>
      <c r="AC1043" s="16"/>
      <c r="AD1043" s="16"/>
      <c r="AE1043" s="16"/>
      <c r="AF1043" s="16"/>
      <c r="AG1043" s="16"/>
      <c r="AH1043" s="16" t="s">
        <v>402</v>
      </c>
      <c r="AI1043" s="16"/>
      <c r="AJ1043" s="16" t="s">
        <v>1589</v>
      </c>
    </row>
    <row r="1044" spans="1:36" ht="15" customHeight="1" x14ac:dyDescent="0.3">
      <c r="A1044" s="16" t="s">
        <v>273</v>
      </c>
      <c r="B1044" s="16" t="s">
        <v>559</v>
      </c>
      <c r="C1044" s="16" t="s">
        <v>1524</v>
      </c>
      <c r="D1044" s="16" t="s">
        <v>324</v>
      </c>
      <c r="E1044" s="16" t="s">
        <v>404</v>
      </c>
      <c r="F1044" s="16" t="s">
        <v>401</v>
      </c>
      <c r="G1044" s="16">
        <v>0.8</v>
      </c>
      <c r="H1044" s="16">
        <v>2705</v>
      </c>
      <c r="I1044" s="16">
        <v>113</v>
      </c>
      <c r="J1044" s="16">
        <v>112</v>
      </c>
      <c r="K1044" s="16">
        <v>4.1263139209302604E-3</v>
      </c>
      <c r="L1044" s="16">
        <v>2.31478154466279E-2</v>
      </c>
      <c r="M1044" s="16">
        <v>0.17825932345297699</v>
      </c>
      <c r="N1044" s="16">
        <v>15.4316505707784</v>
      </c>
      <c r="O1044" s="16">
        <v>0.86083841672616102</v>
      </c>
      <c r="P1044" s="16"/>
      <c r="Q1044" s="16"/>
      <c r="R1044" s="16"/>
      <c r="S1044" s="16"/>
      <c r="T1044" s="16"/>
      <c r="U1044" s="16"/>
      <c r="V1044" s="16"/>
      <c r="W1044" s="16"/>
      <c r="X1044" s="16"/>
      <c r="Y1044" s="16"/>
      <c r="Z1044" s="16"/>
      <c r="AA1044" s="16"/>
      <c r="AB1044" s="16"/>
      <c r="AC1044" s="16"/>
      <c r="AD1044" s="16"/>
      <c r="AE1044" s="16"/>
      <c r="AF1044" s="16"/>
      <c r="AG1044" s="16"/>
      <c r="AH1044" s="16" t="s">
        <v>402</v>
      </c>
      <c r="AI1044" s="16"/>
      <c r="AJ1044" s="16" t="s">
        <v>1590</v>
      </c>
    </row>
    <row r="1045" spans="1:36" ht="15" customHeight="1" x14ac:dyDescent="0.3">
      <c r="A1045" s="16" t="s">
        <v>273</v>
      </c>
      <c r="B1045" s="16" t="s">
        <v>561</v>
      </c>
      <c r="C1045" s="16" t="s">
        <v>1524</v>
      </c>
      <c r="D1045" s="16" t="s">
        <v>324</v>
      </c>
      <c r="E1045" s="16" t="s">
        <v>404</v>
      </c>
      <c r="F1045" s="16" t="s">
        <v>401</v>
      </c>
      <c r="G1045" s="16">
        <v>0.8</v>
      </c>
      <c r="H1045" s="16">
        <v>2705</v>
      </c>
      <c r="I1045" s="16">
        <v>113</v>
      </c>
      <c r="J1045" s="16">
        <v>112</v>
      </c>
      <c r="K1045" s="16">
        <v>-7.5506518979369499E-3</v>
      </c>
      <c r="L1045" s="16">
        <v>2.07659711591059E-2</v>
      </c>
      <c r="M1045" s="16">
        <v>-0.36360697219913102</v>
      </c>
      <c r="N1045" s="16">
        <v>18.173445325753601</v>
      </c>
      <c r="O1045" s="16">
        <v>0.72034695024381501</v>
      </c>
      <c r="P1045" s="16"/>
      <c r="Q1045" s="16"/>
      <c r="R1045" s="16"/>
      <c r="S1045" s="16"/>
      <c r="T1045" s="16"/>
      <c r="U1045" s="16"/>
      <c r="V1045" s="16"/>
      <c r="W1045" s="16"/>
      <c r="X1045" s="16"/>
      <c r="Y1045" s="16"/>
      <c r="Z1045" s="16"/>
      <c r="AA1045" s="16"/>
      <c r="AB1045" s="16"/>
      <c r="AC1045" s="16"/>
      <c r="AD1045" s="16"/>
      <c r="AE1045" s="16"/>
      <c r="AF1045" s="16"/>
      <c r="AG1045" s="16"/>
      <c r="AH1045" s="16" t="s">
        <v>402</v>
      </c>
      <c r="AI1045" s="16"/>
      <c r="AJ1045" s="16" t="s">
        <v>1591</v>
      </c>
    </row>
    <row r="1046" spans="1:36" ht="15" customHeight="1" x14ac:dyDescent="0.3">
      <c r="A1046" s="16" t="s">
        <v>273</v>
      </c>
      <c r="B1046" s="16" t="s">
        <v>563</v>
      </c>
      <c r="C1046" s="16" t="s">
        <v>1524</v>
      </c>
      <c r="D1046" s="16" t="s">
        <v>324</v>
      </c>
      <c r="E1046" s="16" t="s">
        <v>404</v>
      </c>
      <c r="F1046" s="16" t="s">
        <v>401</v>
      </c>
      <c r="G1046" s="16">
        <v>0.8</v>
      </c>
      <c r="H1046" s="16">
        <v>2705</v>
      </c>
      <c r="I1046" s="16">
        <v>113</v>
      </c>
      <c r="J1046" s="16">
        <v>112</v>
      </c>
      <c r="K1046" s="16">
        <v>3.8962452326631702E-2</v>
      </c>
      <c r="L1046" s="16">
        <v>2.6349794714446699E-2</v>
      </c>
      <c r="M1046" s="16">
        <v>1.47866246203694</v>
      </c>
      <c r="N1046" s="16">
        <v>22.5628886254168</v>
      </c>
      <c r="O1046" s="16">
        <v>0.15305660264242699</v>
      </c>
      <c r="P1046" s="16"/>
      <c r="Q1046" s="16"/>
      <c r="R1046" s="16"/>
      <c r="S1046" s="16"/>
      <c r="T1046" s="16"/>
      <c r="U1046" s="16"/>
      <c r="V1046" s="16"/>
      <c r="W1046" s="16"/>
      <c r="X1046" s="16"/>
      <c r="Y1046" s="16"/>
      <c r="Z1046" s="16"/>
      <c r="AA1046" s="16"/>
      <c r="AB1046" s="16"/>
      <c r="AC1046" s="16"/>
      <c r="AD1046" s="16"/>
      <c r="AE1046" s="16"/>
      <c r="AF1046" s="16"/>
      <c r="AG1046" s="16"/>
      <c r="AH1046" s="16" t="s">
        <v>402</v>
      </c>
      <c r="AI1046" s="16"/>
      <c r="AJ1046" s="16" t="s">
        <v>1592</v>
      </c>
    </row>
    <row r="1047" spans="1:36" ht="15" customHeight="1" x14ac:dyDescent="0.3">
      <c r="A1047" s="16" t="s">
        <v>273</v>
      </c>
      <c r="B1047" s="16" t="s">
        <v>565</v>
      </c>
      <c r="C1047" s="16" t="s">
        <v>1524</v>
      </c>
      <c r="D1047" s="16" t="s">
        <v>324</v>
      </c>
      <c r="E1047" s="16" t="s">
        <v>404</v>
      </c>
      <c r="F1047" s="16" t="s">
        <v>401</v>
      </c>
      <c r="G1047" s="16">
        <v>0.8</v>
      </c>
      <c r="H1047" s="16">
        <v>2705</v>
      </c>
      <c r="I1047" s="16">
        <v>113</v>
      </c>
      <c r="J1047" s="16">
        <v>112</v>
      </c>
      <c r="K1047" s="16">
        <v>2.04506577447791E-2</v>
      </c>
      <c r="L1047" s="16">
        <v>2.1937475027126702E-2</v>
      </c>
      <c r="M1047" s="16">
        <v>0.93222477607340604</v>
      </c>
      <c r="N1047" s="16">
        <v>22.954829815261501</v>
      </c>
      <c r="O1047" s="16">
        <v>0.360922586945368</v>
      </c>
      <c r="P1047" s="16"/>
      <c r="Q1047" s="16"/>
      <c r="R1047" s="16"/>
      <c r="S1047" s="16"/>
      <c r="T1047" s="16"/>
      <c r="U1047" s="16"/>
      <c r="V1047" s="16"/>
      <c r="W1047" s="16"/>
      <c r="X1047" s="16"/>
      <c r="Y1047" s="16"/>
      <c r="Z1047" s="16"/>
      <c r="AA1047" s="16"/>
      <c r="AB1047" s="16"/>
      <c r="AC1047" s="16"/>
      <c r="AD1047" s="16"/>
      <c r="AE1047" s="16"/>
      <c r="AF1047" s="16"/>
      <c r="AG1047" s="16"/>
      <c r="AH1047" s="16" t="s">
        <v>402</v>
      </c>
      <c r="AI1047" s="16"/>
      <c r="AJ1047" s="16" t="s">
        <v>1593</v>
      </c>
    </row>
    <row r="1048" spans="1:36" ht="15" customHeight="1" x14ac:dyDescent="0.3">
      <c r="A1048" s="16" t="s">
        <v>273</v>
      </c>
      <c r="B1048" s="16" t="s">
        <v>567</v>
      </c>
      <c r="C1048" s="16" t="s">
        <v>1524</v>
      </c>
      <c r="D1048" s="16" t="s">
        <v>324</v>
      </c>
      <c r="E1048" s="16" t="s">
        <v>404</v>
      </c>
      <c r="F1048" s="16" t="s">
        <v>401</v>
      </c>
      <c r="G1048" s="16">
        <v>0.8</v>
      </c>
      <c r="H1048" s="16">
        <v>929</v>
      </c>
      <c r="I1048" s="16">
        <v>40</v>
      </c>
      <c r="J1048" s="16">
        <v>40</v>
      </c>
      <c r="K1048" s="16">
        <v>-1.1741317120667999E-2</v>
      </c>
      <c r="L1048" s="16">
        <v>1.6597404230178001E-2</v>
      </c>
      <c r="M1048" s="16">
        <v>-0.70741888055720803</v>
      </c>
      <c r="N1048" s="16">
        <v>22.299197146237301</v>
      </c>
      <c r="O1048" s="16">
        <v>0.48663440232478999</v>
      </c>
      <c r="P1048" s="16"/>
      <c r="Q1048" s="16"/>
      <c r="R1048" s="16"/>
      <c r="S1048" s="16"/>
      <c r="T1048" s="16"/>
      <c r="U1048" s="16"/>
      <c r="V1048" s="16"/>
      <c r="W1048" s="16"/>
      <c r="X1048" s="16"/>
      <c r="Y1048" s="16"/>
      <c r="Z1048" s="16"/>
      <c r="AA1048" s="16"/>
      <c r="AB1048" s="16"/>
      <c r="AC1048" s="16"/>
      <c r="AD1048" s="16"/>
      <c r="AE1048" s="16"/>
      <c r="AF1048" s="16"/>
      <c r="AG1048" s="16"/>
      <c r="AH1048" s="16" t="s">
        <v>402</v>
      </c>
      <c r="AI1048" s="16"/>
      <c r="AJ1048" s="16" t="s">
        <v>1594</v>
      </c>
    </row>
    <row r="1049" spans="1:36" ht="15" customHeight="1" x14ac:dyDescent="0.3">
      <c r="A1049" s="16" t="s">
        <v>273</v>
      </c>
      <c r="B1049" s="16" t="s">
        <v>569</v>
      </c>
      <c r="C1049" s="16" t="s">
        <v>1524</v>
      </c>
      <c r="D1049" s="16" t="s">
        <v>324</v>
      </c>
      <c r="E1049" s="16" t="s">
        <v>404</v>
      </c>
      <c r="F1049" s="16" t="s">
        <v>401</v>
      </c>
      <c r="G1049" s="16">
        <v>0.8</v>
      </c>
      <c r="H1049" s="16">
        <v>2692</v>
      </c>
      <c r="I1049" s="16">
        <v>113</v>
      </c>
      <c r="J1049" s="16">
        <v>112</v>
      </c>
      <c r="K1049" s="16">
        <v>-1.39391042394087E-2</v>
      </c>
      <c r="L1049" s="16">
        <v>1.05161063782944E-2</v>
      </c>
      <c r="M1049" s="16">
        <v>-1.32550049780587</v>
      </c>
      <c r="N1049" s="16">
        <v>40.957817987407601</v>
      </c>
      <c r="O1049" s="16">
        <v>0.192351512659516</v>
      </c>
      <c r="P1049" s="16"/>
      <c r="Q1049" s="16"/>
      <c r="R1049" s="16"/>
      <c r="S1049" s="16"/>
      <c r="T1049" s="16"/>
      <c r="U1049" s="16"/>
      <c r="V1049" s="16"/>
      <c r="W1049" s="16"/>
      <c r="X1049" s="16"/>
      <c r="Y1049" s="16"/>
      <c r="Z1049" s="16"/>
      <c r="AA1049" s="16"/>
      <c r="AB1049" s="16"/>
      <c r="AC1049" s="16"/>
      <c r="AD1049" s="16"/>
      <c r="AE1049" s="16"/>
      <c r="AF1049" s="16"/>
      <c r="AG1049" s="16"/>
      <c r="AH1049" s="16" t="s">
        <v>402</v>
      </c>
      <c r="AI1049" s="16"/>
      <c r="AJ1049" s="16" t="s">
        <v>1595</v>
      </c>
    </row>
    <row r="1050" spans="1:36" ht="15" customHeight="1" x14ac:dyDescent="0.3">
      <c r="A1050" s="16" t="s">
        <v>273</v>
      </c>
      <c r="B1050" s="16" t="s">
        <v>571</v>
      </c>
      <c r="C1050" s="16" t="s">
        <v>1524</v>
      </c>
      <c r="D1050" s="16" t="s">
        <v>324</v>
      </c>
      <c r="E1050" s="16" t="s">
        <v>404</v>
      </c>
      <c r="F1050" s="16" t="s">
        <v>401</v>
      </c>
      <c r="G1050" s="16">
        <v>0.8</v>
      </c>
      <c r="H1050" s="16">
        <v>2692</v>
      </c>
      <c r="I1050" s="16">
        <v>113</v>
      </c>
      <c r="J1050" s="16">
        <v>112</v>
      </c>
      <c r="K1050" s="16">
        <v>-1.27451452278685E-2</v>
      </c>
      <c r="L1050" s="16">
        <v>1.10896355146183E-2</v>
      </c>
      <c r="M1050" s="16">
        <v>-1.14928441165338</v>
      </c>
      <c r="N1050" s="16">
        <v>30.952946848500201</v>
      </c>
      <c r="O1050" s="16">
        <v>0.25924214587400601</v>
      </c>
      <c r="P1050" s="16"/>
      <c r="Q1050" s="16"/>
      <c r="R1050" s="16"/>
      <c r="S1050" s="16"/>
      <c r="T1050" s="16"/>
      <c r="U1050" s="16"/>
      <c r="V1050" s="16"/>
      <c r="W1050" s="16"/>
      <c r="X1050" s="16"/>
      <c r="Y1050" s="16"/>
      <c r="Z1050" s="16"/>
      <c r="AA1050" s="16"/>
      <c r="AB1050" s="16"/>
      <c r="AC1050" s="16"/>
      <c r="AD1050" s="16"/>
      <c r="AE1050" s="16"/>
      <c r="AF1050" s="16"/>
      <c r="AG1050" s="16"/>
      <c r="AH1050" s="16" t="s">
        <v>402</v>
      </c>
      <c r="AI1050" s="16"/>
      <c r="AJ1050" s="16" t="s">
        <v>1596</v>
      </c>
    </row>
    <row r="1051" spans="1:36" ht="15" customHeight="1" x14ac:dyDescent="0.3">
      <c r="A1051" s="16" t="s">
        <v>273</v>
      </c>
      <c r="B1051" s="16" t="s">
        <v>573</v>
      </c>
      <c r="C1051" s="16" t="s">
        <v>1524</v>
      </c>
      <c r="D1051" s="16" t="s">
        <v>324</v>
      </c>
      <c r="E1051" s="16" t="s">
        <v>404</v>
      </c>
      <c r="F1051" s="16" t="s">
        <v>401</v>
      </c>
      <c r="G1051" s="16">
        <v>0.8</v>
      </c>
      <c r="H1051" s="16">
        <v>2692</v>
      </c>
      <c r="I1051" s="16">
        <v>113</v>
      </c>
      <c r="J1051" s="16">
        <v>112</v>
      </c>
      <c r="K1051" s="16">
        <v>7.5947470811607598E-4</v>
      </c>
      <c r="L1051" s="16">
        <v>1.07427409387358E-2</v>
      </c>
      <c r="M1051" s="16">
        <v>7.06965487157553E-2</v>
      </c>
      <c r="N1051" s="16">
        <v>34.296452151037101</v>
      </c>
      <c r="O1051" s="16">
        <v>0.94404990716241899</v>
      </c>
      <c r="P1051" s="16"/>
      <c r="Q1051" s="16"/>
      <c r="R1051" s="16"/>
      <c r="S1051" s="16"/>
      <c r="T1051" s="16"/>
      <c r="U1051" s="16"/>
      <c r="V1051" s="16"/>
      <c r="W1051" s="16"/>
      <c r="X1051" s="16"/>
      <c r="Y1051" s="16"/>
      <c r="Z1051" s="16"/>
      <c r="AA1051" s="16"/>
      <c r="AB1051" s="16"/>
      <c r="AC1051" s="16"/>
      <c r="AD1051" s="16"/>
      <c r="AE1051" s="16"/>
      <c r="AF1051" s="16"/>
      <c r="AG1051" s="16"/>
      <c r="AH1051" s="16" t="s">
        <v>402</v>
      </c>
      <c r="AI1051" s="16"/>
      <c r="AJ1051" s="16" t="s">
        <v>1597</v>
      </c>
    </row>
    <row r="1052" spans="1:36" ht="15" customHeight="1" x14ac:dyDescent="0.3">
      <c r="A1052" s="16" t="s">
        <v>273</v>
      </c>
      <c r="B1052" s="16" t="s">
        <v>575</v>
      </c>
      <c r="C1052" s="16" t="s">
        <v>1524</v>
      </c>
      <c r="D1052" s="16" t="s">
        <v>324</v>
      </c>
      <c r="E1052" s="16" t="s">
        <v>404</v>
      </c>
      <c r="F1052" s="16" t="s">
        <v>401</v>
      </c>
      <c r="G1052" s="16">
        <v>0.8</v>
      </c>
      <c r="H1052" s="16">
        <v>2692</v>
      </c>
      <c r="I1052" s="16">
        <v>113</v>
      </c>
      <c r="J1052" s="16">
        <v>112</v>
      </c>
      <c r="K1052" s="16">
        <v>-1.2968548858965499E-2</v>
      </c>
      <c r="L1052" s="16">
        <v>1.1536303881071099E-2</v>
      </c>
      <c r="M1052" s="16">
        <v>-1.1241511139667899</v>
      </c>
      <c r="N1052" s="16">
        <v>27.057351372064002</v>
      </c>
      <c r="O1052" s="16">
        <v>0.27082365107277101</v>
      </c>
      <c r="P1052" s="16"/>
      <c r="Q1052" s="16"/>
      <c r="R1052" s="16"/>
      <c r="S1052" s="16"/>
      <c r="T1052" s="16"/>
      <c r="U1052" s="16"/>
      <c r="V1052" s="16"/>
      <c r="W1052" s="16"/>
      <c r="X1052" s="16"/>
      <c r="Y1052" s="16"/>
      <c r="Z1052" s="16"/>
      <c r="AA1052" s="16"/>
      <c r="AB1052" s="16"/>
      <c r="AC1052" s="16"/>
      <c r="AD1052" s="16"/>
      <c r="AE1052" s="16"/>
      <c r="AF1052" s="16"/>
      <c r="AG1052" s="16"/>
      <c r="AH1052" s="16" t="s">
        <v>402</v>
      </c>
      <c r="AI1052" s="16"/>
      <c r="AJ1052" s="16" t="s">
        <v>1598</v>
      </c>
    </row>
    <row r="1053" spans="1:36" ht="15" customHeight="1" x14ac:dyDescent="0.3">
      <c r="A1053" s="16" t="s">
        <v>273</v>
      </c>
      <c r="B1053" s="16" t="s">
        <v>577</v>
      </c>
      <c r="C1053" s="16" t="s">
        <v>1524</v>
      </c>
      <c r="D1053" s="16" t="s">
        <v>324</v>
      </c>
      <c r="E1053" s="16" t="s">
        <v>404</v>
      </c>
      <c r="F1053" s="16" t="s">
        <v>401</v>
      </c>
      <c r="G1053" s="16">
        <v>0.8</v>
      </c>
      <c r="H1053" s="16">
        <v>2692</v>
      </c>
      <c r="I1053" s="16">
        <v>113</v>
      </c>
      <c r="J1053" s="16">
        <v>112</v>
      </c>
      <c r="K1053" s="16">
        <v>-1.32879155586414E-2</v>
      </c>
      <c r="L1053" s="16">
        <v>1.50325296028978E-2</v>
      </c>
      <c r="M1053" s="16">
        <v>-0.88394408058108098</v>
      </c>
      <c r="N1053" s="16">
        <v>17.5154939425463</v>
      </c>
      <c r="O1053" s="16">
        <v>0.38869888311897799</v>
      </c>
      <c r="P1053" s="16"/>
      <c r="Q1053" s="16"/>
      <c r="R1053" s="16"/>
      <c r="S1053" s="16"/>
      <c r="T1053" s="16"/>
      <c r="U1053" s="16"/>
      <c r="V1053" s="16"/>
      <c r="W1053" s="16"/>
      <c r="X1053" s="16"/>
      <c r="Y1053" s="16"/>
      <c r="Z1053" s="16"/>
      <c r="AA1053" s="16"/>
      <c r="AB1053" s="16"/>
      <c r="AC1053" s="16"/>
      <c r="AD1053" s="16"/>
      <c r="AE1053" s="16"/>
      <c r="AF1053" s="16"/>
      <c r="AG1053" s="16"/>
      <c r="AH1053" s="16" t="s">
        <v>402</v>
      </c>
      <c r="AI1053" s="16"/>
      <c r="AJ1053" s="16" t="s">
        <v>1599</v>
      </c>
    </row>
    <row r="1054" spans="1:36" ht="15" customHeight="1" x14ac:dyDescent="0.3">
      <c r="A1054" s="16" t="s">
        <v>273</v>
      </c>
      <c r="B1054" s="16" t="s">
        <v>579</v>
      </c>
      <c r="C1054" s="16" t="s">
        <v>1524</v>
      </c>
      <c r="D1054" s="16" t="s">
        <v>324</v>
      </c>
      <c r="E1054" s="16" t="s">
        <v>404</v>
      </c>
      <c r="F1054" s="16" t="s">
        <v>401</v>
      </c>
      <c r="G1054" s="16">
        <v>0.8</v>
      </c>
      <c r="H1054" s="16">
        <v>2692</v>
      </c>
      <c r="I1054" s="16">
        <v>113</v>
      </c>
      <c r="J1054" s="16">
        <v>112</v>
      </c>
      <c r="K1054" s="16">
        <v>-1.39397485069984E-2</v>
      </c>
      <c r="L1054" s="16">
        <v>1.6338126830193801E-2</v>
      </c>
      <c r="M1054" s="16">
        <v>-0.85320359254629496</v>
      </c>
      <c r="N1054" s="16">
        <v>14.3953670351315</v>
      </c>
      <c r="O1054" s="16">
        <v>0.40751934615095298</v>
      </c>
      <c r="P1054" s="16"/>
      <c r="Q1054" s="16"/>
      <c r="R1054" s="16"/>
      <c r="S1054" s="16"/>
      <c r="T1054" s="16"/>
      <c r="U1054" s="16"/>
      <c r="V1054" s="16"/>
      <c r="W1054" s="16"/>
      <c r="X1054" s="16"/>
      <c r="Y1054" s="16"/>
      <c r="Z1054" s="16"/>
      <c r="AA1054" s="16"/>
      <c r="AB1054" s="16"/>
      <c r="AC1054" s="16"/>
      <c r="AD1054" s="16"/>
      <c r="AE1054" s="16"/>
      <c r="AF1054" s="16"/>
      <c r="AG1054" s="16"/>
      <c r="AH1054" s="16" t="s">
        <v>402</v>
      </c>
      <c r="AI1054" s="16"/>
      <c r="AJ1054" s="16" t="s">
        <v>1600</v>
      </c>
    </row>
    <row r="1055" spans="1:36" ht="15" customHeight="1" x14ac:dyDescent="0.3">
      <c r="A1055" s="16" t="s">
        <v>273</v>
      </c>
      <c r="B1055" s="16" t="s">
        <v>581</v>
      </c>
      <c r="C1055" s="16" t="s">
        <v>1524</v>
      </c>
      <c r="D1055" s="16" t="s">
        <v>324</v>
      </c>
      <c r="E1055" s="16" t="s">
        <v>404</v>
      </c>
      <c r="F1055" s="16" t="s">
        <v>401</v>
      </c>
      <c r="G1055" s="16">
        <v>0.8</v>
      </c>
      <c r="H1055" s="16">
        <v>2692</v>
      </c>
      <c r="I1055" s="16">
        <v>113</v>
      </c>
      <c r="J1055" s="16">
        <v>112</v>
      </c>
      <c r="K1055" s="16">
        <v>1.6715838681081001E-3</v>
      </c>
      <c r="L1055" s="16">
        <v>9.1589709927090198E-3</v>
      </c>
      <c r="M1055" s="16">
        <v>0.18250782423470599</v>
      </c>
      <c r="N1055" s="16">
        <v>46.651931355317501</v>
      </c>
      <c r="O1055" s="16">
        <v>0.855975013022794</v>
      </c>
      <c r="P1055" s="16"/>
      <c r="Q1055" s="16"/>
      <c r="R1055" s="16"/>
      <c r="S1055" s="16"/>
      <c r="T1055" s="16"/>
      <c r="U1055" s="16"/>
      <c r="V1055" s="16"/>
      <c r="W1055" s="16"/>
      <c r="X1055" s="16"/>
      <c r="Y1055" s="16"/>
      <c r="Z1055" s="16"/>
      <c r="AA1055" s="16"/>
      <c r="AB1055" s="16"/>
      <c r="AC1055" s="16"/>
      <c r="AD1055" s="16"/>
      <c r="AE1055" s="16"/>
      <c r="AF1055" s="16"/>
      <c r="AG1055" s="16"/>
      <c r="AH1055" s="16" t="s">
        <v>402</v>
      </c>
      <c r="AI1055" s="16"/>
      <c r="AJ1055" s="16" t="s">
        <v>1601</v>
      </c>
    </row>
    <row r="1056" spans="1:36" ht="15" customHeight="1" x14ac:dyDescent="0.3">
      <c r="A1056" s="16" t="s">
        <v>273</v>
      </c>
      <c r="B1056" s="16" t="s">
        <v>583</v>
      </c>
      <c r="C1056" s="16" t="s">
        <v>1524</v>
      </c>
      <c r="D1056" s="16" t="s">
        <v>324</v>
      </c>
      <c r="E1056" s="16" t="s">
        <v>404</v>
      </c>
      <c r="F1056" s="16" t="s">
        <v>401</v>
      </c>
      <c r="G1056" s="16">
        <v>0.8</v>
      </c>
      <c r="H1056" s="16">
        <v>2692</v>
      </c>
      <c r="I1056" s="16">
        <v>113</v>
      </c>
      <c r="J1056" s="16">
        <v>112</v>
      </c>
      <c r="K1056" s="16">
        <v>9.8211155353529703E-3</v>
      </c>
      <c r="L1056" s="16">
        <v>8.8573330740928605E-3</v>
      </c>
      <c r="M1056" s="16">
        <v>1.1088118119978001</v>
      </c>
      <c r="N1056" s="16">
        <v>62.564609020567602</v>
      </c>
      <c r="O1056" s="16">
        <v>0.27175553498438898</v>
      </c>
      <c r="P1056" s="16"/>
      <c r="Q1056" s="16"/>
      <c r="R1056" s="16"/>
      <c r="S1056" s="16"/>
      <c r="T1056" s="16"/>
      <c r="U1056" s="16"/>
      <c r="V1056" s="16"/>
      <c r="W1056" s="16"/>
      <c r="X1056" s="16"/>
      <c r="Y1056" s="16"/>
      <c r="Z1056" s="16"/>
      <c r="AA1056" s="16"/>
      <c r="AB1056" s="16"/>
      <c r="AC1056" s="16"/>
      <c r="AD1056" s="16"/>
      <c r="AE1056" s="16"/>
      <c r="AF1056" s="16"/>
      <c r="AG1056" s="16"/>
      <c r="AH1056" s="16" t="s">
        <v>402</v>
      </c>
      <c r="AI1056" s="16"/>
      <c r="AJ1056" s="16" t="s">
        <v>1602</v>
      </c>
    </row>
    <row r="1057" spans="1:36" ht="15" customHeight="1" x14ac:dyDescent="0.3">
      <c r="A1057" s="16" t="s">
        <v>273</v>
      </c>
      <c r="B1057" s="16" t="s">
        <v>585</v>
      </c>
      <c r="C1057" s="16" t="s">
        <v>1524</v>
      </c>
      <c r="D1057" s="16" t="s">
        <v>324</v>
      </c>
      <c r="E1057" s="16" t="s">
        <v>404</v>
      </c>
      <c r="F1057" s="16" t="s">
        <v>401</v>
      </c>
      <c r="G1057" s="16">
        <v>0.8</v>
      </c>
      <c r="H1057" s="16">
        <v>2692</v>
      </c>
      <c r="I1057" s="16">
        <v>113</v>
      </c>
      <c r="J1057" s="16">
        <v>112</v>
      </c>
      <c r="K1057" s="16">
        <v>-1.49108361634433E-3</v>
      </c>
      <c r="L1057" s="16">
        <v>9.0752831105459092E-3</v>
      </c>
      <c r="M1057" s="16">
        <v>-0.164301608906462</v>
      </c>
      <c r="N1057" s="16">
        <v>71.952339100778104</v>
      </c>
      <c r="O1057" s="16">
        <v>0.86995439691609999</v>
      </c>
      <c r="P1057" s="16"/>
      <c r="Q1057" s="16"/>
      <c r="R1057" s="16"/>
      <c r="S1057" s="16"/>
      <c r="T1057" s="16"/>
      <c r="U1057" s="16"/>
      <c r="V1057" s="16"/>
      <c r="W1057" s="16"/>
      <c r="X1057" s="16"/>
      <c r="Y1057" s="16"/>
      <c r="Z1057" s="16"/>
      <c r="AA1057" s="16"/>
      <c r="AB1057" s="16"/>
      <c r="AC1057" s="16"/>
      <c r="AD1057" s="16"/>
      <c r="AE1057" s="16"/>
      <c r="AF1057" s="16"/>
      <c r="AG1057" s="16"/>
      <c r="AH1057" s="16" t="s">
        <v>402</v>
      </c>
      <c r="AI1057" s="16"/>
      <c r="AJ1057" s="16" t="s">
        <v>1603</v>
      </c>
    </row>
    <row r="1058" spans="1:36" ht="15" customHeight="1" x14ac:dyDescent="0.3">
      <c r="A1058" s="16" t="s">
        <v>273</v>
      </c>
      <c r="B1058" s="16" t="s">
        <v>587</v>
      </c>
      <c r="C1058" s="16" t="s">
        <v>1524</v>
      </c>
      <c r="D1058" s="16" t="s">
        <v>324</v>
      </c>
      <c r="E1058" s="16" t="s">
        <v>404</v>
      </c>
      <c r="F1058" s="16" t="s">
        <v>401</v>
      </c>
      <c r="G1058" s="16">
        <v>0.8</v>
      </c>
      <c r="H1058" s="16">
        <v>924</v>
      </c>
      <c r="I1058" s="16">
        <v>40</v>
      </c>
      <c r="J1058" s="16">
        <v>40</v>
      </c>
      <c r="K1058" s="16">
        <v>-2.12812819029808E-2</v>
      </c>
      <c r="L1058" s="16">
        <v>1.9744285661666201E-2</v>
      </c>
      <c r="M1058" s="16">
        <v>-1.07784511770404</v>
      </c>
      <c r="N1058" s="16">
        <v>23.694774813101699</v>
      </c>
      <c r="O1058" s="16">
        <v>0.29195414935911701</v>
      </c>
      <c r="P1058" s="16"/>
      <c r="Q1058" s="16"/>
      <c r="R1058" s="16"/>
      <c r="S1058" s="16"/>
      <c r="T1058" s="16"/>
      <c r="U1058" s="16"/>
      <c r="V1058" s="16"/>
      <c r="W1058" s="16"/>
      <c r="X1058" s="16"/>
      <c r="Y1058" s="16"/>
      <c r="Z1058" s="16"/>
      <c r="AA1058" s="16"/>
      <c r="AB1058" s="16"/>
      <c r="AC1058" s="16"/>
      <c r="AD1058" s="16"/>
      <c r="AE1058" s="16"/>
      <c r="AF1058" s="16"/>
      <c r="AG1058" s="16"/>
      <c r="AH1058" s="16" t="s">
        <v>402</v>
      </c>
      <c r="AI1058" s="16"/>
      <c r="AJ1058" s="16" t="s">
        <v>1604</v>
      </c>
    </row>
    <row r="1059" spans="1:36" ht="15" customHeight="1" x14ac:dyDescent="0.3">
      <c r="A1059" s="16" t="s">
        <v>273</v>
      </c>
      <c r="B1059" s="16" t="s">
        <v>589</v>
      </c>
      <c r="C1059" s="16" t="s">
        <v>1524</v>
      </c>
      <c r="D1059" s="16" t="s">
        <v>324</v>
      </c>
      <c r="E1059" s="16" t="s">
        <v>404</v>
      </c>
      <c r="F1059" s="16" t="s">
        <v>401</v>
      </c>
      <c r="G1059" s="16">
        <v>0.8</v>
      </c>
      <c r="H1059" s="16">
        <v>2705</v>
      </c>
      <c r="I1059" s="16">
        <v>113</v>
      </c>
      <c r="J1059" s="16">
        <v>112</v>
      </c>
      <c r="K1059" s="16">
        <v>-1.03926298873594E-2</v>
      </c>
      <c r="L1059" s="16">
        <v>1.0956458236869601E-2</v>
      </c>
      <c r="M1059" s="16">
        <v>-0.948539177778011</v>
      </c>
      <c r="N1059" s="16">
        <v>37.374069330440499</v>
      </c>
      <c r="O1059" s="16">
        <v>0.34894843719382601</v>
      </c>
      <c r="P1059" s="16"/>
      <c r="Q1059" s="16"/>
      <c r="R1059" s="16"/>
      <c r="S1059" s="16"/>
      <c r="T1059" s="16"/>
      <c r="U1059" s="16"/>
      <c r="V1059" s="16"/>
      <c r="W1059" s="16"/>
      <c r="X1059" s="16"/>
      <c r="Y1059" s="16"/>
      <c r="Z1059" s="16"/>
      <c r="AA1059" s="16"/>
      <c r="AB1059" s="16"/>
      <c r="AC1059" s="16"/>
      <c r="AD1059" s="16"/>
      <c r="AE1059" s="16"/>
      <c r="AF1059" s="16"/>
      <c r="AG1059" s="16"/>
      <c r="AH1059" s="16" t="s">
        <v>402</v>
      </c>
      <c r="AI1059" s="16"/>
      <c r="AJ1059" s="16" t="s">
        <v>1605</v>
      </c>
    </row>
    <row r="1060" spans="1:36" ht="15" customHeight="1" x14ac:dyDescent="0.3">
      <c r="A1060" s="16" t="s">
        <v>273</v>
      </c>
      <c r="B1060" s="16" t="s">
        <v>591</v>
      </c>
      <c r="C1060" s="16" t="s">
        <v>1524</v>
      </c>
      <c r="D1060" s="16" t="s">
        <v>324</v>
      </c>
      <c r="E1060" s="16" t="s">
        <v>404</v>
      </c>
      <c r="F1060" s="16" t="s">
        <v>401</v>
      </c>
      <c r="G1060" s="16">
        <v>0.8</v>
      </c>
      <c r="H1060" s="16">
        <v>2705</v>
      </c>
      <c r="I1060" s="16">
        <v>113</v>
      </c>
      <c r="J1060" s="16">
        <v>112</v>
      </c>
      <c r="K1060" s="16">
        <v>-8.2694603540193704E-3</v>
      </c>
      <c r="L1060" s="16">
        <v>1.1305950017773399E-2</v>
      </c>
      <c r="M1060" s="16">
        <v>-0.73142551851188398</v>
      </c>
      <c r="N1060" s="16">
        <v>28.462301288725101</v>
      </c>
      <c r="O1060" s="16">
        <v>0.47049877345945901</v>
      </c>
      <c r="P1060" s="16"/>
      <c r="Q1060" s="16"/>
      <c r="R1060" s="16"/>
      <c r="S1060" s="16"/>
      <c r="T1060" s="16"/>
      <c r="U1060" s="16"/>
      <c r="V1060" s="16"/>
      <c r="W1060" s="16"/>
      <c r="X1060" s="16"/>
      <c r="Y1060" s="16"/>
      <c r="Z1060" s="16"/>
      <c r="AA1060" s="16"/>
      <c r="AB1060" s="16"/>
      <c r="AC1060" s="16"/>
      <c r="AD1060" s="16"/>
      <c r="AE1060" s="16"/>
      <c r="AF1060" s="16"/>
      <c r="AG1060" s="16"/>
      <c r="AH1060" s="16" t="s">
        <v>402</v>
      </c>
      <c r="AI1060" s="16"/>
      <c r="AJ1060" s="16" t="s">
        <v>1606</v>
      </c>
    </row>
    <row r="1061" spans="1:36" ht="15" customHeight="1" x14ac:dyDescent="0.3">
      <c r="A1061" s="16" t="s">
        <v>273</v>
      </c>
      <c r="B1061" s="16" t="s">
        <v>593</v>
      </c>
      <c r="C1061" s="16" t="s">
        <v>1524</v>
      </c>
      <c r="D1061" s="16" t="s">
        <v>324</v>
      </c>
      <c r="E1061" s="16" t="s">
        <v>404</v>
      </c>
      <c r="F1061" s="16" t="s">
        <v>401</v>
      </c>
      <c r="G1061" s="16">
        <v>0.8</v>
      </c>
      <c r="H1061" s="16">
        <v>2705</v>
      </c>
      <c r="I1061" s="16">
        <v>113</v>
      </c>
      <c r="J1061" s="16">
        <v>112</v>
      </c>
      <c r="K1061" s="16">
        <v>1.84083590244058E-3</v>
      </c>
      <c r="L1061" s="16">
        <v>1.0497939249084201E-2</v>
      </c>
      <c r="M1061" s="16">
        <v>0.17535211995069999</v>
      </c>
      <c r="N1061" s="16">
        <v>35.205142037660202</v>
      </c>
      <c r="O1061" s="16">
        <v>0.86180764265832899</v>
      </c>
      <c r="P1061" s="16"/>
      <c r="Q1061" s="16"/>
      <c r="R1061" s="16"/>
      <c r="S1061" s="16"/>
      <c r="T1061" s="16"/>
      <c r="U1061" s="16"/>
      <c r="V1061" s="16"/>
      <c r="W1061" s="16"/>
      <c r="X1061" s="16"/>
      <c r="Y1061" s="16"/>
      <c r="Z1061" s="16"/>
      <c r="AA1061" s="16"/>
      <c r="AB1061" s="16"/>
      <c r="AC1061" s="16"/>
      <c r="AD1061" s="16"/>
      <c r="AE1061" s="16"/>
      <c r="AF1061" s="16"/>
      <c r="AG1061" s="16"/>
      <c r="AH1061" s="16" t="s">
        <v>402</v>
      </c>
      <c r="AI1061" s="16"/>
      <c r="AJ1061" s="16" t="s">
        <v>1607</v>
      </c>
    </row>
    <row r="1062" spans="1:36" ht="15" customHeight="1" x14ac:dyDescent="0.3">
      <c r="A1062" s="16" t="s">
        <v>273</v>
      </c>
      <c r="B1062" s="16" t="s">
        <v>595</v>
      </c>
      <c r="C1062" s="16" t="s">
        <v>1524</v>
      </c>
      <c r="D1062" s="16" t="s">
        <v>324</v>
      </c>
      <c r="E1062" s="16" t="s">
        <v>404</v>
      </c>
      <c r="F1062" s="16" t="s">
        <v>401</v>
      </c>
      <c r="G1062" s="16">
        <v>0.8</v>
      </c>
      <c r="H1062" s="16">
        <v>2705</v>
      </c>
      <c r="I1062" s="16">
        <v>113</v>
      </c>
      <c r="J1062" s="16">
        <v>112</v>
      </c>
      <c r="K1062" s="16">
        <v>-8.6986856771997002E-3</v>
      </c>
      <c r="L1062" s="16">
        <v>1.1788483895953101E-2</v>
      </c>
      <c r="M1062" s="16">
        <v>-0.73789689615522902</v>
      </c>
      <c r="N1062" s="16">
        <v>24.8341171551473</v>
      </c>
      <c r="O1062" s="16">
        <v>0.46749302591976899</v>
      </c>
      <c r="P1062" s="16"/>
      <c r="Q1062" s="16"/>
      <c r="R1062" s="16"/>
      <c r="S1062" s="16"/>
      <c r="T1062" s="16"/>
      <c r="U1062" s="16"/>
      <c r="V1062" s="16"/>
      <c r="W1062" s="16"/>
      <c r="X1062" s="16"/>
      <c r="Y1062" s="16"/>
      <c r="Z1062" s="16"/>
      <c r="AA1062" s="16"/>
      <c r="AB1062" s="16"/>
      <c r="AC1062" s="16"/>
      <c r="AD1062" s="16"/>
      <c r="AE1062" s="16"/>
      <c r="AF1062" s="16"/>
      <c r="AG1062" s="16"/>
      <c r="AH1062" s="16" t="s">
        <v>402</v>
      </c>
      <c r="AI1062" s="16"/>
      <c r="AJ1062" s="16" t="s">
        <v>1608</v>
      </c>
    </row>
    <row r="1063" spans="1:36" ht="15" customHeight="1" x14ac:dyDescent="0.3">
      <c r="A1063" s="16" t="s">
        <v>273</v>
      </c>
      <c r="B1063" s="16" t="s">
        <v>597</v>
      </c>
      <c r="C1063" s="16" t="s">
        <v>1524</v>
      </c>
      <c r="D1063" s="16" t="s">
        <v>324</v>
      </c>
      <c r="E1063" s="16" t="s">
        <v>404</v>
      </c>
      <c r="F1063" s="16" t="s">
        <v>401</v>
      </c>
      <c r="G1063" s="16">
        <v>0.8</v>
      </c>
      <c r="H1063" s="16">
        <v>2705</v>
      </c>
      <c r="I1063" s="16">
        <v>113</v>
      </c>
      <c r="J1063" s="16">
        <v>112</v>
      </c>
      <c r="K1063" s="16">
        <v>-9.7118847088713094E-3</v>
      </c>
      <c r="L1063" s="16">
        <v>1.5254699681815699E-2</v>
      </c>
      <c r="M1063" s="16">
        <v>-0.63664869918404998</v>
      </c>
      <c r="N1063" s="16">
        <v>17.6858367726132</v>
      </c>
      <c r="O1063" s="16">
        <v>0.53250813403236597</v>
      </c>
      <c r="P1063" s="16"/>
      <c r="Q1063" s="16"/>
      <c r="R1063" s="16"/>
      <c r="S1063" s="16"/>
      <c r="T1063" s="16"/>
      <c r="U1063" s="16"/>
      <c r="V1063" s="16"/>
      <c r="W1063" s="16"/>
      <c r="X1063" s="16"/>
      <c r="Y1063" s="16"/>
      <c r="Z1063" s="16"/>
      <c r="AA1063" s="16"/>
      <c r="AB1063" s="16"/>
      <c r="AC1063" s="16"/>
      <c r="AD1063" s="16"/>
      <c r="AE1063" s="16"/>
      <c r="AF1063" s="16"/>
      <c r="AG1063" s="16"/>
      <c r="AH1063" s="16" t="s">
        <v>402</v>
      </c>
      <c r="AI1063" s="16"/>
      <c r="AJ1063" s="16" t="s">
        <v>1609</v>
      </c>
    </row>
    <row r="1064" spans="1:36" ht="15" customHeight="1" x14ac:dyDescent="0.3">
      <c r="A1064" s="16" t="s">
        <v>273</v>
      </c>
      <c r="B1064" s="16" t="s">
        <v>599</v>
      </c>
      <c r="C1064" s="16" t="s">
        <v>1524</v>
      </c>
      <c r="D1064" s="16" t="s">
        <v>324</v>
      </c>
      <c r="E1064" s="16" t="s">
        <v>404</v>
      </c>
      <c r="F1064" s="16" t="s">
        <v>401</v>
      </c>
      <c r="G1064" s="16">
        <v>0.8</v>
      </c>
      <c r="H1064" s="16">
        <v>2705</v>
      </c>
      <c r="I1064" s="16">
        <v>113</v>
      </c>
      <c r="J1064" s="16">
        <v>112</v>
      </c>
      <c r="K1064" s="16">
        <v>-1.01488562412991E-2</v>
      </c>
      <c r="L1064" s="16">
        <v>1.6619573950356101E-2</v>
      </c>
      <c r="M1064" s="16">
        <v>-0.610656823791905</v>
      </c>
      <c r="N1064" s="16">
        <v>14.534645416979901</v>
      </c>
      <c r="O1064" s="16">
        <v>0.55085714286671705</v>
      </c>
      <c r="P1064" s="16"/>
      <c r="Q1064" s="16"/>
      <c r="R1064" s="16"/>
      <c r="S1064" s="16"/>
      <c r="T1064" s="16"/>
      <c r="U1064" s="16"/>
      <c r="V1064" s="16"/>
      <c r="W1064" s="16"/>
      <c r="X1064" s="16"/>
      <c r="Y1064" s="16"/>
      <c r="Z1064" s="16"/>
      <c r="AA1064" s="16"/>
      <c r="AB1064" s="16"/>
      <c r="AC1064" s="16"/>
      <c r="AD1064" s="16"/>
      <c r="AE1064" s="16"/>
      <c r="AF1064" s="16"/>
      <c r="AG1064" s="16"/>
      <c r="AH1064" s="16" t="s">
        <v>402</v>
      </c>
      <c r="AI1064" s="16"/>
      <c r="AJ1064" s="16" t="s">
        <v>1610</v>
      </c>
    </row>
    <row r="1065" spans="1:36" ht="15" customHeight="1" x14ac:dyDescent="0.3">
      <c r="A1065" s="16" t="s">
        <v>273</v>
      </c>
      <c r="B1065" s="16" t="s">
        <v>601</v>
      </c>
      <c r="C1065" s="16" t="s">
        <v>1524</v>
      </c>
      <c r="D1065" s="16" t="s">
        <v>324</v>
      </c>
      <c r="E1065" s="16" t="s">
        <v>404</v>
      </c>
      <c r="F1065" s="16" t="s">
        <v>401</v>
      </c>
      <c r="G1065" s="16">
        <v>0.8</v>
      </c>
      <c r="H1065" s="16">
        <v>2705</v>
      </c>
      <c r="I1065" s="16">
        <v>113</v>
      </c>
      <c r="J1065" s="16">
        <v>112</v>
      </c>
      <c r="K1065" s="16">
        <v>4.4981787031132901E-3</v>
      </c>
      <c r="L1065" s="16">
        <v>9.3667215482176394E-3</v>
      </c>
      <c r="M1065" s="16">
        <v>0.48022978797413202</v>
      </c>
      <c r="N1065" s="16">
        <v>42.383542878807198</v>
      </c>
      <c r="O1065" s="16">
        <v>0.633533378995776</v>
      </c>
      <c r="P1065" s="16"/>
      <c r="Q1065" s="16"/>
      <c r="R1065" s="16"/>
      <c r="S1065" s="16"/>
      <c r="T1065" s="16"/>
      <c r="U1065" s="16"/>
      <c r="V1065" s="16"/>
      <c r="W1065" s="16"/>
      <c r="X1065" s="16"/>
      <c r="Y1065" s="16"/>
      <c r="Z1065" s="16"/>
      <c r="AA1065" s="16"/>
      <c r="AB1065" s="16"/>
      <c r="AC1065" s="16"/>
      <c r="AD1065" s="16"/>
      <c r="AE1065" s="16"/>
      <c r="AF1065" s="16"/>
      <c r="AG1065" s="16"/>
      <c r="AH1065" s="16" t="s">
        <v>402</v>
      </c>
      <c r="AI1065" s="16"/>
      <c r="AJ1065" s="16" t="s">
        <v>1611</v>
      </c>
    </row>
    <row r="1066" spans="1:36" ht="15" customHeight="1" x14ac:dyDescent="0.3">
      <c r="A1066" s="16" t="s">
        <v>273</v>
      </c>
      <c r="B1066" s="16" t="s">
        <v>603</v>
      </c>
      <c r="C1066" s="16" t="s">
        <v>1524</v>
      </c>
      <c r="D1066" s="16" t="s">
        <v>324</v>
      </c>
      <c r="E1066" s="16" t="s">
        <v>404</v>
      </c>
      <c r="F1066" s="16" t="s">
        <v>401</v>
      </c>
      <c r="G1066" s="16">
        <v>0.8</v>
      </c>
      <c r="H1066" s="16">
        <v>2705</v>
      </c>
      <c r="I1066" s="16">
        <v>113</v>
      </c>
      <c r="J1066" s="16">
        <v>112</v>
      </c>
      <c r="K1066" s="16">
        <v>1.6011694299648899E-2</v>
      </c>
      <c r="L1066" s="16">
        <v>9.1778050400982102E-3</v>
      </c>
      <c r="M1066" s="16">
        <v>1.7446104193424401</v>
      </c>
      <c r="N1066" s="16">
        <v>56.844622347761401</v>
      </c>
      <c r="O1066" s="16">
        <v>8.64574431350843E-2</v>
      </c>
      <c r="P1066" s="16"/>
      <c r="Q1066" s="16"/>
      <c r="R1066" s="16"/>
      <c r="S1066" s="16"/>
      <c r="T1066" s="16"/>
      <c r="U1066" s="16"/>
      <c r="V1066" s="16"/>
      <c r="W1066" s="16"/>
      <c r="X1066" s="16"/>
      <c r="Y1066" s="16"/>
      <c r="Z1066" s="16"/>
      <c r="AA1066" s="16"/>
      <c r="AB1066" s="16"/>
      <c r="AC1066" s="16"/>
      <c r="AD1066" s="16"/>
      <c r="AE1066" s="16"/>
      <c r="AF1066" s="16"/>
      <c r="AG1066" s="16"/>
      <c r="AH1066" s="16" t="s">
        <v>402</v>
      </c>
      <c r="AI1066" s="16"/>
      <c r="AJ1066" s="16" t="s">
        <v>1612</v>
      </c>
    </row>
    <row r="1067" spans="1:36" ht="15" customHeight="1" x14ac:dyDescent="0.3">
      <c r="A1067" s="16" t="s">
        <v>273</v>
      </c>
      <c r="B1067" s="16" t="s">
        <v>605</v>
      </c>
      <c r="C1067" s="16" t="s">
        <v>1524</v>
      </c>
      <c r="D1067" s="16" t="s">
        <v>324</v>
      </c>
      <c r="E1067" s="16" t="s">
        <v>404</v>
      </c>
      <c r="F1067" s="16" t="s">
        <v>401</v>
      </c>
      <c r="G1067" s="16">
        <v>0.8</v>
      </c>
      <c r="H1067" s="16">
        <v>2705</v>
      </c>
      <c r="I1067" s="16">
        <v>113</v>
      </c>
      <c r="J1067" s="16">
        <v>112</v>
      </c>
      <c r="K1067" s="16">
        <v>3.93346403371082E-3</v>
      </c>
      <c r="L1067" s="16">
        <v>9.1456955984385406E-3</v>
      </c>
      <c r="M1067" s="16">
        <v>0.43008910490989799</v>
      </c>
      <c r="N1067" s="16">
        <v>63.944358912778803</v>
      </c>
      <c r="O1067" s="16">
        <v>0.66857684262898598</v>
      </c>
      <c r="P1067" s="16"/>
      <c r="Q1067" s="16"/>
      <c r="R1067" s="16"/>
      <c r="S1067" s="16"/>
      <c r="T1067" s="16"/>
      <c r="U1067" s="16"/>
      <c r="V1067" s="16"/>
      <c r="W1067" s="16"/>
      <c r="X1067" s="16"/>
      <c r="Y1067" s="16"/>
      <c r="Z1067" s="16"/>
      <c r="AA1067" s="16"/>
      <c r="AB1067" s="16"/>
      <c r="AC1067" s="16"/>
      <c r="AD1067" s="16"/>
      <c r="AE1067" s="16"/>
      <c r="AF1067" s="16"/>
      <c r="AG1067" s="16"/>
      <c r="AH1067" s="16" t="s">
        <v>402</v>
      </c>
      <c r="AI1067" s="16"/>
      <c r="AJ1067" s="16" t="s">
        <v>1613</v>
      </c>
    </row>
    <row r="1068" spans="1:36" ht="15" customHeight="1" x14ac:dyDescent="0.3">
      <c r="A1068" s="16" t="s">
        <v>273</v>
      </c>
      <c r="B1068" s="16" t="s">
        <v>607</v>
      </c>
      <c r="C1068" s="16" t="s">
        <v>1524</v>
      </c>
      <c r="D1068" s="16" t="s">
        <v>324</v>
      </c>
      <c r="E1068" s="16" t="s">
        <v>404</v>
      </c>
      <c r="F1068" s="16" t="s">
        <v>401</v>
      </c>
      <c r="G1068" s="16">
        <v>0.8</v>
      </c>
      <c r="H1068" s="16">
        <v>929</v>
      </c>
      <c r="I1068" s="16">
        <v>40</v>
      </c>
      <c r="J1068" s="16">
        <v>40</v>
      </c>
      <c r="K1068" s="16">
        <v>-1.60312945761583E-2</v>
      </c>
      <c r="L1068" s="16">
        <v>1.8874791779677599E-2</v>
      </c>
      <c r="M1068" s="16">
        <v>-0.84934947962812002</v>
      </c>
      <c r="N1068" s="16">
        <v>23.457392511132898</v>
      </c>
      <c r="O1068" s="16">
        <v>0.40427215791139698</v>
      </c>
      <c r="P1068" s="16"/>
      <c r="Q1068" s="16"/>
      <c r="R1068" s="16"/>
      <c r="S1068" s="16"/>
      <c r="T1068" s="16"/>
      <c r="U1068" s="16"/>
      <c r="V1068" s="16"/>
      <c r="W1068" s="16"/>
      <c r="X1068" s="16"/>
      <c r="Y1068" s="16"/>
      <c r="Z1068" s="16"/>
      <c r="AA1068" s="16"/>
      <c r="AB1068" s="16"/>
      <c r="AC1068" s="16"/>
      <c r="AD1068" s="16"/>
      <c r="AE1068" s="16"/>
      <c r="AF1068" s="16"/>
      <c r="AG1068" s="16"/>
      <c r="AH1068" s="16" t="s">
        <v>402</v>
      </c>
      <c r="AI1068" s="16"/>
      <c r="AJ1068" s="16" t="s">
        <v>1614</v>
      </c>
    </row>
    <row r="1069" spans="1:36" ht="15" customHeight="1" x14ac:dyDescent="0.3">
      <c r="A1069" s="16" t="s">
        <v>273</v>
      </c>
      <c r="B1069" s="16" t="s">
        <v>609</v>
      </c>
      <c r="C1069" s="16" t="s">
        <v>1524</v>
      </c>
      <c r="D1069" s="16" t="s">
        <v>324</v>
      </c>
      <c r="E1069" s="16" t="s">
        <v>404</v>
      </c>
      <c r="F1069" s="16" t="s">
        <v>401</v>
      </c>
      <c r="G1069" s="16">
        <v>0.8</v>
      </c>
      <c r="H1069" s="16">
        <v>2607</v>
      </c>
      <c r="I1069" s="16">
        <v>110</v>
      </c>
      <c r="J1069" s="16">
        <v>109</v>
      </c>
      <c r="K1069" s="16">
        <v>5.9614899617196904E-3</v>
      </c>
      <c r="L1069" s="16">
        <v>1.9215404853651901E-2</v>
      </c>
      <c r="M1069" s="16">
        <v>0.31024534778858498</v>
      </c>
      <c r="N1069" s="16">
        <v>14.657072708168201</v>
      </c>
      <c r="O1069" s="16">
        <v>0.76074206763218299</v>
      </c>
      <c r="P1069" s="16"/>
      <c r="Q1069" s="16"/>
      <c r="R1069" s="16"/>
      <c r="S1069" s="16"/>
      <c r="T1069" s="16"/>
      <c r="U1069" s="16"/>
      <c r="V1069" s="16"/>
      <c r="W1069" s="16"/>
      <c r="X1069" s="16"/>
      <c r="Y1069" s="16"/>
      <c r="Z1069" s="16"/>
      <c r="AA1069" s="16"/>
      <c r="AB1069" s="16"/>
      <c r="AC1069" s="16"/>
      <c r="AD1069" s="16"/>
      <c r="AE1069" s="16"/>
      <c r="AF1069" s="16"/>
      <c r="AG1069" s="16"/>
      <c r="AH1069" s="16" t="s">
        <v>402</v>
      </c>
      <c r="AI1069" s="16"/>
      <c r="AJ1069" s="16" t="s">
        <v>1615</v>
      </c>
    </row>
    <row r="1070" spans="1:36" ht="15" customHeight="1" x14ac:dyDescent="0.3">
      <c r="A1070" s="16" t="s">
        <v>273</v>
      </c>
      <c r="B1070" s="16" t="s">
        <v>611</v>
      </c>
      <c r="C1070" s="16" t="s">
        <v>1524</v>
      </c>
      <c r="D1070" s="16" t="s">
        <v>324</v>
      </c>
      <c r="E1070" s="16" t="s">
        <v>404</v>
      </c>
      <c r="F1070" s="16" t="s">
        <v>401</v>
      </c>
      <c r="G1070" s="16">
        <v>0.8</v>
      </c>
      <c r="H1070" s="16">
        <v>2607</v>
      </c>
      <c r="I1070" s="16">
        <v>110</v>
      </c>
      <c r="J1070" s="16">
        <v>109</v>
      </c>
      <c r="K1070" s="16">
        <v>5.6310531092564897E-3</v>
      </c>
      <c r="L1070" s="16">
        <v>1.8892731314232501E-2</v>
      </c>
      <c r="M1070" s="16">
        <v>0.29805394548825398</v>
      </c>
      <c r="N1070" s="16">
        <v>12.0124509048095</v>
      </c>
      <c r="O1070" s="16">
        <v>0.77075436849480905</v>
      </c>
      <c r="P1070" s="16"/>
      <c r="Q1070" s="16"/>
      <c r="R1070" s="16"/>
      <c r="S1070" s="16"/>
      <c r="T1070" s="16"/>
      <c r="U1070" s="16"/>
      <c r="V1070" s="16"/>
      <c r="W1070" s="16"/>
      <c r="X1070" s="16"/>
      <c r="Y1070" s="16"/>
      <c r="Z1070" s="16"/>
      <c r="AA1070" s="16"/>
      <c r="AB1070" s="16"/>
      <c r="AC1070" s="16"/>
      <c r="AD1070" s="16"/>
      <c r="AE1070" s="16"/>
      <c r="AF1070" s="16"/>
      <c r="AG1070" s="16"/>
      <c r="AH1070" s="16" t="s">
        <v>402</v>
      </c>
      <c r="AI1070" s="16"/>
      <c r="AJ1070" s="16" t="s">
        <v>1616</v>
      </c>
    </row>
    <row r="1071" spans="1:36" ht="15" customHeight="1" x14ac:dyDescent="0.3">
      <c r="A1071" s="16" t="s">
        <v>273</v>
      </c>
      <c r="B1071" s="16" t="s">
        <v>613</v>
      </c>
      <c r="C1071" s="16" t="s">
        <v>1524</v>
      </c>
      <c r="D1071" s="16" t="s">
        <v>324</v>
      </c>
      <c r="E1071" s="16" t="s">
        <v>404</v>
      </c>
      <c r="F1071" s="16" t="s">
        <v>401</v>
      </c>
      <c r="G1071" s="16">
        <v>0.8</v>
      </c>
      <c r="H1071" s="16">
        <v>2607</v>
      </c>
      <c r="I1071" s="16">
        <v>110</v>
      </c>
      <c r="J1071" s="16">
        <v>109</v>
      </c>
      <c r="K1071" s="16">
        <v>-1.9216284608109101E-2</v>
      </c>
      <c r="L1071" s="16">
        <v>2.2023421696626602E-2</v>
      </c>
      <c r="M1071" s="16">
        <v>-0.87253855794136204</v>
      </c>
      <c r="N1071" s="16">
        <v>37.1732071876867</v>
      </c>
      <c r="O1071" s="16">
        <v>0.38851594899130198</v>
      </c>
      <c r="P1071" s="16"/>
      <c r="Q1071" s="16"/>
      <c r="R1071" s="16"/>
      <c r="S1071" s="16"/>
      <c r="T1071" s="16"/>
      <c r="U1071" s="16"/>
      <c r="V1071" s="16"/>
      <c r="W1071" s="16"/>
      <c r="X1071" s="16"/>
      <c r="Y1071" s="16"/>
      <c r="Z1071" s="16"/>
      <c r="AA1071" s="16"/>
      <c r="AB1071" s="16"/>
      <c r="AC1071" s="16"/>
      <c r="AD1071" s="16"/>
      <c r="AE1071" s="16"/>
      <c r="AF1071" s="16"/>
      <c r="AG1071" s="16"/>
      <c r="AH1071" s="16" t="s">
        <v>402</v>
      </c>
      <c r="AI1071" s="16"/>
      <c r="AJ1071" s="16" t="s">
        <v>1617</v>
      </c>
    </row>
    <row r="1072" spans="1:36" ht="15" customHeight="1" x14ac:dyDescent="0.3">
      <c r="A1072" s="16" t="s">
        <v>273</v>
      </c>
      <c r="B1072" s="16" t="s">
        <v>615</v>
      </c>
      <c r="C1072" s="16" t="s">
        <v>1524</v>
      </c>
      <c r="D1072" s="16" t="s">
        <v>324</v>
      </c>
      <c r="E1072" s="16" t="s">
        <v>404</v>
      </c>
      <c r="F1072" s="16" t="s">
        <v>401</v>
      </c>
      <c r="G1072" s="16">
        <v>0.8</v>
      </c>
      <c r="H1072" s="16">
        <v>2607</v>
      </c>
      <c r="I1072" s="16">
        <v>110</v>
      </c>
      <c r="J1072" s="16">
        <v>109</v>
      </c>
      <c r="K1072" s="16">
        <v>3.8466066032814602E-3</v>
      </c>
      <c r="L1072" s="16">
        <v>1.9221707702129699E-2</v>
      </c>
      <c r="M1072" s="16">
        <v>0.200117838794066</v>
      </c>
      <c r="N1072" s="16">
        <v>10.635168995893</v>
      </c>
      <c r="O1072" s="16">
        <v>0.84516349553649595</v>
      </c>
      <c r="P1072" s="16"/>
      <c r="Q1072" s="16"/>
      <c r="R1072" s="16"/>
      <c r="S1072" s="16"/>
      <c r="T1072" s="16"/>
      <c r="U1072" s="16"/>
      <c r="V1072" s="16"/>
      <c r="W1072" s="16"/>
      <c r="X1072" s="16"/>
      <c r="Y1072" s="16"/>
      <c r="Z1072" s="16"/>
      <c r="AA1072" s="16"/>
      <c r="AB1072" s="16"/>
      <c r="AC1072" s="16"/>
      <c r="AD1072" s="16"/>
      <c r="AE1072" s="16"/>
      <c r="AF1072" s="16"/>
      <c r="AG1072" s="16"/>
      <c r="AH1072" s="16" t="s">
        <v>402</v>
      </c>
      <c r="AI1072" s="16"/>
      <c r="AJ1072" s="16" t="s">
        <v>1618</v>
      </c>
    </row>
    <row r="1073" spans="1:36" ht="15" customHeight="1" x14ac:dyDescent="0.3">
      <c r="A1073" s="16" t="s">
        <v>273</v>
      </c>
      <c r="B1073" s="16" t="s">
        <v>617</v>
      </c>
      <c r="C1073" s="16" t="s">
        <v>1524</v>
      </c>
      <c r="D1073" s="16" t="s">
        <v>324</v>
      </c>
      <c r="E1073" s="16" t="s">
        <v>404</v>
      </c>
      <c r="F1073" s="16" t="s">
        <v>401</v>
      </c>
      <c r="G1073" s="16">
        <v>0.8</v>
      </c>
      <c r="H1073" s="16">
        <v>2607</v>
      </c>
      <c r="I1073" s="16">
        <v>110</v>
      </c>
      <c r="J1073" s="16">
        <v>109</v>
      </c>
      <c r="K1073" s="16">
        <v>-2.70650992136571E-3</v>
      </c>
      <c r="L1073" s="16">
        <v>2.30174437204872E-2</v>
      </c>
      <c r="M1073" s="16">
        <v>-0.11758516515701201</v>
      </c>
      <c r="N1073" s="16">
        <v>18.928103907089</v>
      </c>
      <c r="O1073" s="16">
        <v>0.90763514586956795</v>
      </c>
      <c r="P1073" s="16"/>
      <c r="Q1073" s="16"/>
      <c r="R1073" s="16"/>
      <c r="S1073" s="16"/>
      <c r="T1073" s="16"/>
      <c r="U1073" s="16"/>
      <c r="V1073" s="16"/>
      <c r="W1073" s="16"/>
      <c r="X1073" s="16"/>
      <c r="Y1073" s="16"/>
      <c r="Z1073" s="16"/>
      <c r="AA1073" s="16"/>
      <c r="AB1073" s="16"/>
      <c r="AC1073" s="16"/>
      <c r="AD1073" s="16"/>
      <c r="AE1073" s="16"/>
      <c r="AF1073" s="16"/>
      <c r="AG1073" s="16"/>
      <c r="AH1073" s="16" t="s">
        <v>402</v>
      </c>
      <c r="AI1073" s="16"/>
      <c r="AJ1073" s="16" t="s">
        <v>1619</v>
      </c>
    </row>
    <row r="1074" spans="1:36" ht="15" customHeight="1" x14ac:dyDescent="0.3">
      <c r="A1074" s="16" t="s">
        <v>273</v>
      </c>
      <c r="B1074" s="16" t="s">
        <v>619</v>
      </c>
      <c r="C1074" s="16" t="s">
        <v>1524</v>
      </c>
      <c r="D1074" s="16" t="s">
        <v>324</v>
      </c>
      <c r="E1074" s="16" t="s">
        <v>404</v>
      </c>
      <c r="F1074" s="16" t="s">
        <v>401</v>
      </c>
      <c r="G1074" s="16">
        <v>0.8</v>
      </c>
      <c r="H1074" s="16">
        <v>2607</v>
      </c>
      <c r="I1074" s="16">
        <v>110</v>
      </c>
      <c r="J1074" s="16">
        <v>109</v>
      </c>
      <c r="K1074" s="16">
        <v>-2.4940866733380702E-3</v>
      </c>
      <c r="L1074" s="16">
        <v>2.3620943432733198E-2</v>
      </c>
      <c r="M1074" s="16">
        <v>-0.10558793641924701</v>
      </c>
      <c r="N1074" s="16">
        <v>15.548663654482899</v>
      </c>
      <c r="O1074" s="16">
        <v>0.91725946726359497</v>
      </c>
      <c r="P1074" s="16"/>
      <c r="Q1074" s="16"/>
      <c r="R1074" s="16"/>
      <c r="S1074" s="16"/>
      <c r="T1074" s="16"/>
      <c r="U1074" s="16"/>
      <c r="V1074" s="16"/>
      <c r="W1074" s="16"/>
      <c r="X1074" s="16"/>
      <c r="Y1074" s="16"/>
      <c r="Z1074" s="16"/>
      <c r="AA1074" s="16"/>
      <c r="AB1074" s="16"/>
      <c r="AC1074" s="16"/>
      <c r="AD1074" s="16"/>
      <c r="AE1074" s="16"/>
      <c r="AF1074" s="16"/>
      <c r="AG1074" s="16"/>
      <c r="AH1074" s="16" t="s">
        <v>402</v>
      </c>
      <c r="AI1074" s="16"/>
      <c r="AJ1074" s="16" t="s">
        <v>1620</v>
      </c>
    </row>
    <row r="1075" spans="1:36" ht="15" customHeight="1" x14ac:dyDescent="0.3">
      <c r="A1075" s="16" t="s">
        <v>273</v>
      </c>
      <c r="B1075" s="16" t="s">
        <v>621</v>
      </c>
      <c r="C1075" s="16" t="s">
        <v>1524</v>
      </c>
      <c r="D1075" s="16" t="s">
        <v>324</v>
      </c>
      <c r="E1075" s="16" t="s">
        <v>404</v>
      </c>
      <c r="F1075" s="16" t="s">
        <v>401</v>
      </c>
      <c r="G1075" s="16">
        <v>0.8</v>
      </c>
      <c r="H1075" s="16">
        <v>2607</v>
      </c>
      <c r="I1075" s="16">
        <v>110</v>
      </c>
      <c r="J1075" s="16">
        <v>109</v>
      </c>
      <c r="K1075" s="16">
        <v>-1.3818570865317001E-2</v>
      </c>
      <c r="L1075" s="16">
        <v>2.25234595308372E-2</v>
      </c>
      <c r="M1075" s="16">
        <v>-0.61351902208440801</v>
      </c>
      <c r="N1075" s="16">
        <v>16.4270268385309</v>
      </c>
      <c r="O1075" s="16">
        <v>0.54793527391846797</v>
      </c>
      <c r="P1075" s="16"/>
      <c r="Q1075" s="16"/>
      <c r="R1075" s="16"/>
      <c r="S1075" s="16"/>
      <c r="T1075" s="16"/>
      <c r="U1075" s="16"/>
      <c r="V1075" s="16"/>
      <c r="W1075" s="16"/>
      <c r="X1075" s="16"/>
      <c r="Y1075" s="16"/>
      <c r="Z1075" s="16"/>
      <c r="AA1075" s="16"/>
      <c r="AB1075" s="16"/>
      <c r="AC1075" s="16"/>
      <c r="AD1075" s="16"/>
      <c r="AE1075" s="16"/>
      <c r="AF1075" s="16"/>
      <c r="AG1075" s="16"/>
      <c r="AH1075" s="16" t="s">
        <v>402</v>
      </c>
      <c r="AI1075" s="16"/>
      <c r="AJ1075" s="16" t="s">
        <v>1621</v>
      </c>
    </row>
    <row r="1076" spans="1:36" ht="15" customHeight="1" x14ac:dyDescent="0.3">
      <c r="A1076" s="16" t="s">
        <v>273</v>
      </c>
      <c r="B1076" s="16" t="s">
        <v>623</v>
      </c>
      <c r="C1076" s="16" t="s">
        <v>1524</v>
      </c>
      <c r="D1076" s="16" t="s">
        <v>324</v>
      </c>
      <c r="E1076" s="16" t="s">
        <v>404</v>
      </c>
      <c r="F1076" s="16" t="s">
        <v>401</v>
      </c>
      <c r="G1076" s="16">
        <v>0.8</v>
      </c>
      <c r="H1076" s="16">
        <v>2607</v>
      </c>
      <c r="I1076" s="16">
        <v>110</v>
      </c>
      <c r="J1076" s="16">
        <v>109</v>
      </c>
      <c r="K1076" s="16">
        <v>3.5094370296318497E-2</v>
      </c>
      <c r="L1076" s="16">
        <v>2.7579524186605999E-2</v>
      </c>
      <c r="M1076" s="16">
        <v>1.2724791790774299</v>
      </c>
      <c r="N1076" s="16">
        <v>20.499613673711401</v>
      </c>
      <c r="O1076" s="16">
        <v>0.21744726890198701</v>
      </c>
      <c r="P1076" s="16"/>
      <c r="Q1076" s="16"/>
      <c r="R1076" s="16"/>
      <c r="S1076" s="16"/>
      <c r="T1076" s="16"/>
      <c r="U1076" s="16"/>
      <c r="V1076" s="16"/>
      <c r="W1076" s="16"/>
      <c r="X1076" s="16"/>
      <c r="Y1076" s="16"/>
      <c r="Z1076" s="16"/>
      <c r="AA1076" s="16"/>
      <c r="AB1076" s="16"/>
      <c r="AC1076" s="16"/>
      <c r="AD1076" s="16"/>
      <c r="AE1076" s="16"/>
      <c r="AF1076" s="16"/>
      <c r="AG1076" s="16"/>
      <c r="AH1076" s="16" t="s">
        <v>402</v>
      </c>
      <c r="AI1076" s="16"/>
      <c r="AJ1076" s="16" t="s">
        <v>1622</v>
      </c>
    </row>
    <row r="1077" spans="1:36" ht="15" customHeight="1" x14ac:dyDescent="0.3">
      <c r="A1077" s="16" t="s">
        <v>273</v>
      </c>
      <c r="B1077" s="16" t="s">
        <v>625</v>
      </c>
      <c r="C1077" s="16" t="s">
        <v>1524</v>
      </c>
      <c r="D1077" s="16" t="s">
        <v>324</v>
      </c>
      <c r="E1077" s="16" t="s">
        <v>404</v>
      </c>
      <c r="F1077" s="16" t="s">
        <v>401</v>
      </c>
      <c r="G1077" s="16">
        <v>0.8</v>
      </c>
      <c r="H1077" s="16">
        <v>2607</v>
      </c>
      <c r="I1077" s="16">
        <v>110</v>
      </c>
      <c r="J1077" s="16">
        <v>109</v>
      </c>
      <c r="K1077" s="16">
        <v>1.68864926828621E-2</v>
      </c>
      <c r="L1077" s="16">
        <v>2.28593986240548E-2</v>
      </c>
      <c r="M1077" s="16">
        <v>0.73871115161763501</v>
      </c>
      <c r="N1077" s="16">
        <v>21.180626608788501</v>
      </c>
      <c r="O1077" s="16">
        <v>0.46818993974982798</v>
      </c>
      <c r="P1077" s="16"/>
      <c r="Q1077" s="16"/>
      <c r="R1077" s="16"/>
      <c r="S1077" s="16"/>
      <c r="T1077" s="16"/>
      <c r="U1077" s="16"/>
      <c r="V1077" s="16"/>
      <c r="W1077" s="16"/>
      <c r="X1077" s="16"/>
      <c r="Y1077" s="16"/>
      <c r="Z1077" s="16"/>
      <c r="AA1077" s="16"/>
      <c r="AB1077" s="16"/>
      <c r="AC1077" s="16"/>
      <c r="AD1077" s="16"/>
      <c r="AE1077" s="16"/>
      <c r="AF1077" s="16"/>
      <c r="AG1077" s="16"/>
      <c r="AH1077" s="16" t="s">
        <v>402</v>
      </c>
      <c r="AI1077" s="16"/>
      <c r="AJ1077" s="16" t="s">
        <v>1623</v>
      </c>
    </row>
    <row r="1078" spans="1:36" ht="15" customHeight="1" x14ac:dyDescent="0.3">
      <c r="A1078" s="16" t="s">
        <v>273</v>
      </c>
      <c r="B1078" s="16" t="s">
        <v>627</v>
      </c>
      <c r="C1078" s="16" t="s">
        <v>1524</v>
      </c>
      <c r="D1078" s="16" t="s">
        <v>324</v>
      </c>
      <c r="E1078" s="16" t="s">
        <v>404</v>
      </c>
      <c r="F1078" s="16" t="s">
        <v>401</v>
      </c>
      <c r="G1078" s="16">
        <v>0.8</v>
      </c>
      <c r="H1078" s="16">
        <v>905</v>
      </c>
      <c r="I1078" s="16">
        <v>38</v>
      </c>
      <c r="J1078" s="16">
        <v>38</v>
      </c>
      <c r="K1078" s="16">
        <v>-1.7946908831983101E-2</v>
      </c>
      <c r="L1078" s="16">
        <v>1.7385831121577901E-2</v>
      </c>
      <c r="M1078" s="16">
        <v>-1.0322721247251101</v>
      </c>
      <c r="N1078" s="16">
        <v>22.960114731024401</v>
      </c>
      <c r="O1078" s="16">
        <v>0.31269623203431302</v>
      </c>
      <c r="P1078" s="16"/>
      <c r="Q1078" s="16"/>
      <c r="R1078" s="16"/>
      <c r="S1078" s="16"/>
      <c r="T1078" s="16"/>
      <c r="U1078" s="16"/>
      <c r="V1078" s="16"/>
      <c r="W1078" s="16"/>
      <c r="X1078" s="16"/>
      <c r="Y1078" s="16"/>
      <c r="Z1078" s="16"/>
      <c r="AA1078" s="16"/>
      <c r="AB1078" s="16"/>
      <c r="AC1078" s="16"/>
      <c r="AD1078" s="16"/>
      <c r="AE1078" s="16"/>
      <c r="AF1078" s="16"/>
      <c r="AG1078" s="16"/>
      <c r="AH1078" s="16" t="s">
        <v>402</v>
      </c>
      <c r="AI1078" s="16"/>
      <c r="AJ1078" s="16" t="s">
        <v>1624</v>
      </c>
    </row>
    <row r="1079" spans="1:36" ht="15" customHeight="1" x14ac:dyDescent="0.3">
      <c r="A1079" s="16" t="s">
        <v>273</v>
      </c>
      <c r="B1079" s="16" t="s">
        <v>629</v>
      </c>
      <c r="C1079" s="16" t="s">
        <v>1524</v>
      </c>
      <c r="D1079" s="16" t="s">
        <v>324</v>
      </c>
      <c r="E1079" s="16" t="s">
        <v>404</v>
      </c>
      <c r="F1079" s="16" t="s">
        <v>401</v>
      </c>
      <c r="G1079" s="16">
        <v>0.8</v>
      </c>
      <c r="H1079" s="16">
        <v>2594</v>
      </c>
      <c r="I1079" s="16">
        <v>110</v>
      </c>
      <c r="J1079" s="16">
        <v>109</v>
      </c>
      <c r="K1079" s="16">
        <v>-1.8009208285509701E-2</v>
      </c>
      <c r="L1079" s="16">
        <v>1.08991669791956E-2</v>
      </c>
      <c r="M1079" s="16">
        <v>-1.65234722248826</v>
      </c>
      <c r="N1079" s="16">
        <v>40.034355599052297</v>
      </c>
      <c r="O1079" s="16">
        <v>0.106286649617937</v>
      </c>
      <c r="P1079" s="16"/>
      <c r="Q1079" s="16"/>
      <c r="R1079" s="16"/>
      <c r="S1079" s="16"/>
      <c r="T1079" s="16"/>
      <c r="U1079" s="16"/>
      <c r="V1079" s="16"/>
      <c r="W1079" s="16"/>
      <c r="X1079" s="16"/>
      <c r="Y1079" s="16"/>
      <c r="Z1079" s="16"/>
      <c r="AA1079" s="16"/>
      <c r="AB1079" s="16"/>
      <c r="AC1079" s="16"/>
      <c r="AD1079" s="16"/>
      <c r="AE1079" s="16"/>
      <c r="AF1079" s="16"/>
      <c r="AG1079" s="16"/>
      <c r="AH1079" s="16" t="s">
        <v>402</v>
      </c>
      <c r="AI1079" s="16"/>
      <c r="AJ1079" s="16" t="s">
        <v>1625</v>
      </c>
    </row>
    <row r="1080" spans="1:36" ht="15" customHeight="1" x14ac:dyDescent="0.3">
      <c r="A1080" s="16" t="s">
        <v>273</v>
      </c>
      <c r="B1080" s="16" t="s">
        <v>631</v>
      </c>
      <c r="C1080" s="16" t="s">
        <v>1524</v>
      </c>
      <c r="D1080" s="16" t="s">
        <v>324</v>
      </c>
      <c r="E1080" s="16" t="s">
        <v>404</v>
      </c>
      <c r="F1080" s="16" t="s">
        <v>401</v>
      </c>
      <c r="G1080" s="16">
        <v>0.8</v>
      </c>
      <c r="H1080" s="16">
        <v>2594</v>
      </c>
      <c r="I1080" s="16">
        <v>110</v>
      </c>
      <c r="J1080" s="16">
        <v>109</v>
      </c>
      <c r="K1080" s="16">
        <v>-1.7009061970146001E-2</v>
      </c>
      <c r="L1080" s="16">
        <v>1.15165136660801E-2</v>
      </c>
      <c r="M1080" s="16">
        <v>-1.4769280411869199</v>
      </c>
      <c r="N1080" s="16">
        <v>30.2412786057731</v>
      </c>
      <c r="O1080" s="16">
        <v>0.15003382484483899</v>
      </c>
      <c r="P1080" s="16"/>
      <c r="Q1080" s="16"/>
      <c r="R1080" s="16"/>
      <c r="S1080" s="16"/>
      <c r="T1080" s="16"/>
      <c r="U1080" s="16"/>
      <c r="V1080" s="16"/>
      <c r="W1080" s="16"/>
      <c r="X1080" s="16"/>
      <c r="Y1080" s="16"/>
      <c r="Z1080" s="16"/>
      <c r="AA1080" s="16"/>
      <c r="AB1080" s="16"/>
      <c r="AC1080" s="16"/>
      <c r="AD1080" s="16"/>
      <c r="AE1080" s="16"/>
      <c r="AF1080" s="16"/>
      <c r="AG1080" s="16"/>
      <c r="AH1080" s="16" t="s">
        <v>402</v>
      </c>
      <c r="AI1080" s="16"/>
      <c r="AJ1080" s="16" t="s">
        <v>1626</v>
      </c>
    </row>
    <row r="1081" spans="1:36" ht="15" customHeight="1" x14ac:dyDescent="0.3">
      <c r="A1081" s="16" t="s">
        <v>273</v>
      </c>
      <c r="B1081" s="16" t="s">
        <v>633</v>
      </c>
      <c r="C1081" s="16" t="s">
        <v>1524</v>
      </c>
      <c r="D1081" s="16" t="s">
        <v>324</v>
      </c>
      <c r="E1081" s="16" t="s">
        <v>404</v>
      </c>
      <c r="F1081" s="16" t="s">
        <v>401</v>
      </c>
      <c r="G1081" s="16">
        <v>0.8</v>
      </c>
      <c r="H1081" s="16">
        <v>2594</v>
      </c>
      <c r="I1081" s="16">
        <v>110</v>
      </c>
      <c r="J1081" s="16">
        <v>109</v>
      </c>
      <c r="K1081" s="16">
        <v>-4.5584652886446902E-4</v>
      </c>
      <c r="L1081" s="16">
        <v>1.1637504475027901E-2</v>
      </c>
      <c r="M1081" s="16">
        <v>-3.9170470769110101E-2</v>
      </c>
      <c r="N1081" s="16">
        <v>30.837620248734599</v>
      </c>
      <c r="O1081" s="16">
        <v>0.96900697218382403</v>
      </c>
      <c r="P1081" s="16"/>
      <c r="Q1081" s="16"/>
      <c r="R1081" s="16"/>
      <c r="S1081" s="16"/>
      <c r="T1081" s="16"/>
      <c r="U1081" s="16"/>
      <c r="V1081" s="16"/>
      <c r="W1081" s="16"/>
      <c r="X1081" s="16"/>
      <c r="Y1081" s="16"/>
      <c r="Z1081" s="16"/>
      <c r="AA1081" s="16"/>
      <c r="AB1081" s="16"/>
      <c r="AC1081" s="16"/>
      <c r="AD1081" s="16"/>
      <c r="AE1081" s="16"/>
      <c r="AF1081" s="16"/>
      <c r="AG1081" s="16"/>
      <c r="AH1081" s="16" t="s">
        <v>402</v>
      </c>
      <c r="AI1081" s="16"/>
      <c r="AJ1081" s="16" t="s">
        <v>1627</v>
      </c>
    </row>
    <row r="1082" spans="1:36" ht="15" customHeight="1" x14ac:dyDescent="0.3">
      <c r="A1082" s="16" t="s">
        <v>273</v>
      </c>
      <c r="B1082" s="16" t="s">
        <v>635</v>
      </c>
      <c r="C1082" s="16" t="s">
        <v>1524</v>
      </c>
      <c r="D1082" s="16" t="s">
        <v>324</v>
      </c>
      <c r="E1082" s="16" t="s">
        <v>404</v>
      </c>
      <c r="F1082" s="16" t="s">
        <v>401</v>
      </c>
      <c r="G1082" s="16">
        <v>0.8</v>
      </c>
      <c r="H1082" s="16">
        <v>2594</v>
      </c>
      <c r="I1082" s="16">
        <v>110</v>
      </c>
      <c r="J1082" s="16">
        <v>109</v>
      </c>
      <c r="K1082" s="16">
        <v>-1.7405189759076602E-2</v>
      </c>
      <c r="L1082" s="16">
        <v>1.20091554218887E-2</v>
      </c>
      <c r="M1082" s="16">
        <v>-1.4493267134633501</v>
      </c>
      <c r="N1082" s="16">
        <v>26.364673245565001</v>
      </c>
      <c r="O1082" s="16">
        <v>0.15903790500981499</v>
      </c>
      <c r="P1082" s="16"/>
      <c r="Q1082" s="16"/>
      <c r="R1082" s="16"/>
      <c r="S1082" s="16"/>
      <c r="T1082" s="16"/>
      <c r="U1082" s="16"/>
      <c r="V1082" s="16"/>
      <c r="W1082" s="16"/>
      <c r="X1082" s="16"/>
      <c r="Y1082" s="16"/>
      <c r="Z1082" s="16"/>
      <c r="AA1082" s="16"/>
      <c r="AB1082" s="16"/>
      <c r="AC1082" s="16"/>
      <c r="AD1082" s="16"/>
      <c r="AE1082" s="16"/>
      <c r="AF1082" s="16"/>
      <c r="AG1082" s="16"/>
      <c r="AH1082" s="16" t="s">
        <v>402</v>
      </c>
      <c r="AI1082" s="16"/>
      <c r="AJ1082" s="16" t="s">
        <v>1628</v>
      </c>
    </row>
    <row r="1083" spans="1:36" ht="15" customHeight="1" x14ac:dyDescent="0.3">
      <c r="A1083" s="16" t="s">
        <v>273</v>
      </c>
      <c r="B1083" s="16" t="s">
        <v>637</v>
      </c>
      <c r="C1083" s="16" t="s">
        <v>1524</v>
      </c>
      <c r="D1083" s="16" t="s">
        <v>324</v>
      </c>
      <c r="E1083" s="16" t="s">
        <v>404</v>
      </c>
      <c r="F1083" s="16" t="s">
        <v>401</v>
      </c>
      <c r="G1083" s="16">
        <v>0.8</v>
      </c>
      <c r="H1083" s="16">
        <v>2594</v>
      </c>
      <c r="I1083" s="16">
        <v>110</v>
      </c>
      <c r="J1083" s="16">
        <v>109</v>
      </c>
      <c r="K1083" s="16">
        <v>-1.89952399216822E-2</v>
      </c>
      <c r="L1083" s="16">
        <v>1.4898690151094201E-2</v>
      </c>
      <c r="M1083" s="16">
        <v>-1.27496039779626</v>
      </c>
      <c r="N1083" s="16">
        <v>17.7608231843586</v>
      </c>
      <c r="O1083" s="16">
        <v>0.21875024761746001</v>
      </c>
      <c r="P1083" s="16"/>
      <c r="Q1083" s="16"/>
      <c r="R1083" s="16"/>
      <c r="S1083" s="16"/>
      <c r="T1083" s="16"/>
      <c r="U1083" s="16"/>
      <c r="V1083" s="16"/>
      <c r="W1083" s="16"/>
      <c r="X1083" s="16"/>
      <c r="Y1083" s="16"/>
      <c r="Z1083" s="16"/>
      <c r="AA1083" s="16"/>
      <c r="AB1083" s="16"/>
      <c r="AC1083" s="16"/>
      <c r="AD1083" s="16"/>
      <c r="AE1083" s="16"/>
      <c r="AF1083" s="16"/>
      <c r="AG1083" s="16"/>
      <c r="AH1083" s="16" t="s">
        <v>402</v>
      </c>
      <c r="AI1083" s="16"/>
      <c r="AJ1083" s="16" t="s">
        <v>1629</v>
      </c>
    </row>
    <row r="1084" spans="1:36" ht="15" customHeight="1" x14ac:dyDescent="0.3">
      <c r="A1084" s="16" t="s">
        <v>273</v>
      </c>
      <c r="B1084" s="16" t="s">
        <v>639</v>
      </c>
      <c r="C1084" s="16" t="s">
        <v>1524</v>
      </c>
      <c r="D1084" s="16" t="s">
        <v>324</v>
      </c>
      <c r="E1084" s="16" t="s">
        <v>404</v>
      </c>
      <c r="F1084" s="16" t="s">
        <v>401</v>
      </c>
      <c r="G1084" s="16">
        <v>0.8</v>
      </c>
      <c r="H1084" s="16">
        <v>2594</v>
      </c>
      <c r="I1084" s="16">
        <v>110</v>
      </c>
      <c r="J1084" s="16">
        <v>109</v>
      </c>
      <c r="K1084" s="16">
        <v>-2.0087165758519199E-2</v>
      </c>
      <c r="L1084" s="16">
        <v>1.60693234815113E-2</v>
      </c>
      <c r="M1084" s="16">
        <v>-1.25003182502553</v>
      </c>
      <c r="N1084" s="16">
        <v>14.5714520270653</v>
      </c>
      <c r="O1084" s="16">
        <v>0.230991843635417</v>
      </c>
      <c r="P1084" s="16"/>
      <c r="Q1084" s="16"/>
      <c r="R1084" s="16"/>
      <c r="S1084" s="16"/>
      <c r="T1084" s="16"/>
      <c r="U1084" s="16"/>
      <c r="V1084" s="16"/>
      <c r="W1084" s="16"/>
      <c r="X1084" s="16"/>
      <c r="Y1084" s="16"/>
      <c r="Z1084" s="16"/>
      <c r="AA1084" s="16"/>
      <c r="AB1084" s="16"/>
      <c r="AC1084" s="16"/>
      <c r="AD1084" s="16"/>
      <c r="AE1084" s="16"/>
      <c r="AF1084" s="16"/>
      <c r="AG1084" s="16"/>
      <c r="AH1084" s="16" t="s">
        <v>402</v>
      </c>
      <c r="AI1084" s="16"/>
      <c r="AJ1084" s="16" t="s">
        <v>1630</v>
      </c>
    </row>
    <row r="1085" spans="1:36" ht="15" customHeight="1" x14ac:dyDescent="0.3">
      <c r="A1085" s="16" t="s">
        <v>273</v>
      </c>
      <c r="B1085" s="16" t="s">
        <v>641</v>
      </c>
      <c r="C1085" s="16" t="s">
        <v>1524</v>
      </c>
      <c r="D1085" s="16" t="s">
        <v>324</v>
      </c>
      <c r="E1085" s="16" t="s">
        <v>404</v>
      </c>
      <c r="F1085" s="16" t="s">
        <v>401</v>
      </c>
      <c r="G1085" s="16">
        <v>0.8</v>
      </c>
      <c r="H1085" s="16">
        <v>2594</v>
      </c>
      <c r="I1085" s="16">
        <v>110</v>
      </c>
      <c r="J1085" s="16">
        <v>109</v>
      </c>
      <c r="K1085" s="16">
        <v>-3.4611519867363402E-3</v>
      </c>
      <c r="L1085" s="16">
        <v>1.0166878125870599E-2</v>
      </c>
      <c r="M1085" s="16">
        <v>-0.34043409824389598</v>
      </c>
      <c r="N1085" s="16">
        <v>41.920842995884399</v>
      </c>
      <c r="O1085" s="16">
        <v>0.73522977985535898</v>
      </c>
      <c r="P1085" s="16"/>
      <c r="Q1085" s="16"/>
      <c r="R1085" s="16"/>
      <c r="S1085" s="16"/>
      <c r="T1085" s="16"/>
      <c r="U1085" s="16"/>
      <c r="V1085" s="16"/>
      <c r="W1085" s="16"/>
      <c r="X1085" s="16"/>
      <c r="Y1085" s="16"/>
      <c r="Z1085" s="16"/>
      <c r="AA1085" s="16"/>
      <c r="AB1085" s="16"/>
      <c r="AC1085" s="16"/>
      <c r="AD1085" s="16"/>
      <c r="AE1085" s="16"/>
      <c r="AF1085" s="16"/>
      <c r="AG1085" s="16"/>
      <c r="AH1085" s="16" t="s">
        <v>402</v>
      </c>
      <c r="AI1085" s="16"/>
      <c r="AJ1085" s="16" t="s">
        <v>1631</v>
      </c>
    </row>
    <row r="1086" spans="1:36" ht="15" customHeight="1" x14ac:dyDescent="0.3">
      <c r="A1086" s="16" t="s">
        <v>273</v>
      </c>
      <c r="B1086" s="16" t="s">
        <v>643</v>
      </c>
      <c r="C1086" s="16" t="s">
        <v>1524</v>
      </c>
      <c r="D1086" s="16" t="s">
        <v>324</v>
      </c>
      <c r="E1086" s="16" t="s">
        <v>404</v>
      </c>
      <c r="F1086" s="16" t="s">
        <v>401</v>
      </c>
      <c r="G1086" s="16">
        <v>0.8</v>
      </c>
      <c r="H1086" s="16">
        <v>2594</v>
      </c>
      <c r="I1086" s="16">
        <v>110</v>
      </c>
      <c r="J1086" s="16">
        <v>109</v>
      </c>
      <c r="K1086" s="16">
        <v>5.9575238762495696E-3</v>
      </c>
      <c r="L1086" s="16">
        <v>9.5532373770015108E-3</v>
      </c>
      <c r="M1086" s="16">
        <v>0.62361308958905703</v>
      </c>
      <c r="N1086" s="16">
        <v>57.3032083176032</v>
      </c>
      <c r="O1086" s="16">
        <v>0.53535626539880099</v>
      </c>
      <c r="P1086" s="16"/>
      <c r="Q1086" s="16"/>
      <c r="R1086" s="16"/>
      <c r="S1086" s="16"/>
      <c r="T1086" s="16"/>
      <c r="U1086" s="16"/>
      <c r="V1086" s="16"/>
      <c r="W1086" s="16"/>
      <c r="X1086" s="16"/>
      <c r="Y1086" s="16"/>
      <c r="Z1086" s="16"/>
      <c r="AA1086" s="16"/>
      <c r="AB1086" s="16"/>
      <c r="AC1086" s="16"/>
      <c r="AD1086" s="16"/>
      <c r="AE1086" s="16"/>
      <c r="AF1086" s="16"/>
      <c r="AG1086" s="16"/>
      <c r="AH1086" s="16" t="s">
        <v>402</v>
      </c>
      <c r="AI1086" s="16"/>
      <c r="AJ1086" s="16" t="s">
        <v>1632</v>
      </c>
    </row>
    <row r="1087" spans="1:36" ht="15" customHeight="1" x14ac:dyDescent="0.3">
      <c r="A1087" s="16" t="s">
        <v>273</v>
      </c>
      <c r="B1087" s="16" t="s">
        <v>645</v>
      </c>
      <c r="C1087" s="16" t="s">
        <v>1524</v>
      </c>
      <c r="D1087" s="16" t="s">
        <v>324</v>
      </c>
      <c r="E1087" s="16" t="s">
        <v>404</v>
      </c>
      <c r="F1087" s="16" t="s">
        <v>401</v>
      </c>
      <c r="G1087" s="16">
        <v>0.8</v>
      </c>
      <c r="H1087" s="16">
        <v>2594</v>
      </c>
      <c r="I1087" s="16">
        <v>110</v>
      </c>
      <c r="J1087" s="16">
        <v>109</v>
      </c>
      <c r="K1087" s="16">
        <v>-5.0499200705686302E-3</v>
      </c>
      <c r="L1087" s="16">
        <v>9.5636339344818307E-3</v>
      </c>
      <c r="M1087" s="16">
        <v>-0.52803360157492696</v>
      </c>
      <c r="N1087" s="16">
        <v>67.402314501575404</v>
      </c>
      <c r="O1087" s="16">
        <v>0.59921019822307797</v>
      </c>
      <c r="P1087" s="16"/>
      <c r="Q1087" s="16"/>
      <c r="R1087" s="16"/>
      <c r="S1087" s="16"/>
      <c r="T1087" s="16"/>
      <c r="U1087" s="16"/>
      <c r="V1087" s="16"/>
      <c r="W1087" s="16"/>
      <c r="X1087" s="16"/>
      <c r="Y1087" s="16"/>
      <c r="Z1087" s="16"/>
      <c r="AA1087" s="16"/>
      <c r="AB1087" s="16"/>
      <c r="AC1087" s="16"/>
      <c r="AD1087" s="16"/>
      <c r="AE1087" s="16"/>
      <c r="AF1087" s="16"/>
      <c r="AG1087" s="16"/>
      <c r="AH1087" s="16" t="s">
        <v>402</v>
      </c>
      <c r="AI1087" s="16"/>
      <c r="AJ1087" s="16" t="s">
        <v>1633</v>
      </c>
    </row>
    <row r="1088" spans="1:36" ht="15" customHeight="1" x14ac:dyDescent="0.3">
      <c r="A1088" s="16" t="s">
        <v>273</v>
      </c>
      <c r="B1088" s="16" t="s">
        <v>647</v>
      </c>
      <c r="C1088" s="16" t="s">
        <v>1524</v>
      </c>
      <c r="D1088" s="16" t="s">
        <v>324</v>
      </c>
      <c r="E1088" s="16" t="s">
        <v>404</v>
      </c>
      <c r="F1088" s="16" t="s">
        <v>401</v>
      </c>
      <c r="G1088" s="16">
        <v>0.8</v>
      </c>
      <c r="H1088" s="16">
        <v>900</v>
      </c>
      <c r="I1088" s="16">
        <v>38</v>
      </c>
      <c r="J1088" s="16">
        <v>38</v>
      </c>
      <c r="K1088" s="16">
        <v>-2.7594101182031799E-2</v>
      </c>
      <c r="L1088" s="16">
        <v>1.9715567406018E-2</v>
      </c>
      <c r="M1088" s="16">
        <v>-1.3996097912763601</v>
      </c>
      <c r="N1088" s="16">
        <v>24.258941067374899</v>
      </c>
      <c r="O1088" s="16">
        <v>0.17428856374865401</v>
      </c>
      <c r="P1088" s="16"/>
      <c r="Q1088" s="16"/>
      <c r="R1088" s="16"/>
      <c r="S1088" s="16"/>
      <c r="T1088" s="16"/>
      <c r="U1088" s="16"/>
      <c r="V1088" s="16"/>
      <c r="W1088" s="16"/>
      <c r="X1088" s="16"/>
      <c r="Y1088" s="16"/>
      <c r="Z1088" s="16"/>
      <c r="AA1088" s="16"/>
      <c r="AB1088" s="16"/>
      <c r="AC1088" s="16"/>
      <c r="AD1088" s="16"/>
      <c r="AE1088" s="16"/>
      <c r="AF1088" s="16"/>
      <c r="AG1088" s="16"/>
      <c r="AH1088" s="16" t="s">
        <v>402</v>
      </c>
      <c r="AI1088" s="16"/>
      <c r="AJ1088" s="16" t="s">
        <v>1634</v>
      </c>
    </row>
    <row r="1089" spans="1:36" ht="15" customHeight="1" x14ac:dyDescent="0.3">
      <c r="A1089" s="16" t="s">
        <v>273</v>
      </c>
      <c r="B1089" s="16" t="s">
        <v>649</v>
      </c>
      <c r="C1089" s="16" t="s">
        <v>1524</v>
      </c>
      <c r="D1089" s="16" t="s">
        <v>324</v>
      </c>
      <c r="E1089" s="16" t="s">
        <v>404</v>
      </c>
      <c r="F1089" s="16" t="s">
        <v>401</v>
      </c>
      <c r="G1089" s="16">
        <v>0.8</v>
      </c>
      <c r="H1089" s="16">
        <v>2607</v>
      </c>
      <c r="I1089" s="16">
        <v>110</v>
      </c>
      <c r="J1089" s="16">
        <v>109</v>
      </c>
      <c r="K1089" s="16">
        <v>-1.41673856121418E-2</v>
      </c>
      <c r="L1089" s="16">
        <v>1.13135863003894E-2</v>
      </c>
      <c r="M1089" s="16">
        <v>-1.25224533017035</v>
      </c>
      <c r="N1089" s="16">
        <v>36.3758347426025</v>
      </c>
      <c r="O1089" s="16">
        <v>0.21847225886597599</v>
      </c>
      <c r="P1089" s="16"/>
      <c r="Q1089" s="16"/>
      <c r="R1089" s="16"/>
      <c r="S1089" s="16"/>
      <c r="T1089" s="16"/>
      <c r="U1089" s="16"/>
      <c r="V1089" s="16"/>
      <c r="W1089" s="16"/>
      <c r="X1089" s="16"/>
      <c r="Y1089" s="16"/>
      <c r="Z1089" s="16"/>
      <c r="AA1089" s="16"/>
      <c r="AB1089" s="16"/>
      <c r="AC1089" s="16"/>
      <c r="AD1089" s="16"/>
      <c r="AE1089" s="16"/>
      <c r="AF1089" s="16"/>
      <c r="AG1089" s="16"/>
      <c r="AH1089" s="16" t="s">
        <v>402</v>
      </c>
      <c r="AI1089" s="16"/>
      <c r="AJ1089" s="16" t="s">
        <v>1635</v>
      </c>
    </row>
    <row r="1090" spans="1:36" ht="15" customHeight="1" x14ac:dyDescent="0.3">
      <c r="A1090" s="16" t="s">
        <v>273</v>
      </c>
      <c r="B1090" s="16" t="s">
        <v>651</v>
      </c>
      <c r="C1090" s="16" t="s">
        <v>1524</v>
      </c>
      <c r="D1090" s="16" t="s">
        <v>324</v>
      </c>
      <c r="E1090" s="16" t="s">
        <v>404</v>
      </c>
      <c r="F1090" s="16" t="s">
        <v>401</v>
      </c>
      <c r="G1090" s="16">
        <v>0.8</v>
      </c>
      <c r="H1090" s="16">
        <v>2607</v>
      </c>
      <c r="I1090" s="16">
        <v>110</v>
      </c>
      <c r="J1090" s="16">
        <v>109</v>
      </c>
      <c r="K1090" s="16">
        <v>-1.2218102737541099E-2</v>
      </c>
      <c r="L1090" s="16">
        <v>1.1699599777067001E-2</v>
      </c>
      <c r="M1090" s="16">
        <v>-1.04431800833824</v>
      </c>
      <c r="N1090" s="16">
        <v>27.679610022130699</v>
      </c>
      <c r="O1090" s="16">
        <v>0.305373415751368</v>
      </c>
      <c r="P1090" s="16"/>
      <c r="Q1090" s="16"/>
      <c r="R1090" s="16"/>
      <c r="S1090" s="16"/>
      <c r="T1090" s="16"/>
      <c r="U1090" s="16"/>
      <c r="V1090" s="16"/>
      <c r="W1090" s="16"/>
      <c r="X1090" s="16"/>
      <c r="Y1090" s="16"/>
      <c r="Z1090" s="16"/>
      <c r="AA1090" s="16"/>
      <c r="AB1090" s="16"/>
      <c r="AC1090" s="16"/>
      <c r="AD1090" s="16"/>
      <c r="AE1090" s="16"/>
      <c r="AF1090" s="16"/>
      <c r="AG1090" s="16"/>
      <c r="AH1090" s="16" t="s">
        <v>402</v>
      </c>
      <c r="AI1090" s="16"/>
      <c r="AJ1090" s="16" t="s">
        <v>1636</v>
      </c>
    </row>
    <row r="1091" spans="1:36" ht="15" customHeight="1" x14ac:dyDescent="0.3">
      <c r="A1091" s="16" t="s">
        <v>273</v>
      </c>
      <c r="B1091" s="16" t="s">
        <v>653</v>
      </c>
      <c r="C1091" s="16" t="s">
        <v>1524</v>
      </c>
      <c r="D1091" s="16" t="s">
        <v>324</v>
      </c>
      <c r="E1091" s="16" t="s">
        <v>404</v>
      </c>
      <c r="F1091" s="16" t="s">
        <v>401</v>
      </c>
      <c r="G1091" s="16">
        <v>0.8</v>
      </c>
      <c r="H1091" s="16">
        <v>2607</v>
      </c>
      <c r="I1091" s="16">
        <v>110</v>
      </c>
      <c r="J1091" s="16">
        <v>109</v>
      </c>
      <c r="K1091" s="16">
        <v>1.0210027212588901E-3</v>
      </c>
      <c r="L1091" s="16">
        <v>1.1304711706226499E-2</v>
      </c>
      <c r="M1091" s="16">
        <v>9.0316564260239707E-2</v>
      </c>
      <c r="N1091" s="16">
        <v>31.585552583455701</v>
      </c>
      <c r="O1091" s="16">
        <v>0.92860597547974699</v>
      </c>
      <c r="P1091" s="16"/>
      <c r="Q1091" s="16"/>
      <c r="R1091" s="16"/>
      <c r="S1091" s="16"/>
      <c r="T1091" s="16"/>
      <c r="U1091" s="16"/>
      <c r="V1091" s="16"/>
      <c r="W1091" s="16"/>
      <c r="X1091" s="16"/>
      <c r="Y1091" s="16"/>
      <c r="Z1091" s="16"/>
      <c r="AA1091" s="16"/>
      <c r="AB1091" s="16"/>
      <c r="AC1091" s="16"/>
      <c r="AD1091" s="16"/>
      <c r="AE1091" s="16"/>
      <c r="AF1091" s="16"/>
      <c r="AG1091" s="16"/>
      <c r="AH1091" s="16" t="s">
        <v>402</v>
      </c>
      <c r="AI1091" s="16"/>
      <c r="AJ1091" s="16" t="s">
        <v>1637</v>
      </c>
    </row>
    <row r="1092" spans="1:36" ht="15" customHeight="1" x14ac:dyDescent="0.3">
      <c r="A1092" s="16" t="s">
        <v>273</v>
      </c>
      <c r="B1092" s="16" t="s">
        <v>655</v>
      </c>
      <c r="C1092" s="16" t="s">
        <v>1524</v>
      </c>
      <c r="D1092" s="16" t="s">
        <v>324</v>
      </c>
      <c r="E1092" s="16" t="s">
        <v>404</v>
      </c>
      <c r="F1092" s="16" t="s">
        <v>401</v>
      </c>
      <c r="G1092" s="16">
        <v>0.8</v>
      </c>
      <c r="H1092" s="16">
        <v>2607</v>
      </c>
      <c r="I1092" s="16">
        <v>110</v>
      </c>
      <c r="J1092" s="16">
        <v>109</v>
      </c>
      <c r="K1092" s="16">
        <v>-1.28189581647119E-2</v>
      </c>
      <c r="L1092" s="16">
        <v>1.2224100232271801E-2</v>
      </c>
      <c r="M1092" s="16">
        <v>-1.0486627171846701</v>
      </c>
      <c r="N1092" s="16">
        <v>24.107515518487102</v>
      </c>
      <c r="O1092" s="16">
        <v>0.30473342779308099</v>
      </c>
      <c r="P1092" s="16"/>
      <c r="Q1092" s="16"/>
      <c r="R1092" s="16"/>
      <c r="S1092" s="16"/>
      <c r="T1092" s="16"/>
      <c r="U1092" s="16"/>
      <c r="V1092" s="16"/>
      <c r="W1092" s="16"/>
      <c r="X1092" s="16"/>
      <c r="Y1092" s="16"/>
      <c r="Z1092" s="16"/>
      <c r="AA1092" s="16"/>
      <c r="AB1092" s="16"/>
      <c r="AC1092" s="16"/>
      <c r="AD1092" s="16"/>
      <c r="AE1092" s="16"/>
      <c r="AF1092" s="16"/>
      <c r="AG1092" s="16"/>
      <c r="AH1092" s="16" t="s">
        <v>402</v>
      </c>
      <c r="AI1092" s="16"/>
      <c r="AJ1092" s="16" t="s">
        <v>1638</v>
      </c>
    </row>
    <row r="1093" spans="1:36" ht="15" customHeight="1" x14ac:dyDescent="0.3">
      <c r="A1093" s="16" t="s">
        <v>273</v>
      </c>
      <c r="B1093" s="16" t="s">
        <v>657</v>
      </c>
      <c r="C1093" s="16" t="s">
        <v>1524</v>
      </c>
      <c r="D1093" s="16" t="s">
        <v>324</v>
      </c>
      <c r="E1093" s="16" t="s">
        <v>404</v>
      </c>
      <c r="F1093" s="16" t="s">
        <v>401</v>
      </c>
      <c r="G1093" s="16">
        <v>0.8</v>
      </c>
      <c r="H1093" s="16">
        <v>2607</v>
      </c>
      <c r="I1093" s="16">
        <v>110</v>
      </c>
      <c r="J1093" s="16">
        <v>109</v>
      </c>
      <c r="K1093" s="16">
        <v>-1.51145002347395E-2</v>
      </c>
      <c r="L1093" s="16">
        <v>1.49836793497E-2</v>
      </c>
      <c r="M1093" s="16">
        <v>-1.0087308919248901</v>
      </c>
      <c r="N1093" s="16">
        <v>17.903455557484101</v>
      </c>
      <c r="O1093" s="16">
        <v>0.32654336996643601</v>
      </c>
      <c r="P1093" s="16"/>
      <c r="Q1093" s="16"/>
      <c r="R1093" s="16"/>
      <c r="S1093" s="16"/>
      <c r="T1093" s="16"/>
      <c r="U1093" s="16"/>
      <c r="V1093" s="16"/>
      <c r="W1093" s="16"/>
      <c r="X1093" s="16"/>
      <c r="Y1093" s="16"/>
      <c r="Z1093" s="16"/>
      <c r="AA1093" s="16"/>
      <c r="AB1093" s="16"/>
      <c r="AC1093" s="16"/>
      <c r="AD1093" s="16"/>
      <c r="AE1093" s="16"/>
      <c r="AF1093" s="16"/>
      <c r="AG1093" s="16"/>
      <c r="AH1093" s="16" t="s">
        <v>402</v>
      </c>
      <c r="AI1093" s="16"/>
      <c r="AJ1093" s="16" t="s">
        <v>1639</v>
      </c>
    </row>
    <row r="1094" spans="1:36" ht="15" customHeight="1" x14ac:dyDescent="0.3">
      <c r="A1094" s="16" t="s">
        <v>273</v>
      </c>
      <c r="B1094" s="16" t="s">
        <v>659</v>
      </c>
      <c r="C1094" s="16" t="s">
        <v>1524</v>
      </c>
      <c r="D1094" s="16" t="s">
        <v>324</v>
      </c>
      <c r="E1094" s="16" t="s">
        <v>404</v>
      </c>
      <c r="F1094" s="16" t="s">
        <v>401</v>
      </c>
      <c r="G1094" s="16">
        <v>0.8</v>
      </c>
      <c r="H1094" s="16">
        <v>2607</v>
      </c>
      <c r="I1094" s="16">
        <v>110</v>
      </c>
      <c r="J1094" s="16">
        <v>109</v>
      </c>
      <c r="K1094" s="16">
        <v>-1.6018494496413498E-2</v>
      </c>
      <c r="L1094" s="16">
        <v>1.6197167563894901E-2</v>
      </c>
      <c r="M1094" s="16">
        <v>-0.98896886960163899</v>
      </c>
      <c r="N1094" s="16">
        <v>14.690750970718399</v>
      </c>
      <c r="O1094" s="16">
        <v>0.33868835197130898</v>
      </c>
      <c r="P1094" s="16"/>
      <c r="Q1094" s="16"/>
      <c r="R1094" s="16"/>
      <c r="S1094" s="16"/>
      <c r="T1094" s="16"/>
      <c r="U1094" s="16"/>
      <c r="V1094" s="16"/>
      <c r="W1094" s="16"/>
      <c r="X1094" s="16"/>
      <c r="Y1094" s="16"/>
      <c r="Z1094" s="16"/>
      <c r="AA1094" s="16"/>
      <c r="AB1094" s="16"/>
      <c r="AC1094" s="16"/>
      <c r="AD1094" s="16"/>
      <c r="AE1094" s="16"/>
      <c r="AF1094" s="16"/>
      <c r="AG1094" s="16"/>
      <c r="AH1094" s="16" t="s">
        <v>402</v>
      </c>
      <c r="AI1094" s="16"/>
      <c r="AJ1094" s="16" t="s">
        <v>1640</v>
      </c>
    </row>
    <row r="1095" spans="1:36" ht="15" customHeight="1" x14ac:dyDescent="0.3">
      <c r="A1095" s="16" t="s">
        <v>273</v>
      </c>
      <c r="B1095" s="16" t="s">
        <v>661</v>
      </c>
      <c r="C1095" s="16" t="s">
        <v>1524</v>
      </c>
      <c r="D1095" s="16" t="s">
        <v>324</v>
      </c>
      <c r="E1095" s="16" t="s">
        <v>404</v>
      </c>
      <c r="F1095" s="16" t="s">
        <v>401</v>
      </c>
      <c r="G1095" s="16">
        <v>0.8</v>
      </c>
      <c r="H1095" s="16">
        <v>2607</v>
      </c>
      <c r="I1095" s="16">
        <v>110</v>
      </c>
      <c r="J1095" s="16">
        <v>109</v>
      </c>
      <c r="K1095" s="16">
        <v>7.4489377735339994E-5</v>
      </c>
      <c r="L1095" s="16">
        <v>1.02925554505208E-2</v>
      </c>
      <c r="M1095" s="16">
        <v>7.2372092716363303E-3</v>
      </c>
      <c r="N1095" s="16">
        <v>37.959431594075802</v>
      </c>
      <c r="O1095" s="16">
        <v>0.99426349498252498</v>
      </c>
      <c r="P1095" s="16"/>
      <c r="Q1095" s="16"/>
      <c r="R1095" s="16"/>
      <c r="S1095" s="16"/>
      <c r="T1095" s="16"/>
      <c r="U1095" s="16"/>
      <c r="V1095" s="16"/>
      <c r="W1095" s="16"/>
      <c r="X1095" s="16"/>
      <c r="Y1095" s="16"/>
      <c r="Z1095" s="16"/>
      <c r="AA1095" s="16"/>
      <c r="AB1095" s="16"/>
      <c r="AC1095" s="16"/>
      <c r="AD1095" s="16"/>
      <c r="AE1095" s="16"/>
      <c r="AF1095" s="16"/>
      <c r="AG1095" s="16"/>
      <c r="AH1095" s="16" t="s">
        <v>402</v>
      </c>
      <c r="AI1095" s="16"/>
      <c r="AJ1095" s="16" t="s">
        <v>1641</v>
      </c>
    </row>
    <row r="1096" spans="1:36" ht="15" customHeight="1" x14ac:dyDescent="0.3">
      <c r="A1096" s="16" t="s">
        <v>273</v>
      </c>
      <c r="B1096" s="16" t="s">
        <v>663</v>
      </c>
      <c r="C1096" s="16" t="s">
        <v>1524</v>
      </c>
      <c r="D1096" s="16" t="s">
        <v>324</v>
      </c>
      <c r="E1096" s="16" t="s">
        <v>404</v>
      </c>
      <c r="F1096" s="16" t="s">
        <v>401</v>
      </c>
      <c r="G1096" s="16">
        <v>0.8</v>
      </c>
      <c r="H1096" s="16">
        <v>2607</v>
      </c>
      <c r="I1096" s="16">
        <v>110</v>
      </c>
      <c r="J1096" s="16">
        <v>109</v>
      </c>
      <c r="K1096" s="16">
        <v>1.2868200031332801E-2</v>
      </c>
      <c r="L1096" s="16">
        <v>9.8016800743461491E-3</v>
      </c>
      <c r="M1096" s="16">
        <v>1.31285656476512</v>
      </c>
      <c r="N1096" s="16">
        <v>51.791623622138601</v>
      </c>
      <c r="O1096" s="16">
        <v>0.195018984104008</v>
      </c>
      <c r="P1096" s="16"/>
      <c r="Q1096" s="16"/>
      <c r="R1096" s="16"/>
      <c r="S1096" s="16"/>
      <c r="T1096" s="16"/>
      <c r="U1096" s="16"/>
      <c r="V1096" s="16"/>
      <c r="W1096" s="16"/>
      <c r="X1096" s="16"/>
      <c r="Y1096" s="16"/>
      <c r="Z1096" s="16"/>
      <c r="AA1096" s="16"/>
      <c r="AB1096" s="16"/>
      <c r="AC1096" s="16"/>
      <c r="AD1096" s="16"/>
      <c r="AE1096" s="16"/>
      <c r="AF1096" s="16"/>
      <c r="AG1096" s="16"/>
      <c r="AH1096" s="16" t="s">
        <v>402</v>
      </c>
      <c r="AI1096" s="16"/>
      <c r="AJ1096" s="16" t="s">
        <v>1642</v>
      </c>
    </row>
    <row r="1097" spans="1:36" ht="15" customHeight="1" x14ac:dyDescent="0.3">
      <c r="A1097" s="16" t="s">
        <v>273</v>
      </c>
      <c r="B1097" s="16" t="s">
        <v>665</v>
      </c>
      <c r="C1097" s="16" t="s">
        <v>1524</v>
      </c>
      <c r="D1097" s="16" t="s">
        <v>324</v>
      </c>
      <c r="E1097" s="16" t="s">
        <v>404</v>
      </c>
      <c r="F1097" s="16" t="s">
        <v>401</v>
      </c>
      <c r="G1097" s="16">
        <v>0.8</v>
      </c>
      <c r="H1097" s="16">
        <v>2607</v>
      </c>
      <c r="I1097" s="16">
        <v>110</v>
      </c>
      <c r="J1097" s="16">
        <v>109</v>
      </c>
      <c r="K1097" s="16">
        <v>9.08806435504166E-4</v>
      </c>
      <c r="L1097" s="16">
        <v>9.5910847539972203E-3</v>
      </c>
      <c r="M1097" s="16">
        <v>9.4755333605555603E-2</v>
      </c>
      <c r="N1097" s="16">
        <v>59.548036650007198</v>
      </c>
      <c r="O1097" s="16">
        <v>0.92482730076492703</v>
      </c>
      <c r="P1097" s="16"/>
      <c r="Q1097" s="16"/>
      <c r="R1097" s="16"/>
      <c r="S1097" s="16"/>
      <c r="T1097" s="16"/>
      <c r="U1097" s="16"/>
      <c r="V1097" s="16"/>
      <c r="W1097" s="16"/>
      <c r="X1097" s="16"/>
      <c r="Y1097" s="16"/>
      <c r="Z1097" s="16"/>
      <c r="AA1097" s="16"/>
      <c r="AB1097" s="16"/>
      <c r="AC1097" s="16"/>
      <c r="AD1097" s="16"/>
      <c r="AE1097" s="16"/>
      <c r="AF1097" s="16"/>
      <c r="AG1097" s="16"/>
      <c r="AH1097" s="16" t="s">
        <v>402</v>
      </c>
      <c r="AI1097" s="16"/>
      <c r="AJ1097" s="16" t="s">
        <v>1643</v>
      </c>
    </row>
    <row r="1098" spans="1:36" ht="15" customHeight="1" x14ac:dyDescent="0.3">
      <c r="A1098" s="16" t="s">
        <v>273</v>
      </c>
      <c r="B1098" s="16" t="s">
        <v>667</v>
      </c>
      <c r="C1098" s="16" t="s">
        <v>1524</v>
      </c>
      <c r="D1098" s="16" t="s">
        <v>324</v>
      </c>
      <c r="E1098" s="16" t="s">
        <v>404</v>
      </c>
      <c r="F1098" s="16" t="s">
        <v>401</v>
      </c>
      <c r="G1098" s="16">
        <v>0.8</v>
      </c>
      <c r="H1098" s="16">
        <v>905</v>
      </c>
      <c r="I1098" s="16">
        <v>38</v>
      </c>
      <c r="J1098" s="16">
        <v>38</v>
      </c>
      <c r="K1098" s="16">
        <v>-2.1859113971997E-2</v>
      </c>
      <c r="L1098" s="16">
        <v>1.8703226426507302E-2</v>
      </c>
      <c r="M1098" s="16">
        <v>-1.1687349269865499</v>
      </c>
      <c r="N1098" s="16">
        <v>23.996791437452501</v>
      </c>
      <c r="O1098" s="16">
        <v>0.25399016430844901</v>
      </c>
      <c r="P1098" s="16"/>
      <c r="Q1098" s="16"/>
      <c r="R1098" s="16"/>
      <c r="S1098" s="16"/>
      <c r="T1098" s="16"/>
      <c r="U1098" s="16"/>
      <c r="V1098" s="16"/>
      <c r="W1098" s="16"/>
      <c r="X1098" s="16"/>
      <c r="Y1098" s="16"/>
      <c r="Z1098" s="16"/>
      <c r="AA1098" s="16"/>
      <c r="AB1098" s="16"/>
      <c r="AC1098" s="16"/>
      <c r="AD1098" s="16"/>
      <c r="AE1098" s="16"/>
      <c r="AF1098" s="16"/>
      <c r="AG1098" s="16"/>
      <c r="AH1098" s="16" t="s">
        <v>402</v>
      </c>
      <c r="AI1098" s="16"/>
      <c r="AJ1098" s="16" t="s">
        <v>1644</v>
      </c>
    </row>
    <row r="1099" spans="1:36" ht="15" customHeight="1" x14ac:dyDescent="0.3">
      <c r="A1099" s="16" t="s">
        <v>273</v>
      </c>
      <c r="B1099" s="16" t="s">
        <v>669</v>
      </c>
      <c r="C1099" s="16" t="s">
        <v>1524</v>
      </c>
      <c r="D1099" s="16" t="s">
        <v>324</v>
      </c>
      <c r="E1099" s="16" t="s">
        <v>404</v>
      </c>
      <c r="F1099" s="16" t="s">
        <v>401</v>
      </c>
      <c r="G1099" s="16">
        <v>0.8</v>
      </c>
      <c r="H1099" s="16">
        <v>2704</v>
      </c>
      <c r="I1099" s="16">
        <v>113</v>
      </c>
      <c r="J1099" s="16">
        <v>112</v>
      </c>
      <c r="K1099" s="16">
        <v>9.1624504176101504E-3</v>
      </c>
      <c r="L1099" s="16">
        <v>1.8327689210554901E-2</v>
      </c>
      <c r="M1099" s="16">
        <v>0.49992392998095397</v>
      </c>
      <c r="N1099" s="16">
        <v>15.142477873908399</v>
      </c>
      <c r="O1099" s="16">
        <v>0.62431493974688002</v>
      </c>
      <c r="P1099" s="16"/>
      <c r="Q1099" s="16"/>
      <c r="R1099" s="16"/>
      <c r="S1099" s="16"/>
      <c r="T1099" s="16"/>
      <c r="U1099" s="16"/>
      <c r="V1099" s="16"/>
      <c r="W1099" s="16"/>
      <c r="X1099" s="16"/>
      <c r="Y1099" s="16"/>
      <c r="Z1099" s="16"/>
      <c r="AA1099" s="16"/>
      <c r="AB1099" s="16"/>
      <c r="AC1099" s="16"/>
      <c r="AD1099" s="16"/>
      <c r="AE1099" s="16"/>
      <c r="AF1099" s="16"/>
      <c r="AG1099" s="16"/>
      <c r="AH1099" s="16" t="s">
        <v>402</v>
      </c>
      <c r="AI1099" s="16"/>
      <c r="AJ1099" s="16" t="s">
        <v>1645</v>
      </c>
    </row>
    <row r="1100" spans="1:36" ht="15" customHeight="1" x14ac:dyDescent="0.3">
      <c r="A1100" s="16" t="s">
        <v>273</v>
      </c>
      <c r="B1100" s="16" t="s">
        <v>671</v>
      </c>
      <c r="C1100" s="16" t="s">
        <v>1524</v>
      </c>
      <c r="D1100" s="16" t="s">
        <v>324</v>
      </c>
      <c r="E1100" s="16" t="s">
        <v>404</v>
      </c>
      <c r="F1100" s="16" t="s">
        <v>401</v>
      </c>
      <c r="G1100" s="16">
        <v>0.8</v>
      </c>
      <c r="H1100" s="16">
        <v>2704</v>
      </c>
      <c r="I1100" s="16">
        <v>113</v>
      </c>
      <c r="J1100" s="16">
        <v>112</v>
      </c>
      <c r="K1100" s="16">
        <v>8.9726055043135907E-3</v>
      </c>
      <c r="L1100" s="16">
        <v>1.79761091729271E-2</v>
      </c>
      <c r="M1100" s="16">
        <v>0.499140576973507</v>
      </c>
      <c r="N1100" s="16">
        <v>12.3734578349535</v>
      </c>
      <c r="O1100" s="16">
        <v>0.62643647464961505</v>
      </c>
      <c r="P1100" s="16"/>
      <c r="Q1100" s="16"/>
      <c r="R1100" s="16"/>
      <c r="S1100" s="16"/>
      <c r="T1100" s="16"/>
      <c r="U1100" s="16"/>
      <c r="V1100" s="16"/>
      <c r="W1100" s="16"/>
      <c r="X1100" s="16"/>
      <c r="Y1100" s="16"/>
      <c r="Z1100" s="16"/>
      <c r="AA1100" s="16"/>
      <c r="AB1100" s="16"/>
      <c r="AC1100" s="16"/>
      <c r="AD1100" s="16"/>
      <c r="AE1100" s="16"/>
      <c r="AF1100" s="16"/>
      <c r="AG1100" s="16"/>
      <c r="AH1100" s="16" t="s">
        <v>402</v>
      </c>
      <c r="AI1100" s="16"/>
      <c r="AJ1100" s="16" t="s">
        <v>1646</v>
      </c>
    </row>
    <row r="1101" spans="1:36" ht="15" customHeight="1" x14ac:dyDescent="0.3">
      <c r="A1101" s="16" t="s">
        <v>273</v>
      </c>
      <c r="B1101" s="16" t="s">
        <v>673</v>
      </c>
      <c r="C1101" s="16" t="s">
        <v>1524</v>
      </c>
      <c r="D1101" s="16" t="s">
        <v>324</v>
      </c>
      <c r="E1101" s="16" t="s">
        <v>404</v>
      </c>
      <c r="F1101" s="16" t="s">
        <v>401</v>
      </c>
      <c r="G1101" s="16">
        <v>0.8</v>
      </c>
      <c r="H1101" s="16">
        <v>2704</v>
      </c>
      <c r="I1101" s="16">
        <v>113</v>
      </c>
      <c r="J1101" s="16">
        <v>112</v>
      </c>
      <c r="K1101" s="16">
        <v>-2.0276582865280501E-2</v>
      </c>
      <c r="L1101" s="16">
        <v>2.1284693685946598E-2</v>
      </c>
      <c r="M1101" s="16">
        <v>-0.95263681800919198</v>
      </c>
      <c r="N1101" s="16">
        <v>41.183160016816501</v>
      </c>
      <c r="O1101" s="16">
        <v>0.34633217720847398</v>
      </c>
      <c r="P1101" s="16"/>
      <c r="Q1101" s="16"/>
      <c r="R1101" s="16"/>
      <c r="S1101" s="16"/>
      <c r="T1101" s="16"/>
      <c r="U1101" s="16"/>
      <c r="V1101" s="16"/>
      <c r="W1101" s="16"/>
      <c r="X1101" s="16"/>
      <c r="Y1101" s="16"/>
      <c r="Z1101" s="16"/>
      <c r="AA1101" s="16"/>
      <c r="AB1101" s="16"/>
      <c r="AC1101" s="16"/>
      <c r="AD1101" s="16"/>
      <c r="AE1101" s="16"/>
      <c r="AF1101" s="16"/>
      <c r="AG1101" s="16"/>
      <c r="AH1101" s="16" t="s">
        <v>402</v>
      </c>
      <c r="AI1101" s="16"/>
      <c r="AJ1101" s="16" t="s">
        <v>1647</v>
      </c>
    </row>
    <row r="1102" spans="1:36" ht="15" customHeight="1" x14ac:dyDescent="0.3">
      <c r="A1102" s="16" t="s">
        <v>273</v>
      </c>
      <c r="B1102" s="16" t="s">
        <v>675</v>
      </c>
      <c r="C1102" s="16" t="s">
        <v>1524</v>
      </c>
      <c r="D1102" s="16" t="s">
        <v>324</v>
      </c>
      <c r="E1102" s="16" t="s">
        <v>404</v>
      </c>
      <c r="F1102" s="16" t="s">
        <v>401</v>
      </c>
      <c r="G1102" s="16">
        <v>0.8</v>
      </c>
      <c r="H1102" s="16">
        <v>2704</v>
      </c>
      <c r="I1102" s="16">
        <v>113</v>
      </c>
      <c r="J1102" s="16">
        <v>112</v>
      </c>
      <c r="K1102" s="16">
        <v>7.3137661183567499E-3</v>
      </c>
      <c r="L1102" s="16">
        <v>1.8234409107900199E-2</v>
      </c>
      <c r="M1102" s="16">
        <v>0.40109696316882498</v>
      </c>
      <c r="N1102" s="16">
        <v>10.943201525988499</v>
      </c>
      <c r="O1102" s="16">
        <v>0.69606941945339995</v>
      </c>
      <c r="P1102" s="16"/>
      <c r="Q1102" s="16"/>
      <c r="R1102" s="16"/>
      <c r="S1102" s="16"/>
      <c r="T1102" s="16"/>
      <c r="U1102" s="16"/>
      <c r="V1102" s="16"/>
      <c r="W1102" s="16"/>
      <c r="X1102" s="16"/>
      <c r="Y1102" s="16"/>
      <c r="Z1102" s="16"/>
      <c r="AA1102" s="16"/>
      <c r="AB1102" s="16"/>
      <c r="AC1102" s="16"/>
      <c r="AD1102" s="16"/>
      <c r="AE1102" s="16"/>
      <c r="AF1102" s="16"/>
      <c r="AG1102" s="16"/>
      <c r="AH1102" s="16" t="s">
        <v>402</v>
      </c>
      <c r="AI1102" s="16"/>
      <c r="AJ1102" s="16" t="s">
        <v>1648</v>
      </c>
    </row>
    <row r="1103" spans="1:36" ht="15" customHeight="1" x14ac:dyDescent="0.3">
      <c r="A1103" s="16" t="s">
        <v>273</v>
      </c>
      <c r="B1103" s="16" t="s">
        <v>677</v>
      </c>
      <c r="C1103" s="16" t="s">
        <v>1524</v>
      </c>
      <c r="D1103" s="16" t="s">
        <v>324</v>
      </c>
      <c r="E1103" s="16" t="s">
        <v>404</v>
      </c>
      <c r="F1103" s="16" t="s">
        <v>401</v>
      </c>
      <c r="G1103" s="16">
        <v>0.8</v>
      </c>
      <c r="H1103" s="16">
        <v>2704</v>
      </c>
      <c r="I1103" s="16">
        <v>113</v>
      </c>
      <c r="J1103" s="16">
        <v>112</v>
      </c>
      <c r="K1103" s="16">
        <v>2.5617163433837801E-3</v>
      </c>
      <c r="L1103" s="16">
        <v>2.26125083957236E-2</v>
      </c>
      <c r="M1103" s="16">
        <v>0.113287579535769</v>
      </c>
      <c r="N1103" s="16">
        <v>18.765127991440199</v>
      </c>
      <c r="O1103" s="16">
        <v>0.91100578442883495</v>
      </c>
      <c r="P1103" s="16"/>
      <c r="Q1103" s="16"/>
      <c r="R1103" s="16"/>
      <c r="S1103" s="16"/>
      <c r="T1103" s="16"/>
      <c r="U1103" s="16"/>
      <c r="V1103" s="16"/>
      <c r="W1103" s="16"/>
      <c r="X1103" s="16"/>
      <c r="Y1103" s="16"/>
      <c r="Z1103" s="16"/>
      <c r="AA1103" s="16"/>
      <c r="AB1103" s="16"/>
      <c r="AC1103" s="16"/>
      <c r="AD1103" s="16"/>
      <c r="AE1103" s="16"/>
      <c r="AF1103" s="16"/>
      <c r="AG1103" s="16"/>
      <c r="AH1103" s="16" t="s">
        <v>402</v>
      </c>
      <c r="AI1103" s="16"/>
      <c r="AJ1103" s="16" t="s">
        <v>1649</v>
      </c>
    </row>
    <row r="1104" spans="1:36" ht="15" customHeight="1" x14ac:dyDescent="0.3">
      <c r="A1104" s="16" t="s">
        <v>273</v>
      </c>
      <c r="B1104" s="16" t="s">
        <v>679</v>
      </c>
      <c r="C1104" s="16" t="s">
        <v>1524</v>
      </c>
      <c r="D1104" s="16" t="s">
        <v>324</v>
      </c>
      <c r="E1104" s="16" t="s">
        <v>404</v>
      </c>
      <c r="F1104" s="16" t="s">
        <v>401</v>
      </c>
      <c r="G1104" s="16">
        <v>0.8</v>
      </c>
      <c r="H1104" s="16">
        <v>2704</v>
      </c>
      <c r="I1104" s="16">
        <v>113</v>
      </c>
      <c r="J1104" s="16">
        <v>112</v>
      </c>
      <c r="K1104" s="16">
        <v>3.20973648657458E-3</v>
      </c>
      <c r="L1104" s="16">
        <v>2.3306032451748601E-2</v>
      </c>
      <c r="M1104" s="16">
        <v>0.13772127423317701</v>
      </c>
      <c r="N1104" s="16">
        <v>15.4331326197662</v>
      </c>
      <c r="O1104" s="16">
        <v>0.89224149660133001</v>
      </c>
      <c r="P1104" s="16"/>
      <c r="Q1104" s="16"/>
      <c r="R1104" s="16"/>
      <c r="S1104" s="16"/>
      <c r="T1104" s="16"/>
      <c r="U1104" s="16"/>
      <c r="V1104" s="16"/>
      <c r="W1104" s="16"/>
      <c r="X1104" s="16"/>
      <c r="Y1104" s="16"/>
      <c r="Z1104" s="16"/>
      <c r="AA1104" s="16"/>
      <c r="AB1104" s="16"/>
      <c r="AC1104" s="16"/>
      <c r="AD1104" s="16"/>
      <c r="AE1104" s="16"/>
      <c r="AF1104" s="16"/>
      <c r="AG1104" s="16"/>
      <c r="AH1104" s="16" t="s">
        <v>402</v>
      </c>
      <c r="AI1104" s="16"/>
      <c r="AJ1104" s="16" t="s">
        <v>1650</v>
      </c>
    </row>
    <row r="1105" spans="1:36" ht="15" customHeight="1" x14ac:dyDescent="0.3">
      <c r="A1105" s="16" t="s">
        <v>273</v>
      </c>
      <c r="B1105" s="16" t="s">
        <v>681</v>
      </c>
      <c r="C1105" s="16" t="s">
        <v>1524</v>
      </c>
      <c r="D1105" s="16" t="s">
        <v>324</v>
      </c>
      <c r="E1105" s="16" t="s">
        <v>404</v>
      </c>
      <c r="F1105" s="16" t="s">
        <v>401</v>
      </c>
      <c r="G1105" s="16">
        <v>0.8</v>
      </c>
      <c r="H1105" s="16">
        <v>2704</v>
      </c>
      <c r="I1105" s="16">
        <v>113</v>
      </c>
      <c r="J1105" s="16">
        <v>112</v>
      </c>
      <c r="K1105" s="16">
        <v>-7.2073682341743201E-3</v>
      </c>
      <c r="L1105" s="16">
        <v>2.0829455523264501E-2</v>
      </c>
      <c r="M1105" s="16">
        <v>-0.34601808127554701</v>
      </c>
      <c r="N1105" s="16">
        <v>17.8381813064141</v>
      </c>
      <c r="O1105" s="16">
        <v>0.73337667024220798</v>
      </c>
      <c r="P1105" s="16"/>
      <c r="Q1105" s="16"/>
      <c r="R1105" s="16"/>
      <c r="S1105" s="16"/>
      <c r="T1105" s="16"/>
      <c r="U1105" s="16"/>
      <c r="V1105" s="16"/>
      <c r="W1105" s="16"/>
      <c r="X1105" s="16"/>
      <c r="Y1105" s="16"/>
      <c r="Z1105" s="16"/>
      <c r="AA1105" s="16"/>
      <c r="AB1105" s="16"/>
      <c r="AC1105" s="16"/>
      <c r="AD1105" s="16"/>
      <c r="AE1105" s="16"/>
      <c r="AF1105" s="16"/>
      <c r="AG1105" s="16"/>
      <c r="AH1105" s="16" t="s">
        <v>402</v>
      </c>
      <c r="AI1105" s="16"/>
      <c r="AJ1105" s="16" t="s">
        <v>1651</v>
      </c>
    </row>
    <row r="1106" spans="1:36" ht="15" customHeight="1" x14ac:dyDescent="0.3">
      <c r="A1106" s="16" t="s">
        <v>273</v>
      </c>
      <c r="B1106" s="16" t="s">
        <v>683</v>
      </c>
      <c r="C1106" s="16" t="s">
        <v>1524</v>
      </c>
      <c r="D1106" s="16" t="s">
        <v>324</v>
      </c>
      <c r="E1106" s="16" t="s">
        <v>404</v>
      </c>
      <c r="F1106" s="16" t="s">
        <v>401</v>
      </c>
      <c r="G1106" s="16">
        <v>0.8</v>
      </c>
      <c r="H1106" s="16">
        <v>2704</v>
      </c>
      <c r="I1106" s="16">
        <v>113</v>
      </c>
      <c r="J1106" s="16">
        <v>112</v>
      </c>
      <c r="K1106" s="16">
        <v>3.9610443187439601E-2</v>
      </c>
      <c r="L1106" s="16">
        <v>2.6391432781139701E-2</v>
      </c>
      <c r="M1106" s="16">
        <v>1.5008826355099101</v>
      </c>
      <c r="N1106" s="16">
        <v>22.1614531797429</v>
      </c>
      <c r="O1106" s="16">
        <v>0.147499975516107</v>
      </c>
      <c r="P1106" s="16"/>
      <c r="Q1106" s="16"/>
      <c r="R1106" s="16"/>
      <c r="S1106" s="16"/>
      <c r="T1106" s="16"/>
      <c r="U1106" s="16"/>
      <c r="V1106" s="16"/>
      <c r="W1106" s="16"/>
      <c r="X1106" s="16"/>
      <c r="Y1106" s="16"/>
      <c r="Z1106" s="16"/>
      <c r="AA1106" s="16"/>
      <c r="AB1106" s="16"/>
      <c r="AC1106" s="16"/>
      <c r="AD1106" s="16"/>
      <c r="AE1106" s="16"/>
      <c r="AF1106" s="16"/>
      <c r="AG1106" s="16"/>
      <c r="AH1106" s="16" t="s">
        <v>402</v>
      </c>
      <c r="AI1106" s="16"/>
      <c r="AJ1106" s="16" t="s">
        <v>1652</v>
      </c>
    </row>
    <row r="1107" spans="1:36" ht="15" customHeight="1" x14ac:dyDescent="0.3">
      <c r="A1107" s="16" t="s">
        <v>273</v>
      </c>
      <c r="B1107" s="16" t="s">
        <v>685</v>
      </c>
      <c r="C1107" s="16" t="s">
        <v>1524</v>
      </c>
      <c r="D1107" s="16" t="s">
        <v>324</v>
      </c>
      <c r="E1107" s="16" t="s">
        <v>404</v>
      </c>
      <c r="F1107" s="16" t="s">
        <v>401</v>
      </c>
      <c r="G1107" s="16">
        <v>0.8</v>
      </c>
      <c r="H1107" s="16">
        <v>2704</v>
      </c>
      <c r="I1107" s="16">
        <v>113</v>
      </c>
      <c r="J1107" s="16">
        <v>112</v>
      </c>
      <c r="K1107" s="16">
        <v>2.1413015315905601E-2</v>
      </c>
      <c r="L1107" s="16">
        <v>2.19241725903827E-2</v>
      </c>
      <c r="M1107" s="16">
        <v>0.97668521936826203</v>
      </c>
      <c r="N1107" s="16">
        <v>22.537932301543702</v>
      </c>
      <c r="O1107" s="16">
        <v>0.33909269079432403</v>
      </c>
      <c r="P1107" s="16"/>
      <c r="Q1107" s="16"/>
      <c r="R1107" s="16"/>
      <c r="S1107" s="16"/>
      <c r="T1107" s="16"/>
      <c r="U1107" s="16"/>
      <c r="V1107" s="16"/>
      <c r="W1107" s="16"/>
      <c r="X1107" s="16"/>
      <c r="Y1107" s="16"/>
      <c r="Z1107" s="16"/>
      <c r="AA1107" s="16"/>
      <c r="AB1107" s="16"/>
      <c r="AC1107" s="16"/>
      <c r="AD1107" s="16"/>
      <c r="AE1107" s="16"/>
      <c r="AF1107" s="16"/>
      <c r="AG1107" s="16"/>
      <c r="AH1107" s="16" t="s">
        <v>402</v>
      </c>
      <c r="AI1107" s="16"/>
      <c r="AJ1107" s="16" t="s">
        <v>1653</v>
      </c>
    </row>
    <row r="1108" spans="1:36" ht="15" customHeight="1" x14ac:dyDescent="0.3">
      <c r="A1108" s="16" t="s">
        <v>273</v>
      </c>
      <c r="B1108" s="16" t="s">
        <v>687</v>
      </c>
      <c r="C1108" s="16" t="s">
        <v>1524</v>
      </c>
      <c r="D1108" s="16" t="s">
        <v>324</v>
      </c>
      <c r="E1108" s="16" t="s">
        <v>404</v>
      </c>
      <c r="F1108" s="16" t="s">
        <v>401</v>
      </c>
      <c r="G1108" s="16">
        <v>0.8</v>
      </c>
      <c r="H1108" s="16">
        <v>929</v>
      </c>
      <c r="I1108" s="16">
        <v>40</v>
      </c>
      <c r="J1108" s="16">
        <v>40</v>
      </c>
      <c r="K1108" s="16">
        <v>-1.2809155317807901E-2</v>
      </c>
      <c r="L1108" s="16">
        <v>1.6987135050623998E-2</v>
      </c>
      <c r="M1108" s="16">
        <v>-0.75405036103114698</v>
      </c>
      <c r="N1108" s="16">
        <v>22.520811164926499</v>
      </c>
      <c r="O1108" s="16">
        <v>0.45863123488114999</v>
      </c>
      <c r="P1108" s="16"/>
      <c r="Q1108" s="16"/>
      <c r="R1108" s="16"/>
      <c r="S1108" s="16"/>
      <c r="T1108" s="16"/>
      <c r="U1108" s="16"/>
      <c r="V1108" s="16"/>
      <c r="W1108" s="16"/>
      <c r="X1108" s="16"/>
      <c r="Y1108" s="16"/>
      <c r="Z1108" s="16"/>
      <c r="AA1108" s="16"/>
      <c r="AB1108" s="16"/>
      <c r="AC1108" s="16"/>
      <c r="AD1108" s="16"/>
      <c r="AE1108" s="16"/>
      <c r="AF1108" s="16"/>
      <c r="AG1108" s="16"/>
      <c r="AH1108" s="16" t="s">
        <v>402</v>
      </c>
      <c r="AI1108" s="16"/>
      <c r="AJ1108" s="16" t="s">
        <v>1654</v>
      </c>
    </row>
    <row r="1109" spans="1:36" ht="15" customHeight="1" x14ac:dyDescent="0.3">
      <c r="A1109" s="16" t="s">
        <v>273</v>
      </c>
      <c r="B1109" s="16" t="s">
        <v>689</v>
      </c>
      <c r="C1109" s="16" t="s">
        <v>1524</v>
      </c>
      <c r="D1109" s="16" t="s">
        <v>324</v>
      </c>
      <c r="E1109" s="16" t="s">
        <v>404</v>
      </c>
      <c r="F1109" s="16" t="s">
        <v>401</v>
      </c>
      <c r="G1109" s="16">
        <v>0.8</v>
      </c>
      <c r="H1109" s="16">
        <v>2691</v>
      </c>
      <c r="I1109" s="16">
        <v>113</v>
      </c>
      <c r="J1109" s="16">
        <v>112</v>
      </c>
      <c r="K1109" s="16">
        <v>-1.4374281122294901E-2</v>
      </c>
      <c r="L1109" s="16">
        <v>1.0651693094752701E-2</v>
      </c>
      <c r="M1109" s="16">
        <v>-1.34948322247249</v>
      </c>
      <c r="N1109" s="16">
        <v>40.535266963428697</v>
      </c>
      <c r="O1109" s="16">
        <v>0.18467106801623401</v>
      </c>
      <c r="P1109" s="16"/>
      <c r="Q1109" s="16"/>
      <c r="R1109" s="16"/>
      <c r="S1109" s="16"/>
      <c r="T1109" s="16"/>
      <c r="U1109" s="16"/>
      <c r="V1109" s="16"/>
      <c r="W1109" s="16"/>
      <c r="X1109" s="16"/>
      <c r="Y1109" s="16"/>
      <c r="Z1109" s="16"/>
      <c r="AA1109" s="16"/>
      <c r="AB1109" s="16"/>
      <c r="AC1109" s="16"/>
      <c r="AD1109" s="16"/>
      <c r="AE1109" s="16"/>
      <c r="AF1109" s="16"/>
      <c r="AG1109" s="16"/>
      <c r="AH1109" s="16" t="s">
        <v>402</v>
      </c>
      <c r="AI1109" s="16"/>
      <c r="AJ1109" s="16" t="s">
        <v>1655</v>
      </c>
    </row>
    <row r="1110" spans="1:36" ht="15" customHeight="1" x14ac:dyDescent="0.3">
      <c r="A1110" s="16" t="s">
        <v>273</v>
      </c>
      <c r="B1110" s="16" t="s">
        <v>691</v>
      </c>
      <c r="C1110" s="16" t="s">
        <v>1524</v>
      </c>
      <c r="D1110" s="16" t="s">
        <v>324</v>
      </c>
      <c r="E1110" s="16" t="s">
        <v>404</v>
      </c>
      <c r="F1110" s="16" t="s">
        <v>401</v>
      </c>
      <c r="G1110" s="16">
        <v>0.8</v>
      </c>
      <c r="H1110" s="16">
        <v>2691</v>
      </c>
      <c r="I1110" s="16">
        <v>113</v>
      </c>
      <c r="J1110" s="16">
        <v>112</v>
      </c>
      <c r="K1110" s="16">
        <v>-1.3145259197854101E-2</v>
      </c>
      <c r="L1110" s="16">
        <v>1.12534556387336E-2</v>
      </c>
      <c r="M1110" s="16">
        <v>-1.16810867877854</v>
      </c>
      <c r="N1110" s="16">
        <v>30.665504710591598</v>
      </c>
      <c r="O1110" s="16">
        <v>0.25176465130354297</v>
      </c>
      <c r="P1110" s="16"/>
      <c r="Q1110" s="16"/>
      <c r="R1110" s="16"/>
      <c r="S1110" s="16"/>
      <c r="T1110" s="16"/>
      <c r="U1110" s="16"/>
      <c r="V1110" s="16"/>
      <c r="W1110" s="16"/>
      <c r="X1110" s="16"/>
      <c r="Y1110" s="16"/>
      <c r="Z1110" s="16"/>
      <c r="AA1110" s="16"/>
      <c r="AB1110" s="16"/>
      <c r="AC1110" s="16"/>
      <c r="AD1110" s="16"/>
      <c r="AE1110" s="16"/>
      <c r="AF1110" s="16"/>
      <c r="AG1110" s="16"/>
      <c r="AH1110" s="16" t="s">
        <v>402</v>
      </c>
      <c r="AI1110" s="16"/>
      <c r="AJ1110" s="16" t="s">
        <v>1656</v>
      </c>
    </row>
    <row r="1111" spans="1:36" ht="15" customHeight="1" x14ac:dyDescent="0.3">
      <c r="A1111" s="16" t="s">
        <v>273</v>
      </c>
      <c r="B1111" s="16" t="s">
        <v>693</v>
      </c>
      <c r="C1111" s="16" t="s">
        <v>1524</v>
      </c>
      <c r="D1111" s="16" t="s">
        <v>324</v>
      </c>
      <c r="E1111" s="16" t="s">
        <v>404</v>
      </c>
      <c r="F1111" s="16" t="s">
        <v>401</v>
      </c>
      <c r="G1111" s="16">
        <v>0.8</v>
      </c>
      <c r="H1111" s="16">
        <v>2691</v>
      </c>
      <c r="I1111" s="16">
        <v>113</v>
      </c>
      <c r="J1111" s="16">
        <v>112</v>
      </c>
      <c r="K1111" s="16">
        <v>2.06531652784128E-4</v>
      </c>
      <c r="L1111" s="16">
        <v>1.10272936846898E-2</v>
      </c>
      <c r="M1111" s="16">
        <v>1.8729133247886099E-2</v>
      </c>
      <c r="N1111" s="16">
        <v>34.491296888759798</v>
      </c>
      <c r="O1111" s="16">
        <v>0.98516511444828403</v>
      </c>
      <c r="P1111" s="16"/>
      <c r="Q1111" s="16"/>
      <c r="R1111" s="16"/>
      <c r="S1111" s="16"/>
      <c r="T1111" s="16"/>
      <c r="U1111" s="16"/>
      <c r="V1111" s="16"/>
      <c r="W1111" s="16"/>
      <c r="X1111" s="16"/>
      <c r="Y1111" s="16"/>
      <c r="Z1111" s="16"/>
      <c r="AA1111" s="16"/>
      <c r="AB1111" s="16"/>
      <c r="AC1111" s="16"/>
      <c r="AD1111" s="16"/>
      <c r="AE1111" s="16"/>
      <c r="AF1111" s="16"/>
      <c r="AG1111" s="16"/>
      <c r="AH1111" s="16" t="s">
        <v>402</v>
      </c>
      <c r="AI1111" s="16"/>
      <c r="AJ1111" s="16" t="s">
        <v>1657</v>
      </c>
    </row>
    <row r="1112" spans="1:36" ht="15" customHeight="1" x14ac:dyDescent="0.3">
      <c r="A1112" s="16" t="s">
        <v>273</v>
      </c>
      <c r="B1112" s="16" t="s">
        <v>695</v>
      </c>
      <c r="C1112" s="16" t="s">
        <v>1524</v>
      </c>
      <c r="D1112" s="16" t="s">
        <v>324</v>
      </c>
      <c r="E1112" s="16" t="s">
        <v>404</v>
      </c>
      <c r="F1112" s="16" t="s">
        <v>401</v>
      </c>
      <c r="G1112" s="16">
        <v>0.8</v>
      </c>
      <c r="H1112" s="16">
        <v>2691</v>
      </c>
      <c r="I1112" s="16">
        <v>113</v>
      </c>
      <c r="J1112" s="16">
        <v>112</v>
      </c>
      <c r="K1112" s="16">
        <v>-1.3381095599811099E-2</v>
      </c>
      <c r="L1112" s="16">
        <v>1.1717708115067499E-2</v>
      </c>
      <c r="M1112" s="16">
        <v>-1.1419550195660499</v>
      </c>
      <c r="N1112" s="16">
        <v>26.793932071419601</v>
      </c>
      <c r="O1112" s="16">
        <v>0.26357562228652898</v>
      </c>
      <c r="P1112" s="16"/>
      <c r="Q1112" s="16"/>
      <c r="R1112" s="16"/>
      <c r="S1112" s="16"/>
      <c r="T1112" s="16"/>
      <c r="U1112" s="16"/>
      <c r="V1112" s="16"/>
      <c r="W1112" s="16"/>
      <c r="X1112" s="16"/>
      <c r="Y1112" s="16"/>
      <c r="Z1112" s="16"/>
      <c r="AA1112" s="16"/>
      <c r="AB1112" s="16"/>
      <c r="AC1112" s="16"/>
      <c r="AD1112" s="16"/>
      <c r="AE1112" s="16"/>
      <c r="AF1112" s="16"/>
      <c r="AG1112" s="16"/>
      <c r="AH1112" s="16" t="s">
        <v>402</v>
      </c>
      <c r="AI1112" s="16"/>
      <c r="AJ1112" s="16" t="s">
        <v>1658</v>
      </c>
    </row>
    <row r="1113" spans="1:36" ht="15" customHeight="1" x14ac:dyDescent="0.3">
      <c r="A1113" s="16" t="s">
        <v>273</v>
      </c>
      <c r="B1113" s="16" t="s">
        <v>697</v>
      </c>
      <c r="C1113" s="16" t="s">
        <v>1524</v>
      </c>
      <c r="D1113" s="16" t="s">
        <v>324</v>
      </c>
      <c r="E1113" s="16" t="s">
        <v>404</v>
      </c>
      <c r="F1113" s="16" t="s">
        <v>401</v>
      </c>
      <c r="G1113" s="16">
        <v>0.8</v>
      </c>
      <c r="H1113" s="16">
        <v>2691</v>
      </c>
      <c r="I1113" s="16">
        <v>113</v>
      </c>
      <c r="J1113" s="16">
        <v>112</v>
      </c>
      <c r="K1113" s="16">
        <v>-1.3872725468463701E-2</v>
      </c>
      <c r="L1113" s="16">
        <v>1.5252174661991301E-2</v>
      </c>
      <c r="M1113" s="16">
        <v>-0.90955721239115195</v>
      </c>
      <c r="N1113" s="16">
        <v>17.5744812737323</v>
      </c>
      <c r="O1113" s="16">
        <v>0.375361826484512</v>
      </c>
      <c r="P1113" s="16"/>
      <c r="Q1113" s="16"/>
      <c r="R1113" s="16"/>
      <c r="S1113" s="16"/>
      <c r="T1113" s="16"/>
      <c r="U1113" s="16"/>
      <c r="V1113" s="16"/>
      <c r="W1113" s="16"/>
      <c r="X1113" s="16"/>
      <c r="Y1113" s="16"/>
      <c r="Z1113" s="16"/>
      <c r="AA1113" s="16"/>
      <c r="AB1113" s="16"/>
      <c r="AC1113" s="16"/>
      <c r="AD1113" s="16"/>
      <c r="AE1113" s="16"/>
      <c r="AF1113" s="16"/>
      <c r="AG1113" s="16"/>
      <c r="AH1113" s="16" t="s">
        <v>402</v>
      </c>
      <c r="AI1113" s="16"/>
      <c r="AJ1113" s="16" t="s">
        <v>1659</v>
      </c>
    </row>
    <row r="1114" spans="1:36" ht="15" customHeight="1" x14ac:dyDescent="0.3">
      <c r="A1114" s="16" t="s">
        <v>273</v>
      </c>
      <c r="B1114" s="16" t="s">
        <v>699</v>
      </c>
      <c r="C1114" s="16" t="s">
        <v>1524</v>
      </c>
      <c r="D1114" s="16" t="s">
        <v>324</v>
      </c>
      <c r="E1114" s="16" t="s">
        <v>404</v>
      </c>
      <c r="F1114" s="16" t="s">
        <v>401</v>
      </c>
      <c r="G1114" s="16">
        <v>0.8</v>
      </c>
      <c r="H1114" s="16">
        <v>2691</v>
      </c>
      <c r="I1114" s="16">
        <v>113</v>
      </c>
      <c r="J1114" s="16">
        <v>112</v>
      </c>
      <c r="K1114" s="16">
        <v>-1.43910964870542E-2</v>
      </c>
      <c r="L1114" s="16">
        <v>1.6621313345328199E-2</v>
      </c>
      <c r="M1114" s="16">
        <v>-0.86582186305386899</v>
      </c>
      <c r="N1114" s="16">
        <v>14.436122019712</v>
      </c>
      <c r="O1114" s="16">
        <v>0.40074865375876101</v>
      </c>
      <c r="P1114" s="16"/>
      <c r="Q1114" s="16"/>
      <c r="R1114" s="16"/>
      <c r="S1114" s="16"/>
      <c r="T1114" s="16"/>
      <c r="U1114" s="16"/>
      <c r="V1114" s="16"/>
      <c r="W1114" s="16"/>
      <c r="X1114" s="16"/>
      <c r="Y1114" s="16"/>
      <c r="Z1114" s="16"/>
      <c r="AA1114" s="16"/>
      <c r="AB1114" s="16"/>
      <c r="AC1114" s="16"/>
      <c r="AD1114" s="16"/>
      <c r="AE1114" s="16"/>
      <c r="AF1114" s="16"/>
      <c r="AG1114" s="16"/>
      <c r="AH1114" s="16" t="s">
        <v>402</v>
      </c>
      <c r="AI1114" s="16"/>
      <c r="AJ1114" s="16" t="s">
        <v>1660</v>
      </c>
    </row>
    <row r="1115" spans="1:36" ht="15" customHeight="1" x14ac:dyDescent="0.3">
      <c r="A1115" s="16" t="s">
        <v>273</v>
      </c>
      <c r="B1115" s="16" t="s">
        <v>701</v>
      </c>
      <c r="C1115" s="16" t="s">
        <v>1524</v>
      </c>
      <c r="D1115" s="16" t="s">
        <v>324</v>
      </c>
      <c r="E1115" s="16" t="s">
        <v>404</v>
      </c>
      <c r="F1115" s="16" t="s">
        <v>401</v>
      </c>
      <c r="G1115" s="16">
        <v>0.8</v>
      </c>
      <c r="H1115" s="16">
        <v>2691</v>
      </c>
      <c r="I1115" s="16">
        <v>113</v>
      </c>
      <c r="J1115" s="16">
        <v>112</v>
      </c>
      <c r="K1115" s="16">
        <v>1.2843106651798299E-3</v>
      </c>
      <c r="L1115" s="16">
        <v>9.3199130342536407E-3</v>
      </c>
      <c r="M1115" s="16">
        <v>0.137802859367848</v>
      </c>
      <c r="N1115" s="16">
        <v>46.0760684661889</v>
      </c>
      <c r="O1115" s="16">
        <v>0.89099668199190096</v>
      </c>
      <c r="P1115" s="16"/>
      <c r="Q1115" s="16"/>
      <c r="R1115" s="16"/>
      <c r="S1115" s="16"/>
      <c r="T1115" s="16"/>
      <c r="U1115" s="16"/>
      <c r="V1115" s="16"/>
      <c r="W1115" s="16"/>
      <c r="X1115" s="16"/>
      <c r="Y1115" s="16"/>
      <c r="Z1115" s="16"/>
      <c r="AA1115" s="16"/>
      <c r="AB1115" s="16"/>
      <c r="AC1115" s="16"/>
      <c r="AD1115" s="16"/>
      <c r="AE1115" s="16"/>
      <c r="AF1115" s="16"/>
      <c r="AG1115" s="16"/>
      <c r="AH1115" s="16" t="s">
        <v>402</v>
      </c>
      <c r="AI1115" s="16"/>
      <c r="AJ1115" s="16" t="s">
        <v>1661</v>
      </c>
    </row>
    <row r="1116" spans="1:36" ht="15" customHeight="1" x14ac:dyDescent="0.3">
      <c r="A1116" s="16" t="s">
        <v>273</v>
      </c>
      <c r="B1116" s="16" t="s">
        <v>703</v>
      </c>
      <c r="C1116" s="16" t="s">
        <v>1524</v>
      </c>
      <c r="D1116" s="16" t="s">
        <v>324</v>
      </c>
      <c r="E1116" s="16" t="s">
        <v>404</v>
      </c>
      <c r="F1116" s="16" t="s">
        <v>401</v>
      </c>
      <c r="G1116" s="16">
        <v>0.8</v>
      </c>
      <c r="H1116" s="16">
        <v>2691</v>
      </c>
      <c r="I1116" s="16">
        <v>113</v>
      </c>
      <c r="J1116" s="16">
        <v>112</v>
      </c>
      <c r="K1116" s="16">
        <v>9.6277485602528495E-3</v>
      </c>
      <c r="L1116" s="16">
        <v>8.9688783895493403E-3</v>
      </c>
      <c r="M1116" s="16">
        <v>1.07346182455448</v>
      </c>
      <c r="N1116" s="16">
        <v>61.6309802274763</v>
      </c>
      <c r="O1116" s="16">
        <v>0.28724906800419098</v>
      </c>
      <c r="P1116" s="16"/>
      <c r="Q1116" s="16"/>
      <c r="R1116" s="16"/>
      <c r="S1116" s="16"/>
      <c r="T1116" s="16"/>
      <c r="U1116" s="16"/>
      <c r="V1116" s="16"/>
      <c r="W1116" s="16"/>
      <c r="X1116" s="16"/>
      <c r="Y1116" s="16"/>
      <c r="Z1116" s="16"/>
      <c r="AA1116" s="16"/>
      <c r="AB1116" s="16"/>
      <c r="AC1116" s="16"/>
      <c r="AD1116" s="16"/>
      <c r="AE1116" s="16"/>
      <c r="AF1116" s="16"/>
      <c r="AG1116" s="16"/>
      <c r="AH1116" s="16" t="s">
        <v>402</v>
      </c>
      <c r="AI1116" s="16"/>
      <c r="AJ1116" s="16" t="s">
        <v>1662</v>
      </c>
    </row>
    <row r="1117" spans="1:36" ht="15" customHeight="1" x14ac:dyDescent="0.3">
      <c r="A1117" s="16" t="s">
        <v>273</v>
      </c>
      <c r="B1117" s="16" t="s">
        <v>705</v>
      </c>
      <c r="C1117" s="16" t="s">
        <v>1524</v>
      </c>
      <c r="D1117" s="16" t="s">
        <v>324</v>
      </c>
      <c r="E1117" s="16" t="s">
        <v>404</v>
      </c>
      <c r="F1117" s="16" t="s">
        <v>401</v>
      </c>
      <c r="G1117" s="16">
        <v>0.8</v>
      </c>
      <c r="H1117" s="16">
        <v>2691</v>
      </c>
      <c r="I1117" s="16">
        <v>113</v>
      </c>
      <c r="J1117" s="16">
        <v>112</v>
      </c>
      <c r="K1117" s="16">
        <v>-1.5492787702745499E-3</v>
      </c>
      <c r="L1117" s="16">
        <v>9.1708533136946793E-3</v>
      </c>
      <c r="M1117" s="16">
        <v>-0.16893507259144999</v>
      </c>
      <c r="N1117" s="16">
        <v>70.613755165897203</v>
      </c>
      <c r="O1117" s="16">
        <v>0.86633069912238703</v>
      </c>
      <c r="P1117" s="16"/>
      <c r="Q1117" s="16"/>
      <c r="R1117" s="16"/>
      <c r="S1117" s="16"/>
      <c r="T1117" s="16"/>
      <c r="U1117" s="16"/>
      <c r="V1117" s="16"/>
      <c r="W1117" s="16"/>
      <c r="X1117" s="16"/>
      <c r="Y1117" s="16"/>
      <c r="Z1117" s="16"/>
      <c r="AA1117" s="16"/>
      <c r="AB1117" s="16"/>
      <c r="AC1117" s="16"/>
      <c r="AD1117" s="16"/>
      <c r="AE1117" s="16"/>
      <c r="AF1117" s="16"/>
      <c r="AG1117" s="16"/>
      <c r="AH1117" s="16" t="s">
        <v>402</v>
      </c>
      <c r="AI1117" s="16"/>
      <c r="AJ1117" s="16" t="s">
        <v>1663</v>
      </c>
    </row>
    <row r="1118" spans="1:36" ht="15" customHeight="1" x14ac:dyDescent="0.3">
      <c r="A1118" s="16" t="s">
        <v>273</v>
      </c>
      <c r="B1118" s="16" t="s">
        <v>707</v>
      </c>
      <c r="C1118" s="16" t="s">
        <v>1524</v>
      </c>
      <c r="D1118" s="16" t="s">
        <v>324</v>
      </c>
      <c r="E1118" s="16" t="s">
        <v>404</v>
      </c>
      <c r="F1118" s="16" t="s">
        <v>401</v>
      </c>
      <c r="G1118" s="16">
        <v>0.8</v>
      </c>
      <c r="H1118" s="16">
        <v>924</v>
      </c>
      <c r="I1118" s="16">
        <v>40</v>
      </c>
      <c r="J1118" s="16">
        <v>40</v>
      </c>
      <c r="K1118" s="16">
        <v>-2.2922186621234599E-2</v>
      </c>
      <c r="L1118" s="16">
        <v>2.0376045506915502E-2</v>
      </c>
      <c r="M1118" s="16">
        <v>-1.12495756909528</v>
      </c>
      <c r="N1118" s="16">
        <v>23.813317795417799</v>
      </c>
      <c r="O1118" s="16">
        <v>0.27181848898458599</v>
      </c>
      <c r="P1118" s="16"/>
      <c r="Q1118" s="16"/>
      <c r="R1118" s="16"/>
      <c r="S1118" s="16"/>
      <c r="T1118" s="16"/>
      <c r="U1118" s="16"/>
      <c r="V1118" s="16"/>
      <c r="W1118" s="16"/>
      <c r="X1118" s="16"/>
      <c r="Y1118" s="16"/>
      <c r="Z1118" s="16"/>
      <c r="AA1118" s="16"/>
      <c r="AB1118" s="16"/>
      <c r="AC1118" s="16"/>
      <c r="AD1118" s="16"/>
      <c r="AE1118" s="16"/>
      <c r="AF1118" s="16"/>
      <c r="AG1118" s="16"/>
      <c r="AH1118" s="16" t="s">
        <v>402</v>
      </c>
      <c r="AI1118" s="16"/>
      <c r="AJ1118" s="16" t="s">
        <v>1664</v>
      </c>
    </row>
    <row r="1119" spans="1:36" ht="15" customHeight="1" x14ac:dyDescent="0.3">
      <c r="A1119" s="16" t="s">
        <v>273</v>
      </c>
      <c r="B1119" s="16" t="s">
        <v>709</v>
      </c>
      <c r="C1119" s="16" t="s">
        <v>1524</v>
      </c>
      <c r="D1119" s="16" t="s">
        <v>324</v>
      </c>
      <c r="E1119" s="16" t="s">
        <v>404</v>
      </c>
      <c r="F1119" s="16" t="s">
        <v>401</v>
      </c>
      <c r="G1119" s="16">
        <v>0.8</v>
      </c>
      <c r="H1119" s="16">
        <v>2704</v>
      </c>
      <c r="I1119" s="16">
        <v>113</v>
      </c>
      <c r="J1119" s="16">
        <v>112</v>
      </c>
      <c r="K1119" s="16">
        <v>-1.09635009678484E-2</v>
      </c>
      <c r="L1119" s="16">
        <v>1.1082610057102101E-2</v>
      </c>
      <c r="M1119" s="16">
        <v>-0.989252613902324</v>
      </c>
      <c r="N1119" s="16">
        <v>36.935381079538502</v>
      </c>
      <c r="O1119" s="16">
        <v>0.32897622300913598</v>
      </c>
      <c r="P1119" s="16"/>
      <c r="Q1119" s="16"/>
      <c r="R1119" s="16"/>
      <c r="S1119" s="16"/>
      <c r="T1119" s="16"/>
      <c r="U1119" s="16"/>
      <c r="V1119" s="16"/>
      <c r="W1119" s="16"/>
      <c r="X1119" s="16"/>
      <c r="Y1119" s="16"/>
      <c r="Z1119" s="16"/>
      <c r="AA1119" s="16"/>
      <c r="AB1119" s="16"/>
      <c r="AC1119" s="16"/>
      <c r="AD1119" s="16"/>
      <c r="AE1119" s="16"/>
      <c r="AF1119" s="16"/>
      <c r="AG1119" s="16"/>
      <c r="AH1119" s="16" t="s">
        <v>402</v>
      </c>
      <c r="AI1119" s="16"/>
      <c r="AJ1119" s="16" t="s">
        <v>1665</v>
      </c>
    </row>
    <row r="1120" spans="1:36" ht="15" customHeight="1" x14ac:dyDescent="0.3">
      <c r="A1120" s="16" t="s">
        <v>273</v>
      </c>
      <c r="B1120" s="16" t="s">
        <v>711</v>
      </c>
      <c r="C1120" s="16" t="s">
        <v>1524</v>
      </c>
      <c r="D1120" s="16" t="s">
        <v>324</v>
      </c>
      <c r="E1120" s="16" t="s">
        <v>404</v>
      </c>
      <c r="F1120" s="16" t="s">
        <v>401</v>
      </c>
      <c r="G1120" s="16">
        <v>0.8</v>
      </c>
      <c r="H1120" s="16">
        <v>2704</v>
      </c>
      <c r="I1120" s="16">
        <v>113</v>
      </c>
      <c r="J1120" s="16">
        <v>112</v>
      </c>
      <c r="K1120" s="16">
        <v>-8.8012928793547007E-3</v>
      </c>
      <c r="L1120" s="16">
        <v>1.14613166839166E-2</v>
      </c>
      <c r="M1120" s="16">
        <v>-0.76791289535741702</v>
      </c>
      <c r="N1120" s="16">
        <v>28.148126543435101</v>
      </c>
      <c r="O1120" s="16">
        <v>0.44893343104572597</v>
      </c>
      <c r="P1120" s="16"/>
      <c r="Q1120" s="16"/>
      <c r="R1120" s="16"/>
      <c r="S1120" s="16"/>
      <c r="T1120" s="16"/>
      <c r="U1120" s="16"/>
      <c r="V1120" s="16"/>
      <c r="W1120" s="16"/>
      <c r="X1120" s="16"/>
      <c r="Y1120" s="16"/>
      <c r="Z1120" s="16"/>
      <c r="AA1120" s="16"/>
      <c r="AB1120" s="16"/>
      <c r="AC1120" s="16"/>
      <c r="AD1120" s="16"/>
      <c r="AE1120" s="16"/>
      <c r="AF1120" s="16"/>
      <c r="AG1120" s="16"/>
      <c r="AH1120" s="16" t="s">
        <v>402</v>
      </c>
      <c r="AI1120" s="16"/>
      <c r="AJ1120" s="16" t="s">
        <v>1666</v>
      </c>
    </row>
    <row r="1121" spans="1:36" ht="15" customHeight="1" x14ac:dyDescent="0.3">
      <c r="A1121" s="16" t="s">
        <v>273</v>
      </c>
      <c r="B1121" s="16" t="s">
        <v>713</v>
      </c>
      <c r="C1121" s="16" t="s">
        <v>1524</v>
      </c>
      <c r="D1121" s="16" t="s">
        <v>324</v>
      </c>
      <c r="E1121" s="16" t="s">
        <v>404</v>
      </c>
      <c r="F1121" s="16" t="s">
        <v>401</v>
      </c>
      <c r="G1121" s="16">
        <v>0.8</v>
      </c>
      <c r="H1121" s="16">
        <v>2704</v>
      </c>
      <c r="I1121" s="16">
        <v>113</v>
      </c>
      <c r="J1121" s="16">
        <v>112</v>
      </c>
      <c r="K1121" s="16">
        <v>1.7441220155927E-3</v>
      </c>
      <c r="L1121" s="16">
        <v>1.0577713124932501E-2</v>
      </c>
      <c r="M1121" s="16">
        <v>0.16488649247649501</v>
      </c>
      <c r="N1121" s="16">
        <v>35.321246079602098</v>
      </c>
      <c r="O1121" s="16">
        <v>0.86997337825168997</v>
      </c>
      <c r="P1121" s="16"/>
      <c r="Q1121" s="16"/>
      <c r="R1121" s="16"/>
      <c r="S1121" s="16"/>
      <c r="T1121" s="16"/>
      <c r="U1121" s="16"/>
      <c r="V1121" s="16"/>
      <c r="W1121" s="16"/>
      <c r="X1121" s="16"/>
      <c r="Y1121" s="16"/>
      <c r="Z1121" s="16"/>
      <c r="AA1121" s="16"/>
      <c r="AB1121" s="16"/>
      <c r="AC1121" s="16"/>
      <c r="AD1121" s="16"/>
      <c r="AE1121" s="16"/>
      <c r="AF1121" s="16"/>
      <c r="AG1121" s="16"/>
      <c r="AH1121" s="16" t="s">
        <v>402</v>
      </c>
      <c r="AI1121" s="16"/>
      <c r="AJ1121" s="16" t="s">
        <v>1667</v>
      </c>
    </row>
    <row r="1122" spans="1:36" ht="15" customHeight="1" x14ac:dyDescent="0.3">
      <c r="A1122" s="16" t="s">
        <v>273</v>
      </c>
      <c r="B1122" s="16" t="s">
        <v>715</v>
      </c>
      <c r="C1122" s="16" t="s">
        <v>1524</v>
      </c>
      <c r="D1122" s="16" t="s">
        <v>324</v>
      </c>
      <c r="E1122" s="16" t="s">
        <v>404</v>
      </c>
      <c r="F1122" s="16" t="s">
        <v>401</v>
      </c>
      <c r="G1122" s="16">
        <v>0.8</v>
      </c>
      <c r="H1122" s="16">
        <v>2704</v>
      </c>
      <c r="I1122" s="16">
        <v>113</v>
      </c>
      <c r="J1122" s="16">
        <v>112</v>
      </c>
      <c r="K1122" s="16">
        <v>-9.2338386174876195E-3</v>
      </c>
      <c r="L1122" s="16">
        <v>1.19619244689368E-2</v>
      </c>
      <c r="M1122" s="16">
        <v>-0.77193587381916995</v>
      </c>
      <c r="N1122" s="16">
        <v>24.556338040847201</v>
      </c>
      <c r="O1122" s="16">
        <v>0.44751809395137099</v>
      </c>
      <c r="P1122" s="16"/>
      <c r="Q1122" s="16"/>
      <c r="R1122" s="16"/>
      <c r="S1122" s="16"/>
      <c r="T1122" s="16"/>
      <c r="U1122" s="16"/>
      <c r="V1122" s="16"/>
      <c r="W1122" s="16"/>
      <c r="X1122" s="16"/>
      <c r="Y1122" s="16"/>
      <c r="Z1122" s="16"/>
      <c r="AA1122" s="16"/>
      <c r="AB1122" s="16"/>
      <c r="AC1122" s="16"/>
      <c r="AD1122" s="16"/>
      <c r="AE1122" s="16"/>
      <c r="AF1122" s="16"/>
      <c r="AG1122" s="16"/>
      <c r="AH1122" s="16" t="s">
        <v>402</v>
      </c>
      <c r="AI1122" s="16"/>
      <c r="AJ1122" s="16" t="s">
        <v>1668</v>
      </c>
    </row>
    <row r="1123" spans="1:36" ht="15" customHeight="1" x14ac:dyDescent="0.3">
      <c r="A1123" s="16" t="s">
        <v>273</v>
      </c>
      <c r="B1123" s="16" t="s">
        <v>717</v>
      </c>
      <c r="C1123" s="16" t="s">
        <v>1524</v>
      </c>
      <c r="D1123" s="16" t="s">
        <v>324</v>
      </c>
      <c r="E1123" s="16" t="s">
        <v>404</v>
      </c>
      <c r="F1123" s="16" t="s">
        <v>401</v>
      </c>
      <c r="G1123" s="16">
        <v>0.8</v>
      </c>
      <c r="H1123" s="16">
        <v>2704</v>
      </c>
      <c r="I1123" s="16">
        <v>113</v>
      </c>
      <c r="J1123" s="16">
        <v>112</v>
      </c>
      <c r="K1123" s="16">
        <v>-1.0420671086790101E-2</v>
      </c>
      <c r="L1123" s="16">
        <v>1.5455114834198499E-2</v>
      </c>
      <c r="M1123" s="16">
        <v>-0.67425387637570799</v>
      </c>
      <c r="N1123" s="16">
        <v>17.727545737625999</v>
      </c>
      <c r="O1123" s="16">
        <v>0.50884761855884797</v>
      </c>
      <c r="P1123" s="16"/>
      <c r="Q1123" s="16"/>
      <c r="R1123" s="16"/>
      <c r="S1123" s="16"/>
      <c r="T1123" s="16"/>
      <c r="U1123" s="16"/>
      <c r="V1123" s="16"/>
      <c r="W1123" s="16"/>
      <c r="X1123" s="16"/>
      <c r="Y1123" s="16"/>
      <c r="Z1123" s="16"/>
      <c r="AA1123" s="16"/>
      <c r="AB1123" s="16"/>
      <c r="AC1123" s="16"/>
      <c r="AD1123" s="16"/>
      <c r="AE1123" s="16"/>
      <c r="AF1123" s="16"/>
      <c r="AG1123" s="16"/>
      <c r="AH1123" s="16" t="s">
        <v>402</v>
      </c>
      <c r="AI1123" s="16"/>
      <c r="AJ1123" s="16" t="s">
        <v>1669</v>
      </c>
    </row>
    <row r="1124" spans="1:36" ht="15" customHeight="1" x14ac:dyDescent="0.3">
      <c r="A1124" s="16" t="s">
        <v>273</v>
      </c>
      <c r="B1124" s="16" t="s">
        <v>719</v>
      </c>
      <c r="C1124" s="16" t="s">
        <v>1524</v>
      </c>
      <c r="D1124" s="16" t="s">
        <v>324</v>
      </c>
      <c r="E1124" s="16" t="s">
        <v>404</v>
      </c>
      <c r="F1124" s="16" t="s">
        <v>401</v>
      </c>
      <c r="G1124" s="16">
        <v>0.8</v>
      </c>
      <c r="H1124" s="16">
        <v>2704</v>
      </c>
      <c r="I1124" s="16">
        <v>113</v>
      </c>
      <c r="J1124" s="16">
        <v>112</v>
      </c>
      <c r="K1124" s="16">
        <v>-1.0723866943439299E-2</v>
      </c>
      <c r="L1124" s="16">
        <v>1.6877512787643899E-2</v>
      </c>
      <c r="M1124" s="16">
        <v>-0.63539379755589898</v>
      </c>
      <c r="N1124" s="16">
        <v>14.5614894722851</v>
      </c>
      <c r="O1124" s="16">
        <v>0.53502993538210897</v>
      </c>
      <c r="P1124" s="16"/>
      <c r="Q1124" s="16"/>
      <c r="R1124" s="16"/>
      <c r="S1124" s="16"/>
      <c r="T1124" s="16"/>
      <c r="U1124" s="16"/>
      <c r="V1124" s="16"/>
      <c r="W1124" s="16"/>
      <c r="X1124" s="16"/>
      <c r="Y1124" s="16"/>
      <c r="Z1124" s="16"/>
      <c r="AA1124" s="16"/>
      <c r="AB1124" s="16"/>
      <c r="AC1124" s="16"/>
      <c r="AD1124" s="16"/>
      <c r="AE1124" s="16"/>
      <c r="AF1124" s="16"/>
      <c r="AG1124" s="16"/>
      <c r="AH1124" s="16" t="s">
        <v>402</v>
      </c>
      <c r="AI1124" s="16"/>
      <c r="AJ1124" s="16" t="s">
        <v>1670</v>
      </c>
    </row>
    <row r="1125" spans="1:36" ht="15" customHeight="1" x14ac:dyDescent="0.3">
      <c r="A1125" s="16" t="s">
        <v>273</v>
      </c>
      <c r="B1125" s="16" t="s">
        <v>721</v>
      </c>
      <c r="C1125" s="16" t="s">
        <v>1524</v>
      </c>
      <c r="D1125" s="16" t="s">
        <v>324</v>
      </c>
      <c r="E1125" s="16" t="s">
        <v>404</v>
      </c>
      <c r="F1125" s="16" t="s">
        <v>401</v>
      </c>
      <c r="G1125" s="16">
        <v>0.8</v>
      </c>
      <c r="H1125" s="16">
        <v>2704</v>
      </c>
      <c r="I1125" s="16">
        <v>113</v>
      </c>
      <c r="J1125" s="16">
        <v>112</v>
      </c>
      <c r="K1125" s="16">
        <v>4.4703427915298204E-3</v>
      </c>
      <c r="L1125" s="16">
        <v>9.4217097392701593E-3</v>
      </c>
      <c r="M1125" s="16">
        <v>0.474472565515069</v>
      </c>
      <c r="N1125" s="16">
        <v>41.803755685855002</v>
      </c>
      <c r="O1125" s="16">
        <v>0.63763220695059797</v>
      </c>
      <c r="P1125" s="16"/>
      <c r="Q1125" s="16"/>
      <c r="R1125" s="16"/>
      <c r="S1125" s="16"/>
      <c r="T1125" s="16"/>
      <c r="U1125" s="16"/>
      <c r="V1125" s="16"/>
      <c r="W1125" s="16"/>
      <c r="X1125" s="16"/>
      <c r="Y1125" s="16"/>
      <c r="Z1125" s="16"/>
      <c r="AA1125" s="16"/>
      <c r="AB1125" s="16"/>
      <c r="AC1125" s="16"/>
      <c r="AD1125" s="16"/>
      <c r="AE1125" s="16"/>
      <c r="AF1125" s="16"/>
      <c r="AG1125" s="16"/>
      <c r="AH1125" s="16" t="s">
        <v>402</v>
      </c>
      <c r="AI1125" s="16"/>
      <c r="AJ1125" s="16" t="s">
        <v>1671</v>
      </c>
    </row>
    <row r="1126" spans="1:36" ht="15" customHeight="1" x14ac:dyDescent="0.3">
      <c r="A1126" s="16" t="s">
        <v>273</v>
      </c>
      <c r="B1126" s="16" t="s">
        <v>723</v>
      </c>
      <c r="C1126" s="16" t="s">
        <v>1524</v>
      </c>
      <c r="D1126" s="16" t="s">
        <v>324</v>
      </c>
      <c r="E1126" s="16" t="s">
        <v>404</v>
      </c>
      <c r="F1126" s="16" t="s">
        <v>401</v>
      </c>
      <c r="G1126" s="16">
        <v>0.8</v>
      </c>
      <c r="H1126" s="16">
        <v>2704</v>
      </c>
      <c r="I1126" s="16">
        <v>113</v>
      </c>
      <c r="J1126" s="16">
        <v>112</v>
      </c>
      <c r="K1126" s="16">
        <v>1.61915566951529E-2</v>
      </c>
      <c r="L1126" s="16">
        <v>9.2161078817543894E-3</v>
      </c>
      <c r="M1126" s="16">
        <v>1.7568757769435499</v>
      </c>
      <c r="N1126" s="16">
        <v>55.9546594004578</v>
      </c>
      <c r="O1126" s="16">
        <v>8.4409777910358502E-2</v>
      </c>
      <c r="P1126" s="16"/>
      <c r="Q1126" s="16"/>
      <c r="R1126" s="16"/>
      <c r="S1126" s="16"/>
      <c r="T1126" s="16"/>
      <c r="U1126" s="16"/>
      <c r="V1126" s="16"/>
      <c r="W1126" s="16"/>
      <c r="X1126" s="16"/>
      <c r="Y1126" s="16"/>
      <c r="Z1126" s="16"/>
      <c r="AA1126" s="16"/>
      <c r="AB1126" s="16"/>
      <c r="AC1126" s="16"/>
      <c r="AD1126" s="16"/>
      <c r="AE1126" s="16"/>
      <c r="AF1126" s="16"/>
      <c r="AG1126" s="16"/>
      <c r="AH1126" s="16" t="s">
        <v>402</v>
      </c>
      <c r="AI1126" s="16"/>
      <c r="AJ1126" s="16" t="s">
        <v>1672</v>
      </c>
    </row>
    <row r="1127" spans="1:36" ht="15" customHeight="1" x14ac:dyDescent="0.3">
      <c r="A1127" s="16" t="s">
        <v>273</v>
      </c>
      <c r="B1127" s="16" t="s">
        <v>725</v>
      </c>
      <c r="C1127" s="16" t="s">
        <v>1524</v>
      </c>
      <c r="D1127" s="16" t="s">
        <v>324</v>
      </c>
      <c r="E1127" s="16" t="s">
        <v>404</v>
      </c>
      <c r="F1127" s="16" t="s">
        <v>401</v>
      </c>
      <c r="G1127" s="16">
        <v>0.8</v>
      </c>
      <c r="H1127" s="16">
        <v>2704</v>
      </c>
      <c r="I1127" s="16">
        <v>113</v>
      </c>
      <c r="J1127" s="16">
        <v>112</v>
      </c>
      <c r="K1127" s="16">
        <v>4.3138783663767199E-3</v>
      </c>
      <c r="L1127" s="16">
        <v>9.19785974437402E-3</v>
      </c>
      <c r="M1127" s="16">
        <v>0.46900893101956198</v>
      </c>
      <c r="N1127" s="16">
        <v>62.740373912714503</v>
      </c>
      <c r="O1127" s="16">
        <v>0.64068895035740603</v>
      </c>
      <c r="P1127" s="16"/>
      <c r="Q1127" s="16"/>
      <c r="R1127" s="16"/>
      <c r="S1127" s="16"/>
      <c r="T1127" s="16"/>
      <c r="U1127" s="16"/>
      <c r="V1127" s="16"/>
      <c r="W1127" s="16"/>
      <c r="X1127" s="16"/>
      <c r="Y1127" s="16"/>
      <c r="Z1127" s="16"/>
      <c r="AA1127" s="16"/>
      <c r="AB1127" s="16"/>
      <c r="AC1127" s="16"/>
      <c r="AD1127" s="16"/>
      <c r="AE1127" s="16"/>
      <c r="AF1127" s="16"/>
      <c r="AG1127" s="16"/>
      <c r="AH1127" s="16" t="s">
        <v>402</v>
      </c>
      <c r="AI1127" s="16"/>
      <c r="AJ1127" s="16" t="s">
        <v>1673</v>
      </c>
    </row>
    <row r="1128" spans="1:36" ht="15" customHeight="1" x14ac:dyDescent="0.3">
      <c r="A1128" s="16" t="s">
        <v>273</v>
      </c>
      <c r="B1128" s="16" t="s">
        <v>727</v>
      </c>
      <c r="C1128" s="16" t="s">
        <v>1524</v>
      </c>
      <c r="D1128" s="16" t="s">
        <v>324</v>
      </c>
      <c r="E1128" s="16" t="s">
        <v>404</v>
      </c>
      <c r="F1128" s="16" t="s">
        <v>401</v>
      </c>
      <c r="G1128" s="16">
        <v>0.8</v>
      </c>
      <c r="H1128" s="16">
        <v>929</v>
      </c>
      <c r="I1128" s="16">
        <v>40</v>
      </c>
      <c r="J1128" s="16">
        <v>40</v>
      </c>
      <c r="K1128" s="16">
        <v>-1.6929381130721601E-2</v>
      </c>
      <c r="L1128" s="16">
        <v>1.9175312598355899E-2</v>
      </c>
      <c r="M1128" s="16">
        <v>-0.88287380160744799</v>
      </c>
      <c r="N1128" s="16">
        <v>23.5018080490931</v>
      </c>
      <c r="O1128" s="16">
        <v>0.38624632889551402</v>
      </c>
      <c r="P1128" s="16"/>
      <c r="Q1128" s="16"/>
      <c r="R1128" s="16"/>
      <c r="S1128" s="16"/>
      <c r="T1128" s="16"/>
      <c r="U1128" s="16"/>
      <c r="V1128" s="16"/>
      <c r="W1128" s="16"/>
      <c r="X1128" s="16"/>
      <c r="Y1128" s="16"/>
      <c r="Z1128" s="16"/>
      <c r="AA1128" s="16"/>
      <c r="AB1128" s="16"/>
      <c r="AC1128" s="16"/>
      <c r="AD1128" s="16"/>
      <c r="AE1128" s="16"/>
      <c r="AF1128" s="16"/>
      <c r="AG1128" s="16"/>
      <c r="AH1128" s="16" t="s">
        <v>402</v>
      </c>
      <c r="AI1128" s="16"/>
      <c r="AJ1128" s="16" t="s">
        <v>1674</v>
      </c>
    </row>
    <row r="1129" spans="1:36" ht="15" customHeight="1" x14ac:dyDescent="0.3">
      <c r="A1129" s="16" t="s">
        <v>273</v>
      </c>
      <c r="B1129" s="16" t="s">
        <v>729</v>
      </c>
      <c r="C1129" s="16" t="s">
        <v>1524</v>
      </c>
      <c r="D1129" s="16" t="s">
        <v>324</v>
      </c>
      <c r="E1129" s="16" t="s">
        <v>404</v>
      </c>
      <c r="F1129" s="16" t="s">
        <v>401</v>
      </c>
      <c r="G1129" s="16">
        <v>0.8</v>
      </c>
      <c r="H1129" s="16">
        <v>2606</v>
      </c>
      <c r="I1129" s="16">
        <v>110</v>
      </c>
      <c r="J1129" s="16">
        <v>109</v>
      </c>
      <c r="K1129" s="16">
        <v>5.1503675209906997E-3</v>
      </c>
      <c r="L1129" s="16">
        <v>1.9363618794257E-2</v>
      </c>
      <c r="M1129" s="16">
        <v>0.26598166260731398</v>
      </c>
      <c r="N1129" s="16">
        <v>14.4256251331838</v>
      </c>
      <c r="O1129" s="16">
        <v>0.794017170219248</v>
      </c>
      <c r="P1129" s="16"/>
      <c r="Q1129" s="16"/>
      <c r="R1129" s="16"/>
      <c r="S1129" s="16"/>
      <c r="T1129" s="16"/>
      <c r="U1129" s="16"/>
      <c r="V1129" s="16"/>
      <c r="W1129" s="16"/>
      <c r="X1129" s="16"/>
      <c r="Y1129" s="16"/>
      <c r="Z1129" s="16"/>
      <c r="AA1129" s="16"/>
      <c r="AB1129" s="16"/>
      <c r="AC1129" s="16"/>
      <c r="AD1129" s="16"/>
      <c r="AE1129" s="16"/>
      <c r="AF1129" s="16"/>
      <c r="AG1129" s="16"/>
      <c r="AH1129" s="16" t="s">
        <v>402</v>
      </c>
      <c r="AI1129" s="16"/>
      <c r="AJ1129" s="16" t="s">
        <v>1675</v>
      </c>
    </row>
    <row r="1130" spans="1:36" ht="15" customHeight="1" x14ac:dyDescent="0.3">
      <c r="A1130" s="16" t="s">
        <v>273</v>
      </c>
      <c r="B1130" s="16" t="s">
        <v>731</v>
      </c>
      <c r="C1130" s="16" t="s">
        <v>1524</v>
      </c>
      <c r="D1130" s="16" t="s">
        <v>324</v>
      </c>
      <c r="E1130" s="16" t="s">
        <v>404</v>
      </c>
      <c r="F1130" s="16" t="s">
        <v>401</v>
      </c>
      <c r="G1130" s="16">
        <v>0.8</v>
      </c>
      <c r="H1130" s="16">
        <v>2606</v>
      </c>
      <c r="I1130" s="16">
        <v>110</v>
      </c>
      <c r="J1130" s="16">
        <v>109</v>
      </c>
      <c r="K1130" s="16">
        <v>4.9212720881170501E-3</v>
      </c>
      <c r="L1130" s="16">
        <v>1.9059886667958399E-2</v>
      </c>
      <c r="M1130" s="16">
        <v>0.25820049058267602</v>
      </c>
      <c r="N1130" s="16">
        <v>11.832481074629801</v>
      </c>
      <c r="O1130" s="16">
        <v>0.80068841089742804</v>
      </c>
      <c r="P1130" s="16"/>
      <c r="Q1130" s="16"/>
      <c r="R1130" s="16"/>
      <c r="S1130" s="16"/>
      <c r="T1130" s="16"/>
      <c r="U1130" s="16"/>
      <c r="V1130" s="16"/>
      <c r="W1130" s="16"/>
      <c r="X1130" s="16"/>
      <c r="Y1130" s="16"/>
      <c r="Z1130" s="16"/>
      <c r="AA1130" s="16"/>
      <c r="AB1130" s="16"/>
      <c r="AC1130" s="16"/>
      <c r="AD1130" s="16"/>
      <c r="AE1130" s="16"/>
      <c r="AF1130" s="16"/>
      <c r="AG1130" s="16"/>
      <c r="AH1130" s="16" t="s">
        <v>402</v>
      </c>
      <c r="AI1130" s="16"/>
      <c r="AJ1130" s="16" t="s">
        <v>1676</v>
      </c>
    </row>
    <row r="1131" spans="1:36" ht="15" customHeight="1" x14ac:dyDescent="0.3">
      <c r="A1131" s="16" t="s">
        <v>273</v>
      </c>
      <c r="B1131" s="16" t="s">
        <v>733</v>
      </c>
      <c r="C1131" s="16" t="s">
        <v>1524</v>
      </c>
      <c r="D1131" s="16" t="s">
        <v>324</v>
      </c>
      <c r="E1131" s="16" t="s">
        <v>404</v>
      </c>
      <c r="F1131" s="16" t="s">
        <v>401</v>
      </c>
      <c r="G1131" s="16">
        <v>0.8</v>
      </c>
      <c r="H1131" s="16">
        <v>2606</v>
      </c>
      <c r="I1131" s="16">
        <v>110</v>
      </c>
      <c r="J1131" s="16">
        <v>109</v>
      </c>
      <c r="K1131" s="16">
        <v>-1.9253691058594001E-2</v>
      </c>
      <c r="L1131" s="16">
        <v>2.22222149276863E-2</v>
      </c>
      <c r="M1131" s="16">
        <v>-0.86641638204147298</v>
      </c>
      <c r="N1131" s="16">
        <v>37.053254551627198</v>
      </c>
      <c r="O1131" s="16">
        <v>0.391837823842969</v>
      </c>
      <c r="P1131" s="16"/>
      <c r="Q1131" s="16"/>
      <c r="R1131" s="16"/>
      <c r="S1131" s="16"/>
      <c r="T1131" s="16"/>
      <c r="U1131" s="16"/>
      <c r="V1131" s="16"/>
      <c r="W1131" s="16"/>
      <c r="X1131" s="16"/>
      <c r="Y1131" s="16"/>
      <c r="Z1131" s="16"/>
      <c r="AA1131" s="16"/>
      <c r="AB1131" s="16"/>
      <c r="AC1131" s="16"/>
      <c r="AD1131" s="16"/>
      <c r="AE1131" s="16"/>
      <c r="AF1131" s="16"/>
      <c r="AG1131" s="16"/>
      <c r="AH1131" s="16" t="s">
        <v>402</v>
      </c>
      <c r="AI1131" s="16"/>
      <c r="AJ1131" s="16" t="s">
        <v>1677</v>
      </c>
    </row>
    <row r="1132" spans="1:36" ht="15" customHeight="1" x14ac:dyDescent="0.3">
      <c r="A1132" s="16" t="s">
        <v>273</v>
      </c>
      <c r="B1132" s="16" t="s">
        <v>735</v>
      </c>
      <c r="C1132" s="16" t="s">
        <v>1524</v>
      </c>
      <c r="D1132" s="16" t="s">
        <v>324</v>
      </c>
      <c r="E1132" s="16" t="s">
        <v>404</v>
      </c>
      <c r="F1132" s="16" t="s">
        <v>401</v>
      </c>
      <c r="G1132" s="16">
        <v>0.8</v>
      </c>
      <c r="H1132" s="16">
        <v>2606</v>
      </c>
      <c r="I1132" s="16">
        <v>110</v>
      </c>
      <c r="J1132" s="16">
        <v>109</v>
      </c>
      <c r="K1132" s="16">
        <v>3.1876686567980199E-3</v>
      </c>
      <c r="L1132" s="16">
        <v>1.9411136384940599E-2</v>
      </c>
      <c r="M1132" s="16">
        <v>0.16421854926901999</v>
      </c>
      <c r="N1132" s="16">
        <v>10.478937612452899</v>
      </c>
      <c r="O1132" s="16">
        <v>0.87268361974859199</v>
      </c>
      <c r="P1132" s="16"/>
      <c r="Q1132" s="16"/>
      <c r="R1132" s="16"/>
      <c r="S1132" s="16"/>
      <c r="T1132" s="16"/>
      <c r="U1132" s="16"/>
      <c r="V1132" s="16"/>
      <c r="W1132" s="16"/>
      <c r="X1132" s="16"/>
      <c r="Y1132" s="16"/>
      <c r="Z1132" s="16"/>
      <c r="AA1132" s="16"/>
      <c r="AB1132" s="16"/>
      <c r="AC1132" s="16"/>
      <c r="AD1132" s="16"/>
      <c r="AE1132" s="16"/>
      <c r="AF1132" s="16"/>
      <c r="AG1132" s="16"/>
      <c r="AH1132" s="16" t="s">
        <v>402</v>
      </c>
      <c r="AI1132" s="16"/>
      <c r="AJ1132" s="16" t="s">
        <v>1678</v>
      </c>
    </row>
    <row r="1133" spans="1:36" ht="15" customHeight="1" x14ac:dyDescent="0.3">
      <c r="A1133" s="16" t="s">
        <v>273</v>
      </c>
      <c r="B1133" s="16" t="s">
        <v>737</v>
      </c>
      <c r="C1133" s="16" t="s">
        <v>1524</v>
      </c>
      <c r="D1133" s="16" t="s">
        <v>324</v>
      </c>
      <c r="E1133" s="16" t="s">
        <v>404</v>
      </c>
      <c r="F1133" s="16" t="s">
        <v>401</v>
      </c>
      <c r="G1133" s="16">
        <v>0.8</v>
      </c>
      <c r="H1133" s="16">
        <v>2606</v>
      </c>
      <c r="I1133" s="16">
        <v>110</v>
      </c>
      <c r="J1133" s="16">
        <v>109</v>
      </c>
      <c r="K1133" s="16">
        <v>-3.6219596392483401E-3</v>
      </c>
      <c r="L1133" s="16">
        <v>2.3127539691766199E-2</v>
      </c>
      <c r="M1133" s="16">
        <v>-0.15660808229151199</v>
      </c>
      <c r="N1133" s="16">
        <v>18.931117038436</v>
      </c>
      <c r="O1133" s="16">
        <v>0.87721180855444403</v>
      </c>
      <c r="P1133" s="16"/>
      <c r="Q1133" s="16"/>
      <c r="R1133" s="16"/>
      <c r="S1133" s="16"/>
      <c r="T1133" s="16"/>
      <c r="U1133" s="16"/>
      <c r="V1133" s="16"/>
      <c r="W1133" s="16"/>
      <c r="X1133" s="16"/>
      <c r="Y1133" s="16"/>
      <c r="Z1133" s="16"/>
      <c r="AA1133" s="16"/>
      <c r="AB1133" s="16"/>
      <c r="AC1133" s="16"/>
      <c r="AD1133" s="16"/>
      <c r="AE1133" s="16"/>
      <c r="AF1133" s="16"/>
      <c r="AG1133" s="16"/>
      <c r="AH1133" s="16" t="s">
        <v>402</v>
      </c>
      <c r="AI1133" s="16"/>
      <c r="AJ1133" s="16" t="s">
        <v>1679</v>
      </c>
    </row>
    <row r="1134" spans="1:36" ht="15" customHeight="1" x14ac:dyDescent="0.3">
      <c r="A1134" s="16" t="s">
        <v>273</v>
      </c>
      <c r="B1134" s="16" t="s">
        <v>739</v>
      </c>
      <c r="C1134" s="16" t="s">
        <v>1524</v>
      </c>
      <c r="D1134" s="16" t="s">
        <v>324</v>
      </c>
      <c r="E1134" s="16" t="s">
        <v>404</v>
      </c>
      <c r="F1134" s="16" t="s">
        <v>401</v>
      </c>
      <c r="G1134" s="16">
        <v>0.8</v>
      </c>
      <c r="H1134" s="16">
        <v>2606</v>
      </c>
      <c r="I1134" s="16">
        <v>110</v>
      </c>
      <c r="J1134" s="16">
        <v>109</v>
      </c>
      <c r="K1134" s="16">
        <v>-3.4191937113836101E-3</v>
      </c>
      <c r="L1134" s="16">
        <v>2.37639137632298E-2</v>
      </c>
      <c r="M1134" s="16">
        <v>-0.14388175893291499</v>
      </c>
      <c r="N1134" s="16">
        <v>15.5501921904557</v>
      </c>
      <c r="O1134" s="16">
        <v>0.88744193903180402</v>
      </c>
      <c r="P1134" s="16"/>
      <c r="Q1134" s="16"/>
      <c r="R1134" s="16"/>
      <c r="S1134" s="16"/>
      <c r="T1134" s="16"/>
      <c r="U1134" s="16"/>
      <c r="V1134" s="16"/>
      <c r="W1134" s="16"/>
      <c r="X1134" s="16"/>
      <c r="Y1134" s="16"/>
      <c r="Z1134" s="16"/>
      <c r="AA1134" s="16"/>
      <c r="AB1134" s="16"/>
      <c r="AC1134" s="16"/>
      <c r="AD1134" s="16"/>
      <c r="AE1134" s="16"/>
      <c r="AF1134" s="16"/>
      <c r="AG1134" s="16"/>
      <c r="AH1134" s="16" t="s">
        <v>402</v>
      </c>
      <c r="AI1134" s="16"/>
      <c r="AJ1134" s="16" t="s">
        <v>1680</v>
      </c>
    </row>
    <row r="1135" spans="1:36" ht="15" customHeight="1" x14ac:dyDescent="0.3">
      <c r="A1135" s="16" t="s">
        <v>273</v>
      </c>
      <c r="B1135" s="16" t="s">
        <v>741</v>
      </c>
      <c r="C1135" s="16" t="s">
        <v>1524</v>
      </c>
      <c r="D1135" s="16" t="s">
        <v>324</v>
      </c>
      <c r="E1135" s="16" t="s">
        <v>404</v>
      </c>
      <c r="F1135" s="16" t="s">
        <v>401</v>
      </c>
      <c r="G1135" s="16">
        <v>0.8</v>
      </c>
      <c r="H1135" s="16">
        <v>2606</v>
      </c>
      <c r="I1135" s="16">
        <v>110</v>
      </c>
      <c r="J1135" s="16">
        <v>109</v>
      </c>
      <c r="K1135" s="16">
        <v>-1.34343956861695E-2</v>
      </c>
      <c r="L1135" s="16">
        <v>2.2595478546393401E-2</v>
      </c>
      <c r="M1135" s="16">
        <v>-0.59456123748765599</v>
      </c>
      <c r="N1135" s="16">
        <v>16.129885966953999</v>
      </c>
      <c r="O1135" s="16">
        <v>0.560385077188993</v>
      </c>
      <c r="P1135" s="16"/>
      <c r="Q1135" s="16"/>
      <c r="R1135" s="16"/>
      <c r="S1135" s="16"/>
      <c r="T1135" s="16"/>
      <c r="U1135" s="16"/>
      <c r="V1135" s="16"/>
      <c r="W1135" s="16"/>
      <c r="X1135" s="16"/>
      <c r="Y1135" s="16"/>
      <c r="Z1135" s="16"/>
      <c r="AA1135" s="16"/>
      <c r="AB1135" s="16"/>
      <c r="AC1135" s="16"/>
      <c r="AD1135" s="16"/>
      <c r="AE1135" s="16"/>
      <c r="AF1135" s="16"/>
      <c r="AG1135" s="16"/>
      <c r="AH1135" s="16" t="s">
        <v>402</v>
      </c>
      <c r="AI1135" s="16"/>
      <c r="AJ1135" s="16" t="s">
        <v>1681</v>
      </c>
    </row>
    <row r="1136" spans="1:36" ht="15" customHeight="1" x14ac:dyDescent="0.3">
      <c r="A1136" s="16" t="s">
        <v>273</v>
      </c>
      <c r="B1136" s="16" t="s">
        <v>743</v>
      </c>
      <c r="C1136" s="16" t="s">
        <v>1524</v>
      </c>
      <c r="D1136" s="16" t="s">
        <v>324</v>
      </c>
      <c r="E1136" s="16" t="s">
        <v>404</v>
      </c>
      <c r="F1136" s="16" t="s">
        <v>401</v>
      </c>
      <c r="G1136" s="16">
        <v>0.8</v>
      </c>
      <c r="H1136" s="16">
        <v>2606</v>
      </c>
      <c r="I1136" s="16">
        <v>110</v>
      </c>
      <c r="J1136" s="16">
        <v>109</v>
      </c>
      <c r="K1136" s="16">
        <v>3.57737033605805E-2</v>
      </c>
      <c r="L1136" s="16">
        <v>2.7613629401753399E-2</v>
      </c>
      <c r="M1136" s="16">
        <v>1.2955089256868499</v>
      </c>
      <c r="N1136" s="16">
        <v>20.1416145592767</v>
      </c>
      <c r="O1136" s="16">
        <v>0.209796346103159</v>
      </c>
      <c r="P1136" s="16"/>
      <c r="Q1136" s="16"/>
      <c r="R1136" s="16"/>
      <c r="S1136" s="16"/>
      <c r="T1136" s="16"/>
      <c r="U1136" s="16"/>
      <c r="V1136" s="16"/>
      <c r="W1136" s="16"/>
      <c r="X1136" s="16"/>
      <c r="Y1136" s="16"/>
      <c r="Z1136" s="16"/>
      <c r="AA1136" s="16"/>
      <c r="AB1136" s="16"/>
      <c r="AC1136" s="16"/>
      <c r="AD1136" s="16"/>
      <c r="AE1136" s="16"/>
      <c r="AF1136" s="16"/>
      <c r="AG1136" s="16"/>
      <c r="AH1136" s="16" t="s">
        <v>402</v>
      </c>
      <c r="AI1136" s="16"/>
      <c r="AJ1136" s="16" t="s">
        <v>1682</v>
      </c>
    </row>
    <row r="1137" spans="1:36" ht="15" customHeight="1" x14ac:dyDescent="0.3">
      <c r="A1137" s="16" t="s">
        <v>273</v>
      </c>
      <c r="B1137" s="16" t="s">
        <v>745</v>
      </c>
      <c r="C1137" s="16" t="s">
        <v>1524</v>
      </c>
      <c r="D1137" s="16" t="s">
        <v>324</v>
      </c>
      <c r="E1137" s="16" t="s">
        <v>404</v>
      </c>
      <c r="F1137" s="16" t="s">
        <v>401</v>
      </c>
      <c r="G1137" s="16">
        <v>0.8</v>
      </c>
      <c r="H1137" s="16">
        <v>2606</v>
      </c>
      <c r="I1137" s="16">
        <v>110</v>
      </c>
      <c r="J1137" s="16">
        <v>109</v>
      </c>
      <c r="K1137" s="16">
        <v>1.7884813381687101E-2</v>
      </c>
      <c r="L1137" s="16">
        <v>2.2835580962867998E-2</v>
      </c>
      <c r="M1137" s="16">
        <v>0.78319940319315295</v>
      </c>
      <c r="N1137" s="16">
        <v>20.8005823895346</v>
      </c>
      <c r="O1137" s="16">
        <v>0.44233673681859897</v>
      </c>
      <c r="P1137" s="16"/>
      <c r="Q1137" s="16"/>
      <c r="R1137" s="16"/>
      <c r="S1137" s="16"/>
      <c r="T1137" s="16"/>
      <c r="U1137" s="16"/>
      <c r="V1137" s="16"/>
      <c r="W1137" s="16"/>
      <c r="X1137" s="16"/>
      <c r="Y1137" s="16"/>
      <c r="Z1137" s="16"/>
      <c r="AA1137" s="16"/>
      <c r="AB1137" s="16"/>
      <c r="AC1137" s="16"/>
      <c r="AD1137" s="16"/>
      <c r="AE1137" s="16"/>
      <c r="AF1137" s="16"/>
      <c r="AG1137" s="16"/>
      <c r="AH1137" s="16" t="s">
        <v>402</v>
      </c>
      <c r="AI1137" s="16"/>
      <c r="AJ1137" s="16" t="s">
        <v>1683</v>
      </c>
    </row>
    <row r="1138" spans="1:36" ht="15" customHeight="1" x14ac:dyDescent="0.3">
      <c r="A1138" s="16" t="s">
        <v>273</v>
      </c>
      <c r="B1138" s="16" t="s">
        <v>747</v>
      </c>
      <c r="C1138" s="16" t="s">
        <v>1524</v>
      </c>
      <c r="D1138" s="16" t="s">
        <v>324</v>
      </c>
      <c r="E1138" s="16" t="s">
        <v>404</v>
      </c>
      <c r="F1138" s="16" t="s">
        <v>401</v>
      </c>
      <c r="G1138" s="16">
        <v>0.8</v>
      </c>
      <c r="H1138" s="16">
        <v>905</v>
      </c>
      <c r="I1138" s="16">
        <v>38</v>
      </c>
      <c r="J1138" s="16">
        <v>38</v>
      </c>
      <c r="K1138" s="16">
        <v>-1.90681879779146E-2</v>
      </c>
      <c r="L1138" s="16">
        <v>1.7732608781987801E-2</v>
      </c>
      <c r="M1138" s="16">
        <v>-1.0753176936539299</v>
      </c>
      <c r="N1138" s="16">
        <v>23.154767629163899</v>
      </c>
      <c r="O1138" s="16">
        <v>0.293310268159647</v>
      </c>
      <c r="P1138" s="16"/>
      <c r="Q1138" s="16"/>
      <c r="R1138" s="16"/>
      <c r="S1138" s="16"/>
      <c r="T1138" s="16"/>
      <c r="U1138" s="16"/>
      <c r="V1138" s="16"/>
      <c r="W1138" s="16"/>
      <c r="X1138" s="16"/>
      <c r="Y1138" s="16"/>
      <c r="Z1138" s="16"/>
      <c r="AA1138" s="16"/>
      <c r="AB1138" s="16"/>
      <c r="AC1138" s="16"/>
      <c r="AD1138" s="16"/>
      <c r="AE1138" s="16"/>
      <c r="AF1138" s="16"/>
      <c r="AG1138" s="16"/>
      <c r="AH1138" s="16" t="s">
        <v>402</v>
      </c>
      <c r="AI1138" s="16"/>
      <c r="AJ1138" s="16" t="s">
        <v>1684</v>
      </c>
    </row>
    <row r="1139" spans="1:36" ht="15" customHeight="1" x14ac:dyDescent="0.3">
      <c r="A1139" s="16" t="s">
        <v>273</v>
      </c>
      <c r="B1139" s="16" t="s">
        <v>749</v>
      </c>
      <c r="C1139" s="16" t="s">
        <v>1524</v>
      </c>
      <c r="D1139" s="16" t="s">
        <v>324</v>
      </c>
      <c r="E1139" s="16" t="s">
        <v>404</v>
      </c>
      <c r="F1139" s="16" t="s">
        <v>401</v>
      </c>
      <c r="G1139" s="16">
        <v>0.8</v>
      </c>
      <c r="H1139" s="16">
        <v>2593</v>
      </c>
      <c r="I1139" s="16">
        <v>110</v>
      </c>
      <c r="J1139" s="16">
        <v>109</v>
      </c>
      <c r="K1139" s="16">
        <v>-1.8419661569741501E-2</v>
      </c>
      <c r="L1139" s="16">
        <v>1.1050860111302799E-2</v>
      </c>
      <c r="M1139" s="16">
        <v>-1.6668079574097401</v>
      </c>
      <c r="N1139" s="16">
        <v>39.541023477802199</v>
      </c>
      <c r="O1139" s="16">
        <v>0.103455705712051</v>
      </c>
      <c r="P1139" s="16"/>
      <c r="Q1139" s="16"/>
      <c r="R1139" s="16"/>
      <c r="S1139" s="16"/>
      <c r="T1139" s="16"/>
      <c r="U1139" s="16"/>
      <c r="V1139" s="16"/>
      <c r="W1139" s="16"/>
      <c r="X1139" s="16"/>
      <c r="Y1139" s="16"/>
      <c r="Z1139" s="16"/>
      <c r="AA1139" s="16"/>
      <c r="AB1139" s="16"/>
      <c r="AC1139" s="16"/>
      <c r="AD1139" s="16"/>
      <c r="AE1139" s="16"/>
      <c r="AF1139" s="16"/>
      <c r="AG1139" s="16"/>
      <c r="AH1139" s="16" t="s">
        <v>402</v>
      </c>
      <c r="AI1139" s="16"/>
      <c r="AJ1139" s="16" t="s">
        <v>1685</v>
      </c>
    </row>
    <row r="1140" spans="1:36" ht="15" customHeight="1" x14ac:dyDescent="0.3">
      <c r="A1140" s="16" t="s">
        <v>273</v>
      </c>
      <c r="B1140" s="16" t="s">
        <v>751</v>
      </c>
      <c r="C1140" s="16" t="s">
        <v>1524</v>
      </c>
      <c r="D1140" s="16" t="s">
        <v>324</v>
      </c>
      <c r="E1140" s="16" t="s">
        <v>404</v>
      </c>
      <c r="F1140" s="16" t="s">
        <v>401</v>
      </c>
      <c r="G1140" s="16">
        <v>0.8</v>
      </c>
      <c r="H1140" s="16">
        <v>2593</v>
      </c>
      <c r="I1140" s="16">
        <v>110</v>
      </c>
      <c r="J1140" s="16">
        <v>109</v>
      </c>
      <c r="K1140" s="16">
        <v>-1.73797934857969E-2</v>
      </c>
      <c r="L1140" s="16">
        <v>1.1697413244889999E-2</v>
      </c>
      <c r="M1140" s="16">
        <v>-1.4857809262564301</v>
      </c>
      <c r="N1140" s="16">
        <v>29.903966183665698</v>
      </c>
      <c r="O1140" s="16">
        <v>0.147804370874452</v>
      </c>
      <c r="P1140" s="16"/>
      <c r="Q1140" s="16"/>
      <c r="R1140" s="16"/>
      <c r="S1140" s="16"/>
      <c r="T1140" s="16"/>
      <c r="U1140" s="16"/>
      <c r="V1140" s="16"/>
      <c r="W1140" s="16"/>
      <c r="X1140" s="16"/>
      <c r="Y1140" s="16"/>
      <c r="Z1140" s="16"/>
      <c r="AA1140" s="16"/>
      <c r="AB1140" s="16"/>
      <c r="AC1140" s="16"/>
      <c r="AD1140" s="16"/>
      <c r="AE1140" s="16"/>
      <c r="AF1140" s="16"/>
      <c r="AG1140" s="16"/>
      <c r="AH1140" s="16" t="s">
        <v>402</v>
      </c>
      <c r="AI1140" s="16"/>
      <c r="AJ1140" s="16" t="s">
        <v>1686</v>
      </c>
    </row>
    <row r="1141" spans="1:36" ht="15" customHeight="1" x14ac:dyDescent="0.3">
      <c r="A1141" s="16" t="s">
        <v>273</v>
      </c>
      <c r="B1141" s="16" t="s">
        <v>753</v>
      </c>
      <c r="C1141" s="16" t="s">
        <v>1524</v>
      </c>
      <c r="D1141" s="16" t="s">
        <v>324</v>
      </c>
      <c r="E1141" s="16" t="s">
        <v>404</v>
      </c>
      <c r="F1141" s="16" t="s">
        <v>401</v>
      </c>
      <c r="G1141" s="16">
        <v>0.8</v>
      </c>
      <c r="H1141" s="16">
        <v>2593</v>
      </c>
      <c r="I1141" s="16">
        <v>110</v>
      </c>
      <c r="J1141" s="16">
        <v>109</v>
      </c>
      <c r="K1141" s="16">
        <v>-1.12632210213123E-3</v>
      </c>
      <c r="L1141" s="16">
        <v>1.19671755579138E-2</v>
      </c>
      <c r="M1141" s="16">
        <v>-9.4117621712870206E-2</v>
      </c>
      <c r="N1141" s="16">
        <v>31.014364842665699</v>
      </c>
      <c r="O1141" s="16">
        <v>0.92562114766828696</v>
      </c>
      <c r="P1141" s="16"/>
      <c r="Q1141" s="16"/>
      <c r="R1141" s="16"/>
      <c r="S1141" s="16"/>
      <c r="T1141" s="16"/>
      <c r="U1141" s="16"/>
      <c r="V1141" s="16"/>
      <c r="W1141" s="16"/>
      <c r="X1141" s="16"/>
      <c r="Y1141" s="16"/>
      <c r="Z1141" s="16"/>
      <c r="AA1141" s="16"/>
      <c r="AB1141" s="16"/>
      <c r="AC1141" s="16"/>
      <c r="AD1141" s="16"/>
      <c r="AE1141" s="16"/>
      <c r="AF1141" s="16"/>
      <c r="AG1141" s="16"/>
      <c r="AH1141" s="16" t="s">
        <v>402</v>
      </c>
      <c r="AI1141" s="16"/>
      <c r="AJ1141" s="16" t="s">
        <v>1687</v>
      </c>
    </row>
    <row r="1142" spans="1:36" ht="15" customHeight="1" x14ac:dyDescent="0.3">
      <c r="A1142" s="16" t="s">
        <v>273</v>
      </c>
      <c r="B1142" s="16" t="s">
        <v>755</v>
      </c>
      <c r="C1142" s="16" t="s">
        <v>1524</v>
      </c>
      <c r="D1142" s="16" t="s">
        <v>324</v>
      </c>
      <c r="E1142" s="16" t="s">
        <v>404</v>
      </c>
      <c r="F1142" s="16" t="s">
        <v>401</v>
      </c>
      <c r="G1142" s="16">
        <v>0.8</v>
      </c>
      <c r="H1142" s="16">
        <v>2593</v>
      </c>
      <c r="I1142" s="16">
        <v>110</v>
      </c>
      <c r="J1142" s="16">
        <v>109</v>
      </c>
      <c r="K1142" s="16">
        <v>-1.7789083473987499E-2</v>
      </c>
      <c r="L1142" s="16">
        <v>1.22087708958516E-2</v>
      </c>
      <c r="M1142" s="16">
        <v>-1.45707406795815</v>
      </c>
      <c r="N1142" s="16">
        <v>26.061332170189999</v>
      </c>
      <c r="O1142" s="16">
        <v>0.15704051366007199</v>
      </c>
      <c r="P1142" s="16"/>
      <c r="Q1142" s="16"/>
      <c r="R1142" s="16"/>
      <c r="S1142" s="16"/>
      <c r="T1142" s="16"/>
      <c r="U1142" s="16"/>
      <c r="V1142" s="16"/>
      <c r="W1142" s="16"/>
      <c r="X1142" s="16"/>
      <c r="Y1142" s="16"/>
      <c r="Z1142" s="16"/>
      <c r="AA1142" s="16"/>
      <c r="AB1142" s="16"/>
      <c r="AC1142" s="16"/>
      <c r="AD1142" s="16"/>
      <c r="AE1142" s="16"/>
      <c r="AF1142" s="16"/>
      <c r="AG1142" s="16"/>
      <c r="AH1142" s="16" t="s">
        <v>402</v>
      </c>
      <c r="AI1142" s="16"/>
      <c r="AJ1142" s="16" t="s">
        <v>1688</v>
      </c>
    </row>
    <row r="1143" spans="1:36" ht="15" customHeight="1" x14ac:dyDescent="0.3">
      <c r="A1143" s="16" t="s">
        <v>273</v>
      </c>
      <c r="B1143" s="16" t="s">
        <v>757</v>
      </c>
      <c r="C1143" s="16" t="s">
        <v>1524</v>
      </c>
      <c r="D1143" s="16" t="s">
        <v>324</v>
      </c>
      <c r="E1143" s="16" t="s">
        <v>404</v>
      </c>
      <c r="F1143" s="16" t="s">
        <v>401</v>
      </c>
      <c r="G1143" s="16">
        <v>0.8</v>
      </c>
      <c r="H1143" s="16">
        <v>2593</v>
      </c>
      <c r="I1143" s="16">
        <v>110</v>
      </c>
      <c r="J1143" s="16">
        <v>109</v>
      </c>
      <c r="K1143" s="16">
        <v>-1.95743748655791E-2</v>
      </c>
      <c r="L1143" s="16">
        <v>1.5110558851652E-2</v>
      </c>
      <c r="M1143" s="16">
        <v>-1.29541038539677</v>
      </c>
      <c r="N1143" s="16">
        <v>17.821119941339202</v>
      </c>
      <c r="O1143" s="16">
        <v>0.21170836504474599</v>
      </c>
      <c r="P1143" s="16"/>
      <c r="Q1143" s="16"/>
      <c r="R1143" s="16"/>
      <c r="S1143" s="16"/>
      <c r="T1143" s="16"/>
      <c r="U1143" s="16"/>
      <c r="V1143" s="16"/>
      <c r="W1143" s="16"/>
      <c r="X1143" s="16"/>
      <c r="Y1143" s="16"/>
      <c r="Z1143" s="16"/>
      <c r="AA1143" s="16"/>
      <c r="AB1143" s="16"/>
      <c r="AC1143" s="16"/>
      <c r="AD1143" s="16"/>
      <c r="AE1143" s="16"/>
      <c r="AF1143" s="16"/>
      <c r="AG1143" s="16"/>
      <c r="AH1143" s="16" t="s">
        <v>402</v>
      </c>
      <c r="AI1143" s="16"/>
      <c r="AJ1143" s="16" t="s">
        <v>1689</v>
      </c>
    </row>
    <row r="1144" spans="1:36" ht="15" customHeight="1" x14ac:dyDescent="0.3">
      <c r="A1144" s="16" t="s">
        <v>273</v>
      </c>
      <c r="B1144" s="16" t="s">
        <v>759</v>
      </c>
      <c r="C1144" s="16" t="s">
        <v>1524</v>
      </c>
      <c r="D1144" s="16" t="s">
        <v>324</v>
      </c>
      <c r="E1144" s="16" t="s">
        <v>404</v>
      </c>
      <c r="F1144" s="16" t="s">
        <v>401</v>
      </c>
      <c r="G1144" s="16">
        <v>0.8</v>
      </c>
      <c r="H1144" s="16">
        <v>2593</v>
      </c>
      <c r="I1144" s="16">
        <v>110</v>
      </c>
      <c r="J1144" s="16">
        <v>109</v>
      </c>
      <c r="K1144" s="16">
        <v>-2.0534499118012702E-2</v>
      </c>
      <c r="L1144" s="16">
        <v>1.63465068209981E-2</v>
      </c>
      <c r="M1144" s="16">
        <v>-1.2562010552392</v>
      </c>
      <c r="N1144" s="16">
        <v>14.6140069337365</v>
      </c>
      <c r="O1144" s="16">
        <v>0.228754311753331</v>
      </c>
      <c r="P1144" s="16"/>
      <c r="Q1144" s="16"/>
      <c r="R1144" s="16"/>
      <c r="S1144" s="16"/>
      <c r="T1144" s="16"/>
      <c r="U1144" s="16"/>
      <c r="V1144" s="16"/>
      <c r="W1144" s="16"/>
      <c r="X1144" s="16"/>
      <c r="Y1144" s="16"/>
      <c r="Z1144" s="16"/>
      <c r="AA1144" s="16"/>
      <c r="AB1144" s="16"/>
      <c r="AC1144" s="16"/>
      <c r="AD1144" s="16"/>
      <c r="AE1144" s="16"/>
      <c r="AF1144" s="16"/>
      <c r="AG1144" s="16"/>
      <c r="AH1144" s="16" t="s">
        <v>402</v>
      </c>
      <c r="AI1144" s="16"/>
      <c r="AJ1144" s="16" t="s">
        <v>1690</v>
      </c>
    </row>
    <row r="1145" spans="1:36" ht="15" customHeight="1" x14ac:dyDescent="0.3">
      <c r="A1145" s="16" t="s">
        <v>273</v>
      </c>
      <c r="B1145" s="16" t="s">
        <v>761</v>
      </c>
      <c r="C1145" s="16" t="s">
        <v>1524</v>
      </c>
      <c r="D1145" s="16" t="s">
        <v>324</v>
      </c>
      <c r="E1145" s="16" t="s">
        <v>404</v>
      </c>
      <c r="F1145" s="16" t="s">
        <v>401</v>
      </c>
      <c r="G1145" s="16">
        <v>0.8</v>
      </c>
      <c r="H1145" s="16">
        <v>2593</v>
      </c>
      <c r="I1145" s="16">
        <v>110</v>
      </c>
      <c r="J1145" s="16">
        <v>109</v>
      </c>
      <c r="K1145" s="16">
        <v>-3.78132805580175E-3</v>
      </c>
      <c r="L1145" s="16">
        <v>1.03627303195077E-2</v>
      </c>
      <c r="M1145" s="16">
        <v>-0.36489688906440398</v>
      </c>
      <c r="N1145" s="16">
        <v>41.306553242586702</v>
      </c>
      <c r="O1145" s="16">
        <v>0.71705005653517295</v>
      </c>
      <c r="P1145" s="16"/>
      <c r="Q1145" s="16"/>
      <c r="R1145" s="16"/>
      <c r="S1145" s="16"/>
      <c r="T1145" s="16"/>
      <c r="U1145" s="16"/>
      <c r="V1145" s="16"/>
      <c r="W1145" s="16"/>
      <c r="X1145" s="16"/>
      <c r="Y1145" s="16"/>
      <c r="Z1145" s="16"/>
      <c r="AA1145" s="16"/>
      <c r="AB1145" s="16"/>
      <c r="AC1145" s="16"/>
      <c r="AD1145" s="16"/>
      <c r="AE1145" s="16"/>
      <c r="AF1145" s="16"/>
      <c r="AG1145" s="16"/>
      <c r="AH1145" s="16" t="s">
        <v>402</v>
      </c>
      <c r="AI1145" s="16"/>
      <c r="AJ1145" s="16" t="s">
        <v>1691</v>
      </c>
    </row>
    <row r="1146" spans="1:36" ht="15" customHeight="1" x14ac:dyDescent="0.3">
      <c r="A1146" s="16" t="s">
        <v>273</v>
      </c>
      <c r="B1146" s="16" t="s">
        <v>763</v>
      </c>
      <c r="C1146" s="16" t="s">
        <v>1524</v>
      </c>
      <c r="D1146" s="16" t="s">
        <v>324</v>
      </c>
      <c r="E1146" s="16" t="s">
        <v>404</v>
      </c>
      <c r="F1146" s="16" t="s">
        <v>401</v>
      </c>
      <c r="G1146" s="16">
        <v>0.8</v>
      </c>
      <c r="H1146" s="16">
        <v>2593</v>
      </c>
      <c r="I1146" s="16">
        <v>110</v>
      </c>
      <c r="J1146" s="16">
        <v>109</v>
      </c>
      <c r="K1146" s="16">
        <v>5.82759573144231E-3</v>
      </c>
      <c r="L1146" s="16">
        <v>9.6852741269460706E-3</v>
      </c>
      <c r="M1146" s="16">
        <v>0.601696519381826</v>
      </c>
      <c r="N1146" s="16">
        <v>56.275054893418499</v>
      </c>
      <c r="O1146" s="16">
        <v>0.54979262544174801</v>
      </c>
      <c r="P1146" s="16"/>
      <c r="Q1146" s="16"/>
      <c r="R1146" s="16"/>
      <c r="S1146" s="16"/>
      <c r="T1146" s="16"/>
      <c r="U1146" s="16"/>
      <c r="V1146" s="16"/>
      <c r="W1146" s="16"/>
      <c r="X1146" s="16"/>
      <c r="Y1146" s="16"/>
      <c r="Z1146" s="16"/>
      <c r="AA1146" s="16"/>
      <c r="AB1146" s="16"/>
      <c r="AC1146" s="16"/>
      <c r="AD1146" s="16"/>
      <c r="AE1146" s="16"/>
      <c r="AF1146" s="16"/>
      <c r="AG1146" s="16"/>
      <c r="AH1146" s="16" t="s">
        <v>402</v>
      </c>
      <c r="AI1146" s="16"/>
      <c r="AJ1146" s="16" t="s">
        <v>1692</v>
      </c>
    </row>
    <row r="1147" spans="1:36" ht="15" customHeight="1" x14ac:dyDescent="0.3">
      <c r="A1147" s="16" t="s">
        <v>273</v>
      </c>
      <c r="B1147" s="16" t="s">
        <v>765</v>
      </c>
      <c r="C1147" s="16" t="s">
        <v>1524</v>
      </c>
      <c r="D1147" s="16" t="s">
        <v>324</v>
      </c>
      <c r="E1147" s="16" t="s">
        <v>404</v>
      </c>
      <c r="F1147" s="16" t="s">
        <v>401</v>
      </c>
      <c r="G1147" s="16">
        <v>0.8</v>
      </c>
      <c r="H1147" s="16">
        <v>2593</v>
      </c>
      <c r="I1147" s="16">
        <v>110</v>
      </c>
      <c r="J1147" s="16">
        <v>109</v>
      </c>
      <c r="K1147" s="16">
        <v>-5.0496816901497701E-3</v>
      </c>
      <c r="L1147" s="16">
        <v>9.6756598941983192E-3</v>
      </c>
      <c r="M1147" s="16">
        <v>-0.52189532759183099</v>
      </c>
      <c r="N1147" s="16">
        <v>65.931730289851899</v>
      </c>
      <c r="O1147" s="16">
        <v>0.60349219308525004</v>
      </c>
      <c r="P1147" s="16"/>
      <c r="Q1147" s="16"/>
      <c r="R1147" s="16"/>
      <c r="S1147" s="16"/>
      <c r="T1147" s="16"/>
      <c r="U1147" s="16"/>
      <c r="V1147" s="16"/>
      <c r="W1147" s="16"/>
      <c r="X1147" s="16"/>
      <c r="Y1147" s="16"/>
      <c r="Z1147" s="16"/>
      <c r="AA1147" s="16"/>
      <c r="AB1147" s="16"/>
      <c r="AC1147" s="16"/>
      <c r="AD1147" s="16"/>
      <c r="AE1147" s="16"/>
      <c r="AF1147" s="16"/>
      <c r="AG1147" s="16"/>
      <c r="AH1147" s="16" t="s">
        <v>402</v>
      </c>
      <c r="AI1147" s="16"/>
      <c r="AJ1147" s="16" t="s">
        <v>1693</v>
      </c>
    </row>
    <row r="1148" spans="1:36" ht="15" customHeight="1" x14ac:dyDescent="0.3">
      <c r="A1148" s="16" t="s">
        <v>273</v>
      </c>
      <c r="B1148" s="16" t="s">
        <v>767</v>
      </c>
      <c r="C1148" s="16" t="s">
        <v>1524</v>
      </c>
      <c r="D1148" s="16" t="s">
        <v>324</v>
      </c>
      <c r="E1148" s="16" t="s">
        <v>404</v>
      </c>
      <c r="F1148" s="16" t="s">
        <v>401</v>
      </c>
      <c r="G1148" s="16">
        <v>0.8</v>
      </c>
      <c r="H1148" s="16">
        <v>900</v>
      </c>
      <c r="I1148" s="16">
        <v>38</v>
      </c>
      <c r="J1148" s="16">
        <v>38</v>
      </c>
      <c r="K1148" s="16">
        <v>-2.9316028120713201E-2</v>
      </c>
      <c r="L1148" s="16">
        <v>2.03548074793868E-2</v>
      </c>
      <c r="M1148" s="16">
        <v>-1.4402508179161799</v>
      </c>
      <c r="N1148" s="16">
        <v>24.3932574254899</v>
      </c>
      <c r="O1148" s="16">
        <v>0.16250886691931399</v>
      </c>
      <c r="P1148" s="16"/>
      <c r="Q1148" s="16"/>
      <c r="R1148" s="16"/>
      <c r="S1148" s="16"/>
      <c r="T1148" s="16"/>
      <c r="U1148" s="16"/>
      <c r="V1148" s="16"/>
      <c r="W1148" s="16"/>
      <c r="X1148" s="16"/>
      <c r="Y1148" s="16"/>
      <c r="Z1148" s="16"/>
      <c r="AA1148" s="16"/>
      <c r="AB1148" s="16"/>
      <c r="AC1148" s="16"/>
      <c r="AD1148" s="16"/>
      <c r="AE1148" s="16"/>
      <c r="AF1148" s="16"/>
      <c r="AG1148" s="16"/>
      <c r="AH1148" s="16" t="s">
        <v>402</v>
      </c>
      <c r="AI1148" s="16"/>
      <c r="AJ1148" s="16" t="s">
        <v>1694</v>
      </c>
    </row>
    <row r="1149" spans="1:36" ht="15" customHeight="1" x14ac:dyDescent="0.3">
      <c r="A1149" s="16" t="s">
        <v>273</v>
      </c>
      <c r="B1149" s="16" t="s">
        <v>769</v>
      </c>
      <c r="C1149" s="16" t="s">
        <v>1524</v>
      </c>
      <c r="D1149" s="16" t="s">
        <v>324</v>
      </c>
      <c r="E1149" s="16" t="s">
        <v>404</v>
      </c>
      <c r="F1149" s="16" t="s">
        <v>401</v>
      </c>
      <c r="G1149" s="16">
        <v>0.8</v>
      </c>
      <c r="H1149" s="16">
        <v>2606</v>
      </c>
      <c r="I1149" s="16">
        <v>110</v>
      </c>
      <c r="J1149" s="16">
        <v>109</v>
      </c>
      <c r="K1149" s="16">
        <v>-1.4708738155595501E-2</v>
      </c>
      <c r="L1149" s="16">
        <v>1.14527469072449E-2</v>
      </c>
      <c r="M1149" s="16">
        <v>-1.284297843541</v>
      </c>
      <c r="N1149" s="16">
        <v>35.896006349054502</v>
      </c>
      <c r="O1149" s="16">
        <v>0.20726504419147901</v>
      </c>
      <c r="P1149" s="16"/>
      <c r="Q1149" s="16"/>
      <c r="R1149" s="16"/>
      <c r="S1149" s="16"/>
      <c r="T1149" s="16"/>
      <c r="U1149" s="16"/>
      <c r="V1149" s="16"/>
      <c r="W1149" s="16"/>
      <c r="X1149" s="16"/>
      <c r="Y1149" s="16"/>
      <c r="Z1149" s="16"/>
      <c r="AA1149" s="16"/>
      <c r="AB1149" s="16"/>
      <c r="AC1149" s="16"/>
      <c r="AD1149" s="16"/>
      <c r="AE1149" s="16"/>
      <c r="AF1149" s="16"/>
      <c r="AG1149" s="16"/>
      <c r="AH1149" s="16" t="s">
        <v>402</v>
      </c>
      <c r="AI1149" s="16"/>
      <c r="AJ1149" s="16" t="s">
        <v>1695</v>
      </c>
    </row>
    <row r="1150" spans="1:36" ht="15" customHeight="1" x14ac:dyDescent="0.3">
      <c r="A1150" s="16" t="s">
        <v>273</v>
      </c>
      <c r="B1150" s="16" t="s">
        <v>771</v>
      </c>
      <c r="C1150" s="16" t="s">
        <v>1524</v>
      </c>
      <c r="D1150" s="16" t="s">
        <v>324</v>
      </c>
      <c r="E1150" s="16" t="s">
        <v>404</v>
      </c>
      <c r="F1150" s="16" t="s">
        <v>401</v>
      </c>
      <c r="G1150" s="16">
        <v>0.8</v>
      </c>
      <c r="H1150" s="16">
        <v>2606</v>
      </c>
      <c r="I1150" s="16">
        <v>110</v>
      </c>
      <c r="J1150" s="16">
        <v>109</v>
      </c>
      <c r="K1150" s="16">
        <v>-1.27170756647222E-2</v>
      </c>
      <c r="L1150" s="16">
        <v>1.18695387465961E-2</v>
      </c>
      <c r="M1150" s="16">
        <v>-1.07140436846117</v>
      </c>
      <c r="N1150" s="16">
        <v>27.3352734964432</v>
      </c>
      <c r="O1150" s="16">
        <v>0.29335646864356302</v>
      </c>
      <c r="P1150" s="16"/>
      <c r="Q1150" s="16"/>
      <c r="R1150" s="16"/>
      <c r="S1150" s="16"/>
      <c r="T1150" s="16"/>
      <c r="U1150" s="16"/>
      <c r="V1150" s="16"/>
      <c r="W1150" s="16"/>
      <c r="X1150" s="16"/>
      <c r="Y1150" s="16"/>
      <c r="Z1150" s="16"/>
      <c r="AA1150" s="16"/>
      <c r="AB1150" s="16"/>
      <c r="AC1150" s="16"/>
      <c r="AD1150" s="16"/>
      <c r="AE1150" s="16"/>
      <c r="AF1150" s="16"/>
      <c r="AG1150" s="16"/>
      <c r="AH1150" s="16" t="s">
        <v>402</v>
      </c>
      <c r="AI1150" s="16"/>
      <c r="AJ1150" s="16" t="s">
        <v>1696</v>
      </c>
    </row>
    <row r="1151" spans="1:36" ht="15" customHeight="1" x14ac:dyDescent="0.3">
      <c r="A1151" s="16" t="s">
        <v>273</v>
      </c>
      <c r="B1151" s="16" t="s">
        <v>773</v>
      </c>
      <c r="C1151" s="16" t="s">
        <v>1524</v>
      </c>
      <c r="D1151" s="16" t="s">
        <v>324</v>
      </c>
      <c r="E1151" s="16" t="s">
        <v>404</v>
      </c>
      <c r="F1151" s="16" t="s">
        <v>401</v>
      </c>
      <c r="G1151" s="16">
        <v>0.8</v>
      </c>
      <c r="H1151" s="16">
        <v>2606</v>
      </c>
      <c r="I1151" s="16">
        <v>110</v>
      </c>
      <c r="J1151" s="16">
        <v>109</v>
      </c>
      <c r="K1151" s="16">
        <v>8.4098941992622595E-4</v>
      </c>
      <c r="L1151" s="16">
        <v>1.1392565893048301E-2</v>
      </c>
      <c r="M1151" s="16">
        <v>7.3819140290371094E-2</v>
      </c>
      <c r="N1151" s="16">
        <v>31.686992830443501</v>
      </c>
      <c r="O1151" s="16">
        <v>0.94161833641954995</v>
      </c>
      <c r="P1151" s="16"/>
      <c r="Q1151" s="16"/>
      <c r="R1151" s="16"/>
      <c r="S1151" s="16"/>
      <c r="T1151" s="16"/>
      <c r="U1151" s="16"/>
      <c r="V1151" s="16"/>
      <c r="W1151" s="16"/>
      <c r="X1151" s="16"/>
      <c r="Y1151" s="16"/>
      <c r="Z1151" s="16"/>
      <c r="AA1151" s="16"/>
      <c r="AB1151" s="16"/>
      <c r="AC1151" s="16"/>
      <c r="AD1151" s="16"/>
      <c r="AE1151" s="16"/>
      <c r="AF1151" s="16"/>
      <c r="AG1151" s="16"/>
      <c r="AH1151" s="16" t="s">
        <v>402</v>
      </c>
      <c r="AI1151" s="16"/>
      <c r="AJ1151" s="16" t="s">
        <v>1697</v>
      </c>
    </row>
    <row r="1152" spans="1:36" ht="15" customHeight="1" x14ac:dyDescent="0.3">
      <c r="A1152" s="16" t="s">
        <v>273</v>
      </c>
      <c r="B1152" s="16" t="s">
        <v>775</v>
      </c>
      <c r="C1152" s="16" t="s">
        <v>1524</v>
      </c>
      <c r="D1152" s="16" t="s">
        <v>324</v>
      </c>
      <c r="E1152" s="16" t="s">
        <v>404</v>
      </c>
      <c r="F1152" s="16" t="s">
        <v>401</v>
      </c>
      <c r="G1152" s="16">
        <v>0.8</v>
      </c>
      <c r="H1152" s="16">
        <v>2606</v>
      </c>
      <c r="I1152" s="16">
        <v>110</v>
      </c>
      <c r="J1152" s="16">
        <v>109</v>
      </c>
      <c r="K1152" s="16">
        <v>-1.33208279510524E-2</v>
      </c>
      <c r="L1152" s="16">
        <v>1.24133356928861E-2</v>
      </c>
      <c r="M1152" s="16">
        <v>-1.0731062367616799</v>
      </c>
      <c r="N1152" s="16">
        <v>23.806172029410099</v>
      </c>
      <c r="O1152" s="16">
        <v>0.29398125671047498</v>
      </c>
      <c r="P1152" s="16"/>
      <c r="Q1152" s="16"/>
      <c r="R1152" s="16"/>
      <c r="S1152" s="16"/>
      <c r="T1152" s="16"/>
      <c r="U1152" s="16"/>
      <c r="V1152" s="16"/>
      <c r="W1152" s="16"/>
      <c r="X1152" s="16"/>
      <c r="Y1152" s="16"/>
      <c r="Z1152" s="16"/>
      <c r="AA1152" s="16"/>
      <c r="AB1152" s="16"/>
      <c r="AC1152" s="16"/>
      <c r="AD1152" s="16"/>
      <c r="AE1152" s="16"/>
      <c r="AF1152" s="16"/>
      <c r="AG1152" s="16"/>
      <c r="AH1152" s="16" t="s">
        <v>402</v>
      </c>
      <c r="AI1152" s="16"/>
      <c r="AJ1152" s="16" t="s">
        <v>1698</v>
      </c>
    </row>
    <row r="1153" spans="1:36" ht="15" customHeight="1" x14ac:dyDescent="0.3">
      <c r="A1153" s="16" t="s">
        <v>273</v>
      </c>
      <c r="B1153" s="16" t="s">
        <v>777</v>
      </c>
      <c r="C1153" s="16" t="s">
        <v>1524</v>
      </c>
      <c r="D1153" s="16" t="s">
        <v>324</v>
      </c>
      <c r="E1153" s="16" t="s">
        <v>404</v>
      </c>
      <c r="F1153" s="16" t="s">
        <v>401</v>
      </c>
      <c r="G1153" s="16">
        <v>0.8</v>
      </c>
      <c r="H1153" s="16">
        <v>2606</v>
      </c>
      <c r="I1153" s="16">
        <v>110</v>
      </c>
      <c r="J1153" s="16">
        <v>109</v>
      </c>
      <c r="K1153" s="16">
        <v>-1.5805968872003098E-2</v>
      </c>
      <c r="L1153" s="16">
        <v>1.51765434932154E-2</v>
      </c>
      <c r="M1153" s="16">
        <v>-1.04147356603755</v>
      </c>
      <c r="N1153" s="16">
        <v>17.9453439177848</v>
      </c>
      <c r="O1153" s="16">
        <v>0.31148455490062898</v>
      </c>
      <c r="P1153" s="16"/>
      <c r="Q1153" s="16"/>
      <c r="R1153" s="16"/>
      <c r="S1153" s="16"/>
      <c r="T1153" s="16"/>
      <c r="U1153" s="16"/>
      <c r="V1153" s="16"/>
      <c r="W1153" s="16"/>
      <c r="X1153" s="16"/>
      <c r="Y1153" s="16"/>
      <c r="Z1153" s="16"/>
      <c r="AA1153" s="16"/>
      <c r="AB1153" s="16"/>
      <c r="AC1153" s="16"/>
      <c r="AD1153" s="16"/>
      <c r="AE1153" s="16"/>
      <c r="AF1153" s="16"/>
      <c r="AG1153" s="16"/>
      <c r="AH1153" s="16" t="s">
        <v>402</v>
      </c>
      <c r="AI1153" s="16"/>
      <c r="AJ1153" s="16" t="s">
        <v>1699</v>
      </c>
    </row>
    <row r="1154" spans="1:36" ht="15" customHeight="1" x14ac:dyDescent="0.3">
      <c r="A1154" s="16" t="s">
        <v>273</v>
      </c>
      <c r="B1154" s="16" t="s">
        <v>779</v>
      </c>
      <c r="C1154" s="16" t="s">
        <v>1524</v>
      </c>
      <c r="D1154" s="16" t="s">
        <v>324</v>
      </c>
      <c r="E1154" s="16" t="s">
        <v>404</v>
      </c>
      <c r="F1154" s="16" t="s">
        <v>401</v>
      </c>
      <c r="G1154" s="16">
        <v>0.8</v>
      </c>
      <c r="H1154" s="16">
        <v>2606</v>
      </c>
      <c r="I1154" s="16">
        <v>110</v>
      </c>
      <c r="J1154" s="16">
        <v>109</v>
      </c>
      <c r="K1154" s="16">
        <v>-1.6577675181469801E-2</v>
      </c>
      <c r="L1154" s="16">
        <v>1.6449627880074199E-2</v>
      </c>
      <c r="M1154" s="16">
        <v>-1.00778420656863</v>
      </c>
      <c r="N1154" s="16">
        <v>14.718281246904001</v>
      </c>
      <c r="O1154" s="16">
        <v>0.32983983911938503</v>
      </c>
      <c r="P1154" s="16"/>
      <c r="Q1154" s="16"/>
      <c r="R1154" s="16"/>
      <c r="S1154" s="16"/>
      <c r="T1154" s="16"/>
      <c r="U1154" s="16"/>
      <c r="V1154" s="16"/>
      <c r="W1154" s="16"/>
      <c r="X1154" s="16"/>
      <c r="Y1154" s="16"/>
      <c r="Z1154" s="16"/>
      <c r="AA1154" s="16"/>
      <c r="AB1154" s="16"/>
      <c r="AC1154" s="16"/>
      <c r="AD1154" s="16"/>
      <c r="AE1154" s="16"/>
      <c r="AF1154" s="16"/>
      <c r="AG1154" s="16"/>
      <c r="AH1154" s="16" t="s">
        <v>402</v>
      </c>
      <c r="AI1154" s="16"/>
      <c r="AJ1154" s="16" t="s">
        <v>1700</v>
      </c>
    </row>
    <row r="1155" spans="1:36" ht="15" customHeight="1" x14ac:dyDescent="0.3">
      <c r="A1155" s="16" t="s">
        <v>273</v>
      </c>
      <c r="B1155" s="16" t="s">
        <v>781</v>
      </c>
      <c r="C1155" s="16" t="s">
        <v>1524</v>
      </c>
      <c r="D1155" s="16" t="s">
        <v>324</v>
      </c>
      <c r="E1155" s="16" t="s">
        <v>404</v>
      </c>
      <c r="F1155" s="16" t="s">
        <v>401</v>
      </c>
      <c r="G1155" s="16">
        <v>0.8</v>
      </c>
      <c r="H1155" s="16">
        <v>2606</v>
      </c>
      <c r="I1155" s="16">
        <v>110</v>
      </c>
      <c r="J1155" s="16">
        <v>109</v>
      </c>
      <c r="K1155" s="16">
        <v>1.47768860415162E-4</v>
      </c>
      <c r="L1155" s="16">
        <v>1.0362953565375E-2</v>
      </c>
      <c r="M1155" s="16">
        <v>1.4259338274842E-2</v>
      </c>
      <c r="N1155" s="16">
        <v>37.3801828577961</v>
      </c>
      <c r="O1155" s="16">
        <v>0.98869891629622297</v>
      </c>
      <c r="P1155" s="16"/>
      <c r="Q1155" s="16"/>
      <c r="R1155" s="16"/>
      <c r="S1155" s="16"/>
      <c r="T1155" s="16"/>
      <c r="U1155" s="16"/>
      <c r="V1155" s="16"/>
      <c r="W1155" s="16"/>
      <c r="X1155" s="16"/>
      <c r="Y1155" s="16"/>
      <c r="Z1155" s="16"/>
      <c r="AA1155" s="16"/>
      <c r="AB1155" s="16"/>
      <c r="AC1155" s="16"/>
      <c r="AD1155" s="16"/>
      <c r="AE1155" s="16"/>
      <c r="AF1155" s="16"/>
      <c r="AG1155" s="16"/>
      <c r="AH1155" s="16" t="s">
        <v>402</v>
      </c>
      <c r="AI1155" s="16"/>
      <c r="AJ1155" s="16" t="s">
        <v>1701</v>
      </c>
    </row>
    <row r="1156" spans="1:36" ht="15" customHeight="1" x14ac:dyDescent="0.3">
      <c r="A1156" s="16" t="s">
        <v>273</v>
      </c>
      <c r="B1156" s="16" t="s">
        <v>783</v>
      </c>
      <c r="C1156" s="16" t="s">
        <v>1524</v>
      </c>
      <c r="D1156" s="16" t="s">
        <v>324</v>
      </c>
      <c r="E1156" s="16" t="s">
        <v>404</v>
      </c>
      <c r="F1156" s="16" t="s">
        <v>401</v>
      </c>
      <c r="G1156" s="16">
        <v>0.8</v>
      </c>
      <c r="H1156" s="16">
        <v>2606</v>
      </c>
      <c r="I1156" s="16">
        <v>110</v>
      </c>
      <c r="J1156" s="16">
        <v>109</v>
      </c>
      <c r="K1156" s="16">
        <v>1.31388946050865E-2</v>
      </c>
      <c r="L1156" s="16">
        <v>9.8459298925725105E-3</v>
      </c>
      <c r="M1156" s="16">
        <v>1.33444933576036</v>
      </c>
      <c r="N1156" s="16">
        <v>50.875957815666098</v>
      </c>
      <c r="O1156" s="16">
        <v>0.187998692548874</v>
      </c>
      <c r="P1156" s="16"/>
      <c r="Q1156" s="16"/>
      <c r="R1156" s="16"/>
      <c r="S1156" s="16"/>
      <c r="T1156" s="16"/>
      <c r="U1156" s="16"/>
      <c r="V1156" s="16"/>
      <c r="W1156" s="16"/>
      <c r="X1156" s="16"/>
      <c r="Y1156" s="16"/>
      <c r="Z1156" s="16"/>
      <c r="AA1156" s="16"/>
      <c r="AB1156" s="16"/>
      <c r="AC1156" s="16"/>
      <c r="AD1156" s="16"/>
      <c r="AE1156" s="16"/>
      <c r="AF1156" s="16"/>
      <c r="AG1156" s="16"/>
      <c r="AH1156" s="16" t="s">
        <v>402</v>
      </c>
      <c r="AI1156" s="16"/>
      <c r="AJ1156" s="16" t="s">
        <v>1702</v>
      </c>
    </row>
    <row r="1157" spans="1:36" ht="15" customHeight="1" x14ac:dyDescent="0.3">
      <c r="A1157" s="16" t="s">
        <v>273</v>
      </c>
      <c r="B1157" s="16" t="s">
        <v>785</v>
      </c>
      <c r="C1157" s="16" t="s">
        <v>1524</v>
      </c>
      <c r="D1157" s="16" t="s">
        <v>324</v>
      </c>
      <c r="E1157" s="16" t="s">
        <v>404</v>
      </c>
      <c r="F1157" s="16" t="s">
        <v>401</v>
      </c>
      <c r="G1157" s="16">
        <v>0.8</v>
      </c>
      <c r="H1157" s="16">
        <v>2606</v>
      </c>
      <c r="I1157" s="16">
        <v>110</v>
      </c>
      <c r="J1157" s="16">
        <v>109</v>
      </c>
      <c r="K1157" s="16">
        <v>1.3749968261340499E-3</v>
      </c>
      <c r="L1157" s="16">
        <v>9.6496541504850295E-3</v>
      </c>
      <c r="M1157" s="16">
        <v>0.14249182454533199</v>
      </c>
      <c r="N1157" s="16">
        <v>58.283244852213301</v>
      </c>
      <c r="O1157" s="16">
        <v>0.88718298913231097</v>
      </c>
      <c r="P1157" s="16"/>
      <c r="Q1157" s="16"/>
      <c r="R1157" s="16"/>
      <c r="S1157" s="16"/>
      <c r="T1157" s="16"/>
      <c r="U1157" s="16"/>
      <c r="V1157" s="16"/>
      <c r="W1157" s="16"/>
      <c r="X1157" s="16"/>
      <c r="Y1157" s="16"/>
      <c r="Z1157" s="16"/>
      <c r="AA1157" s="16"/>
      <c r="AB1157" s="16"/>
      <c r="AC1157" s="16"/>
      <c r="AD1157" s="16"/>
      <c r="AE1157" s="16"/>
      <c r="AF1157" s="16"/>
      <c r="AG1157" s="16"/>
      <c r="AH1157" s="16" t="s">
        <v>402</v>
      </c>
      <c r="AI1157" s="16"/>
      <c r="AJ1157" s="16" t="s">
        <v>1703</v>
      </c>
    </row>
    <row r="1158" spans="1:36" ht="15" customHeight="1" x14ac:dyDescent="0.3">
      <c r="A1158" s="16" t="s">
        <v>273</v>
      </c>
      <c r="B1158" s="16" t="s">
        <v>787</v>
      </c>
      <c r="C1158" s="16" t="s">
        <v>1524</v>
      </c>
      <c r="D1158" s="16" t="s">
        <v>324</v>
      </c>
      <c r="E1158" s="16" t="s">
        <v>404</v>
      </c>
      <c r="F1158" s="16" t="s">
        <v>401</v>
      </c>
      <c r="G1158" s="16">
        <v>0.8</v>
      </c>
      <c r="H1158" s="16">
        <v>905</v>
      </c>
      <c r="I1158" s="16">
        <v>38</v>
      </c>
      <c r="J1158" s="16">
        <v>38</v>
      </c>
      <c r="K1158" s="16">
        <v>-2.2787605550884701E-2</v>
      </c>
      <c r="L1158" s="16">
        <v>1.8981672481379001E-2</v>
      </c>
      <c r="M1158" s="16">
        <v>-1.2005056758428101</v>
      </c>
      <c r="N1158" s="16">
        <v>24.044249594714302</v>
      </c>
      <c r="O1158" s="16">
        <v>0.24163735815680901</v>
      </c>
      <c r="P1158" s="16"/>
      <c r="Q1158" s="16"/>
      <c r="R1158" s="16"/>
      <c r="S1158" s="16"/>
      <c r="T1158" s="16"/>
      <c r="U1158" s="16"/>
      <c r="V1158" s="16"/>
      <c r="W1158" s="16"/>
      <c r="X1158" s="16"/>
      <c r="Y1158" s="16"/>
      <c r="Z1158" s="16"/>
      <c r="AA1158" s="16"/>
      <c r="AB1158" s="16"/>
      <c r="AC1158" s="16"/>
      <c r="AD1158" s="16"/>
      <c r="AE1158" s="16"/>
      <c r="AF1158" s="16"/>
      <c r="AG1158" s="16"/>
      <c r="AH1158" s="16" t="s">
        <v>402</v>
      </c>
      <c r="AI1158" s="16"/>
      <c r="AJ1158" s="16" t="s">
        <v>1704</v>
      </c>
    </row>
    <row r="1159" spans="1:36" ht="15" customHeight="1" x14ac:dyDescent="0.3">
      <c r="A1159" s="16" t="s">
        <v>273</v>
      </c>
      <c r="B1159" s="16" t="s">
        <v>322</v>
      </c>
      <c r="C1159" s="16" t="s">
        <v>1705</v>
      </c>
      <c r="D1159" s="16" t="s">
        <v>324</v>
      </c>
      <c r="E1159" s="16" t="s">
        <v>404</v>
      </c>
      <c r="F1159" s="16" t="s">
        <v>790</v>
      </c>
      <c r="G1159" s="16">
        <v>0.8</v>
      </c>
      <c r="H1159" s="16">
        <v>2705</v>
      </c>
      <c r="I1159" s="16">
        <v>113</v>
      </c>
      <c r="J1159" s="16">
        <v>112</v>
      </c>
      <c r="K1159" s="16">
        <v>2.9603330853536999E-2</v>
      </c>
      <c r="L1159" s="16">
        <v>7.0524703230619101E-2</v>
      </c>
      <c r="M1159" s="16">
        <v>0.41975831868065799</v>
      </c>
      <c r="N1159" s="16">
        <v>111</v>
      </c>
      <c r="O1159" s="16">
        <v>0.67547336073561903</v>
      </c>
      <c r="P1159" s="16"/>
      <c r="Q1159" s="16"/>
      <c r="R1159" s="16"/>
      <c r="S1159" s="16"/>
      <c r="T1159" s="16"/>
      <c r="U1159" s="16"/>
      <c r="V1159" s="16"/>
      <c r="W1159" s="16"/>
      <c r="X1159" s="16"/>
      <c r="Y1159" s="16"/>
      <c r="Z1159" s="16"/>
      <c r="AA1159" s="16"/>
      <c r="AB1159" s="16"/>
      <c r="AC1159" s="16"/>
      <c r="AD1159" s="16"/>
      <c r="AE1159" s="16"/>
      <c r="AF1159" s="16"/>
      <c r="AG1159" s="16"/>
      <c r="AH1159" s="16" t="s">
        <v>402</v>
      </c>
      <c r="AI1159" s="16"/>
      <c r="AJ1159" s="16" t="s">
        <v>1706</v>
      </c>
    </row>
    <row r="1160" spans="1:36" ht="15" customHeight="1" x14ac:dyDescent="0.3">
      <c r="A1160" s="16" t="s">
        <v>273</v>
      </c>
      <c r="B1160" s="16" t="s">
        <v>326</v>
      </c>
      <c r="C1160" s="16" t="s">
        <v>1705</v>
      </c>
      <c r="D1160" s="16" t="s">
        <v>324</v>
      </c>
      <c r="E1160" s="16" t="s">
        <v>404</v>
      </c>
      <c r="F1160" s="16" t="s">
        <v>790</v>
      </c>
      <c r="G1160" s="16">
        <v>0.8</v>
      </c>
      <c r="H1160" s="16">
        <v>2705</v>
      </c>
      <c r="I1160" s="16">
        <v>113</v>
      </c>
      <c r="J1160" s="16">
        <v>112</v>
      </c>
      <c r="K1160" s="16">
        <v>1.20103112657024E-2</v>
      </c>
      <c r="L1160" s="16">
        <v>7.4819147828789706E-2</v>
      </c>
      <c r="M1160" s="16">
        <v>0.16052456642764601</v>
      </c>
      <c r="N1160" s="16">
        <v>111</v>
      </c>
      <c r="O1160" s="16">
        <v>0.87275964672650397</v>
      </c>
      <c r="P1160" s="16"/>
      <c r="Q1160" s="16"/>
      <c r="R1160" s="16"/>
      <c r="S1160" s="16"/>
      <c r="T1160" s="16"/>
      <c r="U1160" s="16"/>
      <c r="V1160" s="16"/>
      <c r="W1160" s="16"/>
      <c r="X1160" s="16"/>
      <c r="Y1160" s="16"/>
      <c r="Z1160" s="16"/>
      <c r="AA1160" s="16"/>
      <c r="AB1160" s="16"/>
      <c r="AC1160" s="16"/>
      <c r="AD1160" s="16"/>
      <c r="AE1160" s="16"/>
      <c r="AF1160" s="16"/>
      <c r="AG1160" s="16"/>
      <c r="AH1160" s="16" t="s">
        <v>402</v>
      </c>
      <c r="AI1160" s="16"/>
      <c r="AJ1160" s="16" t="s">
        <v>1707</v>
      </c>
    </row>
    <row r="1161" spans="1:36" ht="15" customHeight="1" x14ac:dyDescent="0.3">
      <c r="A1161" s="16" t="s">
        <v>273</v>
      </c>
      <c r="B1161" s="16" t="s">
        <v>328</v>
      </c>
      <c r="C1161" s="16" t="s">
        <v>1705</v>
      </c>
      <c r="D1161" s="16" t="s">
        <v>324</v>
      </c>
      <c r="E1161" s="16" t="s">
        <v>404</v>
      </c>
      <c r="F1161" s="16" t="s">
        <v>790</v>
      </c>
      <c r="G1161" s="16">
        <v>0.8</v>
      </c>
      <c r="H1161" s="16">
        <v>2705</v>
      </c>
      <c r="I1161" s="16">
        <v>113</v>
      </c>
      <c r="J1161" s="16">
        <v>112</v>
      </c>
      <c r="K1161" s="16">
        <v>-5.3495550609128598E-2</v>
      </c>
      <c r="L1161" s="16">
        <v>7.4274671933782899E-2</v>
      </c>
      <c r="M1161" s="16">
        <v>-0.72023947351555895</v>
      </c>
      <c r="N1161" s="16">
        <v>110</v>
      </c>
      <c r="O1161" s="16">
        <v>0.47290525824912999</v>
      </c>
      <c r="P1161" s="16"/>
      <c r="Q1161" s="16"/>
      <c r="R1161" s="16"/>
      <c r="S1161" s="16"/>
      <c r="T1161" s="16"/>
      <c r="U1161" s="16"/>
      <c r="V1161" s="16"/>
      <c r="W1161" s="16"/>
      <c r="X1161" s="16"/>
      <c r="Y1161" s="16"/>
      <c r="Z1161" s="16"/>
      <c r="AA1161" s="16"/>
      <c r="AB1161" s="16"/>
      <c r="AC1161" s="16"/>
      <c r="AD1161" s="16"/>
      <c r="AE1161" s="16"/>
      <c r="AF1161" s="16"/>
      <c r="AG1161" s="16"/>
      <c r="AH1161" s="16" t="s">
        <v>402</v>
      </c>
      <c r="AI1161" s="16"/>
      <c r="AJ1161" s="16" t="s">
        <v>1708</v>
      </c>
    </row>
    <row r="1162" spans="1:36" ht="15" customHeight="1" x14ac:dyDescent="0.3">
      <c r="A1162" s="16" t="s">
        <v>273</v>
      </c>
      <c r="B1162" s="16" t="s">
        <v>330</v>
      </c>
      <c r="C1162" s="16" t="s">
        <v>1705</v>
      </c>
      <c r="D1162" s="16" t="s">
        <v>324</v>
      </c>
      <c r="E1162" s="16" t="s">
        <v>404</v>
      </c>
      <c r="F1162" s="16" t="s">
        <v>790</v>
      </c>
      <c r="G1162" s="16">
        <v>0.8</v>
      </c>
      <c r="H1162" s="16">
        <v>2705</v>
      </c>
      <c r="I1162" s="16">
        <v>113</v>
      </c>
      <c r="J1162" s="16">
        <v>112</v>
      </c>
      <c r="K1162" s="16">
        <v>7.9954464421451103E-3</v>
      </c>
      <c r="L1162" s="16">
        <v>7.8221031594586599E-2</v>
      </c>
      <c r="M1162" s="16">
        <v>0.10221607001534901</v>
      </c>
      <c r="N1162" s="16">
        <v>111</v>
      </c>
      <c r="O1162" s="16">
        <v>0.91876959899014399</v>
      </c>
      <c r="P1162" s="16"/>
      <c r="Q1162" s="16"/>
      <c r="R1162" s="16"/>
      <c r="S1162" s="16"/>
      <c r="T1162" s="16"/>
      <c r="U1162" s="16"/>
      <c r="V1162" s="16"/>
      <c r="W1162" s="16"/>
      <c r="X1162" s="16"/>
      <c r="Y1162" s="16"/>
      <c r="Z1162" s="16"/>
      <c r="AA1162" s="16"/>
      <c r="AB1162" s="16"/>
      <c r="AC1162" s="16"/>
      <c r="AD1162" s="16"/>
      <c r="AE1162" s="16"/>
      <c r="AF1162" s="16"/>
      <c r="AG1162" s="16"/>
      <c r="AH1162" s="16" t="s">
        <v>402</v>
      </c>
      <c r="AI1162" s="16"/>
      <c r="AJ1162" s="16" t="s">
        <v>1709</v>
      </c>
    </row>
    <row r="1163" spans="1:36" ht="15" customHeight="1" x14ac:dyDescent="0.3">
      <c r="A1163" s="16" t="s">
        <v>273</v>
      </c>
      <c r="B1163" s="16" t="s">
        <v>332</v>
      </c>
      <c r="C1163" s="16" t="s">
        <v>1705</v>
      </c>
      <c r="D1163" s="16" t="s">
        <v>324</v>
      </c>
      <c r="E1163" s="16" t="s">
        <v>404</v>
      </c>
      <c r="F1163" s="16" t="s">
        <v>790</v>
      </c>
      <c r="G1163" s="16">
        <v>0.8</v>
      </c>
      <c r="H1163" s="16">
        <v>2705</v>
      </c>
      <c r="I1163" s="16">
        <v>113</v>
      </c>
      <c r="J1163" s="16">
        <v>112</v>
      </c>
      <c r="K1163" s="16">
        <v>2.9407306190249401E-2</v>
      </c>
      <c r="L1163" s="16">
        <v>9.3239356016390704E-2</v>
      </c>
      <c r="M1163" s="16">
        <v>0.31539585263844899</v>
      </c>
      <c r="N1163" s="16">
        <v>110</v>
      </c>
      <c r="O1163" s="16">
        <v>0.75305868597796699</v>
      </c>
      <c r="P1163" s="16"/>
      <c r="Q1163" s="16"/>
      <c r="R1163" s="16"/>
      <c r="S1163" s="16"/>
      <c r="T1163" s="16"/>
      <c r="U1163" s="16"/>
      <c r="V1163" s="16"/>
      <c r="W1163" s="16"/>
      <c r="X1163" s="16"/>
      <c r="Y1163" s="16"/>
      <c r="Z1163" s="16"/>
      <c r="AA1163" s="16"/>
      <c r="AB1163" s="16"/>
      <c r="AC1163" s="16"/>
      <c r="AD1163" s="16"/>
      <c r="AE1163" s="16"/>
      <c r="AF1163" s="16"/>
      <c r="AG1163" s="16"/>
      <c r="AH1163" s="16" t="s">
        <v>402</v>
      </c>
      <c r="AI1163" s="16"/>
      <c r="AJ1163" s="16" t="s">
        <v>1710</v>
      </c>
    </row>
    <row r="1164" spans="1:36" ht="15" customHeight="1" x14ac:dyDescent="0.3">
      <c r="A1164" s="16" t="s">
        <v>273</v>
      </c>
      <c r="B1164" s="16" t="s">
        <v>334</v>
      </c>
      <c r="C1164" s="16" t="s">
        <v>1705</v>
      </c>
      <c r="D1164" s="16" t="s">
        <v>324</v>
      </c>
      <c r="E1164" s="16" t="s">
        <v>404</v>
      </c>
      <c r="F1164" s="16" t="s">
        <v>790</v>
      </c>
      <c r="G1164" s="16">
        <v>0.8</v>
      </c>
      <c r="H1164" s="16">
        <v>2705</v>
      </c>
      <c r="I1164" s="16">
        <v>113</v>
      </c>
      <c r="J1164" s="16">
        <v>112</v>
      </c>
      <c r="K1164" s="16">
        <v>3.2416362037732301E-2</v>
      </c>
      <c r="L1164" s="16">
        <v>9.9135878400166397E-2</v>
      </c>
      <c r="M1164" s="16">
        <v>0.32698920472447102</v>
      </c>
      <c r="N1164" s="16">
        <v>110</v>
      </c>
      <c r="O1164" s="16">
        <v>0.74429745967706196</v>
      </c>
      <c r="P1164" s="16"/>
      <c r="Q1164" s="16"/>
      <c r="R1164" s="16"/>
      <c r="S1164" s="16"/>
      <c r="T1164" s="16"/>
      <c r="U1164" s="16"/>
      <c r="V1164" s="16"/>
      <c r="W1164" s="16"/>
      <c r="X1164" s="16"/>
      <c r="Y1164" s="16"/>
      <c r="Z1164" s="16"/>
      <c r="AA1164" s="16"/>
      <c r="AB1164" s="16"/>
      <c r="AC1164" s="16"/>
      <c r="AD1164" s="16"/>
      <c r="AE1164" s="16"/>
      <c r="AF1164" s="16"/>
      <c r="AG1164" s="16"/>
      <c r="AH1164" s="16" t="s">
        <v>402</v>
      </c>
      <c r="AI1164" s="16"/>
      <c r="AJ1164" s="16" t="s">
        <v>1711</v>
      </c>
    </row>
    <row r="1165" spans="1:36" ht="15" customHeight="1" x14ac:dyDescent="0.3">
      <c r="A1165" s="16" t="s">
        <v>273</v>
      </c>
      <c r="B1165" s="16" t="s">
        <v>336</v>
      </c>
      <c r="C1165" s="16" t="s">
        <v>1705</v>
      </c>
      <c r="D1165" s="16" t="s">
        <v>324</v>
      </c>
      <c r="E1165" s="16" t="s">
        <v>404</v>
      </c>
      <c r="F1165" s="16" t="s">
        <v>790</v>
      </c>
      <c r="G1165" s="16">
        <v>0.8</v>
      </c>
      <c r="H1165" s="16">
        <v>2705</v>
      </c>
      <c r="I1165" s="16">
        <v>113</v>
      </c>
      <c r="J1165" s="16">
        <v>112</v>
      </c>
      <c r="K1165" s="16">
        <v>-6.6201526120611295E-2</v>
      </c>
      <c r="L1165" s="16">
        <v>6.6030384493791297E-2</v>
      </c>
      <c r="M1165" s="16">
        <v>-1.0025918617335301</v>
      </c>
      <c r="N1165" s="16">
        <v>111</v>
      </c>
      <c r="O1165" s="16">
        <v>0.31823844496724102</v>
      </c>
      <c r="P1165" s="16"/>
      <c r="Q1165" s="16"/>
      <c r="R1165" s="16"/>
      <c r="S1165" s="16"/>
      <c r="T1165" s="16"/>
      <c r="U1165" s="16"/>
      <c r="V1165" s="16"/>
      <c r="W1165" s="16"/>
      <c r="X1165" s="16"/>
      <c r="Y1165" s="16"/>
      <c r="Z1165" s="16"/>
      <c r="AA1165" s="16"/>
      <c r="AB1165" s="16"/>
      <c r="AC1165" s="16"/>
      <c r="AD1165" s="16"/>
      <c r="AE1165" s="16"/>
      <c r="AF1165" s="16"/>
      <c r="AG1165" s="16"/>
      <c r="AH1165" s="16" t="s">
        <v>402</v>
      </c>
      <c r="AI1165" s="16"/>
      <c r="AJ1165" s="16" t="s">
        <v>1712</v>
      </c>
    </row>
    <row r="1166" spans="1:36" ht="15" customHeight="1" x14ac:dyDescent="0.3">
      <c r="A1166" s="16" t="s">
        <v>273</v>
      </c>
      <c r="B1166" s="16" t="s">
        <v>338</v>
      </c>
      <c r="C1166" s="16" t="s">
        <v>1705</v>
      </c>
      <c r="D1166" s="16" t="s">
        <v>324</v>
      </c>
      <c r="E1166" s="16" t="s">
        <v>404</v>
      </c>
      <c r="F1166" s="16" t="s">
        <v>790</v>
      </c>
      <c r="G1166" s="16">
        <v>0.8</v>
      </c>
      <c r="H1166" s="16">
        <v>2705</v>
      </c>
      <c r="I1166" s="16">
        <v>113</v>
      </c>
      <c r="J1166" s="16">
        <v>112</v>
      </c>
      <c r="K1166" s="16">
        <v>4.05016200298794E-2</v>
      </c>
      <c r="L1166" s="16">
        <v>6.3340559558262802E-2</v>
      </c>
      <c r="M1166" s="16">
        <v>0.63942630618260798</v>
      </c>
      <c r="N1166" s="16">
        <v>111</v>
      </c>
      <c r="O1166" s="16">
        <v>0.523863088128807</v>
      </c>
      <c r="P1166" s="16"/>
      <c r="Q1166" s="16"/>
      <c r="R1166" s="16"/>
      <c r="S1166" s="16"/>
      <c r="T1166" s="16"/>
      <c r="U1166" s="16"/>
      <c r="V1166" s="16"/>
      <c r="W1166" s="16"/>
      <c r="X1166" s="16"/>
      <c r="Y1166" s="16"/>
      <c r="Z1166" s="16"/>
      <c r="AA1166" s="16"/>
      <c r="AB1166" s="16"/>
      <c r="AC1166" s="16"/>
      <c r="AD1166" s="16"/>
      <c r="AE1166" s="16"/>
      <c r="AF1166" s="16"/>
      <c r="AG1166" s="16"/>
      <c r="AH1166" s="16" t="s">
        <v>402</v>
      </c>
      <c r="AI1166" s="16"/>
      <c r="AJ1166" s="16" t="s">
        <v>1713</v>
      </c>
    </row>
    <row r="1167" spans="1:36" ht="15" customHeight="1" x14ac:dyDescent="0.3">
      <c r="A1167" s="16" t="s">
        <v>273</v>
      </c>
      <c r="B1167" s="16" t="s">
        <v>340</v>
      </c>
      <c r="C1167" s="16" t="s">
        <v>1705</v>
      </c>
      <c r="D1167" s="16" t="s">
        <v>324</v>
      </c>
      <c r="E1167" s="16" t="s">
        <v>404</v>
      </c>
      <c r="F1167" s="16" t="s">
        <v>790</v>
      </c>
      <c r="G1167" s="16">
        <v>0.8</v>
      </c>
      <c r="H1167" s="16">
        <v>2705</v>
      </c>
      <c r="I1167" s="16">
        <v>113</v>
      </c>
      <c r="J1167" s="16">
        <v>112</v>
      </c>
      <c r="K1167" s="16">
        <v>3.18037107014136E-2</v>
      </c>
      <c r="L1167" s="16">
        <v>6.3344667218641598E-2</v>
      </c>
      <c r="M1167" s="16">
        <v>0.50207400398267799</v>
      </c>
      <c r="N1167" s="16">
        <v>111</v>
      </c>
      <c r="O1167" s="16">
        <v>0.61660997064811895</v>
      </c>
      <c r="P1167" s="16"/>
      <c r="Q1167" s="16"/>
      <c r="R1167" s="16"/>
      <c r="S1167" s="16"/>
      <c r="T1167" s="16"/>
      <c r="U1167" s="16"/>
      <c r="V1167" s="16"/>
      <c r="W1167" s="16"/>
      <c r="X1167" s="16"/>
      <c r="Y1167" s="16"/>
      <c r="Z1167" s="16"/>
      <c r="AA1167" s="16"/>
      <c r="AB1167" s="16"/>
      <c r="AC1167" s="16"/>
      <c r="AD1167" s="16"/>
      <c r="AE1167" s="16"/>
      <c r="AF1167" s="16"/>
      <c r="AG1167" s="16"/>
      <c r="AH1167" s="16" t="s">
        <v>402</v>
      </c>
      <c r="AI1167" s="16"/>
      <c r="AJ1167" s="16" t="s">
        <v>1714</v>
      </c>
    </row>
    <row r="1168" spans="1:36" ht="15" customHeight="1" x14ac:dyDescent="0.3">
      <c r="A1168" s="16" t="s">
        <v>273</v>
      </c>
      <c r="B1168" s="16" t="s">
        <v>342</v>
      </c>
      <c r="C1168" s="16" t="s">
        <v>1705</v>
      </c>
      <c r="D1168" s="16" t="s">
        <v>324</v>
      </c>
      <c r="E1168" s="16" t="s">
        <v>404</v>
      </c>
      <c r="F1168" s="16" t="s">
        <v>790</v>
      </c>
      <c r="G1168" s="16">
        <v>0.8</v>
      </c>
      <c r="H1168" s="16">
        <v>929</v>
      </c>
      <c r="I1168" s="16">
        <v>40</v>
      </c>
      <c r="J1168" s="16">
        <v>40</v>
      </c>
      <c r="K1168" s="16">
        <v>-2.8986972432779701E-2</v>
      </c>
      <c r="L1168" s="16">
        <v>3.7369105648673101E-2</v>
      </c>
      <c r="M1168" s="16">
        <v>-0.77569350214858601</v>
      </c>
      <c r="N1168" s="16">
        <v>38</v>
      </c>
      <c r="O1168" s="16">
        <v>0.44273099418723</v>
      </c>
      <c r="P1168" s="16"/>
      <c r="Q1168" s="16"/>
      <c r="R1168" s="16"/>
      <c r="S1168" s="16"/>
      <c r="T1168" s="16"/>
      <c r="U1168" s="16"/>
      <c r="V1168" s="16"/>
      <c r="W1168" s="16"/>
      <c r="X1168" s="16"/>
      <c r="Y1168" s="16"/>
      <c r="Z1168" s="16"/>
      <c r="AA1168" s="16"/>
      <c r="AB1168" s="16"/>
      <c r="AC1168" s="16"/>
      <c r="AD1168" s="16"/>
      <c r="AE1168" s="16"/>
      <c r="AF1168" s="16"/>
      <c r="AG1168" s="16"/>
      <c r="AH1168" s="16" t="s">
        <v>402</v>
      </c>
      <c r="AI1168" s="16"/>
      <c r="AJ1168" s="16" t="s">
        <v>1715</v>
      </c>
    </row>
    <row r="1169" spans="1:36" ht="15" customHeight="1" x14ac:dyDescent="0.3">
      <c r="A1169" s="16" t="s">
        <v>273</v>
      </c>
      <c r="B1169" s="16" t="s">
        <v>449</v>
      </c>
      <c r="C1169" s="16" t="s">
        <v>1705</v>
      </c>
      <c r="D1169" s="16" t="s">
        <v>324</v>
      </c>
      <c r="E1169" s="16" t="s">
        <v>404</v>
      </c>
      <c r="F1169" s="16" t="s">
        <v>790</v>
      </c>
      <c r="G1169" s="16">
        <v>0.8</v>
      </c>
      <c r="H1169" s="16">
        <v>2692</v>
      </c>
      <c r="I1169" s="16">
        <v>113</v>
      </c>
      <c r="J1169" s="16">
        <v>112</v>
      </c>
      <c r="K1169" s="16">
        <v>-1.3613334385494299E-2</v>
      </c>
      <c r="L1169" s="16">
        <v>2.2455095229349201E-2</v>
      </c>
      <c r="M1169" s="16">
        <v>-0.60624701193435304</v>
      </c>
      <c r="N1169" s="16">
        <v>111</v>
      </c>
      <c r="O1169" s="16">
        <v>0.54558856577897696</v>
      </c>
      <c r="P1169" s="16"/>
      <c r="Q1169" s="16"/>
      <c r="R1169" s="16"/>
      <c r="S1169" s="16"/>
      <c r="T1169" s="16"/>
      <c r="U1169" s="16"/>
      <c r="V1169" s="16"/>
      <c r="W1169" s="16"/>
      <c r="X1169" s="16"/>
      <c r="Y1169" s="16"/>
      <c r="Z1169" s="16"/>
      <c r="AA1169" s="16"/>
      <c r="AB1169" s="16"/>
      <c r="AC1169" s="16"/>
      <c r="AD1169" s="16"/>
      <c r="AE1169" s="16"/>
      <c r="AF1169" s="16"/>
      <c r="AG1169" s="16"/>
      <c r="AH1169" s="16" t="s">
        <v>402</v>
      </c>
      <c r="AI1169" s="16"/>
      <c r="AJ1169" s="16" t="s">
        <v>1716</v>
      </c>
    </row>
    <row r="1170" spans="1:36" ht="15" customHeight="1" x14ac:dyDescent="0.3">
      <c r="A1170" s="16" t="s">
        <v>273</v>
      </c>
      <c r="B1170" s="16" t="s">
        <v>451</v>
      </c>
      <c r="C1170" s="16" t="s">
        <v>1705</v>
      </c>
      <c r="D1170" s="16" t="s">
        <v>324</v>
      </c>
      <c r="E1170" s="16" t="s">
        <v>404</v>
      </c>
      <c r="F1170" s="16" t="s">
        <v>790</v>
      </c>
      <c r="G1170" s="16">
        <v>0.8</v>
      </c>
      <c r="H1170" s="16">
        <v>2692</v>
      </c>
      <c r="I1170" s="16">
        <v>113</v>
      </c>
      <c r="J1170" s="16">
        <v>112</v>
      </c>
      <c r="K1170" s="16">
        <v>-2.9153965431831599E-2</v>
      </c>
      <c r="L1170" s="16">
        <v>2.3703383742574399E-2</v>
      </c>
      <c r="M1170" s="16">
        <v>-1.22994951895696</v>
      </c>
      <c r="N1170" s="16">
        <v>111</v>
      </c>
      <c r="O1170" s="16">
        <v>0.22131646731754601</v>
      </c>
      <c r="P1170" s="16"/>
      <c r="Q1170" s="16"/>
      <c r="R1170" s="16"/>
      <c r="S1170" s="16"/>
      <c r="T1170" s="16"/>
      <c r="U1170" s="16"/>
      <c r="V1170" s="16"/>
      <c r="W1170" s="16"/>
      <c r="X1170" s="16"/>
      <c r="Y1170" s="16"/>
      <c r="Z1170" s="16"/>
      <c r="AA1170" s="16"/>
      <c r="AB1170" s="16"/>
      <c r="AC1170" s="16"/>
      <c r="AD1170" s="16"/>
      <c r="AE1170" s="16"/>
      <c r="AF1170" s="16"/>
      <c r="AG1170" s="16"/>
      <c r="AH1170" s="16" t="s">
        <v>402</v>
      </c>
      <c r="AI1170" s="16"/>
      <c r="AJ1170" s="16" t="s">
        <v>1717</v>
      </c>
    </row>
    <row r="1171" spans="1:36" ht="15" customHeight="1" x14ac:dyDescent="0.3">
      <c r="A1171" s="16" t="s">
        <v>273</v>
      </c>
      <c r="B1171" s="16" t="s">
        <v>453</v>
      </c>
      <c r="C1171" s="16" t="s">
        <v>1705</v>
      </c>
      <c r="D1171" s="16" t="s">
        <v>324</v>
      </c>
      <c r="E1171" s="16" t="s">
        <v>404</v>
      </c>
      <c r="F1171" s="16" t="s">
        <v>790</v>
      </c>
      <c r="G1171" s="16">
        <v>0.8</v>
      </c>
      <c r="H1171" s="16">
        <v>2692</v>
      </c>
      <c r="I1171" s="16">
        <v>113</v>
      </c>
      <c r="J1171" s="16">
        <v>112</v>
      </c>
      <c r="K1171" s="16">
        <v>-1.3343953041011001E-2</v>
      </c>
      <c r="L1171" s="16">
        <v>2.3932867343938201E-2</v>
      </c>
      <c r="M1171" s="16">
        <v>-0.55755764026289201</v>
      </c>
      <c r="N1171" s="16">
        <v>110</v>
      </c>
      <c r="O1171" s="16">
        <v>0.57827936486088105</v>
      </c>
      <c r="P1171" s="16"/>
      <c r="Q1171" s="16"/>
      <c r="R1171" s="16"/>
      <c r="S1171" s="16"/>
      <c r="T1171" s="16"/>
      <c r="U1171" s="16"/>
      <c r="V1171" s="16"/>
      <c r="W1171" s="16"/>
      <c r="X1171" s="16"/>
      <c r="Y1171" s="16"/>
      <c r="Z1171" s="16"/>
      <c r="AA1171" s="16"/>
      <c r="AB1171" s="16"/>
      <c r="AC1171" s="16"/>
      <c r="AD1171" s="16"/>
      <c r="AE1171" s="16"/>
      <c r="AF1171" s="16"/>
      <c r="AG1171" s="16"/>
      <c r="AH1171" s="16" t="s">
        <v>402</v>
      </c>
      <c r="AI1171" s="16"/>
      <c r="AJ1171" s="16" t="s">
        <v>1718</v>
      </c>
    </row>
    <row r="1172" spans="1:36" ht="15" customHeight="1" x14ac:dyDescent="0.3">
      <c r="A1172" s="16" t="s">
        <v>273</v>
      </c>
      <c r="B1172" s="16" t="s">
        <v>455</v>
      </c>
      <c r="C1172" s="16" t="s">
        <v>1705</v>
      </c>
      <c r="D1172" s="16" t="s">
        <v>324</v>
      </c>
      <c r="E1172" s="16" t="s">
        <v>404</v>
      </c>
      <c r="F1172" s="16" t="s">
        <v>790</v>
      </c>
      <c r="G1172" s="16">
        <v>0.8</v>
      </c>
      <c r="H1172" s="16">
        <v>2692</v>
      </c>
      <c r="I1172" s="16">
        <v>113</v>
      </c>
      <c r="J1172" s="16">
        <v>112</v>
      </c>
      <c r="K1172" s="16">
        <v>-3.1863657012620998E-2</v>
      </c>
      <c r="L1172" s="16">
        <v>2.47764750502459E-2</v>
      </c>
      <c r="M1172" s="16">
        <v>-1.2860448045172901</v>
      </c>
      <c r="N1172" s="16">
        <v>111</v>
      </c>
      <c r="O1172" s="16">
        <v>0.20110363390011099</v>
      </c>
      <c r="P1172" s="16"/>
      <c r="Q1172" s="16"/>
      <c r="R1172" s="16"/>
      <c r="S1172" s="16"/>
      <c r="T1172" s="16"/>
      <c r="U1172" s="16"/>
      <c r="V1172" s="16"/>
      <c r="W1172" s="16"/>
      <c r="X1172" s="16"/>
      <c r="Y1172" s="16"/>
      <c r="Z1172" s="16"/>
      <c r="AA1172" s="16"/>
      <c r="AB1172" s="16"/>
      <c r="AC1172" s="16"/>
      <c r="AD1172" s="16"/>
      <c r="AE1172" s="16"/>
      <c r="AF1172" s="16"/>
      <c r="AG1172" s="16"/>
      <c r="AH1172" s="16" t="s">
        <v>402</v>
      </c>
      <c r="AI1172" s="16"/>
      <c r="AJ1172" s="16" t="s">
        <v>1719</v>
      </c>
    </row>
    <row r="1173" spans="1:36" ht="15" customHeight="1" x14ac:dyDescent="0.3">
      <c r="A1173" s="16" t="s">
        <v>273</v>
      </c>
      <c r="B1173" s="16" t="s">
        <v>457</v>
      </c>
      <c r="C1173" s="16" t="s">
        <v>1705</v>
      </c>
      <c r="D1173" s="16" t="s">
        <v>324</v>
      </c>
      <c r="E1173" s="16" t="s">
        <v>404</v>
      </c>
      <c r="F1173" s="16" t="s">
        <v>790</v>
      </c>
      <c r="G1173" s="16">
        <v>0.8</v>
      </c>
      <c r="H1173" s="16">
        <v>2692</v>
      </c>
      <c r="I1173" s="16">
        <v>113</v>
      </c>
      <c r="J1173" s="16">
        <v>112</v>
      </c>
      <c r="K1173" s="16">
        <v>-8.6379267709272099E-3</v>
      </c>
      <c r="L1173" s="16">
        <v>2.9728418653646602E-2</v>
      </c>
      <c r="M1173" s="16">
        <v>-0.29056125963389101</v>
      </c>
      <c r="N1173" s="16">
        <v>110</v>
      </c>
      <c r="O1173" s="16">
        <v>0.77193398430337301</v>
      </c>
      <c r="P1173" s="16"/>
      <c r="Q1173" s="16"/>
      <c r="R1173" s="16"/>
      <c r="S1173" s="16"/>
      <c r="T1173" s="16"/>
      <c r="U1173" s="16"/>
      <c r="V1173" s="16"/>
      <c r="W1173" s="16"/>
      <c r="X1173" s="16"/>
      <c r="Y1173" s="16"/>
      <c r="Z1173" s="16"/>
      <c r="AA1173" s="16"/>
      <c r="AB1173" s="16"/>
      <c r="AC1173" s="16"/>
      <c r="AD1173" s="16"/>
      <c r="AE1173" s="16"/>
      <c r="AF1173" s="16"/>
      <c r="AG1173" s="16"/>
      <c r="AH1173" s="16" t="s">
        <v>402</v>
      </c>
      <c r="AI1173" s="16"/>
      <c r="AJ1173" s="16" t="s">
        <v>1720</v>
      </c>
    </row>
    <row r="1174" spans="1:36" ht="15" customHeight="1" x14ac:dyDescent="0.3">
      <c r="A1174" s="16" t="s">
        <v>273</v>
      </c>
      <c r="B1174" s="16" t="s">
        <v>459</v>
      </c>
      <c r="C1174" s="16" t="s">
        <v>1705</v>
      </c>
      <c r="D1174" s="16" t="s">
        <v>324</v>
      </c>
      <c r="E1174" s="16" t="s">
        <v>404</v>
      </c>
      <c r="F1174" s="16" t="s">
        <v>790</v>
      </c>
      <c r="G1174" s="16">
        <v>0.8</v>
      </c>
      <c r="H1174" s="16">
        <v>2692</v>
      </c>
      <c r="I1174" s="16">
        <v>113</v>
      </c>
      <c r="J1174" s="16">
        <v>112</v>
      </c>
      <c r="K1174" s="16">
        <v>-5.2254003307531296E-3</v>
      </c>
      <c r="L1174" s="16">
        <v>3.1622475388528297E-2</v>
      </c>
      <c r="M1174" s="16">
        <v>-0.16524324128808601</v>
      </c>
      <c r="N1174" s="16">
        <v>110</v>
      </c>
      <c r="O1174" s="16">
        <v>0.86905583148431198</v>
      </c>
      <c r="P1174" s="16"/>
      <c r="Q1174" s="16"/>
      <c r="R1174" s="16"/>
      <c r="S1174" s="16"/>
      <c r="T1174" s="16"/>
      <c r="U1174" s="16"/>
      <c r="V1174" s="16"/>
      <c r="W1174" s="16"/>
      <c r="X1174" s="16"/>
      <c r="Y1174" s="16"/>
      <c r="Z1174" s="16"/>
      <c r="AA1174" s="16"/>
      <c r="AB1174" s="16"/>
      <c r="AC1174" s="16"/>
      <c r="AD1174" s="16"/>
      <c r="AE1174" s="16"/>
      <c r="AF1174" s="16"/>
      <c r="AG1174" s="16"/>
      <c r="AH1174" s="16" t="s">
        <v>402</v>
      </c>
      <c r="AI1174" s="16"/>
      <c r="AJ1174" s="16" t="s">
        <v>1721</v>
      </c>
    </row>
    <row r="1175" spans="1:36" ht="15" customHeight="1" x14ac:dyDescent="0.3">
      <c r="A1175" s="16" t="s">
        <v>273</v>
      </c>
      <c r="B1175" s="16" t="s">
        <v>461</v>
      </c>
      <c r="C1175" s="16" t="s">
        <v>1705</v>
      </c>
      <c r="D1175" s="16" t="s">
        <v>324</v>
      </c>
      <c r="E1175" s="16" t="s">
        <v>404</v>
      </c>
      <c r="F1175" s="16" t="s">
        <v>790</v>
      </c>
      <c r="G1175" s="16">
        <v>0.8</v>
      </c>
      <c r="H1175" s="16">
        <v>2692</v>
      </c>
      <c r="I1175" s="16">
        <v>113</v>
      </c>
      <c r="J1175" s="16">
        <v>112</v>
      </c>
      <c r="K1175" s="16">
        <v>-2.3096404395670601E-2</v>
      </c>
      <c r="L1175" s="16">
        <v>2.1152895147877E-2</v>
      </c>
      <c r="M1175" s="16">
        <v>-1.0918791131997201</v>
      </c>
      <c r="N1175" s="16">
        <v>111</v>
      </c>
      <c r="O1175" s="16">
        <v>0.27725051667077799</v>
      </c>
      <c r="P1175" s="16"/>
      <c r="Q1175" s="16"/>
      <c r="R1175" s="16"/>
      <c r="S1175" s="16"/>
      <c r="T1175" s="16"/>
      <c r="U1175" s="16"/>
      <c r="V1175" s="16"/>
      <c r="W1175" s="16"/>
      <c r="X1175" s="16"/>
      <c r="Y1175" s="16"/>
      <c r="Z1175" s="16"/>
      <c r="AA1175" s="16"/>
      <c r="AB1175" s="16"/>
      <c r="AC1175" s="16"/>
      <c r="AD1175" s="16"/>
      <c r="AE1175" s="16"/>
      <c r="AF1175" s="16"/>
      <c r="AG1175" s="16"/>
      <c r="AH1175" s="16" t="s">
        <v>402</v>
      </c>
      <c r="AI1175" s="16"/>
      <c r="AJ1175" s="16" t="s">
        <v>1722</v>
      </c>
    </row>
    <row r="1176" spans="1:36" ht="15" customHeight="1" x14ac:dyDescent="0.3">
      <c r="A1176" s="16" t="s">
        <v>273</v>
      </c>
      <c r="B1176" s="16" t="s">
        <v>463</v>
      </c>
      <c r="C1176" s="16" t="s">
        <v>1705</v>
      </c>
      <c r="D1176" s="16" t="s">
        <v>324</v>
      </c>
      <c r="E1176" s="16" t="s">
        <v>404</v>
      </c>
      <c r="F1176" s="16" t="s">
        <v>790</v>
      </c>
      <c r="G1176" s="16">
        <v>0.8</v>
      </c>
      <c r="H1176" s="16">
        <v>2692</v>
      </c>
      <c r="I1176" s="16">
        <v>113</v>
      </c>
      <c r="J1176" s="16">
        <v>112</v>
      </c>
      <c r="K1176" s="16">
        <v>-2.7004114072194201E-2</v>
      </c>
      <c r="L1176" s="16">
        <v>2.0128743793186701E-2</v>
      </c>
      <c r="M1176" s="16">
        <v>-1.3415697645937901</v>
      </c>
      <c r="N1176" s="16">
        <v>111</v>
      </c>
      <c r="O1176" s="16">
        <v>0.18247377446084201</v>
      </c>
      <c r="P1176" s="16"/>
      <c r="Q1176" s="16"/>
      <c r="R1176" s="16"/>
      <c r="S1176" s="16"/>
      <c r="T1176" s="16"/>
      <c r="U1176" s="16"/>
      <c r="V1176" s="16"/>
      <c r="W1176" s="16"/>
      <c r="X1176" s="16"/>
      <c r="Y1176" s="16"/>
      <c r="Z1176" s="16"/>
      <c r="AA1176" s="16"/>
      <c r="AB1176" s="16"/>
      <c r="AC1176" s="16"/>
      <c r="AD1176" s="16"/>
      <c r="AE1176" s="16"/>
      <c r="AF1176" s="16"/>
      <c r="AG1176" s="16"/>
      <c r="AH1176" s="16" t="s">
        <v>402</v>
      </c>
      <c r="AI1176" s="16"/>
      <c r="AJ1176" s="16" t="s">
        <v>1723</v>
      </c>
    </row>
    <row r="1177" spans="1:36" ht="15" customHeight="1" x14ac:dyDescent="0.3">
      <c r="A1177" s="16" t="s">
        <v>273</v>
      </c>
      <c r="B1177" s="16" t="s">
        <v>465</v>
      </c>
      <c r="C1177" s="16" t="s">
        <v>1705</v>
      </c>
      <c r="D1177" s="16" t="s">
        <v>324</v>
      </c>
      <c r="E1177" s="16" t="s">
        <v>404</v>
      </c>
      <c r="F1177" s="16" t="s">
        <v>790</v>
      </c>
      <c r="G1177" s="16">
        <v>0.8</v>
      </c>
      <c r="H1177" s="16">
        <v>2692</v>
      </c>
      <c r="I1177" s="16">
        <v>113</v>
      </c>
      <c r="J1177" s="16">
        <v>112</v>
      </c>
      <c r="K1177" s="16">
        <v>-2.0546881810334799E-2</v>
      </c>
      <c r="L1177" s="16">
        <v>2.0114878666356299E-2</v>
      </c>
      <c r="M1177" s="16">
        <v>-1.0214767959153099</v>
      </c>
      <c r="N1177" s="16">
        <v>111</v>
      </c>
      <c r="O1177" s="16">
        <v>0.30924972393661798</v>
      </c>
      <c r="P1177" s="16"/>
      <c r="Q1177" s="16"/>
      <c r="R1177" s="16"/>
      <c r="S1177" s="16"/>
      <c r="T1177" s="16"/>
      <c r="U1177" s="16"/>
      <c r="V1177" s="16"/>
      <c r="W1177" s="16"/>
      <c r="X1177" s="16"/>
      <c r="Y1177" s="16"/>
      <c r="Z1177" s="16"/>
      <c r="AA1177" s="16"/>
      <c r="AB1177" s="16"/>
      <c r="AC1177" s="16"/>
      <c r="AD1177" s="16"/>
      <c r="AE1177" s="16"/>
      <c r="AF1177" s="16"/>
      <c r="AG1177" s="16"/>
      <c r="AH1177" s="16" t="s">
        <v>402</v>
      </c>
      <c r="AI1177" s="16"/>
      <c r="AJ1177" s="16" t="s">
        <v>1724</v>
      </c>
    </row>
    <row r="1178" spans="1:36" ht="15" customHeight="1" x14ac:dyDescent="0.3">
      <c r="A1178" s="16" t="s">
        <v>273</v>
      </c>
      <c r="B1178" s="16" t="s">
        <v>467</v>
      </c>
      <c r="C1178" s="16" t="s">
        <v>1705</v>
      </c>
      <c r="D1178" s="16" t="s">
        <v>324</v>
      </c>
      <c r="E1178" s="16" t="s">
        <v>404</v>
      </c>
      <c r="F1178" s="16" t="s">
        <v>790</v>
      </c>
      <c r="G1178" s="16">
        <v>0.8</v>
      </c>
      <c r="H1178" s="16">
        <v>924</v>
      </c>
      <c r="I1178" s="16">
        <v>40</v>
      </c>
      <c r="J1178" s="16">
        <v>40</v>
      </c>
      <c r="K1178" s="16">
        <v>-3.1692121802403099E-2</v>
      </c>
      <c r="L1178" s="16">
        <v>3.7274494353883997E-2</v>
      </c>
      <c r="M1178" s="16">
        <v>-0.85023612933600501</v>
      </c>
      <c r="N1178" s="16">
        <v>38</v>
      </c>
      <c r="O1178" s="16">
        <v>0.40051938848886198</v>
      </c>
      <c r="P1178" s="16"/>
      <c r="Q1178" s="16"/>
      <c r="R1178" s="16"/>
      <c r="S1178" s="16"/>
      <c r="T1178" s="16"/>
      <c r="U1178" s="16"/>
      <c r="V1178" s="16"/>
      <c r="W1178" s="16"/>
      <c r="X1178" s="16"/>
      <c r="Y1178" s="16"/>
      <c r="Z1178" s="16"/>
      <c r="AA1178" s="16"/>
      <c r="AB1178" s="16"/>
      <c r="AC1178" s="16"/>
      <c r="AD1178" s="16"/>
      <c r="AE1178" s="16"/>
      <c r="AF1178" s="16"/>
      <c r="AG1178" s="16"/>
      <c r="AH1178" s="16" t="s">
        <v>402</v>
      </c>
      <c r="AI1178" s="16"/>
      <c r="AJ1178" s="16" t="s">
        <v>1725</v>
      </c>
    </row>
    <row r="1179" spans="1:36" ht="15" customHeight="1" x14ac:dyDescent="0.3">
      <c r="A1179" s="16" t="s">
        <v>273</v>
      </c>
      <c r="B1179" s="16" t="s">
        <v>469</v>
      </c>
      <c r="C1179" s="16" t="s">
        <v>1705</v>
      </c>
      <c r="D1179" s="16" t="s">
        <v>324</v>
      </c>
      <c r="E1179" s="16" t="s">
        <v>404</v>
      </c>
      <c r="F1179" s="16" t="s">
        <v>790</v>
      </c>
      <c r="G1179" s="16">
        <v>0.8</v>
      </c>
      <c r="H1179" s="16">
        <v>2705</v>
      </c>
      <c r="I1179" s="16">
        <v>113</v>
      </c>
      <c r="J1179" s="16">
        <v>112</v>
      </c>
      <c r="K1179" s="16">
        <v>-9.9185575964752509E-3</v>
      </c>
      <c r="L1179" s="16">
        <v>2.1535451880044899E-2</v>
      </c>
      <c r="M1179" s="16">
        <v>-0.460568817024264</v>
      </c>
      <c r="N1179" s="16">
        <v>111</v>
      </c>
      <c r="O1179" s="16">
        <v>0.64600903384541497</v>
      </c>
      <c r="P1179" s="16"/>
      <c r="Q1179" s="16"/>
      <c r="R1179" s="16"/>
      <c r="S1179" s="16"/>
      <c r="T1179" s="16"/>
      <c r="U1179" s="16"/>
      <c r="V1179" s="16"/>
      <c r="W1179" s="16"/>
      <c r="X1179" s="16"/>
      <c r="Y1179" s="16"/>
      <c r="Z1179" s="16"/>
      <c r="AA1179" s="16"/>
      <c r="AB1179" s="16"/>
      <c r="AC1179" s="16"/>
      <c r="AD1179" s="16"/>
      <c r="AE1179" s="16"/>
      <c r="AF1179" s="16"/>
      <c r="AG1179" s="16"/>
      <c r="AH1179" s="16" t="s">
        <v>402</v>
      </c>
      <c r="AI1179" s="16"/>
      <c r="AJ1179" s="16" t="s">
        <v>1726</v>
      </c>
    </row>
    <row r="1180" spans="1:36" ht="15" customHeight="1" x14ac:dyDescent="0.3">
      <c r="A1180" s="16" t="s">
        <v>273</v>
      </c>
      <c r="B1180" s="16" t="s">
        <v>471</v>
      </c>
      <c r="C1180" s="16" t="s">
        <v>1705</v>
      </c>
      <c r="D1180" s="16" t="s">
        <v>324</v>
      </c>
      <c r="E1180" s="16" t="s">
        <v>404</v>
      </c>
      <c r="F1180" s="16" t="s">
        <v>790</v>
      </c>
      <c r="G1180" s="16">
        <v>0.8</v>
      </c>
      <c r="H1180" s="16">
        <v>2705</v>
      </c>
      <c r="I1180" s="16">
        <v>113</v>
      </c>
      <c r="J1180" s="16">
        <v>112</v>
      </c>
      <c r="K1180" s="16">
        <v>-2.1379098970744501E-2</v>
      </c>
      <c r="L1180" s="16">
        <v>2.27848045066491E-2</v>
      </c>
      <c r="M1180" s="16">
        <v>-0.93830513070698696</v>
      </c>
      <c r="N1180" s="16">
        <v>111</v>
      </c>
      <c r="O1180" s="16">
        <v>0.35012484281881601</v>
      </c>
      <c r="P1180" s="16"/>
      <c r="Q1180" s="16"/>
      <c r="R1180" s="16"/>
      <c r="S1180" s="16"/>
      <c r="T1180" s="16"/>
      <c r="U1180" s="16"/>
      <c r="V1180" s="16"/>
      <c r="W1180" s="16"/>
      <c r="X1180" s="16"/>
      <c r="Y1180" s="16"/>
      <c r="Z1180" s="16"/>
      <c r="AA1180" s="16"/>
      <c r="AB1180" s="16"/>
      <c r="AC1180" s="16"/>
      <c r="AD1180" s="16"/>
      <c r="AE1180" s="16"/>
      <c r="AF1180" s="16"/>
      <c r="AG1180" s="16"/>
      <c r="AH1180" s="16" t="s">
        <v>402</v>
      </c>
      <c r="AI1180" s="16"/>
      <c r="AJ1180" s="16" t="s">
        <v>1727</v>
      </c>
    </row>
    <row r="1181" spans="1:36" ht="15" customHeight="1" x14ac:dyDescent="0.3">
      <c r="A1181" s="16" t="s">
        <v>273</v>
      </c>
      <c r="B1181" s="16" t="s">
        <v>473</v>
      </c>
      <c r="C1181" s="16" t="s">
        <v>1705</v>
      </c>
      <c r="D1181" s="16" t="s">
        <v>324</v>
      </c>
      <c r="E1181" s="16" t="s">
        <v>404</v>
      </c>
      <c r="F1181" s="16" t="s">
        <v>790</v>
      </c>
      <c r="G1181" s="16">
        <v>0.8</v>
      </c>
      <c r="H1181" s="16">
        <v>2705</v>
      </c>
      <c r="I1181" s="16">
        <v>113</v>
      </c>
      <c r="J1181" s="16">
        <v>112</v>
      </c>
      <c r="K1181" s="16">
        <v>-1.10375813029995E-2</v>
      </c>
      <c r="L1181" s="16">
        <v>2.29496523576403E-2</v>
      </c>
      <c r="M1181" s="16">
        <v>-0.48094764709256799</v>
      </c>
      <c r="N1181" s="16">
        <v>110</v>
      </c>
      <c r="O1181" s="16">
        <v>0.63150896175216997</v>
      </c>
      <c r="P1181" s="16"/>
      <c r="Q1181" s="16"/>
      <c r="R1181" s="16"/>
      <c r="S1181" s="16"/>
      <c r="T1181" s="16"/>
      <c r="U1181" s="16"/>
      <c r="V1181" s="16"/>
      <c r="W1181" s="16"/>
      <c r="X1181" s="16"/>
      <c r="Y1181" s="16"/>
      <c r="Z1181" s="16"/>
      <c r="AA1181" s="16"/>
      <c r="AB1181" s="16"/>
      <c r="AC1181" s="16"/>
      <c r="AD1181" s="16"/>
      <c r="AE1181" s="16"/>
      <c r="AF1181" s="16"/>
      <c r="AG1181" s="16"/>
      <c r="AH1181" s="16" t="s">
        <v>402</v>
      </c>
      <c r="AI1181" s="16"/>
      <c r="AJ1181" s="16" t="s">
        <v>1728</v>
      </c>
    </row>
    <row r="1182" spans="1:36" ht="15" customHeight="1" x14ac:dyDescent="0.3">
      <c r="A1182" s="16" t="s">
        <v>273</v>
      </c>
      <c r="B1182" s="16" t="s">
        <v>475</v>
      </c>
      <c r="C1182" s="16" t="s">
        <v>1705</v>
      </c>
      <c r="D1182" s="16" t="s">
        <v>324</v>
      </c>
      <c r="E1182" s="16" t="s">
        <v>404</v>
      </c>
      <c r="F1182" s="16" t="s">
        <v>790</v>
      </c>
      <c r="G1182" s="16">
        <v>0.8</v>
      </c>
      <c r="H1182" s="16">
        <v>2705</v>
      </c>
      <c r="I1182" s="16">
        <v>113</v>
      </c>
      <c r="J1182" s="16">
        <v>112</v>
      </c>
      <c r="K1182" s="16">
        <v>-2.4659401487636901E-2</v>
      </c>
      <c r="L1182" s="16">
        <v>2.3812226552963101E-2</v>
      </c>
      <c r="M1182" s="16">
        <v>-1.0355773086901201</v>
      </c>
      <c r="N1182" s="16">
        <v>111</v>
      </c>
      <c r="O1182" s="16">
        <v>0.302650208519396</v>
      </c>
      <c r="P1182" s="16"/>
      <c r="Q1182" s="16"/>
      <c r="R1182" s="16"/>
      <c r="S1182" s="16"/>
      <c r="T1182" s="16"/>
      <c r="U1182" s="16"/>
      <c r="V1182" s="16"/>
      <c r="W1182" s="16"/>
      <c r="X1182" s="16"/>
      <c r="Y1182" s="16"/>
      <c r="Z1182" s="16"/>
      <c r="AA1182" s="16"/>
      <c r="AB1182" s="16"/>
      <c r="AC1182" s="16"/>
      <c r="AD1182" s="16"/>
      <c r="AE1182" s="16"/>
      <c r="AF1182" s="16"/>
      <c r="AG1182" s="16"/>
      <c r="AH1182" s="16" t="s">
        <v>402</v>
      </c>
      <c r="AI1182" s="16"/>
      <c r="AJ1182" s="16" t="s">
        <v>1729</v>
      </c>
    </row>
    <row r="1183" spans="1:36" ht="15" customHeight="1" x14ac:dyDescent="0.3">
      <c r="A1183" s="16" t="s">
        <v>273</v>
      </c>
      <c r="B1183" s="16" t="s">
        <v>477</v>
      </c>
      <c r="C1183" s="16" t="s">
        <v>1705</v>
      </c>
      <c r="D1183" s="16" t="s">
        <v>324</v>
      </c>
      <c r="E1183" s="16" t="s">
        <v>404</v>
      </c>
      <c r="F1183" s="16" t="s">
        <v>790</v>
      </c>
      <c r="G1183" s="16">
        <v>0.8</v>
      </c>
      <c r="H1183" s="16">
        <v>2705</v>
      </c>
      <c r="I1183" s="16">
        <v>113</v>
      </c>
      <c r="J1183" s="16">
        <v>112</v>
      </c>
      <c r="K1183" s="16">
        <v>-3.2606130370346599E-3</v>
      </c>
      <c r="L1183" s="16">
        <v>2.8497322239336199E-2</v>
      </c>
      <c r="M1183" s="16">
        <v>-0.114418225321321</v>
      </c>
      <c r="N1183" s="16">
        <v>110</v>
      </c>
      <c r="O1183" s="16">
        <v>0.909114852934374</v>
      </c>
      <c r="P1183" s="16"/>
      <c r="Q1183" s="16"/>
      <c r="R1183" s="16"/>
      <c r="S1183" s="16"/>
      <c r="T1183" s="16"/>
      <c r="U1183" s="16"/>
      <c r="V1183" s="16"/>
      <c r="W1183" s="16"/>
      <c r="X1183" s="16"/>
      <c r="Y1183" s="16"/>
      <c r="Z1183" s="16"/>
      <c r="AA1183" s="16"/>
      <c r="AB1183" s="16"/>
      <c r="AC1183" s="16"/>
      <c r="AD1183" s="16"/>
      <c r="AE1183" s="16"/>
      <c r="AF1183" s="16"/>
      <c r="AG1183" s="16"/>
      <c r="AH1183" s="16" t="s">
        <v>402</v>
      </c>
      <c r="AI1183" s="16"/>
      <c r="AJ1183" s="16" t="s">
        <v>1730</v>
      </c>
    </row>
    <row r="1184" spans="1:36" ht="15" customHeight="1" x14ac:dyDescent="0.3">
      <c r="A1184" s="16" t="s">
        <v>273</v>
      </c>
      <c r="B1184" s="16" t="s">
        <v>479</v>
      </c>
      <c r="C1184" s="16" t="s">
        <v>1705</v>
      </c>
      <c r="D1184" s="16" t="s">
        <v>324</v>
      </c>
      <c r="E1184" s="16" t="s">
        <v>404</v>
      </c>
      <c r="F1184" s="16" t="s">
        <v>790</v>
      </c>
      <c r="G1184" s="16">
        <v>0.8</v>
      </c>
      <c r="H1184" s="16">
        <v>2705</v>
      </c>
      <c r="I1184" s="16">
        <v>113</v>
      </c>
      <c r="J1184" s="16">
        <v>112</v>
      </c>
      <c r="K1184" s="16">
        <v>-5.7684594620553004E-4</v>
      </c>
      <c r="L1184" s="16">
        <v>3.0307465201831099E-2</v>
      </c>
      <c r="M1184" s="16">
        <v>-1.9033130694502201E-2</v>
      </c>
      <c r="N1184" s="16">
        <v>110</v>
      </c>
      <c r="O1184" s="16">
        <v>0.98484915647252502</v>
      </c>
      <c r="P1184" s="16"/>
      <c r="Q1184" s="16"/>
      <c r="R1184" s="16"/>
      <c r="S1184" s="16"/>
      <c r="T1184" s="16"/>
      <c r="U1184" s="16"/>
      <c r="V1184" s="16"/>
      <c r="W1184" s="16"/>
      <c r="X1184" s="16"/>
      <c r="Y1184" s="16"/>
      <c r="Z1184" s="16"/>
      <c r="AA1184" s="16"/>
      <c r="AB1184" s="16"/>
      <c r="AC1184" s="16"/>
      <c r="AD1184" s="16"/>
      <c r="AE1184" s="16"/>
      <c r="AF1184" s="16"/>
      <c r="AG1184" s="16"/>
      <c r="AH1184" s="16" t="s">
        <v>402</v>
      </c>
      <c r="AI1184" s="16"/>
      <c r="AJ1184" s="16" t="s">
        <v>1731</v>
      </c>
    </row>
    <row r="1185" spans="1:36" ht="15" customHeight="1" x14ac:dyDescent="0.3">
      <c r="A1185" s="16" t="s">
        <v>273</v>
      </c>
      <c r="B1185" s="16" t="s">
        <v>481</v>
      </c>
      <c r="C1185" s="16" t="s">
        <v>1705</v>
      </c>
      <c r="D1185" s="16" t="s">
        <v>324</v>
      </c>
      <c r="E1185" s="16" t="s">
        <v>404</v>
      </c>
      <c r="F1185" s="16" t="s">
        <v>790</v>
      </c>
      <c r="G1185" s="16">
        <v>0.8</v>
      </c>
      <c r="H1185" s="16">
        <v>2705</v>
      </c>
      <c r="I1185" s="16">
        <v>113</v>
      </c>
      <c r="J1185" s="16">
        <v>112</v>
      </c>
      <c r="K1185" s="16">
        <v>-1.7959984958451702E-2</v>
      </c>
      <c r="L1185" s="16">
        <v>2.0314191224512501E-2</v>
      </c>
      <c r="M1185" s="16">
        <v>-0.884110263606258</v>
      </c>
      <c r="N1185" s="16">
        <v>111</v>
      </c>
      <c r="O1185" s="16">
        <v>0.37854767832751701</v>
      </c>
      <c r="P1185" s="16"/>
      <c r="Q1185" s="16"/>
      <c r="R1185" s="16"/>
      <c r="S1185" s="16"/>
      <c r="T1185" s="16"/>
      <c r="U1185" s="16"/>
      <c r="V1185" s="16"/>
      <c r="W1185" s="16"/>
      <c r="X1185" s="16"/>
      <c r="Y1185" s="16"/>
      <c r="Z1185" s="16"/>
      <c r="AA1185" s="16"/>
      <c r="AB1185" s="16"/>
      <c r="AC1185" s="16"/>
      <c r="AD1185" s="16"/>
      <c r="AE1185" s="16"/>
      <c r="AF1185" s="16"/>
      <c r="AG1185" s="16"/>
      <c r="AH1185" s="16" t="s">
        <v>402</v>
      </c>
      <c r="AI1185" s="16"/>
      <c r="AJ1185" s="16" t="s">
        <v>1732</v>
      </c>
    </row>
    <row r="1186" spans="1:36" ht="15" customHeight="1" x14ac:dyDescent="0.3">
      <c r="A1186" s="16" t="s">
        <v>273</v>
      </c>
      <c r="B1186" s="16" t="s">
        <v>483</v>
      </c>
      <c r="C1186" s="16" t="s">
        <v>1705</v>
      </c>
      <c r="D1186" s="16" t="s">
        <v>324</v>
      </c>
      <c r="E1186" s="16" t="s">
        <v>404</v>
      </c>
      <c r="F1186" s="16" t="s">
        <v>790</v>
      </c>
      <c r="G1186" s="16">
        <v>0.8</v>
      </c>
      <c r="H1186" s="16">
        <v>2705</v>
      </c>
      <c r="I1186" s="16">
        <v>113</v>
      </c>
      <c r="J1186" s="16">
        <v>112</v>
      </c>
      <c r="K1186" s="16">
        <v>-1.1012545657365799E-2</v>
      </c>
      <c r="L1186" s="16">
        <v>1.9429101192863899E-2</v>
      </c>
      <c r="M1186" s="16">
        <v>-0.56680674767449502</v>
      </c>
      <c r="N1186" s="16">
        <v>111</v>
      </c>
      <c r="O1186" s="16">
        <v>0.57198986738541002</v>
      </c>
      <c r="P1186" s="16"/>
      <c r="Q1186" s="16"/>
      <c r="R1186" s="16"/>
      <c r="S1186" s="16"/>
      <c r="T1186" s="16"/>
      <c r="U1186" s="16"/>
      <c r="V1186" s="16"/>
      <c r="W1186" s="16"/>
      <c r="X1186" s="16"/>
      <c r="Y1186" s="16"/>
      <c r="Z1186" s="16"/>
      <c r="AA1186" s="16"/>
      <c r="AB1186" s="16"/>
      <c r="AC1186" s="16"/>
      <c r="AD1186" s="16"/>
      <c r="AE1186" s="16"/>
      <c r="AF1186" s="16"/>
      <c r="AG1186" s="16"/>
      <c r="AH1186" s="16" t="s">
        <v>402</v>
      </c>
      <c r="AI1186" s="16"/>
      <c r="AJ1186" s="16" t="s">
        <v>1733</v>
      </c>
    </row>
    <row r="1187" spans="1:36" ht="15" customHeight="1" x14ac:dyDescent="0.3">
      <c r="A1187" s="16" t="s">
        <v>273</v>
      </c>
      <c r="B1187" s="16" t="s">
        <v>485</v>
      </c>
      <c r="C1187" s="16" t="s">
        <v>1705</v>
      </c>
      <c r="D1187" s="16" t="s">
        <v>324</v>
      </c>
      <c r="E1187" s="16" t="s">
        <v>404</v>
      </c>
      <c r="F1187" s="16" t="s">
        <v>790</v>
      </c>
      <c r="G1187" s="16">
        <v>0.8</v>
      </c>
      <c r="H1187" s="16">
        <v>2705</v>
      </c>
      <c r="I1187" s="16">
        <v>113</v>
      </c>
      <c r="J1187" s="16">
        <v>112</v>
      </c>
      <c r="K1187" s="16">
        <v>-8.3318740689785793E-3</v>
      </c>
      <c r="L1187" s="16">
        <v>1.9353989311526099E-2</v>
      </c>
      <c r="M1187" s="16">
        <v>-0.430499052927379</v>
      </c>
      <c r="N1187" s="16">
        <v>111</v>
      </c>
      <c r="O1187" s="16">
        <v>0.66766739119778695</v>
      </c>
      <c r="P1187" s="16"/>
      <c r="Q1187" s="16"/>
      <c r="R1187" s="16"/>
      <c r="S1187" s="16"/>
      <c r="T1187" s="16"/>
      <c r="U1187" s="16"/>
      <c r="V1187" s="16"/>
      <c r="W1187" s="16"/>
      <c r="X1187" s="16"/>
      <c r="Y1187" s="16"/>
      <c r="Z1187" s="16"/>
      <c r="AA1187" s="16"/>
      <c r="AB1187" s="16"/>
      <c r="AC1187" s="16"/>
      <c r="AD1187" s="16"/>
      <c r="AE1187" s="16"/>
      <c r="AF1187" s="16"/>
      <c r="AG1187" s="16"/>
      <c r="AH1187" s="16" t="s">
        <v>402</v>
      </c>
      <c r="AI1187" s="16"/>
      <c r="AJ1187" s="16" t="s">
        <v>1734</v>
      </c>
    </row>
    <row r="1188" spans="1:36" ht="15" customHeight="1" x14ac:dyDescent="0.3">
      <c r="A1188" s="16" t="s">
        <v>273</v>
      </c>
      <c r="B1188" s="16" t="s">
        <v>487</v>
      </c>
      <c r="C1188" s="16" t="s">
        <v>1705</v>
      </c>
      <c r="D1188" s="16" t="s">
        <v>324</v>
      </c>
      <c r="E1188" s="16" t="s">
        <v>404</v>
      </c>
      <c r="F1188" s="16" t="s">
        <v>790</v>
      </c>
      <c r="G1188" s="16">
        <v>0.8</v>
      </c>
      <c r="H1188" s="16">
        <v>929</v>
      </c>
      <c r="I1188" s="16">
        <v>40</v>
      </c>
      <c r="J1188" s="16">
        <v>40</v>
      </c>
      <c r="K1188" s="16">
        <v>-2.54271278450421E-2</v>
      </c>
      <c r="L1188" s="16">
        <v>3.1841629037167897E-2</v>
      </c>
      <c r="M1188" s="16">
        <v>-0.79854984226346204</v>
      </c>
      <c r="N1188" s="16">
        <v>38</v>
      </c>
      <c r="O1188" s="16">
        <v>0.429514268909724</v>
      </c>
      <c r="P1188" s="16"/>
      <c r="Q1188" s="16"/>
      <c r="R1188" s="16"/>
      <c r="S1188" s="16"/>
      <c r="T1188" s="16"/>
      <c r="U1188" s="16"/>
      <c r="V1188" s="16"/>
      <c r="W1188" s="16"/>
      <c r="X1188" s="16"/>
      <c r="Y1188" s="16"/>
      <c r="Z1188" s="16"/>
      <c r="AA1188" s="16"/>
      <c r="AB1188" s="16"/>
      <c r="AC1188" s="16"/>
      <c r="AD1188" s="16"/>
      <c r="AE1188" s="16"/>
      <c r="AF1188" s="16"/>
      <c r="AG1188" s="16"/>
      <c r="AH1188" s="16" t="s">
        <v>402</v>
      </c>
      <c r="AI1188" s="16"/>
      <c r="AJ1188" s="16" t="s">
        <v>1735</v>
      </c>
    </row>
    <row r="1189" spans="1:36" ht="15" customHeight="1" x14ac:dyDescent="0.3">
      <c r="A1189" s="16" t="s">
        <v>273</v>
      </c>
      <c r="B1189" s="16" t="s">
        <v>489</v>
      </c>
      <c r="C1189" s="16" t="s">
        <v>1705</v>
      </c>
      <c r="D1189" s="16" t="s">
        <v>324</v>
      </c>
      <c r="E1189" s="16" t="s">
        <v>404</v>
      </c>
      <c r="F1189" s="16" t="s">
        <v>790</v>
      </c>
      <c r="G1189" s="16">
        <v>0.8</v>
      </c>
      <c r="H1189" s="16">
        <v>2607</v>
      </c>
      <c r="I1189" s="16">
        <v>110</v>
      </c>
      <c r="J1189" s="16">
        <v>109</v>
      </c>
      <c r="K1189" s="16">
        <v>2.28408477163092E-2</v>
      </c>
      <c r="L1189" s="16">
        <v>7.2113380816641801E-2</v>
      </c>
      <c r="M1189" s="16">
        <v>0.31673522247397001</v>
      </c>
      <c r="N1189" s="16">
        <v>108</v>
      </c>
      <c r="O1189" s="16">
        <v>0.75205593849908703</v>
      </c>
      <c r="P1189" s="16"/>
      <c r="Q1189" s="16"/>
      <c r="R1189" s="16"/>
      <c r="S1189" s="16"/>
      <c r="T1189" s="16"/>
      <c r="U1189" s="16"/>
      <c r="V1189" s="16"/>
      <c r="W1189" s="16"/>
      <c r="X1189" s="16"/>
      <c r="Y1189" s="16"/>
      <c r="Z1189" s="16"/>
      <c r="AA1189" s="16"/>
      <c r="AB1189" s="16"/>
      <c r="AC1189" s="16"/>
      <c r="AD1189" s="16"/>
      <c r="AE1189" s="16"/>
      <c r="AF1189" s="16"/>
      <c r="AG1189" s="16"/>
      <c r="AH1189" s="16" t="s">
        <v>402</v>
      </c>
      <c r="AI1189" s="16"/>
      <c r="AJ1189" s="16" t="s">
        <v>1736</v>
      </c>
    </row>
    <row r="1190" spans="1:36" ht="15" customHeight="1" x14ac:dyDescent="0.3">
      <c r="A1190" s="16" t="s">
        <v>273</v>
      </c>
      <c r="B1190" s="16" t="s">
        <v>491</v>
      </c>
      <c r="C1190" s="16" t="s">
        <v>1705</v>
      </c>
      <c r="D1190" s="16" t="s">
        <v>324</v>
      </c>
      <c r="E1190" s="16" t="s">
        <v>404</v>
      </c>
      <c r="F1190" s="16" t="s">
        <v>790</v>
      </c>
      <c r="G1190" s="16">
        <v>0.8</v>
      </c>
      <c r="H1190" s="16">
        <v>2607</v>
      </c>
      <c r="I1190" s="16">
        <v>110</v>
      </c>
      <c r="J1190" s="16">
        <v>109</v>
      </c>
      <c r="K1190" s="16">
        <v>3.8593599048246602E-3</v>
      </c>
      <c r="L1190" s="16">
        <v>7.6403362846695896E-2</v>
      </c>
      <c r="M1190" s="16">
        <v>5.0512958605873202E-2</v>
      </c>
      <c r="N1190" s="16">
        <v>108</v>
      </c>
      <c r="O1190" s="16">
        <v>0.95980692752307895</v>
      </c>
      <c r="P1190" s="16"/>
      <c r="Q1190" s="16"/>
      <c r="R1190" s="16"/>
      <c r="S1190" s="16"/>
      <c r="T1190" s="16"/>
      <c r="U1190" s="16"/>
      <c r="V1190" s="16"/>
      <c r="W1190" s="16"/>
      <c r="X1190" s="16"/>
      <c r="Y1190" s="16"/>
      <c r="Z1190" s="16"/>
      <c r="AA1190" s="16"/>
      <c r="AB1190" s="16"/>
      <c r="AC1190" s="16"/>
      <c r="AD1190" s="16"/>
      <c r="AE1190" s="16"/>
      <c r="AF1190" s="16"/>
      <c r="AG1190" s="16"/>
      <c r="AH1190" s="16" t="s">
        <v>402</v>
      </c>
      <c r="AI1190" s="16"/>
      <c r="AJ1190" s="16" t="s">
        <v>1737</v>
      </c>
    </row>
    <row r="1191" spans="1:36" ht="15" customHeight="1" x14ac:dyDescent="0.3">
      <c r="A1191" s="16" t="s">
        <v>273</v>
      </c>
      <c r="B1191" s="16" t="s">
        <v>493</v>
      </c>
      <c r="C1191" s="16" t="s">
        <v>1705</v>
      </c>
      <c r="D1191" s="16" t="s">
        <v>324</v>
      </c>
      <c r="E1191" s="16" t="s">
        <v>404</v>
      </c>
      <c r="F1191" s="16" t="s">
        <v>790</v>
      </c>
      <c r="G1191" s="16">
        <v>0.8</v>
      </c>
      <c r="H1191" s="16">
        <v>2607</v>
      </c>
      <c r="I1191" s="16">
        <v>110</v>
      </c>
      <c r="J1191" s="16">
        <v>109</v>
      </c>
      <c r="K1191" s="16">
        <v>-5.8035113275582299E-2</v>
      </c>
      <c r="L1191" s="16">
        <v>7.7897249747997693E-2</v>
      </c>
      <c r="M1191" s="16">
        <v>-0.74502133853671904</v>
      </c>
      <c r="N1191" s="16">
        <v>107</v>
      </c>
      <c r="O1191" s="16">
        <v>0.45789213999422201</v>
      </c>
      <c r="P1191" s="16"/>
      <c r="Q1191" s="16"/>
      <c r="R1191" s="16"/>
      <c r="S1191" s="16"/>
      <c r="T1191" s="16"/>
      <c r="U1191" s="16"/>
      <c r="V1191" s="16"/>
      <c r="W1191" s="16"/>
      <c r="X1191" s="16"/>
      <c r="Y1191" s="16"/>
      <c r="Z1191" s="16"/>
      <c r="AA1191" s="16"/>
      <c r="AB1191" s="16"/>
      <c r="AC1191" s="16"/>
      <c r="AD1191" s="16"/>
      <c r="AE1191" s="16"/>
      <c r="AF1191" s="16"/>
      <c r="AG1191" s="16"/>
      <c r="AH1191" s="16" t="s">
        <v>402</v>
      </c>
      <c r="AI1191" s="16"/>
      <c r="AJ1191" s="16" t="s">
        <v>1738</v>
      </c>
    </row>
    <row r="1192" spans="1:36" ht="15" customHeight="1" x14ac:dyDescent="0.3">
      <c r="A1192" s="16" t="s">
        <v>273</v>
      </c>
      <c r="B1192" s="16" t="s">
        <v>495</v>
      </c>
      <c r="C1192" s="16" t="s">
        <v>1705</v>
      </c>
      <c r="D1192" s="16" t="s">
        <v>324</v>
      </c>
      <c r="E1192" s="16" t="s">
        <v>404</v>
      </c>
      <c r="F1192" s="16" t="s">
        <v>790</v>
      </c>
      <c r="G1192" s="16">
        <v>0.8</v>
      </c>
      <c r="H1192" s="16">
        <v>2607</v>
      </c>
      <c r="I1192" s="16">
        <v>110</v>
      </c>
      <c r="J1192" s="16">
        <v>109</v>
      </c>
      <c r="K1192" s="16">
        <v>-1.1630276268992899E-3</v>
      </c>
      <c r="L1192" s="16">
        <v>7.9824871668683697E-2</v>
      </c>
      <c r="M1192" s="16">
        <v>-1.45697400144467E-2</v>
      </c>
      <c r="N1192" s="16">
        <v>108</v>
      </c>
      <c r="O1192" s="16">
        <v>0.98840232165794595</v>
      </c>
      <c r="P1192" s="16"/>
      <c r="Q1192" s="16"/>
      <c r="R1192" s="16"/>
      <c r="S1192" s="16"/>
      <c r="T1192" s="16"/>
      <c r="U1192" s="16"/>
      <c r="V1192" s="16"/>
      <c r="W1192" s="16"/>
      <c r="X1192" s="16"/>
      <c r="Y1192" s="16"/>
      <c r="Z1192" s="16"/>
      <c r="AA1192" s="16"/>
      <c r="AB1192" s="16"/>
      <c r="AC1192" s="16"/>
      <c r="AD1192" s="16"/>
      <c r="AE1192" s="16"/>
      <c r="AF1192" s="16"/>
      <c r="AG1192" s="16"/>
      <c r="AH1192" s="16" t="s">
        <v>402</v>
      </c>
      <c r="AI1192" s="16"/>
      <c r="AJ1192" s="16" t="s">
        <v>1739</v>
      </c>
    </row>
    <row r="1193" spans="1:36" ht="15" customHeight="1" x14ac:dyDescent="0.3">
      <c r="A1193" s="16" t="s">
        <v>273</v>
      </c>
      <c r="B1193" s="16" t="s">
        <v>497</v>
      </c>
      <c r="C1193" s="16" t="s">
        <v>1705</v>
      </c>
      <c r="D1193" s="16" t="s">
        <v>324</v>
      </c>
      <c r="E1193" s="16" t="s">
        <v>404</v>
      </c>
      <c r="F1193" s="16" t="s">
        <v>790</v>
      </c>
      <c r="G1193" s="16">
        <v>0.8</v>
      </c>
      <c r="H1193" s="16">
        <v>2607</v>
      </c>
      <c r="I1193" s="16">
        <v>110</v>
      </c>
      <c r="J1193" s="16">
        <v>109</v>
      </c>
      <c r="K1193" s="16">
        <v>3.1211504607017899E-2</v>
      </c>
      <c r="L1193" s="16">
        <v>9.5022575380969101E-2</v>
      </c>
      <c r="M1193" s="16">
        <v>0.32846409899840401</v>
      </c>
      <c r="N1193" s="16">
        <v>107</v>
      </c>
      <c r="O1193" s="16">
        <v>0.74320272502325802</v>
      </c>
      <c r="P1193" s="16"/>
      <c r="Q1193" s="16"/>
      <c r="R1193" s="16"/>
      <c r="S1193" s="16"/>
      <c r="T1193" s="16"/>
      <c r="U1193" s="16"/>
      <c r="V1193" s="16"/>
      <c r="W1193" s="16"/>
      <c r="X1193" s="16"/>
      <c r="Y1193" s="16"/>
      <c r="Z1193" s="16"/>
      <c r="AA1193" s="16"/>
      <c r="AB1193" s="16"/>
      <c r="AC1193" s="16"/>
      <c r="AD1193" s="16"/>
      <c r="AE1193" s="16"/>
      <c r="AF1193" s="16"/>
      <c r="AG1193" s="16"/>
      <c r="AH1193" s="16" t="s">
        <v>402</v>
      </c>
      <c r="AI1193" s="16"/>
      <c r="AJ1193" s="16" t="s">
        <v>1740</v>
      </c>
    </row>
    <row r="1194" spans="1:36" ht="15" customHeight="1" x14ac:dyDescent="0.3">
      <c r="A1194" s="16" t="s">
        <v>273</v>
      </c>
      <c r="B1194" s="16" t="s">
        <v>499</v>
      </c>
      <c r="C1194" s="16" t="s">
        <v>1705</v>
      </c>
      <c r="D1194" s="16" t="s">
        <v>324</v>
      </c>
      <c r="E1194" s="16" t="s">
        <v>404</v>
      </c>
      <c r="F1194" s="16" t="s">
        <v>790</v>
      </c>
      <c r="G1194" s="16">
        <v>0.8</v>
      </c>
      <c r="H1194" s="16">
        <v>2607</v>
      </c>
      <c r="I1194" s="16">
        <v>110</v>
      </c>
      <c r="J1194" s="16">
        <v>109</v>
      </c>
      <c r="K1194" s="16">
        <v>3.4204413531265299E-2</v>
      </c>
      <c r="L1194" s="16">
        <v>0.100999330702767</v>
      </c>
      <c r="M1194" s="16">
        <v>0.33865980391420802</v>
      </c>
      <c r="N1194" s="16">
        <v>107</v>
      </c>
      <c r="O1194" s="16">
        <v>0.73552968896304005</v>
      </c>
      <c r="P1194" s="16"/>
      <c r="Q1194" s="16"/>
      <c r="R1194" s="16"/>
      <c r="S1194" s="16"/>
      <c r="T1194" s="16"/>
      <c r="U1194" s="16"/>
      <c r="V1194" s="16"/>
      <c r="W1194" s="16"/>
      <c r="X1194" s="16"/>
      <c r="Y1194" s="16"/>
      <c r="Z1194" s="16"/>
      <c r="AA1194" s="16"/>
      <c r="AB1194" s="16"/>
      <c r="AC1194" s="16"/>
      <c r="AD1194" s="16"/>
      <c r="AE1194" s="16"/>
      <c r="AF1194" s="16"/>
      <c r="AG1194" s="16"/>
      <c r="AH1194" s="16" t="s">
        <v>402</v>
      </c>
      <c r="AI1194" s="16"/>
      <c r="AJ1194" s="16" t="s">
        <v>1741</v>
      </c>
    </row>
    <row r="1195" spans="1:36" ht="15" customHeight="1" x14ac:dyDescent="0.3">
      <c r="A1195" s="16" t="s">
        <v>273</v>
      </c>
      <c r="B1195" s="16" t="s">
        <v>501</v>
      </c>
      <c r="C1195" s="16" t="s">
        <v>1705</v>
      </c>
      <c r="D1195" s="16" t="s">
        <v>324</v>
      </c>
      <c r="E1195" s="16" t="s">
        <v>404</v>
      </c>
      <c r="F1195" s="16" t="s">
        <v>790</v>
      </c>
      <c r="G1195" s="16">
        <v>0.8</v>
      </c>
      <c r="H1195" s="16">
        <v>2607</v>
      </c>
      <c r="I1195" s="16">
        <v>110</v>
      </c>
      <c r="J1195" s="16">
        <v>109</v>
      </c>
      <c r="K1195" s="16">
        <v>-7.1908450137678798E-2</v>
      </c>
      <c r="L1195" s="16">
        <v>6.8447892605543501E-2</v>
      </c>
      <c r="M1195" s="16">
        <v>-1.0505575467761701</v>
      </c>
      <c r="N1195" s="16">
        <v>108</v>
      </c>
      <c r="O1195" s="16">
        <v>0.295806918717269</v>
      </c>
      <c r="P1195" s="16"/>
      <c r="Q1195" s="16"/>
      <c r="R1195" s="16"/>
      <c r="S1195" s="16"/>
      <c r="T1195" s="16"/>
      <c r="U1195" s="16"/>
      <c r="V1195" s="16"/>
      <c r="W1195" s="16"/>
      <c r="X1195" s="16"/>
      <c r="Y1195" s="16"/>
      <c r="Z1195" s="16"/>
      <c r="AA1195" s="16"/>
      <c r="AB1195" s="16"/>
      <c r="AC1195" s="16"/>
      <c r="AD1195" s="16"/>
      <c r="AE1195" s="16"/>
      <c r="AF1195" s="16"/>
      <c r="AG1195" s="16"/>
      <c r="AH1195" s="16" t="s">
        <v>402</v>
      </c>
      <c r="AI1195" s="16"/>
      <c r="AJ1195" s="16" t="s">
        <v>1742</v>
      </c>
    </row>
    <row r="1196" spans="1:36" ht="15" customHeight="1" x14ac:dyDescent="0.3">
      <c r="A1196" s="16" t="s">
        <v>273</v>
      </c>
      <c r="B1196" s="16" t="s">
        <v>503</v>
      </c>
      <c r="C1196" s="16" t="s">
        <v>1705</v>
      </c>
      <c r="D1196" s="16" t="s">
        <v>324</v>
      </c>
      <c r="E1196" s="16" t="s">
        <v>404</v>
      </c>
      <c r="F1196" s="16" t="s">
        <v>790</v>
      </c>
      <c r="G1196" s="16">
        <v>0.8</v>
      </c>
      <c r="H1196" s="16">
        <v>2607</v>
      </c>
      <c r="I1196" s="16">
        <v>110</v>
      </c>
      <c r="J1196" s="16">
        <v>109</v>
      </c>
      <c r="K1196" s="16">
        <v>3.8482602315887703E-2</v>
      </c>
      <c r="L1196" s="16">
        <v>6.5400351379472907E-2</v>
      </c>
      <c r="M1196" s="16">
        <v>0.58841583423000099</v>
      </c>
      <c r="N1196" s="16">
        <v>108</v>
      </c>
      <c r="O1196" s="16">
        <v>0.55748176761066603</v>
      </c>
      <c r="P1196" s="16"/>
      <c r="Q1196" s="16"/>
      <c r="R1196" s="16"/>
      <c r="S1196" s="16"/>
      <c r="T1196" s="16"/>
      <c r="U1196" s="16"/>
      <c r="V1196" s="16"/>
      <c r="W1196" s="16"/>
      <c r="X1196" s="16"/>
      <c r="Y1196" s="16"/>
      <c r="Z1196" s="16"/>
      <c r="AA1196" s="16"/>
      <c r="AB1196" s="16"/>
      <c r="AC1196" s="16"/>
      <c r="AD1196" s="16"/>
      <c r="AE1196" s="16"/>
      <c r="AF1196" s="16"/>
      <c r="AG1196" s="16"/>
      <c r="AH1196" s="16" t="s">
        <v>402</v>
      </c>
      <c r="AI1196" s="16"/>
      <c r="AJ1196" s="16" t="s">
        <v>1743</v>
      </c>
    </row>
    <row r="1197" spans="1:36" ht="15" customHeight="1" x14ac:dyDescent="0.3">
      <c r="A1197" s="16" t="s">
        <v>273</v>
      </c>
      <c r="B1197" s="16" t="s">
        <v>505</v>
      </c>
      <c r="C1197" s="16" t="s">
        <v>1705</v>
      </c>
      <c r="D1197" s="16" t="s">
        <v>324</v>
      </c>
      <c r="E1197" s="16" t="s">
        <v>404</v>
      </c>
      <c r="F1197" s="16" t="s">
        <v>790</v>
      </c>
      <c r="G1197" s="16">
        <v>0.8</v>
      </c>
      <c r="H1197" s="16">
        <v>2607</v>
      </c>
      <c r="I1197" s="16">
        <v>110</v>
      </c>
      <c r="J1197" s="16">
        <v>109</v>
      </c>
      <c r="K1197" s="16">
        <v>2.8783886281233399E-2</v>
      </c>
      <c r="L1197" s="16">
        <v>6.5259154421317994E-2</v>
      </c>
      <c r="M1197" s="16">
        <v>0.441070475651623</v>
      </c>
      <c r="N1197" s="16">
        <v>108</v>
      </c>
      <c r="O1197" s="16">
        <v>0.66004368531241397</v>
      </c>
      <c r="P1197" s="16"/>
      <c r="Q1197" s="16"/>
      <c r="R1197" s="16"/>
      <c r="S1197" s="16"/>
      <c r="T1197" s="16"/>
      <c r="U1197" s="16"/>
      <c r="V1197" s="16"/>
      <c r="W1197" s="16"/>
      <c r="X1197" s="16"/>
      <c r="Y1197" s="16"/>
      <c r="Z1197" s="16"/>
      <c r="AA1197" s="16"/>
      <c r="AB1197" s="16"/>
      <c r="AC1197" s="16"/>
      <c r="AD1197" s="16"/>
      <c r="AE1197" s="16"/>
      <c r="AF1197" s="16"/>
      <c r="AG1197" s="16"/>
      <c r="AH1197" s="16" t="s">
        <v>402</v>
      </c>
      <c r="AI1197" s="16"/>
      <c r="AJ1197" s="16" t="s">
        <v>1744</v>
      </c>
    </row>
    <row r="1198" spans="1:36" ht="15" customHeight="1" x14ac:dyDescent="0.3">
      <c r="A1198" s="16" t="s">
        <v>273</v>
      </c>
      <c r="B1198" s="16" t="s">
        <v>507</v>
      </c>
      <c r="C1198" s="16" t="s">
        <v>1705</v>
      </c>
      <c r="D1198" s="16" t="s">
        <v>324</v>
      </c>
      <c r="E1198" s="16" t="s">
        <v>404</v>
      </c>
      <c r="F1198" s="16" t="s">
        <v>790</v>
      </c>
      <c r="G1198" s="16">
        <v>0.8</v>
      </c>
      <c r="H1198" s="16">
        <v>905</v>
      </c>
      <c r="I1198" s="16">
        <v>38</v>
      </c>
      <c r="J1198" s="16">
        <v>38</v>
      </c>
      <c r="K1198" s="16">
        <v>-3.1866629032730603E-2</v>
      </c>
      <c r="L1198" s="16">
        <v>3.8914606023456803E-2</v>
      </c>
      <c r="M1198" s="16">
        <v>-0.81888607618234999</v>
      </c>
      <c r="N1198" s="16">
        <v>36</v>
      </c>
      <c r="O1198" s="16">
        <v>0.41823949462455701</v>
      </c>
      <c r="P1198" s="16"/>
      <c r="Q1198" s="16"/>
      <c r="R1198" s="16"/>
      <c r="S1198" s="16"/>
      <c r="T1198" s="16"/>
      <c r="U1198" s="16"/>
      <c r="V1198" s="16"/>
      <c r="W1198" s="16"/>
      <c r="X1198" s="16"/>
      <c r="Y1198" s="16"/>
      <c r="Z1198" s="16"/>
      <c r="AA1198" s="16"/>
      <c r="AB1198" s="16"/>
      <c r="AC1198" s="16"/>
      <c r="AD1198" s="16"/>
      <c r="AE1198" s="16"/>
      <c r="AF1198" s="16"/>
      <c r="AG1198" s="16"/>
      <c r="AH1198" s="16" t="s">
        <v>402</v>
      </c>
      <c r="AI1198" s="16"/>
      <c r="AJ1198" s="16" t="s">
        <v>1745</v>
      </c>
    </row>
    <row r="1199" spans="1:36" ht="15" customHeight="1" x14ac:dyDescent="0.3">
      <c r="A1199" s="16" t="s">
        <v>273</v>
      </c>
      <c r="B1199" s="16" t="s">
        <v>509</v>
      </c>
      <c r="C1199" s="16" t="s">
        <v>1705</v>
      </c>
      <c r="D1199" s="16" t="s">
        <v>324</v>
      </c>
      <c r="E1199" s="16" t="s">
        <v>404</v>
      </c>
      <c r="F1199" s="16" t="s">
        <v>790</v>
      </c>
      <c r="G1199" s="16">
        <v>0.8</v>
      </c>
      <c r="H1199" s="16">
        <v>2594</v>
      </c>
      <c r="I1199" s="16">
        <v>110</v>
      </c>
      <c r="J1199" s="16">
        <v>109</v>
      </c>
      <c r="K1199" s="16">
        <v>-2.2040200146605599E-2</v>
      </c>
      <c r="L1199" s="16">
        <v>2.3529524060363599E-2</v>
      </c>
      <c r="M1199" s="16">
        <v>-0.93670403574941297</v>
      </c>
      <c r="N1199" s="16">
        <v>108</v>
      </c>
      <c r="O1199" s="16">
        <v>0.35100073336714799</v>
      </c>
      <c r="P1199" s="16"/>
      <c r="Q1199" s="16"/>
      <c r="R1199" s="16"/>
      <c r="S1199" s="16"/>
      <c r="T1199" s="16"/>
      <c r="U1199" s="16"/>
      <c r="V1199" s="16"/>
      <c r="W1199" s="16"/>
      <c r="X1199" s="16"/>
      <c r="Y1199" s="16"/>
      <c r="Z1199" s="16"/>
      <c r="AA1199" s="16"/>
      <c r="AB1199" s="16"/>
      <c r="AC1199" s="16"/>
      <c r="AD1199" s="16"/>
      <c r="AE1199" s="16"/>
      <c r="AF1199" s="16"/>
      <c r="AG1199" s="16"/>
      <c r="AH1199" s="16" t="s">
        <v>402</v>
      </c>
      <c r="AI1199" s="16"/>
      <c r="AJ1199" s="16" t="s">
        <v>1746</v>
      </c>
    </row>
    <row r="1200" spans="1:36" ht="15" customHeight="1" x14ac:dyDescent="0.3">
      <c r="A1200" s="16" t="s">
        <v>273</v>
      </c>
      <c r="B1200" s="16" t="s">
        <v>511</v>
      </c>
      <c r="C1200" s="16" t="s">
        <v>1705</v>
      </c>
      <c r="D1200" s="16" t="s">
        <v>324</v>
      </c>
      <c r="E1200" s="16" t="s">
        <v>404</v>
      </c>
      <c r="F1200" s="16" t="s">
        <v>790</v>
      </c>
      <c r="G1200" s="16">
        <v>0.8</v>
      </c>
      <c r="H1200" s="16">
        <v>2594</v>
      </c>
      <c r="I1200" s="16">
        <v>110</v>
      </c>
      <c r="J1200" s="16">
        <v>109</v>
      </c>
      <c r="K1200" s="16">
        <v>-3.8808571142995497E-2</v>
      </c>
      <c r="L1200" s="16">
        <v>2.47535773562273E-2</v>
      </c>
      <c r="M1200" s="16">
        <v>-1.56779646773893</v>
      </c>
      <c r="N1200" s="16">
        <v>108</v>
      </c>
      <c r="O1200" s="16">
        <v>0.119854021419201</v>
      </c>
      <c r="P1200" s="16"/>
      <c r="Q1200" s="16"/>
      <c r="R1200" s="16"/>
      <c r="S1200" s="16"/>
      <c r="T1200" s="16"/>
      <c r="U1200" s="16"/>
      <c r="V1200" s="16"/>
      <c r="W1200" s="16"/>
      <c r="X1200" s="16"/>
      <c r="Y1200" s="16"/>
      <c r="Z1200" s="16"/>
      <c r="AA1200" s="16"/>
      <c r="AB1200" s="16"/>
      <c r="AC1200" s="16"/>
      <c r="AD1200" s="16"/>
      <c r="AE1200" s="16"/>
      <c r="AF1200" s="16"/>
      <c r="AG1200" s="16"/>
      <c r="AH1200" s="16" t="s">
        <v>402</v>
      </c>
      <c r="AI1200" s="16"/>
      <c r="AJ1200" s="16" t="s">
        <v>1747</v>
      </c>
    </row>
    <row r="1201" spans="1:36" ht="15" customHeight="1" x14ac:dyDescent="0.3">
      <c r="A1201" s="16" t="s">
        <v>273</v>
      </c>
      <c r="B1201" s="16" t="s">
        <v>513</v>
      </c>
      <c r="C1201" s="16" t="s">
        <v>1705</v>
      </c>
      <c r="D1201" s="16" t="s">
        <v>324</v>
      </c>
      <c r="E1201" s="16" t="s">
        <v>404</v>
      </c>
      <c r="F1201" s="16" t="s">
        <v>790</v>
      </c>
      <c r="G1201" s="16">
        <v>0.8</v>
      </c>
      <c r="H1201" s="16">
        <v>2594</v>
      </c>
      <c r="I1201" s="16">
        <v>110</v>
      </c>
      <c r="J1201" s="16">
        <v>109</v>
      </c>
      <c r="K1201" s="16">
        <v>-1.7929541110455801E-2</v>
      </c>
      <c r="L1201" s="16">
        <v>2.5784615413724999E-2</v>
      </c>
      <c r="M1201" s="16">
        <v>-0.69535809717417996</v>
      </c>
      <c r="N1201" s="16">
        <v>107</v>
      </c>
      <c r="O1201" s="16">
        <v>0.48833833098815399</v>
      </c>
      <c r="P1201" s="16"/>
      <c r="Q1201" s="16"/>
      <c r="R1201" s="16"/>
      <c r="S1201" s="16"/>
      <c r="T1201" s="16"/>
      <c r="U1201" s="16"/>
      <c r="V1201" s="16"/>
      <c r="W1201" s="16"/>
      <c r="X1201" s="16"/>
      <c r="Y1201" s="16"/>
      <c r="Z1201" s="16"/>
      <c r="AA1201" s="16"/>
      <c r="AB1201" s="16"/>
      <c r="AC1201" s="16"/>
      <c r="AD1201" s="16"/>
      <c r="AE1201" s="16"/>
      <c r="AF1201" s="16"/>
      <c r="AG1201" s="16"/>
      <c r="AH1201" s="16" t="s">
        <v>402</v>
      </c>
      <c r="AI1201" s="16"/>
      <c r="AJ1201" s="16" t="s">
        <v>1748</v>
      </c>
    </row>
    <row r="1202" spans="1:36" ht="15" customHeight="1" x14ac:dyDescent="0.3">
      <c r="A1202" s="16" t="s">
        <v>273</v>
      </c>
      <c r="B1202" s="16" t="s">
        <v>515</v>
      </c>
      <c r="C1202" s="16" t="s">
        <v>1705</v>
      </c>
      <c r="D1202" s="16" t="s">
        <v>324</v>
      </c>
      <c r="E1202" s="16" t="s">
        <v>404</v>
      </c>
      <c r="F1202" s="16" t="s">
        <v>790</v>
      </c>
      <c r="G1202" s="16">
        <v>0.8</v>
      </c>
      <c r="H1202" s="16">
        <v>2594</v>
      </c>
      <c r="I1202" s="16">
        <v>110</v>
      </c>
      <c r="J1202" s="16">
        <v>109</v>
      </c>
      <c r="K1202" s="16">
        <v>-4.2464901051582002E-2</v>
      </c>
      <c r="L1202" s="16">
        <v>2.5845267552728101E-2</v>
      </c>
      <c r="M1202" s="16">
        <v>-1.6430435848631699</v>
      </c>
      <c r="N1202" s="16">
        <v>108</v>
      </c>
      <c r="O1202" s="16">
        <v>0.103282292212646</v>
      </c>
      <c r="P1202" s="16"/>
      <c r="Q1202" s="16"/>
      <c r="R1202" s="16"/>
      <c r="S1202" s="16"/>
      <c r="T1202" s="16"/>
      <c r="U1202" s="16"/>
      <c r="V1202" s="16"/>
      <c r="W1202" s="16"/>
      <c r="X1202" s="16"/>
      <c r="Y1202" s="16"/>
      <c r="Z1202" s="16"/>
      <c r="AA1202" s="16"/>
      <c r="AB1202" s="16"/>
      <c r="AC1202" s="16"/>
      <c r="AD1202" s="16"/>
      <c r="AE1202" s="16"/>
      <c r="AF1202" s="16"/>
      <c r="AG1202" s="16"/>
      <c r="AH1202" s="16" t="s">
        <v>402</v>
      </c>
      <c r="AI1202" s="16"/>
      <c r="AJ1202" s="16" t="s">
        <v>1749</v>
      </c>
    </row>
    <row r="1203" spans="1:36" ht="15" customHeight="1" x14ac:dyDescent="0.3">
      <c r="A1203" s="16" t="s">
        <v>273</v>
      </c>
      <c r="B1203" s="16" t="s">
        <v>517</v>
      </c>
      <c r="C1203" s="16" t="s">
        <v>1705</v>
      </c>
      <c r="D1203" s="16" t="s">
        <v>324</v>
      </c>
      <c r="E1203" s="16" t="s">
        <v>404</v>
      </c>
      <c r="F1203" s="16" t="s">
        <v>790</v>
      </c>
      <c r="G1203" s="16">
        <v>0.8</v>
      </c>
      <c r="H1203" s="16">
        <v>2594</v>
      </c>
      <c r="I1203" s="16">
        <v>110</v>
      </c>
      <c r="J1203" s="16">
        <v>109</v>
      </c>
      <c r="K1203" s="16">
        <v>-7.8879822954007403E-3</v>
      </c>
      <c r="L1203" s="16">
        <v>3.11285424085689E-2</v>
      </c>
      <c r="M1203" s="16">
        <v>-0.25340030997498297</v>
      </c>
      <c r="N1203" s="16">
        <v>107</v>
      </c>
      <c r="O1203" s="16">
        <v>0.80044512727371298</v>
      </c>
      <c r="P1203" s="16"/>
      <c r="Q1203" s="16"/>
      <c r="R1203" s="16"/>
      <c r="S1203" s="16"/>
      <c r="T1203" s="16"/>
      <c r="U1203" s="16"/>
      <c r="V1203" s="16"/>
      <c r="W1203" s="16"/>
      <c r="X1203" s="16"/>
      <c r="Y1203" s="16"/>
      <c r="Z1203" s="16"/>
      <c r="AA1203" s="16"/>
      <c r="AB1203" s="16"/>
      <c r="AC1203" s="16"/>
      <c r="AD1203" s="16"/>
      <c r="AE1203" s="16"/>
      <c r="AF1203" s="16"/>
      <c r="AG1203" s="16"/>
      <c r="AH1203" s="16" t="s">
        <v>402</v>
      </c>
      <c r="AI1203" s="16"/>
      <c r="AJ1203" s="16" t="s">
        <v>1750</v>
      </c>
    </row>
    <row r="1204" spans="1:36" ht="15" customHeight="1" x14ac:dyDescent="0.3">
      <c r="A1204" s="16" t="s">
        <v>273</v>
      </c>
      <c r="B1204" s="16" t="s">
        <v>519</v>
      </c>
      <c r="C1204" s="16" t="s">
        <v>1705</v>
      </c>
      <c r="D1204" s="16" t="s">
        <v>324</v>
      </c>
      <c r="E1204" s="16" t="s">
        <v>404</v>
      </c>
      <c r="F1204" s="16" t="s">
        <v>790</v>
      </c>
      <c r="G1204" s="16">
        <v>0.8</v>
      </c>
      <c r="H1204" s="16">
        <v>2594</v>
      </c>
      <c r="I1204" s="16">
        <v>110</v>
      </c>
      <c r="J1204" s="16">
        <v>109</v>
      </c>
      <c r="K1204" s="16">
        <v>-4.4414517651408698E-3</v>
      </c>
      <c r="L1204" s="16">
        <v>3.3098684065497798E-2</v>
      </c>
      <c r="M1204" s="16">
        <v>-0.134188167612702</v>
      </c>
      <c r="N1204" s="16">
        <v>107</v>
      </c>
      <c r="O1204" s="16">
        <v>0.89350585796395698</v>
      </c>
      <c r="P1204" s="16"/>
      <c r="Q1204" s="16"/>
      <c r="R1204" s="16"/>
      <c r="S1204" s="16"/>
      <c r="T1204" s="16"/>
      <c r="U1204" s="16"/>
      <c r="V1204" s="16"/>
      <c r="W1204" s="16"/>
      <c r="X1204" s="16"/>
      <c r="Y1204" s="16"/>
      <c r="Z1204" s="16"/>
      <c r="AA1204" s="16"/>
      <c r="AB1204" s="16"/>
      <c r="AC1204" s="16"/>
      <c r="AD1204" s="16"/>
      <c r="AE1204" s="16"/>
      <c r="AF1204" s="16"/>
      <c r="AG1204" s="16"/>
      <c r="AH1204" s="16" t="s">
        <v>402</v>
      </c>
      <c r="AI1204" s="16"/>
      <c r="AJ1204" s="16" t="s">
        <v>1751</v>
      </c>
    </row>
    <row r="1205" spans="1:36" ht="15" customHeight="1" x14ac:dyDescent="0.3">
      <c r="A1205" s="16" t="s">
        <v>273</v>
      </c>
      <c r="B1205" s="16" t="s">
        <v>521</v>
      </c>
      <c r="C1205" s="16" t="s">
        <v>1705</v>
      </c>
      <c r="D1205" s="16" t="s">
        <v>324</v>
      </c>
      <c r="E1205" s="16" t="s">
        <v>404</v>
      </c>
      <c r="F1205" s="16" t="s">
        <v>790</v>
      </c>
      <c r="G1205" s="16">
        <v>0.8</v>
      </c>
      <c r="H1205" s="16">
        <v>2594</v>
      </c>
      <c r="I1205" s="16">
        <v>110</v>
      </c>
      <c r="J1205" s="16">
        <v>109</v>
      </c>
      <c r="K1205" s="16">
        <v>-2.8279125399761799E-2</v>
      </c>
      <c r="L1205" s="16">
        <v>2.2511377702193899E-2</v>
      </c>
      <c r="M1205" s="16">
        <v>-1.25621478053766</v>
      </c>
      <c r="N1205" s="16">
        <v>108</v>
      </c>
      <c r="O1205" s="16">
        <v>0.21174870065384299</v>
      </c>
      <c r="P1205" s="16"/>
      <c r="Q1205" s="16"/>
      <c r="R1205" s="16"/>
      <c r="S1205" s="16"/>
      <c r="T1205" s="16"/>
      <c r="U1205" s="16"/>
      <c r="V1205" s="16"/>
      <c r="W1205" s="16"/>
      <c r="X1205" s="16"/>
      <c r="Y1205" s="16"/>
      <c r="Z1205" s="16"/>
      <c r="AA1205" s="16"/>
      <c r="AB1205" s="16"/>
      <c r="AC1205" s="16"/>
      <c r="AD1205" s="16"/>
      <c r="AE1205" s="16"/>
      <c r="AF1205" s="16"/>
      <c r="AG1205" s="16"/>
      <c r="AH1205" s="16" t="s">
        <v>402</v>
      </c>
      <c r="AI1205" s="16"/>
      <c r="AJ1205" s="16" t="s">
        <v>1752</v>
      </c>
    </row>
    <row r="1206" spans="1:36" ht="15" customHeight="1" x14ac:dyDescent="0.3">
      <c r="A1206" s="16" t="s">
        <v>273</v>
      </c>
      <c r="B1206" s="16" t="s">
        <v>523</v>
      </c>
      <c r="C1206" s="16" t="s">
        <v>1705</v>
      </c>
      <c r="D1206" s="16" t="s">
        <v>324</v>
      </c>
      <c r="E1206" s="16" t="s">
        <v>404</v>
      </c>
      <c r="F1206" s="16" t="s">
        <v>790</v>
      </c>
      <c r="G1206" s="16">
        <v>0.8</v>
      </c>
      <c r="H1206" s="16">
        <v>2594</v>
      </c>
      <c r="I1206" s="16">
        <v>110</v>
      </c>
      <c r="J1206" s="16">
        <v>109</v>
      </c>
      <c r="K1206" s="16">
        <v>-3.1755273913255701E-2</v>
      </c>
      <c r="L1206" s="16">
        <v>2.13095083775072E-2</v>
      </c>
      <c r="M1206" s="16">
        <v>-1.49019270415334</v>
      </c>
      <c r="N1206" s="16">
        <v>108</v>
      </c>
      <c r="O1206" s="16">
        <v>0.13908834789170799</v>
      </c>
      <c r="P1206" s="16"/>
      <c r="Q1206" s="16"/>
      <c r="R1206" s="16"/>
      <c r="S1206" s="16"/>
      <c r="T1206" s="16"/>
      <c r="U1206" s="16"/>
      <c r="V1206" s="16"/>
      <c r="W1206" s="16"/>
      <c r="X1206" s="16"/>
      <c r="Y1206" s="16"/>
      <c r="Z1206" s="16"/>
      <c r="AA1206" s="16"/>
      <c r="AB1206" s="16"/>
      <c r="AC1206" s="16"/>
      <c r="AD1206" s="16"/>
      <c r="AE1206" s="16"/>
      <c r="AF1206" s="16"/>
      <c r="AG1206" s="16"/>
      <c r="AH1206" s="16" t="s">
        <v>402</v>
      </c>
      <c r="AI1206" s="16"/>
      <c r="AJ1206" s="16" t="s">
        <v>1753</v>
      </c>
    </row>
    <row r="1207" spans="1:36" ht="15" customHeight="1" x14ac:dyDescent="0.3">
      <c r="A1207" s="16" t="s">
        <v>273</v>
      </c>
      <c r="B1207" s="16" t="s">
        <v>525</v>
      </c>
      <c r="C1207" s="16" t="s">
        <v>1705</v>
      </c>
      <c r="D1207" s="16" t="s">
        <v>324</v>
      </c>
      <c r="E1207" s="16" t="s">
        <v>404</v>
      </c>
      <c r="F1207" s="16" t="s">
        <v>790</v>
      </c>
      <c r="G1207" s="16">
        <v>0.8</v>
      </c>
      <c r="H1207" s="16">
        <v>2594</v>
      </c>
      <c r="I1207" s="16">
        <v>110</v>
      </c>
      <c r="J1207" s="16">
        <v>109</v>
      </c>
      <c r="K1207" s="16">
        <v>-2.5232448949924401E-2</v>
      </c>
      <c r="L1207" s="16">
        <v>2.1250258040606901E-2</v>
      </c>
      <c r="M1207" s="16">
        <v>-1.18739494370882</v>
      </c>
      <c r="N1207" s="16">
        <v>108</v>
      </c>
      <c r="O1207" s="16">
        <v>0.23767689012561799</v>
      </c>
      <c r="P1207" s="16"/>
      <c r="Q1207" s="16"/>
      <c r="R1207" s="16"/>
      <c r="S1207" s="16"/>
      <c r="T1207" s="16"/>
      <c r="U1207" s="16"/>
      <c r="V1207" s="16"/>
      <c r="W1207" s="16"/>
      <c r="X1207" s="16"/>
      <c r="Y1207" s="16"/>
      <c r="Z1207" s="16"/>
      <c r="AA1207" s="16"/>
      <c r="AB1207" s="16"/>
      <c r="AC1207" s="16"/>
      <c r="AD1207" s="16"/>
      <c r="AE1207" s="16"/>
      <c r="AF1207" s="16"/>
      <c r="AG1207" s="16"/>
      <c r="AH1207" s="16" t="s">
        <v>402</v>
      </c>
      <c r="AI1207" s="16"/>
      <c r="AJ1207" s="16" t="s">
        <v>1754</v>
      </c>
    </row>
    <row r="1208" spans="1:36" ht="15" customHeight="1" x14ac:dyDescent="0.3">
      <c r="A1208" s="16" t="s">
        <v>273</v>
      </c>
      <c r="B1208" s="16" t="s">
        <v>527</v>
      </c>
      <c r="C1208" s="16" t="s">
        <v>1705</v>
      </c>
      <c r="D1208" s="16" t="s">
        <v>324</v>
      </c>
      <c r="E1208" s="16" t="s">
        <v>404</v>
      </c>
      <c r="F1208" s="16" t="s">
        <v>790</v>
      </c>
      <c r="G1208" s="16">
        <v>0.8</v>
      </c>
      <c r="H1208" s="16">
        <v>900</v>
      </c>
      <c r="I1208" s="16">
        <v>38</v>
      </c>
      <c r="J1208" s="16">
        <v>38</v>
      </c>
      <c r="K1208" s="16">
        <v>-3.4771370386480101E-2</v>
      </c>
      <c r="L1208" s="16">
        <v>3.8776972879050797E-2</v>
      </c>
      <c r="M1208" s="16">
        <v>-0.89670151651433605</v>
      </c>
      <c r="N1208" s="16">
        <v>36</v>
      </c>
      <c r="O1208" s="16">
        <v>0.37583573350864902</v>
      </c>
      <c r="P1208" s="16"/>
      <c r="Q1208" s="16"/>
      <c r="R1208" s="16"/>
      <c r="S1208" s="16"/>
      <c r="T1208" s="16"/>
      <c r="U1208" s="16"/>
      <c r="V1208" s="16"/>
      <c r="W1208" s="16"/>
      <c r="X1208" s="16"/>
      <c r="Y1208" s="16"/>
      <c r="Z1208" s="16"/>
      <c r="AA1208" s="16"/>
      <c r="AB1208" s="16"/>
      <c r="AC1208" s="16"/>
      <c r="AD1208" s="16"/>
      <c r="AE1208" s="16"/>
      <c r="AF1208" s="16"/>
      <c r="AG1208" s="16"/>
      <c r="AH1208" s="16" t="s">
        <v>402</v>
      </c>
      <c r="AI1208" s="16"/>
      <c r="AJ1208" s="16" t="s">
        <v>1755</v>
      </c>
    </row>
    <row r="1209" spans="1:36" ht="15" customHeight="1" x14ac:dyDescent="0.3">
      <c r="A1209" s="16" t="s">
        <v>273</v>
      </c>
      <c r="B1209" s="16" t="s">
        <v>529</v>
      </c>
      <c r="C1209" s="16" t="s">
        <v>1705</v>
      </c>
      <c r="D1209" s="16" t="s">
        <v>324</v>
      </c>
      <c r="E1209" s="16" t="s">
        <v>404</v>
      </c>
      <c r="F1209" s="16" t="s">
        <v>790</v>
      </c>
      <c r="G1209" s="16">
        <v>0.8</v>
      </c>
      <c r="H1209" s="16">
        <v>2607</v>
      </c>
      <c r="I1209" s="16">
        <v>110</v>
      </c>
      <c r="J1209" s="16">
        <v>109</v>
      </c>
      <c r="K1209" s="16">
        <v>-1.7871574639467602E-2</v>
      </c>
      <c r="L1209" s="16">
        <v>2.2574684699352601E-2</v>
      </c>
      <c r="M1209" s="16">
        <v>-0.79166441868311699</v>
      </c>
      <c r="N1209" s="16">
        <v>108</v>
      </c>
      <c r="O1209" s="16">
        <v>0.430291686697513</v>
      </c>
      <c r="P1209" s="16"/>
      <c r="Q1209" s="16"/>
      <c r="R1209" s="16"/>
      <c r="S1209" s="16"/>
      <c r="T1209" s="16"/>
      <c r="U1209" s="16"/>
      <c r="V1209" s="16"/>
      <c r="W1209" s="16"/>
      <c r="X1209" s="16"/>
      <c r="Y1209" s="16"/>
      <c r="Z1209" s="16"/>
      <c r="AA1209" s="16"/>
      <c r="AB1209" s="16"/>
      <c r="AC1209" s="16"/>
      <c r="AD1209" s="16"/>
      <c r="AE1209" s="16"/>
      <c r="AF1209" s="16"/>
      <c r="AG1209" s="16"/>
      <c r="AH1209" s="16" t="s">
        <v>402</v>
      </c>
      <c r="AI1209" s="16"/>
      <c r="AJ1209" s="16" t="s">
        <v>1756</v>
      </c>
    </row>
    <row r="1210" spans="1:36" ht="15" customHeight="1" x14ac:dyDescent="0.3">
      <c r="A1210" s="16" t="s">
        <v>273</v>
      </c>
      <c r="B1210" s="16" t="s">
        <v>531</v>
      </c>
      <c r="C1210" s="16" t="s">
        <v>1705</v>
      </c>
      <c r="D1210" s="16" t="s">
        <v>324</v>
      </c>
      <c r="E1210" s="16" t="s">
        <v>404</v>
      </c>
      <c r="F1210" s="16" t="s">
        <v>790</v>
      </c>
      <c r="G1210" s="16">
        <v>0.8</v>
      </c>
      <c r="H1210" s="16">
        <v>2607</v>
      </c>
      <c r="I1210" s="16">
        <v>110</v>
      </c>
      <c r="J1210" s="16">
        <v>109</v>
      </c>
      <c r="K1210" s="16">
        <v>-3.0572080245118999E-2</v>
      </c>
      <c r="L1210" s="16">
        <v>2.3813926002176699E-2</v>
      </c>
      <c r="M1210" s="16">
        <v>-1.28379000767553</v>
      </c>
      <c r="N1210" s="16">
        <v>108</v>
      </c>
      <c r="O1210" s="16">
        <v>0.20196293103189</v>
      </c>
      <c r="P1210" s="16"/>
      <c r="Q1210" s="16"/>
      <c r="R1210" s="16"/>
      <c r="S1210" s="16"/>
      <c r="T1210" s="16"/>
      <c r="U1210" s="16"/>
      <c r="V1210" s="16"/>
      <c r="W1210" s="16"/>
      <c r="X1210" s="16"/>
      <c r="Y1210" s="16"/>
      <c r="Z1210" s="16"/>
      <c r="AA1210" s="16"/>
      <c r="AB1210" s="16"/>
      <c r="AC1210" s="16"/>
      <c r="AD1210" s="16"/>
      <c r="AE1210" s="16"/>
      <c r="AF1210" s="16"/>
      <c r="AG1210" s="16"/>
      <c r="AH1210" s="16" t="s">
        <v>402</v>
      </c>
      <c r="AI1210" s="16"/>
      <c r="AJ1210" s="16" t="s">
        <v>1757</v>
      </c>
    </row>
    <row r="1211" spans="1:36" ht="15" customHeight="1" x14ac:dyDescent="0.3">
      <c r="A1211" s="16" t="s">
        <v>273</v>
      </c>
      <c r="B1211" s="16" t="s">
        <v>533</v>
      </c>
      <c r="C1211" s="16" t="s">
        <v>1705</v>
      </c>
      <c r="D1211" s="16" t="s">
        <v>324</v>
      </c>
      <c r="E1211" s="16" t="s">
        <v>404</v>
      </c>
      <c r="F1211" s="16" t="s">
        <v>790</v>
      </c>
      <c r="G1211" s="16">
        <v>0.8</v>
      </c>
      <c r="H1211" s="16">
        <v>2607</v>
      </c>
      <c r="I1211" s="16">
        <v>110</v>
      </c>
      <c r="J1211" s="16">
        <v>109</v>
      </c>
      <c r="K1211" s="16">
        <v>-1.4899498807252101E-2</v>
      </c>
      <c r="L1211" s="16">
        <v>2.47296788180747E-2</v>
      </c>
      <c r="M1211" s="16">
        <v>-0.60249463476097398</v>
      </c>
      <c r="N1211" s="16">
        <v>107</v>
      </c>
      <c r="O1211" s="16">
        <v>0.54811967444855703</v>
      </c>
      <c r="P1211" s="16"/>
      <c r="Q1211" s="16"/>
      <c r="R1211" s="16"/>
      <c r="S1211" s="16"/>
      <c r="T1211" s="16"/>
      <c r="U1211" s="16"/>
      <c r="V1211" s="16"/>
      <c r="W1211" s="16"/>
      <c r="X1211" s="16"/>
      <c r="Y1211" s="16"/>
      <c r="Z1211" s="16"/>
      <c r="AA1211" s="16"/>
      <c r="AB1211" s="16"/>
      <c r="AC1211" s="16"/>
      <c r="AD1211" s="16"/>
      <c r="AE1211" s="16"/>
      <c r="AF1211" s="16"/>
      <c r="AG1211" s="16"/>
      <c r="AH1211" s="16" t="s">
        <v>402</v>
      </c>
      <c r="AI1211" s="16"/>
      <c r="AJ1211" s="16" t="s">
        <v>1758</v>
      </c>
    </row>
    <row r="1212" spans="1:36" ht="15" customHeight="1" x14ac:dyDescent="0.3">
      <c r="A1212" s="16" t="s">
        <v>273</v>
      </c>
      <c r="B1212" s="16" t="s">
        <v>535</v>
      </c>
      <c r="C1212" s="16" t="s">
        <v>1705</v>
      </c>
      <c r="D1212" s="16" t="s">
        <v>324</v>
      </c>
      <c r="E1212" s="16" t="s">
        <v>404</v>
      </c>
      <c r="F1212" s="16" t="s">
        <v>790</v>
      </c>
      <c r="G1212" s="16">
        <v>0.8</v>
      </c>
      <c r="H1212" s="16">
        <v>2607</v>
      </c>
      <c r="I1212" s="16">
        <v>110</v>
      </c>
      <c r="J1212" s="16">
        <v>109</v>
      </c>
      <c r="K1212" s="16">
        <v>-3.4831622007442303E-2</v>
      </c>
      <c r="L1212" s="16">
        <v>2.4857216950321299E-2</v>
      </c>
      <c r="M1212" s="16">
        <v>-1.4012679728810999</v>
      </c>
      <c r="N1212" s="16">
        <v>108</v>
      </c>
      <c r="O1212" s="16">
        <v>0.16400103066413299</v>
      </c>
      <c r="P1212" s="16"/>
      <c r="Q1212" s="16"/>
      <c r="R1212" s="16"/>
      <c r="S1212" s="16"/>
      <c r="T1212" s="16"/>
      <c r="U1212" s="16"/>
      <c r="V1212" s="16"/>
      <c r="W1212" s="16"/>
      <c r="X1212" s="16"/>
      <c r="Y1212" s="16"/>
      <c r="Z1212" s="16"/>
      <c r="AA1212" s="16"/>
      <c r="AB1212" s="16"/>
      <c r="AC1212" s="16"/>
      <c r="AD1212" s="16"/>
      <c r="AE1212" s="16"/>
      <c r="AF1212" s="16"/>
      <c r="AG1212" s="16"/>
      <c r="AH1212" s="16" t="s">
        <v>402</v>
      </c>
      <c r="AI1212" s="16"/>
      <c r="AJ1212" s="16" t="s">
        <v>1759</v>
      </c>
    </row>
    <row r="1213" spans="1:36" ht="15" customHeight="1" x14ac:dyDescent="0.3">
      <c r="A1213" s="16" t="s">
        <v>273</v>
      </c>
      <c r="B1213" s="16" t="s">
        <v>537</v>
      </c>
      <c r="C1213" s="16" t="s">
        <v>1705</v>
      </c>
      <c r="D1213" s="16" t="s">
        <v>324</v>
      </c>
      <c r="E1213" s="16" t="s">
        <v>404</v>
      </c>
      <c r="F1213" s="16" t="s">
        <v>790</v>
      </c>
      <c r="G1213" s="16">
        <v>0.8</v>
      </c>
      <c r="H1213" s="16">
        <v>2607</v>
      </c>
      <c r="I1213" s="16">
        <v>110</v>
      </c>
      <c r="J1213" s="16">
        <v>109</v>
      </c>
      <c r="K1213" s="16">
        <v>-2.1256436822413801E-3</v>
      </c>
      <c r="L1213" s="16">
        <v>2.98351695144752E-2</v>
      </c>
      <c r="M1213" s="16">
        <v>-7.1246241158780005E-2</v>
      </c>
      <c r="N1213" s="16">
        <v>107</v>
      </c>
      <c r="O1213" s="16">
        <v>0.94333477609534899</v>
      </c>
      <c r="P1213" s="16"/>
      <c r="Q1213" s="16"/>
      <c r="R1213" s="16"/>
      <c r="S1213" s="16"/>
      <c r="T1213" s="16"/>
      <c r="U1213" s="16"/>
      <c r="V1213" s="16"/>
      <c r="W1213" s="16"/>
      <c r="X1213" s="16"/>
      <c r="Y1213" s="16"/>
      <c r="Z1213" s="16"/>
      <c r="AA1213" s="16"/>
      <c r="AB1213" s="16"/>
      <c r="AC1213" s="16"/>
      <c r="AD1213" s="16"/>
      <c r="AE1213" s="16"/>
      <c r="AF1213" s="16"/>
      <c r="AG1213" s="16"/>
      <c r="AH1213" s="16" t="s">
        <v>402</v>
      </c>
      <c r="AI1213" s="16"/>
      <c r="AJ1213" s="16" t="s">
        <v>1760</v>
      </c>
    </row>
    <row r="1214" spans="1:36" ht="15" customHeight="1" x14ac:dyDescent="0.3">
      <c r="A1214" s="16" t="s">
        <v>273</v>
      </c>
      <c r="B1214" s="16" t="s">
        <v>539</v>
      </c>
      <c r="C1214" s="16" t="s">
        <v>1705</v>
      </c>
      <c r="D1214" s="16" t="s">
        <v>324</v>
      </c>
      <c r="E1214" s="16" t="s">
        <v>404</v>
      </c>
      <c r="F1214" s="16" t="s">
        <v>790</v>
      </c>
      <c r="G1214" s="16">
        <v>0.8</v>
      </c>
      <c r="H1214" s="16">
        <v>2607</v>
      </c>
      <c r="I1214" s="16">
        <v>110</v>
      </c>
      <c r="J1214" s="16">
        <v>109</v>
      </c>
      <c r="K1214" s="16">
        <v>5.7552459703475605E-4</v>
      </c>
      <c r="L1214" s="16">
        <v>3.17179785967115E-2</v>
      </c>
      <c r="M1214" s="16">
        <v>1.8145059127268201E-2</v>
      </c>
      <c r="N1214" s="16">
        <v>107</v>
      </c>
      <c r="O1214" s="16">
        <v>0.985556923762688</v>
      </c>
      <c r="P1214" s="16"/>
      <c r="Q1214" s="16"/>
      <c r="R1214" s="16"/>
      <c r="S1214" s="16"/>
      <c r="T1214" s="16"/>
      <c r="U1214" s="16"/>
      <c r="V1214" s="16"/>
      <c r="W1214" s="16"/>
      <c r="X1214" s="16"/>
      <c r="Y1214" s="16"/>
      <c r="Z1214" s="16"/>
      <c r="AA1214" s="16"/>
      <c r="AB1214" s="16"/>
      <c r="AC1214" s="16"/>
      <c r="AD1214" s="16"/>
      <c r="AE1214" s="16"/>
      <c r="AF1214" s="16"/>
      <c r="AG1214" s="16"/>
      <c r="AH1214" s="16" t="s">
        <v>402</v>
      </c>
      <c r="AI1214" s="16"/>
      <c r="AJ1214" s="16" t="s">
        <v>1761</v>
      </c>
    </row>
    <row r="1215" spans="1:36" ht="15" customHeight="1" x14ac:dyDescent="0.3">
      <c r="A1215" s="16" t="s">
        <v>273</v>
      </c>
      <c r="B1215" s="16" t="s">
        <v>541</v>
      </c>
      <c r="C1215" s="16" t="s">
        <v>1705</v>
      </c>
      <c r="D1215" s="16" t="s">
        <v>324</v>
      </c>
      <c r="E1215" s="16" t="s">
        <v>404</v>
      </c>
      <c r="F1215" s="16" t="s">
        <v>790</v>
      </c>
      <c r="G1215" s="16">
        <v>0.8</v>
      </c>
      <c r="H1215" s="16">
        <v>2607</v>
      </c>
      <c r="I1215" s="16">
        <v>110</v>
      </c>
      <c r="J1215" s="16">
        <v>109</v>
      </c>
      <c r="K1215" s="16">
        <v>-2.2292528622701601E-2</v>
      </c>
      <c r="L1215" s="16">
        <v>2.16292537235542E-2</v>
      </c>
      <c r="M1215" s="16">
        <v>-1.0306656395835401</v>
      </c>
      <c r="N1215" s="16">
        <v>108</v>
      </c>
      <c r="O1215" s="16">
        <v>0.30500026797921098</v>
      </c>
      <c r="P1215" s="16"/>
      <c r="Q1215" s="16"/>
      <c r="R1215" s="16"/>
      <c r="S1215" s="16"/>
      <c r="T1215" s="16"/>
      <c r="U1215" s="16"/>
      <c r="V1215" s="16"/>
      <c r="W1215" s="16"/>
      <c r="X1215" s="16"/>
      <c r="Y1215" s="16"/>
      <c r="Z1215" s="16"/>
      <c r="AA1215" s="16"/>
      <c r="AB1215" s="16"/>
      <c r="AC1215" s="16"/>
      <c r="AD1215" s="16"/>
      <c r="AE1215" s="16"/>
      <c r="AF1215" s="16"/>
      <c r="AG1215" s="16"/>
      <c r="AH1215" s="16" t="s">
        <v>402</v>
      </c>
      <c r="AI1215" s="16"/>
      <c r="AJ1215" s="16" t="s">
        <v>1762</v>
      </c>
    </row>
    <row r="1216" spans="1:36" ht="15" customHeight="1" x14ac:dyDescent="0.3">
      <c r="A1216" s="16" t="s">
        <v>273</v>
      </c>
      <c r="B1216" s="16" t="s">
        <v>543</v>
      </c>
      <c r="C1216" s="16" t="s">
        <v>1705</v>
      </c>
      <c r="D1216" s="16" t="s">
        <v>324</v>
      </c>
      <c r="E1216" s="16" t="s">
        <v>404</v>
      </c>
      <c r="F1216" s="16" t="s">
        <v>790</v>
      </c>
      <c r="G1216" s="16">
        <v>0.8</v>
      </c>
      <c r="H1216" s="16">
        <v>2607</v>
      </c>
      <c r="I1216" s="16">
        <v>110</v>
      </c>
      <c r="J1216" s="16">
        <v>109</v>
      </c>
      <c r="K1216" s="16">
        <v>-1.4809268574873E-2</v>
      </c>
      <c r="L1216" s="16">
        <v>2.0591247951707199E-2</v>
      </c>
      <c r="M1216" s="16">
        <v>-0.71920209059719598</v>
      </c>
      <c r="N1216" s="16">
        <v>108</v>
      </c>
      <c r="O1216" s="16">
        <v>0.47356973896535698</v>
      </c>
      <c r="P1216" s="16"/>
      <c r="Q1216" s="16"/>
      <c r="R1216" s="16"/>
      <c r="S1216" s="16"/>
      <c r="T1216" s="16"/>
      <c r="U1216" s="16"/>
      <c r="V1216" s="16"/>
      <c r="W1216" s="16"/>
      <c r="X1216" s="16"/>
      <c r="Y1216" s="16"/>
      <c r="Z1216" s="16"/>
      <c r="AA1216" s="16"/>
      <c r="AB1216" s="16"/>
      <c r="AC1216" s="16"/>
      <c r="AD1216" s="16"/>
      <c r="AE1216" s="16"/>
      <c r="AF1216" s="16"/>
      <c r="AG1216" s="16"/>
      <c r="AH1216" s="16" t="s">
        <v>402</v>
      </c>
      <c r="AI1216" s="16"/>
      <c r="AJ1216" s="16" t="s">
        <v>1763</v>
      </c>
    </row>
    <row r="1217" spans="1:36" ht="15" customHeight="1" x14ac:dyDescent="0.3">
      <c r="A1217" s="16" t="s">
        <v>273</v>
      </c>
      <c r="B1217" s="16" t="s">
        <v>545</v>
      </c>
      <c r="C1217" s="16" t="s">
        <v>1705</v>
      </c>
      <c r="D1217" s="16" t="s">
        <v>324</v>
      </c>
      <c r="E1217" s="16" t="s">
        <v>404</v>
      </c>
      <c r="F1217" s="16" t="s">
        <v>790</v>
      </c>
      <c r="G1217" s="16">
        <v>0.8</v>
      </c>
      <c r="H1217" s="16">
        <v>2607</v>
      </c>
      <c r="I1217" s="16">
        <v>110</v>
      </c>
      <c r="J1217" s="16">
        <v>109</v>
      </c>
      <c r="K1217" s="16">
        <v>-1.2401961017383001E-2</v>
      </c>
      <c r="L1217" s="16">
        <v>2.0464083067512701E-2</v>
      </c>
      <c r="M1217" s="16">
        <v>-0.60603550994529998</v>
      </c>
      <c r="N1217" s="16">
        <v>108</v>
      </c>
      <c r="O1217" s="16">
        <v>0.54576280991539705</v>
      </c>
      <c r="P1217" s="16"/>
      <c r="Q1217" s="16"/>
      <c r="R1217" s="16"/>
      <c r="S1217" s="16"/>
      <c r="T1217" s="16"/>
      <c r="U1217" s="16"/>
      <c r="V1217" s="16"/>
      <c r="W1217" s="16"/>
      <c r="X1217" s="16"/>
      <c r="Y1217" s="16"/>
      <c r="Z1217" s="16"/>
      <c r="AA1217" s="16"/>
      <c r="AB1217" s="16"/>
      <c r="AC1217" s="16"/>
      <c r="AD1217" s="16"/>
      <c r="AE1217" s="16"/>
      <c r="AF1217" s="16"/>
      <c r="AG1217" s="16"/>
      <c r="AH1217" s="16" t="s">
        <v>402</v>
      </c>
      <c r="AI1217" s="16"/>
      <c r="AJ1217" s="16" t="s">
        <v>1764</v>
      </c>
    </row>
    <row r="1218" spans="1:36" ht="15" customHeight="1" x14ac:dyDescent="0.3">
      <c r="A1218" s="16" t="s">
        <v>273</v>
      </c>
      <c r="B1218" s="16" t="s">
        <v>547</v>
      </c>
      <c r="C1218" s="16" t="s">
        <v>1705</v>
      </c>
      <c r="D1218" s="16" t="s">
        <v>324</v>
      </c>
      <c r="E1218" s="16" t="s">
        <v>404</v>
      </c>
      <c r="F1218" s="16" t="s">
        <v>790</v>
      </c>
      <c r="G1218" s="16">
        <v>0.8</v>
      </c>
      <c r="H1218" s="16">
        <v>905</v>
      </c>
      <c r="I1218" s="16">
        <v>38</v>
      </c>
      <c r="J1218" s="16">
        <v>38</v>
      </c>
      <c r="K1218" s="16">
        <v>-2.7680884747902701E-2</v>
      </c>
      <c r="L1218" s="16">
        <v>3.3148535037256899E-2</v>
      </c>
      <c r="M1218" s="16">
        <v>-0.83505605049487297</v>
      </c>
      <c r="N1218" s="16">
        <v>36</v>
      </c>
      <c r="O1218" s="16">
        <v>0.40919391978869901</v>
      </c>
      <c r="P1218" s="16"/>
      <c r="Q1218" s="16"/>
      <c r="R1218" s="16"/>
      <c r="S1218" s="16"/>
      <c r="T1218" s="16"/>
      <c r="U1218" s="16"/>
      <c r="V1218" s="16"/>
      <c r="W1218" s="16"/>
      <c r="X1218" s="16"/>
      <c r="Y1218" s="16"/>
      <c r="Z1218" s="16"/>
      <c r="AA1218" s="16"/>
      <c r="AB1218" s="16"/>
      <c r="AC1218" s="16"/>
      <c r="AD1218" s="16"/>
      <c r="AE1218" s="16"/>
      <c r="AF1218" s="16"/>
      <c r="AG1218" s="16"/>
      <c r="AH1218" s="16" t="s">
        <v>402</v>
      </c>
      <c r="AI1218" s="16"/>
      <c r="AJ1218" s="16" t="s">
        <v>1765</v>
      </c>
    </row>
    <row r="1219" spans="1:36" ht="15" customHeight="1" x14ac:dyDescent="0.3">
      <c r="A1219" s="16" t="s">
        <v>273</v>
      </c>
      <c r="B1219" s="16" t="s">
        <v>549</v>
      </c>
      <c r="C1219" s="16" t="s">
        <v>1705</v>
      </c>
      <c r="D1219" s="16" t="s">
        <v>324</v>
      </c>
      <c r="E1219" s="16" t="s">
        <v>404</v>
      </c>
      <c r="F1219" s="16" t="s">
        <v>790</v>
      </c>
      <c r="G1219" s="16">
        <v>0.8</v>
      </c>
      <c r="H1219" s="16">
        <v>2705</v>
      </c>
      <c r="I1219" s="16">
        <v>113</v>
      </c>
      <c r="J1219" s="16">
        <v>112</v>
      </c>
      <c r="K1219" s="16">
        <v>2.8740313322269301E-2</v>
      </c>
      <c r="L1219" s="16">
        <v>7.0763349256437097E-2</v>
      </c>
      <c r="M1219" s="16">
        <v>0.40614687722196602</v>
      </c>
      <c r="N1219" s="16">
        <v>111</v>
      </c>
      <c r="O1219" s="16">
        <v>0.68541660819518402</v>
      </c>
      <c r="P1219" s="16"/>
      <c r="Q1219" s="16"/>
      <c r="R1219" s="16"/>
      <c r="S1219" s="16"/>
      <c r="T1219" s="16"/>
      <c r="U1219" s="16"/>
      <c r="V1219" s="16"/>
      <c r="W1219" s="16"/>
      <c r="X1219" s="16"/>
      <c r="Y1219" s="16"/>
      <c r="Z1219" s="16"/>
      <c r="AA1219" s="16"/>
      <c r="AB1219" s="16"/>
      <c r="AC1219" s="16"/>
      <c r="AD1219" s="16"/>
      <c r="AE1219" s="16"/>
      <c r="AF1219" s="16"/>
      <c r="AG1219" s="16"/>
      <c r="AH1219" s="16" t="s">
        <v>402</v>
      </c>
      <c r="AI1219" s="16"/>
      <c r="AJ1219" s="16" t="s">
        <v>1766</v>
      </c>
    </row>
    <row r="1220" spans="1:36" ht="15" customHeight="1" x14ac:dyDescent="0.3">
      <c r="A1220" s="16" t="s">
        <v>273</v>
      </c>
      <c r="B1220" s="16" t="s">
        <v>551</v>
      </c>
      <c r="C1220" s="16" t="s">
        <v>1705</v>
      </c>
      <c r="D1220" s="16" t="s">
        <v>324</v>
      </c>
      <c r="E1220" s="16" t="s">
        <v>404</v>
      </c>
      <c r="F1220" s="16" t="s">
        <v>790</v>
      </c>
      <c r="G1220" s="16">
        <v>0.8</v>
      </c>
      <c r="H1220" s="16">
        <v>2705</v>
      </c>
      <c r="I1220" s="16">
        <v>113</v>
      </c>
      <c r="J1220" s="16">
        <v>112</v>
      </c>
      <c r="K1220" s="16">
        <v>1.12482574790208E-2</v>
      </c>
      <c r="L1220" s="16">
        <v>7.50689190163666E-2</v>
      </c>
      <c r="M1220" s="16">
        <v>0.149839076230317</v>
      </c>
      <c r="N1220" s="16">
        <v>111</v>
      </c>
      <c r="O1220" s="16">
        <v>0.88116350277489297</v>
      </c>
      <c r="P1220" s="16"/>
      <c r="Q1220" s="16"/>
      <c r="R1220" s="16"/>
      <c r="S1220" s="16"/>
      <c r="T1220" s="16"/>
      <c r="U1220" s="16"/>
      <c r="V1220" s="16"/>
      <c r="W1220" s="16"/>
      <c r="X1220" s="16"/>
      <c r="Y1220" s="16"/>
      <c r="Z1220" s="16"/>
      <c r="AA1220" s="16"/>
      <c r="AB1220" s="16"/>
      <c r="AC1220" s="16"/>
      <c r="AD1220" s="16"/>
      <c r="AE1220" s="16"/>
      <c r="AF1220" s="16"/>
      <c r="AG1220" s="16"/>
      <c r="AH1220" s="16" t="s">
        <v>402</v>
      </c>
      <c r="AI1220" s="16"/>
      <c r="AJ1220" s="16" t="s">
        <v>1767</v>
      </c>
    </row>
    <row r="1221" spans="1:36" ht="15" customHeight="1" x14ac:dyDescent="0.3">
      <c r="A1221" s="16" t="s">
        <v>273</v>
      </c>
      <c r="B1221" s="16" t="s">
        <v>553</v>
      </c>
      <c r="C1221" s="16" t="s">
        <v>1705</v>
      </c>
      <c r="D1221" s="16" t="s">
        <v>324</v>
      </c>
      <c r="E1221" s="16" t="s">
        <v>404</v>
      </c>
      <c r="F1221" s="16" t="s">
        <v>790</v>
      </c>
      <c r="G1221" s="16">
        <v>0.8</v>
      </c>
      <c r="H1221" s="16">
        <v>2705</v>
      </c>
      <c r="I1221" s="16">
        <v>113</v>
      </c>
      <c r="J1221" s="16">
        <v>112</v>
      </c>
      <c r="K1221" s="16">
        <v>-5.6772743363973997E-2</v>
      </c>
      <c r="L1221" s="16">
        <v>7.45279535331375E-2</v>
      </c>
      <c r="M1221" s="16">
        <v>-0.76176442089921403</v>
      </c>
      <c r="N1221" s="16">
        <v>110</v>
      </c>
      <c r="O1221" s="16">
        <v>0.44783079173438001</v>
      </c>
      <c r="P1221" s="16"/>
      <c r="Q1221" s="16"/>
      <c r="R1221" s="16"/>
      <c r="S1221" s="16"/>
      <c r="T1221" s="16"/>
      <c r="U1221" s="16"/>
      <c r="V1221" s="16"/>
      <c r="W1221" s="16"/>
      <c r="X1221" s="16"/>
      <c r="Y1221" s="16"/>
      <c r="Z1221" s="16"/>
      <c r="AA1221" s="16"/>
      <c r="AB1221" s="16"/>
      <c r="AC1221" s="16"/>
      <c r="AD1221" s="16"/>
      <c r="AE1221" s="16"/>
      <c r="AF1221" s="16"/>
      <c r="AG1221" s="16"/>
      <c r="AH1221" s="16" t="s">
        <v>402</v>
      </c>
      <c r="AI1221" s="16"/>
      <c r="AJ1221" s="16" t="s">
        <v>1768</v>
      </c>
    </row>
    <row r="1222" spans="1:36" ht="15" customHeight="1" x14ac:dyDescent="0.3">
      <c r="A1222" s="16" t="s">
        <v>273</v>
      </c>
      <c r="B1222" s="16" t="s">
        <v>555</v>
      </c>
      <c r="C1222" s="16" t="s">
        <v>1705</v>
      </c>
      <c r="D1222" s="16" t="s">
        <v>324</v>
      </c>
      <c r="E1222" s="16" t="s">
        <v>404</v>
      </c>
      <c r="F1222" s="16" t="s">
        <v>790</v>
      </c>
      <c r="G1222" s="16">
        <v>0.8</v>
      </c>
      <c r="H1222" s="16">
        <v>2705</v>
      </c>
      <c r="I1222" s="16">
        <v>113</v>
      </c>
      <c r="J1222" s="16">
        <v>112</v>
      </c>
      <c r="K1222" s="16">
        <v>7.2786696282252398E-3</v>
      </c>
      <c r="L1222" s="16">
        <v>7.8481152412391203E-2</v>
      </c>
      <c r="M1222" s="16">
        <v>9.2744173658133297E-2</v>
      </c>
      <c r="N1222" s="16">
        <v>111</v>
      </c>
      <c r="O1222" s="16">
        <v>0.92627398793108595</v>
      </c>
      <c r="P1222" s="16"/>
      <c r="Q1222" s="16"/>
      <c r="R1222" s="16"/>
      <c r="S1222" s="16"/>
      <c r="T1222" s="16"/>
      <c r="U1222" s="16"/>
      <c r="V1222" s="16"/>
      <c r="W1222" s="16"/>
      <c r="X1222" s="16"/>
      <c r="Y1222" s="16"/>
      <c r="Z1222" s="16"/>
      <c r="AA1222" s="16"/>
      <c r="AB1222" s="16"/>
      <c r="AC1222" s="16"/>
      <c r="AD1222" s="16"/>
      <c r="AE1222" s="16"/>
      <c r="AF1222" s="16"/>
      <c r="AG1222" s="16"/>
      <c r="AH1222" s="16" t="s">
        <v>402</v>
      </c>
      <c r="AI1222" s="16"/>
      <c r="AJ1222" s="16" t="s">
        <v>1769</v>
      </c>
    </row>
    <row r="1223" spans="1:36" ht="15" customHeight="1" x14ac:dyDescent="0.3">
      <c r="A1223" s="16" t="s">
        <v>273</v>
      </c>
      <c r="B1223" s="16" t="s">
        <v>557</v>
      </c>
      <c r="C1223" s="16" t="s">
        <v>1705</v>
      </c>
      <c r="D1223" s="16" t="s">
        <v>324</v>
      </c>
      <c r="E1223" s="16" t="s">
        <v>404</v>
      </c>
      <c r="F1223" s="16" t="s">
        <v>790</v>
      </c>
      <c r="G1223" s="16">
        <v>0.8</v>
      </c>
      <c r="H1223" s="16">
        <v>2705</v>
      </c>
      <c r="I1223" s="16">
        <v>113</v>
      </c>
      <c r="J1223" s="16">
        <v>112</v>
      </c>
      <c r="K1223" s="16">
        <v>2.9452846621507101E-2</v>
      </c>
      <c r="L1223" s="16">
        <v>9.3546874006788294E-2</v>
      </c>
      <c r="M1223" s="16">
        <v>0.31484586667609898</v>
      </c>
      <c r="N1223" s="16">
        <v>110</v>
      </c>
      <c r="O1223" s="16">
        <v>0.75347512887437496</v>
      </c>
      <c r="P1223" s="16"/>
      <c r="Q1223" s="16"/>
      <c r="R1223" s="16"/>
      <c r="S1223" s="16"/>
      <c r="T1223" s="16"/>
      <c r="U1223" s="16"/>
      <c r="V1223" s="16"/>
      <c r="W1223" s="16"/>
      <c r="X1223" s="16"/>
      <c r="Y1223" s="16"/>
      <c r="Z1223" s="16"/>
      <c r="AA1223" s="16"/>
      <c r="AB1223" s="16"/>
      <c r="AC1223" s="16"/>
      <c r="AD1223" s="16"/>
      <c r="AE1223" s="16"/>
      <c r="AF1223" s="16"/>
      <c r="AG1223" s="16"/>
      <c r="AH1223" s="16" t="s">
        <v>402</v>
      </c>
      <c r="AI1223" s="16"/>
      <c r="AJ1223" s="16" t="s">
        <v>1770</v>
      </c>
    </row>
    <row r="1224" spans="1:36" ht="15" customHeight="1" x14ac:dyDescent="0.3">
      <c r="A1224" s="16" t="s">
        <v>273</v>
      </c>
      <c r="B1224" s="16" t="s">
        <v>559</v>
      </c>
      <c r="C1224" s="16" t="s">
        <v>1705</v>
      </c>
      <c r="D1224" s="16" t="s">
        <v>324</v>
      </c>
      <c r="E1224" s="16" t="s">
        <v>404</v>
      </c>
      <c r="F1224" s="16" t="s">
        <v>790</v>
      </c>
      <c r="G1224" s="16">
        <v>0.8</v>
      </c>
      <c r="H1224" s="16">
        <v>2705</v>
      </c>
      <c r="I1224" s="16">
        <v>113</v>
      </c>
      <c r="J1224" s="16">
        <v>112</v>
      </c>
      <c r="K1224" s="16">
        <v>3.3016164723988099E-2</v>
      </c>
      <c r="L1224" s="16">
        <v>9.9460993098724998E-2</v>
      </c>
      <c r="M1224" s="16">
        <v>0.33195088542114398</v>
      </c>
      <c r="N1224" s="16">
        <v>110</v>
      </c>
      <c r="O1224" s="16">
        <v>0.74055801205830696</v>
      </c>
      <c r="P1224" s="16"/>
      <c r="Q1224" s="16"/>
      <c r="R1224" s="16"/>
      <c r="S1224" s="16"/>
      <c r="T1224" s="16"/>
      <c r="U1224" s="16"/>
      <c r="V1224" s="16"/>
      <c r="W1224" s="16"/>
      <c r="X1224" s="16"/>
      <c r="Y1224" s="16"/>
      <c r="Z1224" s="16"/>
      <c r="AA1224" s="16"/>
      <c r="AB1224" s="16"/>
      <c r="AC1224" s="16"/>
      <c r="AD1224" s="16"/>
      <c r="AE1224" s="16"/>
      <c r="AF1224" s="16"/>
      <c r="AG1224" s="16"/>
      <c r="AH1224" s="16" t="s">
        <v>402</v>
      </c>
      <c r="AI1224" s="16"/>
      <c r="AJ1224" s="16" t="s">
        <v>1771</v>
      </c>
    </row>
    <row r="1225" spans="1:36" ht="15" customHeight="1" x14ac:dyDescent="0.3">
      <c r="A1225" s="16" t="s">
        <v>273</v>
      </c>
      <c r="B1225" s="16" t="s">
        <v>561</v>
      </c>
      <c r="C1225" s="16" t="s">
        <v>1705</v>
      </c>
      <c r="D1225" s="16" t="s">
        <v>324</v>
      </c>
      <c r="E1225" s="16" t="s">
        <v>404</v>
      </c>
      <c r="F1225" s="16" t="s">
        <v>790</v>
      </c>
      <c r="G1225" s="16">
        <v>0.8</v>
      </c>
      <c r="H1225" s="16">
        <v>2705</v>
      </c>
      <c r="I1225" s="16">
        <v>113</v>
      </c>
      <c r="J1225" s="16">
        <v>112</v>
      </c>
      <c r="K1225" s="16">
        <v>-6.9331114644453004E-2</v>
      </c>
      <c r="L1225" s="16">
        <v>6.6237101015919897E-2</v>
      </c>
      <c r="M1225" s="16">
        <v>-1.04671118725123</v>
      </c>
      <c r="N1225" s="16">
        <v>111</v>
      </c>
      <c r="O1225" s="16">
        <v>0.29750673269749101</v>
      </c>
      <c r="P1225" s="16"/>
      <c r="Q1225" s="16"/>
      <c r="R1225" s="16"/>
      <c r="S1225" s="16"/>
      <c r="T1225" s="16"/>
      <c r="U1225" s="16"/>
      <c r="V1225" s="16"/>
      <c r="W1225" s="16"/>
      <c r="X1225" s="16"/>
      <c r="Y1225" s="16"/>
      <c r="Z1225" s="16"/>
      <c r="AA1225" s="16"/>
      <c r="AB1225" s="16"/>
      <c r="AC1225" s="16"/>
      <c r="AD1225" s="16"/>
      <c r="AE1225" s="16"/>
      <c r="AF1225" s="16"/>
      <c r="AG1225" s="16"/>
      <c r="AH1225" s="16" t="s">
        <v>402</v>
      </c>
      <c r="AI1225" s="16"/>
      <c r="AJ1225" s="16" t="s">
        <v>1772</v>
      </c>
    </row>
    <row r="1226" spans="1:36" ht="15" customHeight="1" x14ac:dyDescent="0.3">
      <c r="A1226" s="16" t="s">
        <v>273</v>
      </c>
      <c r="B1226" s="16" t="s">
        <v>563</v>
      </c>
      <c r="C1226" s="16" t="s">
        <v>1705</v>
      </c>
      <c r="D1226" s="16" t="s">
        <v>324</v>
      </c>
      <c r="E1226" s="16" t="s">
        <v>404</v>
      </c>
      <c r="F1226" s="16" t="s">
        <v>790</v>
      </c>
      <c r="G1226" s="16">
        <v>0.8</v>
      </c>
      <c r="H1226" s="16">
        <v>2705</v>
      </c>
      <c r="I1226" s="16">
        <v>113</v>
      </c>
      <c r="J1226" s="16">
        <v>112</v>
      </c>
      <c r="K1226" s="16">
        <v>3.88151635477198E-2</v>
      </c>
      <c r="L1226" s="16">
        <v>6.3568869297664699E-2</v>
      </c>
      <c r="M1226" s="16">
        <v>0.61060018805691896</v>
      </c>
      <c r="N1226" s="16">
        <v>111</v>
      </c>
      <c r="O1226" s="16">
        <v>0.54271252314590401</v>
      </c>
      <c r="P1226" s="16"/>
      <c r="Q1226" s="16"/>
      <c r="R1226" s="16"/>
      <c r="S1226" s="16"/>
      <c r="T1226" s="16"/>
      <c r="U1226" s="16"/>
      <c r="V1226" s="16"/>
      <c r="W1226" s="16"/>
      <c r="X1226" s="16"/>
      <c r="Y1226" s="16"/>
      <c r="Z1226" s="16"/>
      <c r="AA1226" s="16"/>
      <c r="AB1226" s="16"/>
      <c r="AC1226" s="16"/>
      <c r="AD1226" s="16"/>
      <c r="AE1226" s="16"/>
      <c r="AF1226" s="16"/>
      <c r="AG1226" s="16"/>
      <c r="AH1226" s="16" t="s">
        <v>402</v>
      </c>
      <c r="AI1226" s="16"/>
      <c r="AJ1226" s="16" t="s">
        <v>1773</v>
      </c>
    </row>
    <row r="1227" spans="1:36" ht="15" customHeight="1" x14ac:dyDescent="0.3">
      <c r="A1227" s="16" t="s">
        <v>273</v>
      </c>
      <c r="B1227" s="16" t="s">
        <v>565</v>
      </c>
      <c r="C1227" s="16" t="s">
        <v>1705</v>
      </c>
      <c r="D1227" s="16" t="s">
        <v>324</v>
      </c>
      <c r="E1227" s="16" t="s">
        <v>404</v>
      </c>
      <c r="F1227" s="16" t="s">
        <v>790</v>
      </c>
      <c r="G1227" s="16">
        <v>0.8</v>
      </c>
      <c r="H1227" s="16">
        <v>2705</v>
      </c>
      <c r="I1227" s="16">
        <v>113</v>
      </c>
      <c r="J1227" s="16">
        <v>112</v>
      </c>
      <c r="K1227" s="16">
        <v>3.04545627757223E-2</v>
      </c>
      <c r="L1227" s="16">
        <v>6.3565549720132702E-2</v>
      </c>
      <c r="M1227" s="16">
        <v>0.47910484389434399</v>
      </c>
      <c r="N1227" s="16">
        <v>111</v>
      </c>
      <c r="O1227" s="16">
        <v>0.63280655738878</v>
      </c>
      <c r="P1227" s="16"/>
      <c r="Q1227" s="16"/>
      <c r="R1227" s="16"/>
      <c r="S1227" s="16"/>
      <c r="T1227" s="16"/>
      <c r="U1227" s="16"/>
      <c r="V1227" s="16"/>
      <c r="W1227" s="16"/>
      <c r="X1227" s="16"/>
      <c r="Y1227" s="16"/>
      <c r="Z1227" s="16"/>
      <c r="AA1227" s="16"/>
      <c r="AB1227" s="16"/>
      <c r="AC1227" s="16"/>
      <c r="AD1227" s="16"/>
      <c r="AE1227" s="16"/>
      <c r="AF1227" s="16"/>
      <c r="AG1227" s="16"/>
      <c r="AH1227" s="16" t="s">
        <v>402</v>
      </c>
      <c r="AI1227" s="16"/>
      <c r="AJ1227" s="16" t="s">
        <v>1774</v>
      </c>
    </row>
    <row r="1228" spans="1:36" ht="15" customHeight="1" x14ac:dyDescent="0.3">
      <c r="A1228" s="16" t="s">
        <v>273</v>
      </c>
      <c r="B1228" s="16" t="s">
        <v>567</v>
      </c>
      <c r="C1228" s="16" t="s">
        <v>1705</v>
      </c>
      <c r="D1228" s="16" t="s">
        <v>324</v>
      </c>
      <c r="E1228" s="16" t="s">
        <v>404</v>
      </c>
      <c r="F1228" s="16" t="s">
        <v>790</v>
      </c>
      <c r="G1228" s="16">
        <v>0.8</v>
      </c>
      <c r="H1228" s="16">
        <v>929</v>
      </c>
      <c r="I1228" s="16">
        <v>40</v>
      </c>
      <c r="J1228" s="16">
        <v>40</v>
      </c>
      <c r="K1228" s="16">
        <v>-3.0851788461229799E-2</v>
      </c>
      <c r="L1228" s="16">
        <v>3.7943164532361802E-2</v>
      </c>
      <c r="M1228" s="16">
        <v>-0.81310530741093701</v>
      </c>
      <c r="N1228" s="16">
        <v>38</v>
      </c>
      <c r="O1228" s="16">
        <v>0.421223140372883</v>
      </c>
      <c r="P1228" s="16"/>
      <c r="Q1228" s="16"/>
      <c r="R1228" s="16"/>
      <c r="S1228" s="16"/>
      <c r="T1228" s="16"/>
      <c r="U1228" s="16"/>
      <c r="V1228" s="16"/>
      <c r="W1228" s="16"/>
      <c r="X1228" s="16"/>
      <c r="Y1228" s="16"/>
      <c r="Z1228" s="16"/>
      <c r="AA1228" s="16"/>
      <c r="AB1228" s="16"/>
      <c r="AC1228" s="16"/>
      <c r="AD1228" s="16"/>
      <c r="AE1228" s="16"/>
      <c r="AF1228" s="16"/>
      <c r="AG1228" s="16"/>
      <c r="AH1228" s="16" t="s">
        <v>402</v>
      </c>
      <c r="AI1228" s="16"/>
      <c r="AJ1228" s="16" t="s">
        <v>1775</v>
      </c>
    </row>
    <row r="1229" spans="1:36" ht="15" customHeight="1" x14ac:dyDescent="0.3">
      <c r="A1229" s="16" t="s">
        <v>273</v>
      </c>
      <c r="B1229" s="16" t="s">
        <v>569</v>
      </c>
      <c r="C1229" s="16" t="s">
        <v>1705</v>
      </c>
      <c r="D1229" s="16" t="s">
        <v>324</v>
      </c>
      <c r="E1229" s="16" t="s">
        <v>404</v>
      </c>
      <c r="F1229" s="16" t="s">
        <v>790</v>
      </c>
      <c r="G1229" s="16">
        <v>0.8</v>
      </c>
      <c r="H1229" s="16">
        <v>2692</v>
      </c>
      <c r="I1229" s="16">
        <v>113</v>
      </c>
      <c r="J1229" s="16">
        <v>112</v>
      </c>
      <c r="K1229" s="16">
        <v>-1.4397315789882299E-2</v>
      </c>
      <c r="L1229" s="16">
        <v>2.2644645988663899E-2</v>
      </c>
      <c r="M1229" s="16">
        <v>-0.63579337018956805</v>
      </c>
      <c r="N1229" s="16">
        <v>111</v>
      </c>
      <c r="O1229" s="16">
        <v>0.52621980026739501</v>
      </c>
      <c r="P1229" s="16"/>
      <c r="Q1229" s="16"/>
      <c r="R1229" s="16"/>
      <c r="S1229" s="16"/>
      <c r="T1229" s="16"/>
      <c r="U1229" s="16"/>
      <c r="V1229" s="16"/>
      <c r="W1229" s="16"/>
      <c r="X1229" s="16"/>
      <c r="Y1229" s="16"/>
      <c r="Z1229" s="16"/>
      <c r="AA1229" s="16"/>
      <c r="AB1229" s="16"/>
      <c r="AC1229" s="16"/>
      <c r="AD1229" s="16"/>
      <c r="AE1229" s="16"/>
      <c r="AF1229" s="16"/>
      <c r="AG1229" s="16"/>
      <c r="AH1229" s="16" t="s">
        <v>402</v>
      </c>
      <c r="AI1229" s="16"/>
      <c r="AJ1229" s="16" t="s">
        <v>1776</v>
      </c>
    </row>
    <row r="1230" spans="1:36" ht="15" customHeight="1" x14ac:dyDescent="0.3">
      <c r="A1230" s="16" t="s">
        <v>273</v>
      </c>
      <c r="B1230" s="16" t="s">
        <v>571</v>
      </c>
      <c r="C1230" s="16" t="s">
        <v>1705</v>
      </c>
      <c r="D1230" s="16" t="s">
        <v>324</v>
      </c>
      <c r="E1230" s="16" t="s">
        <v>404</v>
      </c>
      <c r="F1230" s="16" t="s">
        <v>790</v>
      </c>
      <c r="G1230" s="16">
        <v>0.8</v>
      </c>
      <c r="H1230" s="16">
        <v>2692</v>
      </c>
      <c r="I1230" s="16">
        <v>113</v>
      </c>
      <c r="J1230" s="16">
        <v>112</v>
      </c>
      <c r="K1230" s="16">
        <v>-2.9845001034723002E-2</v>
      </c>
      <c r="L1230" s="16">
        <v>2.3901901151803701E-2</v>
      </c>
      <c r="M1230" s="16">
        <v>-1.2486454882887299</v>
      </c>
      <c r="N1230" s="16">
        <v>111</v>
      </c>
      <c r="O1230" s="16">
        <v>0.214421879853463</v>
      </c>
      <c r="P1230" s="16"/>
      <c r="Q1230" s="16"/>
      <c r="R1230" s="16"/>
      <c r="S1230" s="16"/>
      <c r="T1230" s="16"/>
      <c r="U1230" s="16"/>
      <c r="V1230" s="16"/>
      <c r="W1230" s="16"/>
      <c r="X1230" s="16"/>
      <c r="Y1230" s="16"/>
      <c r="Z1230" s="16"/>
      <c r="AA1230" s="16"/>
      <c r="AB1230" s="16"/>
      <c r="AC1230" s="16"/>
      <c r="AD1230" s="16"/>
      <c r="AE1230" s="16"/>
      <c r="AF1230" s="16"/>
      <c r="AG1230" s="16"/>
      <c r="AH1230" s="16" t="s">
        <v>402</v>
      </c>
      <c r="AI1230" s="16"/>
      <c r="AJ1230" s="16" t="s">
        <v>1777</v>
      </c>
    </row>
    <row r="1231" spans="1:36" ht="15" customHeight="1" x14ac:dyDescent="0.3">
      <c r="A1231" s="16" t="s">
        <v>273</v>
      </c>
      <c r="B1231" s="16" t="s">
        <v>573</v>
      </c>
      <c r="C1231" s="16" t="s">
        <v>1705</v>
      </c>
      <c r="D1231" s="16" t="s">
        <v>324</v>
      </c>
      <c r="E1231" s="16" t="s">
        <v>404</v>
      </c>
      <c r="F1231" s="16" t="s">
        <v>790</v>
      </c>
      <c r="G1231" s="16">
        <v>0.8</v>
      </c>
      <c r="H1231" s="16">
        <v>2692</v>
      </c>
      <c r="I1231" s="16">
        <v>113</v>
      </c>
      <c r="J1231" s="16">
        <v>112</v>
      </c>
      <c r="K1231" s="16">
        <v>-1.5796938472448702E-2</v>
      </c>
      <c r="L1231" s="16">
        <v>2.41449909704105E-2</v>
      </c>
      <c r="M1231" s="16">
        <v>-0.65425323587023598</v>
      </c>
      <c r="N1231" s="16">
        <v>110</v>
      </c>
      <c r="O1231" s="16">
        <v>0.51431422452870101</v>
      </c>
      <c r="P1231" s="16"/>
      <c r="Q1231" s="16"/>
      <c r="R1231" s="16"/>
      <c r="S1231" s="16"/>
      <c r="T1231" s="16"/>
      <c r="U1231" s="16"/>
      <c r="V1231" s="16"/>
      <c r="W1231" s="16"/>
      <c r="X1231" s="16"/>
      <c r="Y1231" s="16"/>
      <c r="Z1231" s="16"/>
      <c r="AA1231" s="16"/>
      <c r="AB1231" s="16"/>
      <c r="AC1231" s="16"/>
      <c r="AD1231" s="16"/>
      <c r="AE1231" s="16"/>
      <c r="AF1231" s="16"/>
      <c r="AG1231" s="16"/>
      <c r="AH1231" s="16" t="s">
        <v>402</v>
      </c>
      <c r="AI1231" s="16"/>
      <c r="AJ1231" s="16" t="s">
        <v>1778</v>
      </c>
    </row>
    <row r="1232" spans="1:36" ht="15" customHeight="1" x14ac:dyDescent="0.3">
      <c r="A1232" s="16" t="s">
        <v>273</v>
      </c>
      <c r="B1232" s="16" t="s">
        <v>575</v>
      </c>
      <c r="C1232" s="16" t="s">
        <v>1705</v>
      </c>
      <c r="D1232" s="16" t="s">
        <v>324</v>
      </c>
      <c r="E1232" s="16" t="s">
        <v>404</v>
      </c>
      <c r="F1232" s="16" t="s">
        <v>790</v>
      </c>
      <c r="G1232" s="16">
        <v>0.8</v>
      </c>
      <c r="H1232" s="16">
        <v>2692</v>
      </c>
      <c r="I1232" s="16">
        <v>113</v>
      </c>
      <c r="J1232" s="16">
        <v>112</v>
      </c>
      <c r="K1232" s="16">
        <v>-3.2520552069109497E-2</v>
      </c>
      <c r="L1232" s="16">
        <v>2.49837892606731E-2</v>
      </c>
      <c r="M1232" s="16">
        <v>-1.3016661215718801</v>
      </c>
      <c r="N1232" s="16">
        <v>111</v>
      </c>
      <c r="O1232" s="16">
        <v>0.19572554255702301</v>
      </c>
      <c r="P1232" s="16"/>
      <c r="Q1232" s="16"/>
      <c r="R1232" s="16"/>
      <c r="S1232" s="16"/>
      <c r="T1232" s="16"/>
      <c r="U1232" s="16"/>
      <c r="V1232" s="16"/>
      <c r="W1232" s="16"/>
      <c r="X1232" s="16"/>
      <c r="Y1232" s="16"/>
      <c r="Z1232" s="16"/>
      <c r="AA1232" s="16"/>
      <c r="AB1232" s="16"/>
      <c r="AC1232" s="16"/>
      <c r="AD1232" s="16"/>
      <c r="AE1232" s="16"/>
      <c r="AF1232" s="16"/>
      <c r="AG1232" s="16"/>
      <c r="AH1232" s="16" t="s">
        <v>402</v>
      </c>
      <c r="AI1232" s="16"/>
      <c r="AJ1232" s="16" t="s">
        <v>1779</v>
      </c>
    </row>
    <row r="1233" spans="1:36" ht="15" customHeight="1" x14ac:dyDescent="0.3">
      <c r="A1233" s="16" t="s">
        <v>273</v>
      </c>
      <c r="B1233" s="16" t="s">
        <v>577</v>
      </c>
      <c r="C1233" s="16" t="s">
        <v>1705</v>
      </c>
      <c r="D1233" s="16" t="s">
        <v>324</v>
      </c>
      <c r="E1233" s="16" t="s">
        <v>404</v>
      </c>
      <c r="F1233" s="16" t="s">
        <v>790</v>
      </c>
      <c r="G1233" s="16">
        <v>0.8</v>
      </c>
      <c r="H1233" s="16">
        <v>2692</v>
      </c>
      <c r="I1233" s="16">
        <v>113</v>
      </c>
      <c r="J1233" s="16">
        <v>112</v>
      </c>
      <c r="K1233" s="16">
        <v>-8.6802296199201805E-3</v>
      </c>
      <c r="L1233" s="16">
        <v>2.99778458297481E-2</v>
      </c>
      <c r="M1233" s="16">
        <v>-0.28955481555337398</v>
      </c>
      <c r="N1233" s="16">
        <v>110</v>
      </c>
      <c r="O1233" s="16">
        <v>0.77270190123454796</v>
      </c>
      <c r="P1233" s="16"/>
      <c r="Q1233" s="16"/>
      <c r="R1233" s="16"/>
      <c r="S1233" s="16"/>
      <c r="T1233" s="16"/>
      <c r="U1233" s="16"/>
      <c r="V1233" s="16"/>
      <c r="W1233" s="16"/>
      <c r="X1233" s="16"/>
      <c r="Y1233" s="16"/>
      <c r="Z1233" s="16"/>
      <c r="AA1233" s="16"/>
      <c r="AB1233" s="16"/>
      <c r="AC1233" s="16"/>
      <c r="AD1233" s="16"/>
      <c r="AE1233" s="16"/>
      <c r="AF1233" s="16"/>
      <c r="AG1233" s="16"/>
      <c r="AH1233" s="16" t="s">
        <v>402</v>
      </c>
      <c r="AI1233" s="16"/>
      <c r="AJ1233" s="16" t="s">
        <v>1780</v>
      </c>
    </row>
    <row r="1234" spans="1:36" ht="15" customHeight="1" x14ac:dyDescent="0.3">
      <c r="A1234" s="16" t="s">
        <v>273</v>
      </c>
      <c r="B1234" s="16" t="s">
        <v>579</v>
      </c>
      <c r="C1234" s="16" t="s">
        <v>1705</v>
      </c>
      <c r="D1234" s="16" t="s">
        <v>324</v>
      </c>
      <c r="E1234" s="16" t="s">
        <v>404</v>
      </c>
      <c r="F1234" s="16" t="s">
        <v>790</v>
      </c>
      <c r="G1234" s="16">
        <v>0.8</v>
      </c>
      <c r="H1234" s="16">
        <v>2692</v>
      </c>
      <c r="I1234" s="16">
        <v>113</v>
      </c>
      <c r="J1234" s="16">
        <v>112</v>
      </c>
      <c r="K1234" s="16">
        <v>-4.74530948916904E-3</v>
      </c>
      <c r="L1234" s="16">
        <v>3.1888315139626797E-2</v>
      </c>
      <c r="M1234" s="16">
        <v>-0.148810292058114</v>
      </c>
      <c r="N1234" s="16">
        <v>110</v>
      </c>
      <c r="O1234" s="16">
        <v>0.88197579815128402</v>
      </c>
      <c r="P1234" s="16"/>
      <c r="Q1234" s="16"/>
      <c r="R1234" s="16"/>
      <c r="S1234" s="16"/>
      <c r="T1234" s="16"/>
      <c r="U1234" s="16"/>
      <c r="V1234" s="16"/>
      <c r="W1234" s="16"/>
      <c r="X1234" s="16"/>
      <c r="Y1234" s="16"/>
      <c r="Z1234" s="16"/>
      <c r="AA1234" s="16"/>
      <c r="AB1234" s="16"/>
      <c r="AC1234" s="16"/>
      <c r="AD1234" s="16"/>
      <c r="AE1234" s="16"/>
      <c r="AF1234" s="16"/>
      <c r="AG1234" s="16"/>
      <c r="AH1234" s="16" t="s">
        <v>402</v>
      </c>
      <c r="AI1234" s="16"/>
      <c r="AJ1234" s="16" t="s">
        <v>1781</v>
      </c>
    </row>
    <row r="1235" spans="1:36" ht="15" customHeight="1" x14ac:dyDescent="0.3">
      <c r="A1235" s="16" t="s">
        <v>273</v>
      </c>
      <c r="B1235" s="16" t="s">
        <v>581</v>
      </c>
      <c r="C1235" s="16" t="s">
        <v>1705</v>
      </c>
      <c r="D1235" s="16" t="s">
        <v>324</v>
      </c>
      <c r="E1235" s="16" t="s">
        <v>404</v>
      </c>
      <c r="F1235" s="16" t="s">
        <v>790</v>
      </c>
      <c r="G1235" s="16">
        <v>0.8</v>
      </c>
      <c r="H1235" s="16">
        <v>2692</v>
      </c>
      <c r="I1235" s="16">
        <v>113</v>
      </c>
      <c r="J1235" s="16">
        <v>112</v>
      </c>
      <c r="K1235" s="16">
        <v>-2.5501779074716902E-2</v>
      </c>
      <c r="L1235" s="16">
        <v>2.1323566517593699E-2</v>
      </c>
      <c r="M1235" s="16">
        <v>-1.19594342033148</v>
      </c>
      <c r="N1235" s="16">
        <v>111</v>
      </c>
      <c r="O1235" s="16">
        <v>0.23426715750004501</v>
      </c>
      <c r="P1235" s="16"/>
      <c r="Q1235" s="16"/>
      <c r="R1235" s="16"/>
      <c r="S1235" s="16"/>
      <c r="T1235" s="16"/>
      <c r="U1235" s="16"/>
      <c r="V1235" s="16"/>
      <c r="W1235" s="16"/>
      <c r="X1235" s="16"/>
      <c r="Y1235" s="16"/>
      <c r="Z1235" s="16"/>
      <c r="AA1235" s="16"/>
      <c r="AB1235" s="16"/>
      <c r="AC1235" s="16"/>
      <c r="AD1235" s="16"/>
      <c r="AE1235" s="16"/>
      <c r="AF1235" s="16"/>
      <c r="AG1235" s="16"/>
      <c r="AH1235" s="16" t="s">
        <v>402</v>
      </c>
      <c r="AI1235" s="16"/>
      <c r="AJ1235" s="16" t="s">
        <v>1782</v>
      </c>
    </row>
    <row r="1236" spans="1:36" ht="15" customHeight="1" x14ac:dyDescent="0.3">
      <c r="A1236" s="16" t="s">
        <v>273</v>
      </c>
      <c r="B1236" s="16" t="s">
        <v>583</v>
      </c>
      <c r="C1236" s="16" t="s">
        <v>1705</v>
      </c>
      <c r="D1236" s="16" t="s">
        <v>324</v>
      </c>
      <c r="E1236" s="16" t="s">
        <v>404</v>
      </c>
      <c r="F1236" s="16" t="s">
        <v>790</v>
      </c>
      <c r="G1236" s="16">
        <v>0.8</v>
      </c>
      <c r="H1236" s="16">
        <v>2692</v>
      </c>
      <c r="I1236" s="16">
        <v>113</v>
      </c>
      <c r="J1236" s="16">
        <v>112</v>
      </c>
      <c r="K1236" s="16">
        <v>-2.84575952423331E-2</v>
      </c>
      <c r="L1236" s="16">
        <v>2.0293654673147199E-2</v>
      </c>
      <c r="M1236" s="16">
        <v>-1.40229030702826</v>
      </c>
      <c r="N1236" s="16">
        <v>111</v>
      </c>
      <c r="O1236" s="16">
        <v>0.163619071988546</v>
      </c>
      <c r="P1236" s="16"/>
      <c r="Q1236" s="16"/>
      <c r="R1236" s="16"/>
      <c r="S1236" s="16"/>
      <c r="T1236" s="16"/>
      <c r="U1236" s="16"/>
      <c r="V1236" s="16"/>
      <c r="W1236" s="16"/>
      <c r="X1236" s="16"/>
      <c r="Y1236" s="16"/>
      <c r="Z1236" s="16"/>
      <c r="AA1236" s="16"/>
      <c r="AB1236" s="16"/>
      <c r="AC1236" s="16"/>
      <c r="AD1236" s="16"/>
      <c r="AE1236" s="16"/>
      <c r="AF1236" s="16"/>
      <c r="AG1236" s="16"/>
      <c r="AH1236" s="16" t="s">
        <v>402</v>
      </c>
      <c r="AI1236" s="16"/>
      <c r="AJ1236" s="16" t="s">
        <v>1783</v>
      </c>
    </row>
    <row r="1237" spans="1:36" ht="15" customHeight="1" x14ac:dyDescent="0.3">
      <c r="A1237" s="16" t="s">
        <v>273</v>
      </c>
      <c r="B1237" s="16" t="s">
        <v>585</v>
      </c>
      <c r="C1237" s="16" t="s">
        <v>1705</v>
      </c>
      <c r="D1237" s="16" t="s">
        <v>324</v>
      </c>
      <c r="E1237" s="16" t="s">
        <v>404</v>
      </c>
      <c r="F1237" s="16" t="s">
        <v>790</v>
      </c>
      <c r="G1237" s="16">
        <v>0.8</v>
      </c>
      <c r="H1237" s="16">
        <v>2692</v>
      </c>
      <c r="I1237" s="16">
        <v>113</v>
      </c>
      <c r="J1237" s="16">
        <v>112</v>
      </c>
      <c r="K1237" s="16">
        <v>-2.1694713774086601E-2</v>
      </c>
      <c r="L1237" s="16">
        <v>2.0282338440554701E-2</v>
      </c>
      <c r="M1237" s="16">
        <v>-1.06963572458232</v>
      </c>
      <c r="N1237" s="16">
        <v>111</v>
      </c>
      <c r="O1237" s="16">
        <v>0.28710379521269702</v>
      </c>
      <c r="P1237" s="16"/>
      <c r="Q1237" s="16"/>
      <c r="R1237" s="16"/>
      <c r="S1237" s="16"/>
      <c r="T1237" s="16"/>
      <c r="U1237" s="16"/>
      <c r="V1237" s="16"/>
      <c r="W1237" s="16"/>
      <c r="X1237" s="16"/>
      <c r="Y1237" s="16"/>
      <c r="Z1237" s="16"/>
      <c r="AA1237" s="16"/>
      <c r="AB1237" s="16"/>
      <c r="AC1237" s="16"/>
      <c r="AD1237" s="16"/>
      <c r="AE1237" s="16"/>
      <c r="AF1237" s="16"/>
      <c r="AG1237" s="16"/>
      <c r="AH1237" s="16" t="s">
        <v>402</v>
      </c>
      <c r="AI1237" s="16"/>
      <c r="AJ1237" s="16" t="s">
        <v>1784</v>
      </c>
    </row>
    <row r="1238" spans="1:36" ht="15" customHeight="1" x14ac:dyDescent="0.3">
      <c r="A1238" s="16" t="s">
        <v>273</v>
      </c>
      <c r="B1238" s="16" t="s">
        <v>587</v>
      </c>
      <c r="C1238" s="16" t="s">
        <v>1705</v>
      </c>
      <c r="D1238" s="16" t="s">
        <v>324</v>
      </c>
      <c r="E1238" s="16" t="s">
        <v>404</v>
      </c>
      <c r="F1238" s="16" t="s">
        <v>790</v>
      </c>
      <c r="G1238" s="16">
        <v>0.8</v>
      </c>
      <c r="H1238" s="16">
        <v>924</v>
      </c>
      <c r="I1238" s="16">
        <v>40</v>
      </c>
      <c r="J1238" s="16">
        <v>40</v>
      </c>
      <c r="K1238" s="16">
        <v>-3.3665094146538802E-2</v>
      </c>
      <c r="L1238" s="16">
        <v>3.7864674982775702E-2</v>
      </c>
      <c r="M1238" s="16">
        <v>-0.88908974292933296</v>
      </c>
      <c r="N1238" s="16">
        <v>38</v>
      </c>
      <c r="O1238" s="16">
        <v>0.37954876979663099</v>
      </c>
      <c r="P1238" s="16"/>
      <c r="Q1238" s="16"/>
      <c r="R1238" s="16"/>
      <c r="S1238" s="16"/>
      <c r="T1238" s="16"/>
      <c r="U1238" s="16"/>
      <c r="V1238" s="16"/>
      <c r="W1238" s="16"/>
      <c r="X1238" s="16"/>
      <c r="Y1238" s="16"/>
      <c r="Z1238" s="16"/>
      <c r="AA1238" s="16"/>
      <c r="AB1238" s="16"/>
      <c r="AC1238" s="16"/>
      <c r="AD1238" s="16"/>
      <c r="AE1238" s="16"/>
      <c r="AF1238" s="16"/>
      <c r="AG1238" s="16"/>
      <c r="AH1238" s="16" t="s">
        <v>402</v>
      </c>
      <c r="AI1238" s="16"/>
      <c r="AJ1238" s="16" t="s">
        <v>1785</v>
      </c>
    </row>
    <row r="1239" spans="1:36" ht="15" customHeight="1" x14ac:dyDescent="0.3">
      <c r="A1239" s="16" t="s">
        <v>273</v>
      </c>
      <c r="B1239" s="16" t="s">
        <v>589</v>
      </c>
      <c r="C1239" s="16" t="s">
        <v>1705</v>
      </c>
      <c r="D1239" s="16" t="s">
        <v>324</v>
      </c>
      <c r="E1239" s="16" t="s">
        <v>404</v>
      </c>
      <c r="F1239" s="16" t="s">
        <v>790</v>
      </c>
      <c r="G1239" s="16">
        <v>0.8</v>
      </c>
      <c r="H1239" s="16">
        <v>2705</v>
      </c>
      <c r="I1239" s="16">
        <v>113</v>
      </c>
      <c r="J1239" s="16">
        <v>112</v>
      </c>
      <c r="K1239" s="16">
        <v>-1.0646705908388E-2</v>
      </c>
      <c r="L1239" s="16">
        <v>2.1614435026727299E-2</v>
      </c>
      <c r="M1239" s="16">
        <v>-0.492573869972672</v>
      </c>
      <c r="N1239" s="16">
        <v>111</v>
      </c>
      <c r="O1239" s="16">
        <v>0.62328663598704104</v>
      </c>
      <c r="P1239" s="16"/>
      <c r="Q1239" s="16"/>
      <c r="R1239" s="16"/>
      <c r="S1239" s="16"/>
      <c r="T1239" s="16"/>
      <c r="U1239" s="16"/>
      <c r="V1239" s="16"/>
      <c r="W1239" s="16"/>
      <c r="X1239" s="16"/>
      <c r="Y1239" s="16"/>
      <c r="Z1239" s="16"/>
      <c r="AA1239" s="16"/>
      <c r="AB1239" s="16"/>
      <c r="AC1239" s="16"/>
      <c r="AD1239" s="16"/>
      <c r="AE1239" s="16"/>
      <c r="AF1239" s="16"/>
      <c r="AG1239" s="16"/>
      <c r="AH1239" s="16" t="s">
        <v>402</v>
      </c>
      <c r="AI1239" s="16"/>
      <c r="AJ1239" s="16" t="s">
        <v>1786</v>
      </c>
    </row>
    <row r="1240" spans="1:36" ht="15" customHeight="1" x14ac:dyDescent="0.3">
      <c r="A1240" s="16" t="s">
        <v>273</v>
      </c>
      <c r="B1240" s="16" t="s">
        <v>591</v>
      </c>
      <c r="C1240" s="16" t="s">
        <v>1705</v>
      </c>
      <c r="D1240" s="16" t="s">
        <v>324</v>
      </c>
      <c r="E1240" s="16" t="s">
        <v>404</v>
      </c>
      <c r="F1240" s="16" t="s">
        <v>790</v>
      </c>
      <c r="G1240" s="16">
        <v>0.8</v>
      </c>
      <c r="H1240" s="16">
        <v>2705</v>
      </c>
      <c r="I1240" s="16">
        <v>113</v>
      </c>
      <c r="J1240" s="16">
        <v>112</v>
      </c>
      <c r="K1240" s="16">
        <v>-2.2047104880688399E-2</v>
      </c>
      <c r="L1240" s="16">
        <v>2.2866088830432899E-2</v>
      </c>
      <c r="M1240" s="16">
        <v>-0.96418347029884299</v>
      </c>
      <c r="N1240" s="16">
        <v>111</v>
      </c>
      <c r="O1240" s="16">
        <v>0.33704983790321102</v>
      </c>
      <c r="P1240" s="16"/>
      <c r="Q1240" s="16"/>
      <c r="R1240" s="16"/>
      <c r="S1240" s="16"/>
      <c r="T1240" s="16"/>
      <c r="U1240" s="16"/>
      <c r="V1240" s="16"/>
      <c r="W1240" s="16"/>
      <c r="X1240" s="16"/>
      <c r="Y1240" s="16"/>
      <c r="Z1240" s="16"/>
      <c r="AA1240" s="16"/>
      <c r="AB1240" s="16"/>
      <c r="AC1240" s="16"/>
      <c r="AD1240" s="16"/>
      <c r="AE1240" s="16"/>
      <c r="AF1240" s="16"/>
      <c r="AG1240" s="16"/>
      <c r="AH1240" s="16" t="s">
        <v>402</v>
      </c>
      <c r="AI1240" s="16"/>
      <c r="AJ1240" s="16" t="s">
        <v>1787</v>
      </c>
    </row>
    <row r="1241" spans="1:36" ht="15" customHeight="1" x14ac:dyDescent="0.3">
      <c r="A1241" s="16" t="s">
        <v>273</v>
      </c>
      <c r="B1241" s="16" t="s">
        <v>593</v>
      </c>
      <c r="C1241" s="16" t="s">
        <v>1705</v>
      </c>
      <c r="D1241" s="16" t="s">
        <v>324</v>
      </c>
      <c r="E1241" s="16" t="s">
        <v>404</v>
      </c>
      <c r="F1241" s="16" t="s">
        <v>790</v>
      </c>
      <c r="G1241" s="16">
        <v>0.8</v>
      </c>
      <c r="H1241" s="16">
        <v>2705</v>
      </c>
      <c r="I1241" s="16">
        <v>113</v>
      </c>
      <c r="J1241" s="16">
        <v>112</v>
      </c>
      <c r="K1241" s="16">
        <v>-1.3230595595237401E-2</v>
      </c>
      <c r="L1241" s="16">
        <v>2.30453716764638E-2</v>
      </c>
      <c r="M1241" s="16">
        <v>-0.57411074904683501</v>
      </c>
      <c r="N1241" s="16">
        <v>110</v>
      </c>
      <c r="O1241" s="16">
        <v>0.56706498003287598</v>
      </c>
      <c r="P1241" s="16"/>
      <c r="Q1241" s="16"/>
      <c r="R1241" s="16"/>
      <c r="S1241" s="16"/>
      <c r="T1241" s="16"/>
      <c r="U1241" s="16"/>
      <c r="V1241" s="16"/>
      <c r="W1241" s="16"/>
      <c r="X1241" s="16"/>
      <c r="Y1241" s="16"/>
      <c r="Z1241" s="16"/>
      <c r="AA1241" s="16"/>
      <c r="AB1241" s="16"/>
      <c r="AC1241" s="16"/>
      <c r="AD1241" s="16"/>
      <c r="AE1241" s="16"/>
      <c r="AF1241" s="16"/>
      <c r="AG1241" s="16"/>
      <c r="AH1241" s="16" t="s">
        <v>402</v>
      </c>
      <c r="AI1241" s="16"/>
      <c r="AJ1241" s="16" t="s">
        <v>1788</v>
      </c>
    </row>
    <row r="1242" spans="1:36" ht="15" customHeight="1" x14ac:dyDescent="0.3">
      <c r="A1242" s="16" t="s">
        <v>273</v>
      </c>
      <c r="B1242" s="16" t="s">
        <v>595</v>
      </c>
      <c r="C1242" s="16" t="s">
        <v>1705</v>
      </c>
      <c r="D1242" s="16" t="s">
        <v>324</v>
      </c>
      <c r="E1242" s="16" t="s">
        <v>404</v>
      </c>
      <c r="F1242" s="16" t="s">
        <v>790</v>
      </c>
      <c r="G1242" s="16">
        <v>0.8</v>
      </c>
      <c r="H1242" s="16">
        <v>2705</v>
      </c>
      <c r="I1242" s="16">
        <v>113</v>
      </c>
      <c r="J1242" s="16">
        <v>112</v>
      </c>
      <c r="K1242" s="16">
        <v>-2.5310513605253399E-2</v>
      </c>
      <c r="L1242" s="16">
        <v>2.38965936357982E-2</v>
      </c>
      <c r="M1242" s="16">
        <v>-1.0591682643561899</v>
      </c>
      <c r="N1242" s="16">
        <v>111</v>
      </c>
      <c r="O1242" s="16">
        <v>0.29182255797908302</v>
      </c>
      <c r="P1242" s="16"/>
      <c r="Q1242" s="16"/>
      <c r="R1242" s="16"/>
      <c r="S1242" s="16"/>
      <c r="T1242" s="16"/>
      <c r="U1242" s="16"/>
      <c r="V1242" s="16"/>
      <c r="W1242" s="16"/>
      <c r="X1242" s="16"/>
      <c r="Y1242" s="16"/>
      <c r="Z1242" s="16"/>
      <c r="AA1242" s="16"/>
      <c r="AB1242" s="16"/>
      <c r="AC1242" s="16"/>
      <c r="AD1242" s="16"/>
      <c r="AE1242" s="16"/>
      <c r="AF1242" s="16"/>
      <c r="AG1242" s="16"/>
      <c r="AH1242" s="16" t="s">
        <v>402</v>
      </c>
      <c r="AI1242" s="16"/>
      <c r="AJ1242" s="16" t="s">
        <v>1789</v>
      </c>
    </row>
    <row r="1243" spans="1:36" ht="15" customHeight="1" x14ac:dyDescent="0.3">
      <c r="A1243" s="16" t="s">
        <v>273</v>
      </c>
      <c r="B1243" s="16" t="s">
        <v>597</v>
      </c>
      <c r="C1243" s="16" t="s">
        <v>1705</v>
      </c>
      <c r="D1243" s="16" t="s">
        <v>324</v>
      </c>
      <c r="E1243" s="16" t="s">
        <v>404</v>
      </c>
      <c r="F1243" s="16" t="s">
        <v>790</v>
      </c>
      <c r="G1243" s="16">
        <v>0.8</v>
      </c>
      <c r="H1243" s="16">
        <v>2705</v>
      </c>
      <c r="I1243" s="16">
        <v>113</v>
      </c>
      <c r="J1243" s="16">
        <v>112</v>
      </c>
      <c r="K1243" s="16">
        <v>-3.3803724681129499E-3</v>
      </c>
      <c r="L1243" s="16">
        <v>2.8599408309094701E-2</v>
      </c>
      <c r="M1243" s="16">
        <v>-0.11819728686617501</v>
      </c>
      <c r="N1243" s="16">
        <v>110</v>
      </c>
      <c r="O1243" s="16">
        <v>0.90612690675887597</v>
      </c>
      <c r="P1243" s="16"/>
      <c r="Q1243" s="16"/>
      <c r="R1243" s="16"/>
      <c r="S1243" s="16"/>
      <c r="T1243" s="16"/>
      <c r="U1243" s="16"/>
      <c r="V1243" s="16"/>
      <c r="W1243" s="16"/>
      <c r="X1243" s="16"/>
      <c r="Y1243" s="16"/>
      <c r="Z1243" s="16"/>
      <c r="AA1243" s="16"/>
      <c r="AB1243" s="16"/>
      <c r="AC1243" s="16"/>
      <c r="AD1243" s="16"/>
      <c r="AE1243" s="16"/>
      <c r="AF1243" s="16"/>
      <c r="AG1243" s="16"/>
      <c r="AH1243" s="16" t="s">
        <v>402</v>
      </c>
      <c r="AI1243" s="16"/>
      <c r="AJ1243" s="16" t="s">
        <v>1790</v>
      </c>
    </row>
    <row r="1244" spans="1:36" ht="15" customHeight="1" x14ac:dyDescent="0.3">
      <c r="A1244" s="16" t="s">
        <v>273</v>
      </c>
      <c r="B1244" s="16" t="s">
        <v>599</v>
      </c>
      <c r="C1244" s="16" t="s">
        <v>1705</v>
      </c>
      <c r="D1244" s="16" t="s">
        <v>324</v>
      </c>
      <c r="E1244" s="16" t="s">
        <v>404</v>
      </c>
      <c r="F1244" s="16" t="s">
        <v>790</v>
      </c>
      <c r="G1244" s="16">
        <v>0.8</v>
      </c>
      <c r="H1244" s="16">
        <v>2705</v>
      </c>
      <c r="I1244" s="16">
        <v>113</v>
      </c>
      <c r="J1244" s="16">
        <v>112</v>
      </c>
      <c r="K1244" s="16">
        <v>-2.06046811834969E-4</v>
      </c>
      <c r="L1244" s="16">
        <v>3.0416133351825199E-2</v>
      </c>
      <c r="M1244" s="16">
        <v>-6.7742605363940696E-3</v>
      </c>
      <c r="N1244" s="16">
        <v>110</v>
      </c>
      <c r="O1244" s="16">
        <v>0.994607233878673</v>
      </c>
      <c r="P1244" s="16"/>
      <c r="Q1244" s="16"/>
      <c r="R1244" s="16"/>
      <c r="S1244" s="16"/>
      <c r="T1244" s="16"/>
      <c r="U1244" s="16"/>
      <c r="V1244" s="16"/>
      <c r="W1244" s="16"/>
      <c r="X1244" s="16"/>
      <c r="Y1244" s="16"/>
      <c r="Z1244" s="16"/>
      <c r="AA1244" s="16"/>
      <c r="AB1244" s="16"/>
      <c r="AC1244" s="16"/>
      <c r="AD1244" s="16"/>
      <c r="AE1244" s="16"/>
      <c r="AF1244" s="16"/>
      <c r="AG1244" s="16"/>
      <c r="AH1244" s="16" t="s">
        <v>402</v>
      </c>
      <c r="AI1244" s="16"/>
      <c r="AJ1244" s="16" t="s">
        <v>1791</v>
      </c>
    </row>
    <row r="1245" spans="1:36" ht="15" customHeight="1" x14ac:dyDescent="0.3">
      <c r="A1245" s="16" t="s">
        <v>273</v>
      </c>
      <c r="B1245" s="16" t="s">
        <v>601</v>
      </c>
      <c r="C1245" s="16" t="s">
        <v>1705</v>
      </c>
      <c r="D1245" s="16" t="s">
        <v>324</v>
      </c>
      <c r="E1245" s="16" t="s">
        <v>404</v>
      </c>
      <c r="F1245" s="16" t="s">
        <v>790</v>
      </c>
      <c r="G1245" s="16">
        <v>0.8</v>
      </c>
      <c r="H1245" s="16">
        <v>2705</v>
      </c>
      <c r="I1245" s="16">
        <v>113</v>
      </c>
      <c r="J1245" s="16">
        <v>112</v>
      </c>
      <c r="K1245" s="16">
        <v>-2.01756746217421E-2</v>
      </c>
      <c r="L1245" s="16">
        <v>2.0384397800812401E-2</v>
      </c>
      <c r="M1245" s="16">
        <v>-0.98976064041185496</v>
      </c>
      <c r="N1245" s="16">
        <v>111</v>
      </c>
      <c r="O1245" s="16">
        <v>0.32444377689846499</v>
      </c>
      <c r="P1245" s="16"/>
      <c r="Q1245" s="16"/>
      <c r="R1245" s="16"/>
      <c r="S1245" s="16"/>
      <c r="T1245" s="16"/>
      <c r="U1245" s="16"/>
      <c r="V1245" s="16"/>
      <c r="W1245" s="16"/>
      <c r="X1245" s="16"/>
      <c r="Y1245" s="16"/>
      <c r="Z1245" s="16"/>
      <c r="AA1245" s="16"/>
      <c r="AB1245" s="16"/>
      <c r="AC1245" s="16"/>
      <c r="AD1245" s="16"/>
      <c r="AE1245" s="16"/>
      <c r="AF1245" s="16"/>
      <c r="AG1245" s="16"/>
      <c r="AH1245" s="16" t="s">
        <v>402</v>
      </c>
      <c r="AI1245" s="16"/>
      <c r="AJ1245" s="16" t="s">
        <v>1792</v>
      </c>
    </row>
    <row r="1246" spans="1:36" ht="15" customHeight="1" x14ac:dyDescent="0.3">
      <c r="A1246" s="16" t="s">
        <v>273</v>
      </c>
      <c r="B1246" s="16" t="s">
        <v>603</v>
      </c>
      <c r="C1246" s="16" t="s">
        <v>1705</v>
      </c>
      <c r="D1246" s="16" t="s">
        <v>324</v>
      </c>
      <c r="E1246" s="16" t="s">
        <v>404</v>
      </c>
      <c r="F1246" s="16" t="s">
        <v>790</v>
      </c>
      <c r="G1246" s="16">
        <v>0.8</v>
      </c>
      <c r="H1246" s="16">
        <v>2705</v>
      </c>
      <c r="I1246" s="16">
        <v>113</v>
      </c>
      <c r="J1246" s="16">
        <v>112</v>
      </c>
      <c r="K1246" s="16">
        <v>-1.23284306268948E-2</v>
      </c>
      <c r="L1246" s="16">
        <v>1.9501600893188201E-2</v>
      </c>
      <c r="M1246" s="16">
        <v>-0.63217531188432297</v>
      </c>
      <c r="N1246" s="16">
        <v>111</v>
      </c>
      <c r="O1246" s="16">
        <v>0.52857230654481302</v>
      </c>
      <c r="P1246" s="16"/>
      <c r="Q1246" s="16"/>
      <c r="R1246" s="16"/>
      <c r="S1246" s="16"/>
      <c r="T1246" s="16"/>
      <c r="U1246" s="16"/>
      <c r="V1246" s="16"/>
      <c r="W1246" s="16"/>
      <c r="X1246" s="16"/>
      <c r="Y1246" s="16"/>
      <c r="Z1246" s="16"/>
      <c r="AA1246" s="16"/>
      <c r="AB1246" s="16"/>
      <c r="AC1246" s="16"/>
      <c r="AD1246" s="16"/>
      <c r="AE1246" s="16"/>
      <c r="AF1246" s="16"/>
      <c r="AG1246" s="16"/>
      <c r="AH1246" s="16" t="s">
        <v>402</v>
      </c>
      <c r="AI1246" s="16"/>
      <c r="AJ1246" s="16" t="s">
        <v>1793</v>
      </c>
    </row>
    <row r="1247" spans="1:36" ht="15" customHeight="1" x14ac:dyDescent="0.3">
      <c r="A1247" s="16" t="s">
        <v>273</v>
      </c>
      <c r="B1247" s="16" t="s">
        <v>605</v>
      </c>
      <c r="C1247" s="16" t="s">
        <v>1705</v>
      </c>
      <c r="D1247" s="16" t="s">
        <v>324</v>
      </c>
      <c r="E1247" s="16" t="s">
        <v>404</v>
      </c>
      <c r="F1247" s="16" t="s">
        <v>790</v>
      </c>
      <c r="G1247" s="16">
        <v>0.8</v>
      </c>
      <c r="H1247" s="16">
        <v>2705</v>
      </c>
      <c r="I1247" s="16">
        <v>113</v>
      </c>
      <c r="J1247" s="16">
        <v>112</v>
      </c>
      <c r="K1247" s="16">
        <v>-9.4005226648486602E-3</v>
      </c>
      <c r="L1247" s="16">
        <v>1.9425788808797102E-2</v>
      </c>
      <c r="M1247" s="16">
        <v>-0.483919739752939</v>
      </c>
      <c r="N1247" s="16">
        <v>111</v>
      </c>
      <c r="O1247" s="16">
        <v>0.62939618782176798</v>
      </c>
      <c r="P1247" s="16"/>
      <c r="Q1247" s="16"/>
      <c r="R1247" s="16"/>
      <c r="S1247" s="16"/>
      <c r="T1247" s="16"/>
      <c r="U1247" s="16"/>
      <c r="V1247" s="16"/>
      <c r="W1247" s="16"/>
      <c r="X1247" s="16"/>
      <c r="Y1247" s="16"/>
      <c r="Z1247" s="16"/>
      <c r="AA1247" s="16"/>
      <c r="AB1247" s="16"/>
      <c r="AC1247" s="16"/>
      <c r="AD1247" s="16"/>
      <c r="AE1247" s="16"/>
      <c r="AF1247" s="16"/>
      <c r="AG1247" s="16"/>
      <c r="AH1247" s="16" t="s">
        <v>402</v>
      </c>
      <c r="AI1247" s="16"/>
      <c r="AJ1247" s="16" t="s">
        <v>1794</v>
      </c>
    </row>
    <row r="1248" spans="1:36" ht="15" customHeight="1" x14ac:dyDescent="0.3">
      <c r="A1248" s="16" t="s">
        <v>273</v>
      </c>
      <c r="B1248" s="16" t="s">
        <v>607</v>
      </c>
      <c r="C1248" s="16" t="s">
        <v>1705</v>
      </c>
      <c r="D1248" s="16" t="s">
        <v>324</v>
      </c>
      <c r="E1248" s="16" t="s">
        <v>404</v>
      </c>
      <c r="F1248" s="16" t="s">
        <v>790</v>
      </c>
      <c r="G1248" s="16">
        <v>0.8</v>
      </c>
      <c r="H1248" s="16">
        <v>929</v>
      </c>
      <c r="I1248" s="16">
        <v>40</v>
      </c>
      <c r="J1248" s="16">
        <v>40</v>
      </c>
      <c r="K1248" s="16">
        <v>-2.7120221221756498E-2</v>
      </c>
      <c r="L1248" s="16">
        <v>3.1959083997925603E-2</v>
      </c>
      <c r="M1248" s="16">
        <v>-0.84859194410943894</v>
      </c>
      <c r="N1248" s="16">
        <v>38</v>
      </c>
      <c r="O1248" s="16">
        <v>0.40142250912576899</v>
      </c>
      <c r="P1248" s="16"/>
      <c r="Q1248" s="16"/>
      <c r="R1248" s="16"/>
      <c r="S1248" s="16"/>
      <c r="T1248" s="16"/>
      <c r="U1248" s="16"/>
      <c r="V1248" s="16"/>
      <c r="W1248" s="16"/>
      <c r="X1248" s="16"/>
      <c r="Y1248" s="16"/>
      <c r="Z1248" s="16"/>
      <c r="AA1248" s="16"/>
      <c r="AB1248" s="16"/>
      <c r="AC1248" s="16"/>
      <c r="AD1248" s="16"/>
      <c r="AE1248" s="16"/>
      <c r="AF1248" s="16"/>
      <c r="AG1248" s="16"/>
      <c r="AH1248" s="16" t="s">
        <v>402</v>
      </c>
      <c r="AI1248" s="16"/>
      <c r="AJ1248" s="16" t="s">
        <v>1795</v>
      </c>
    </row>
    <row r="1249" spans="1:36" ht="15" customHeight="1" x14ac:dyDescent="0.3">
      <c r="A1249" s="16" t="s">
        <v>273</v>
      </c>
      <c r="B1249" s="16" t="s">
        <v>609</v>
      </c>
      <c r="C1249" s="16" t="s">
        <v>1705</v>
      </c>
      <c r="D1249" s="16" t="s">
        <v>324</v>
      </c>
      <c r="E1249" s="16" t="s">
        <v>404</v>
      </c>
      <c r="F1249" s="16" t="s">
        <v>790</v>
      </c>
      <c r="G1249" s="16">
        <v>0.8</v>
      </c>
      <c r="H1249" s="16">
        <v>2607</v>
      </c>
      <c r="I1249" s="16">
        <v>110</v>
      </c>
      <c r="J1249" s="16">
        <v>109</v>
      </c>
      <c r="K1249" s="16">
        <v>2.22006034603753E-2</v>
      </c>
      <c r="L1249" s="16">
        <v>7.2326306497079898E-2</v>
      </c>
      <c r="M1249" s="16">
        <v>0.30695060394479801</v>
      </c>
      <c r="N1249" s="16">
        <v>108</v>
      </c>
      <c r="O1249" s="16">
        <v>0.75947201931410702</v>
      </c>
      <c r="P1249" s="16"/>
      <c r="Q1249" s="16"/>
      <c r="R1249" s="16"/>
      <c r="S1249" s="16"/>
      <c r="T1249" s="16"/>
      <c r="U1249" s="16"/>
      <c r="V1249" s="16"/>
      <c r="W1249" s="16"/>
      <c r="X1249" s="16"/>
      <c r="Y1249" s="16"/>
      <c r="Z1249" s="16"/>
      <c r="AA1249" s="16"/>
      <c r="AB1249" s="16"/>
      <c r="AC1249" s="16"/>
      <c r="AD1249" s="16"/>
      <c r="AE1249" s="16"/>
      <c r="AF1249" s="16"/>
      <c r="AG1249" s="16"/>
      <c r="AH1249" s="16" t="s">
        <v>402</v>
      </c>
      <c r="AI1249" s="16"/>
      <c r="AJ1249" s="16" t="s">
        <v>1796</v>
      </c>
    </row>
    <row r="1250" spans="1:36" ht="15" customHeight="1" x14ac:dyDescent="0.3">
      <c r="A1250" s="16" t="s">
        <v>273</v>
      </c>
      <c r="B1250" s="16" t="s">
        <v>611</v>
      </c>
      <c r="C1250" s="16" t="s">
        <v>1705</v>
      </c>
      <c r="D1250" s="16" t="s">
        <v>324</v>
      </c>
      <c r="E1250" s="16" t="s">
        <v>404</v>
      </c>
      <c r="F1250" s="16" t="s">
        <v>790</v>
      </c>
      <c r="G1250" s="16">
        <v>0.8</v>
      </c>
      <c r="H1250" s="16">
        <v>2607</v>
      </c>
      <c r="I1250" s="16">
        <v>110</v>
      </c>
      <c r="J1250" s="16">
        <v>109</v>
      </c>
      <c r="K1250" s="16">
        <v>3.30783904572041E-3</v>
      </c>
      <c r="L1250" s="16">
        <v>7.6626258894058399E-2</v>
      </c>
      <c r="M1250" s="16">
        <v>4.3168478971337403E-2</v>
      </c>
      <c r="N1250" s="16">
        <v>108</v>
      </c>
      <c r="O1250" s="16">
        <v>0.96564694266967999</v>
      </c>
      <c r="P1250" s="16"/>
      <c r="Q1250" s="16"/>
      <c r="R1250" s="16"/>
      <c r="S1250" s="16"/>
      <c r="T1250" s="16"/>
      <c r="U1250" s="16"/>
      <c r="V1250" s="16"/>
      <c r="W1250" s="16"/>
      <c r="X1250" s="16"/>
      <c r="Y1250" s="16"/>
      <c r="Z1250" s="16"/>
      <c r="AA1250" s="16"/>
      <c r="AB1250" s="16"/>
      <c r="AC1250" s="16"/>
      <c r="AD1250" s="16"/>
      <c r="AE1250" s="16"/>
      <c r="AF1250" s="16"/>
      <c r="AG1250" s="16"/>
      <c r="AH1250" s="16" t="s">
        <v>402</v>
      </c>
      <c r="AI1250" s="16"/>
      <c r="AJ1250" s="16" t="s">
        <v>1797</v>
      </c>
    </row>
    <row r="1251" spans="1:36" ht="15" customHeight="1" x14ac:dyDescent="0.3">
      <c r="A1251" s="16" t="s">
        <v>273</v>
      </c>
      <c r="B1251" s="16" t="s">
        <v>613</v>
      </c>
      <c r="C1251" s="16" t="s">
        <v>1705</v>
      </c>
      <c r="D1251" s="16" t="s">
        <v>324</v>
      </c>
      <c r="E1251" s="16" t="s">
        <v>404</v>
      </c>
      <c r="F1251" s="16" t="s">
        <v>790</v>
      </c>
      <c r="G1251" s="16">
        <v>0.8</v>
      </c>
      <c r="H1251" s="16">
        <v>2607</v>
      </c>
      <c r="I1251" s="16">
        <v>110</v>
      </c>
      <c r="J1251" s="16">
        <v>109</v>
      </c>
      <c r="K1251" s="16">
        <v>-6.1837031392886203E-2</v>
      </c>
      <c r="L1251" s="16">
        <v>7.8128866316309997E-2</v>
      </c>
      <c r="M1251" s="16">
        <v>-0.791474832650647</v>
      </c>
      <c r="N1251" s="16">
        <v>107</v>
      </c>
      <c r="O1251" s="16">
        <v>0.43041797587377401</v>
      </c>
      <c r="P1251" s="16"/>
      <c r="Q1251" s="16"/>
      <c r="R1251" s="16"/>
      <c r="S1251" s="16"/>
      <c r="T1251" s="16"/>
      <c r="U1251" s="16"/>
      <c r="V1251" s="16"/>
      <c r="W1251" s="16"/>
      <c r="X1251" s="16"/>
      <c r="Y1251" s="16"/>
      <c r="Z1251" s="16"/>
      <c r="AA1251" s="16"/>
      <c r="AB1251" s="16"/>
      <c r="AC1251" s="16"/>
      <c r="AD1251" s="16"/>
      <c r="AE1251" s="16"/>
      <c r="AF1251" s="16"/>
      <c r="AG1251" s="16"/>
      <c r="AH1251" s="16" t="s">
        <v>402</v>
      </c>
      <c r="AI1251" s="16"/>
      <c r="AJ1251" s="16" t="s">
        <v>1798</v>
      </c>
    </row>
    <row r="1252" spans="1:36" ht="15" customHeight="1" x14ac:dyDescent="0.3">
      <c r="A1252" s="16" t="s">
        <v>273</v>
      </c>
      <c r="B1252" s="16" t="s">
        <v>615</v>
      </c>
      <c r="C1252" s="16" t="s">
        <v>1705</v>
      </c>
      <c r="D1252" s="16" t="s">
        <v>324</v>
      </c>
      <c r="E1252" s="16" t="s">
        <v>404</v>
      </c>
      <c r="F1252" s="16" t="s">
        <v>790</v>
      </c>
      <c r="G1252" s="16">
        <v>0.8</v>
      </c>
      <c r="H1252" s="16">
        <v>2607</v>
      </c>
      <c r="I1252" s="16">
        <v>110</v>
      </c>
      <c r="J1252" s="16">
        <v>109</v>
      </c>
      <c r="K1252" s="16">
        <v>-1.6763401727426801E-3</v>
      </c>
      <c r="L1252" s="16">
        <v>8.00568978192185E-2</v>
      </c>
      <c r="M1252" s="16">
        <v>-2.0939359610562602E-2</v>
      </c>
      <c r="N1252" s="16">
        <v>108</v>
      </c>
      <c r="O1252" s="16">
        <v>0.98333266629964999</v>
      </c>
      <c r="P1252" s="16"/>
      <c r="Q1252" s="16"/>
      <c r="R1252" s="16"/>
      <c r="S1252" s="16"/>
      <c r="T1252" s="16"/>
      <c r="U1252" s="16"/>
      <c r="V1252" s="16"/>
      <c r="W1252" s="16"/>
      <c r="X1252" s="16"/>
      <c r="Y1252" s="16"/>
      <c r="Z1252" s="16"/>
      <c r="AA1252" s="16"/>
      <c r="AB1252" s="16"/>
      <c r="AC1252" s="16"/>
      <c r="AD1252" s="16"/>
      <c r="AE1252" s="16"/>
      <c r="AF1252" s="16"/>
      <c r="AG1252" s="16"/>
      <c r="AH1252" s="16" t="s">
        <v>402</v>
      </c>
      <c r="AI1252" s="16"/>
      <c r="AJ1252" s="16" t="s">
        <v>1799</v>
      </c>
    </row>
    <row r="1253" spans="1:36" ht="15" customHeight="1" x14ac:dyDescent="0.3">
      <c r="A1253" s="16" t="s">
        <v>273</v>
      </c>
      <c r="B1253" s="16" t="s">
        <v>617</v>
      </c>
      <c r="C1253" s="16" t="s">
        <v>1705</v>
      </c>
      <c r="D1253" s="16" t="s">
        <v>324</v>
      </c>
      <c r="E1253" s="16" t="s">
        <v>404</v>
      </c>
      <c r="F1253" s="16" t="s">
        <v>790</v>
      </c>
      <c r="G1253" s="16">
        <v>0.8</v>
      </c>
      <c r="H1253" s="16">
        <v>2607</v>
      </c>
      <c r="I1253" s="16">
        <v>110</v>
      </c>
      <c r="J1253" s="16">
        <v>109</v>
      </c>
      <c r="K1253" s="16">
        <v>3.1449986215835203E-2</v>
      </c>
      <c r="L1253" s="16">
        <v>9.5296288536445603E-2</v>
      </c>
      <c r="M1253" s="16">
        <v>0.33002320131079699</v>
      </c>
      <c r="N1253" s="16">
        <v>107</v>
      </c>
      <c r="O1253" s="16">
        <v>0.74202768429312105</v>
      </c>
      <c r="P1253" s="16"/>
      <c r="Q1253" s="16"/>
      <c r="R1253" s="16"/>
      <c r="S1253" s="16"/>
      <c r="T1253" s="16"/>
      <c r="U1253" s="16"/>
      <c r="V1253" s="16"/>
      <c r="W1253" s="16"/>
      <c r="X1253" s="16"/>
      <c r="Y1253" s="16"/>
      <c r="Z1253" s="16"/>
      <c r="AA1253" s="16"/>
      <c r="AB1253" s="16"/>
      <c r="AC1253" s="16"/>
      <c r="AD1253" s="16"/>
      <c r="AE1253" s="16"/>
      <c r="AF1253" s="16"/>
      <c r="AG1253" s="16"/>
      <c r="AH1253" s="16" t="s">
        <v>402</v>
      </c>
      <c r="AI1253" s="16"/>
      <c r="AJ1253" s="16" t="s">
        <v>1800</v>
      </c>
    </row>
    <row r="1254" spans="1:36" ht="15" customHeight="1" x14ac:dyDescent="0.3">
      <c r="A1254" s="16" t="s">
        <v>273</v>
      </c>
      <c r="B1254" s="16" t="s">
        <v>619</v>
      </c>
      <c r="C1254" s="16" t="s">
        <v>1705</v>
      </c>
      <c r="D1254" s="16" t="s">
        <v>324</v>
      </c>
      <c r="E1254" s="16" t="s">
        <v>404</v>
      </c>
      <c r="F1254" s="16" t="s">
        <v>790</v>
      </c>
      <c r="G1254" s="16">
        <v>0.8</v>
      </c>
      <c r="H1254" s="16">
        <v>2607</v>
      </c>
      <c r="I1254" s="16">
        <v>110</v>
      </c>
      <c r="J1254" s="16">
        <v>109</v>
      </c>
      <c r="K1254" s="16">
        <v>3.4993997861733801E-2</v>
      </c>
      <c r="L1254" s="16">
        <v>0.10128829902799701</v>
      </c>
      <c r="M1254" s="16">
        <v>0.34548904658830398</v>
      </c>
      <c r="N1254" s="16">
        <v>107</v>
      </c>
      <c r="O1254" s="16">
        <v>0.73040503857115702</v>
      </c>
      <c r="P1254" s="16"/>
      <c r="Q1254" s="16"/>
      <c r="R1254" s="16"/>
      <c r="S1254" s="16"/>
      <c r="T1254" s="16"/>
      <c r="U1254" s="16"/>
      <c r="V1254" s="16"/>
      <c r="W1254" s="16"/>
      <c r="X1254" s="16"/>
      <c r="Y1254" s="16"/>
      <c r="Z1254" s="16"/>
      <c r="AA1254" s="16"/>
      <c r="AB1254" s="16"/>
      <c r="AC1254" s="16"/>
      <c r="AD1254" s="16"/>
      <c r="AE1254" s="16"/>
      <c r="AF1254" s="16"/>
      <c r="AG1254" s="16"/>
      <c r="AH1254" s="16" t="s">
        <v>402</v>
      </c>
      <c r="AI1254" s="16"/>
      <c r="AJ1254" s="16" t="s">
        <v>1801</v>
      </c>
    </row>
    <row r="1255" spans="1:36" ht="15" customHeight="1" x14ac:dyDescent="0.3">
      <c r="A1255" s="16" t="s">
        <v>273</v>
      </c>
      <c r="B1255" s="16" t="s">
        <v>621</v>
      </c>
      <c r="C1255" s="16" t="s">
        <v>1705</v>
      </c>
      <c r="D1255" s="16" t="s">
        <v>324</v>
      </c>
      <c r="E1255" s="16" t="s">
        <v>404</v>
      </c>
      <c r="F1255" s="16" t="s">
        <v>790</v>
      </c>
      <c r="G1255" s="16">
        <v>0.8</v>
      </c>
      <c r="H1255" s="16">
        <v>2607</v>
      </c>
      <c r="I1255" s="16">
        <v>110</v>
      </c>
      <c r="J1255" s="16">
        <v>109</v>
      </c>
      <c r="K1255" s="16">
        <v>-7.4630382179657104E-2</v>
      </c>
      <c r="L1255" s="16">
        <v>6.8637816863067996E-2</v>
      </c>
      <c r="M1255" s="16">
        <v>-1.08730705011414</v>
      </c>
      <c r="N1255" s="16">
        <v>108</v>
      </c>
      <c r="O1255" s="16">
        <v>0.27932179373086102</v>
      </c>
      <c r="P1255" s="16"/>
      <c r="Q1255" s="16"/>
      <c r="R1255" s="16"/>
      <c r="S1255" s="16"/>
      <c r="T1255" s="16"/>
      <c r="U1255" s="16"/>
      <c r="V1255" s="16"/>
      <c r="W1255" s="16"/>
      <c r="X1255" s="16"/>
      <c r="Y1255" s="16"/>
      <c r="Z1255" s="16"/>
      <c r="AA1255" s="16"/>
      <c r="AB1255" s="16"/>
      <c r="AC1255" s="16"/>
      <c r="AD1255" s="16"/>
      <c r="AE1255" s="16"/>
      <c r="AF1255" s="16"/>
      <c r="AG1255" s="16"/>
      <c r="AH1255" s="16" t="s">
        <v>402</v>
      </c>
      <c r="AI1255" s="16"/>
      <c r="AJ1255" s="16" t="s">
        <v>1802</v>
      </c>
    </row>
    <row r="1256" spans="1:36" ht="15" customHeight="1" x14ac:dyDescent="0.3">
      <c r="A1256" s="16" t="s">
        <v>273</v>
      </c>
      <c r="B1256" s="16" t="s">
        <v>623</v>
      </c>
      <c r="C1256" s="16" t="s">
        <v>1705</v>
      </c>
      <c r="D1256" s="16" t="s">
        <v>324</v>
      </c>
      <c r="E1256" s="16" t="s">
        <v>404</v>
      </c>
      <c r="F1256" s="16" t="s">
        <v>790</v>
      </c>
      <c r="G1256" s="16">
        <v>0.8</v>
      </c>
      <c r="H1256" s="16">
        <v>2607</v>
      </c>
      <c r="I1256" s="16">
        <v>110</v>
      </c>
      <c r="J1256" s="16">
        <v>109</v>
      </c>
      <c r="K1256" s="16">
        <v>3.7161747489751602E-2</v>
      </c>
      <c r="L1256" s="16">
        <v>6.5606635306409006E-2</v>
      </c>
      <c r="M1256" s="16">
        <v>0.566432759677303</v>
      </c>
      <c r="N1256" s="16">
        <v>108</v>
      </c>
      <c r="O1256" s="16">
        <v>0.57227484776144599</v>
      </c>
      <c r="P1256" s="16"/>
      <c r="Q1256" s="16"/>
      <c r="R1256" s="16"/>
      <c r="S1256" s="16"/>
      <c r="T1256" s="16"/>
      <c r="U1256" s="16"/>
      <c r="V1256" s="16"/>
      <c r="W1256" s="16"/>
      <c r="X1256" s="16"/>
      <c r="Y1256" s="16"/>
      <c r="Z1256" s="16"/>
      <c r="AA1256" s="16"/>
      <c r="AB1256" s="16"/>
      <c r="AC1256" s="16"/>
      <c r="AD1256" s="16"/>
      <c r="AE1256" s="16"/>
      <c r="AF1256" s="16"/>
      <c r="AG1256" s="16"/>
      <c r="AH1256" s="16" t="s">
        <v>402</v>
      </c>
      <c r="AI1256" s="16"/>
      <c r="AJ1256" s="16" t="s">
        <v>1803</v>
      </c>
    </row>
    <row r="1257" spans="1:36" ht="15" customHeight="1" x14ac:dyDescent="0.3">
      <c r="A1257" s="16" t="s">
        <v>273</v>
      </c>
      <c r="B1257" s="16" t="s">
        <v>625</v>
      </c>
      <c r="C1257" s="16" t="s">
        <v>1705</v>
      </c>
      <c r="D1257" s="16" t="s">
        <v>324</v>
      </c>
      <c r="E1257" s="16" t="s">
        <v>404</v>
      </c>
      <c r="F1257" s="16" t="s">
        <v>790</v>
      </c>
      <c r="G1257" s="16">
        <v>0.8</v>
      </c>
      <c r="H1257" s="16">
        <v>2607</v>
      </c>
      <c r="I1257" s="16">
        <v>110</v>
      </c>
      <c r="J1257" s="16">
        <v>109</v>
      </c>
      <c r="K1257" s="16">
        <v>2.7732287131248801E-2</v>
      </c>
      <c r="L1257" s="16">
        <v>6.5457926664783894E-2</v>
      </c>
      <c r="M1257" s="16">
        <v>0.42366583459431001</v>
      </c>
      <c r="N1257" s="16">
        <v>108</v>
      </c>
      <c r="O1257" s="16">
        <v>0.67265211299290195</v>
      </c>
      <c r="P1257" s="16"/>
      <c r="Q1257" s="16"/>
      <c r="R1257" s="16"/>
      <c r="S1257" s="16"/>
      <c r="T1257" s="16"/>
      <c r="U1257" s="16"/>
      <c r="V1257" s="16"/>
      <c r="W1257" s="16"/>
      <c r="X1257" s="16"/>
      <c r="Y1257" s="16"/>
      <c r="Z1257" s="16"/>
      <c r="AA1257" s="16"/>
      <c r="AB1257" s="16"/>
      <c r="AC1257" s="16"/>
      <c r="AD1257" s="16"/>
      <c r="AE1257" s="16"/>
      <c r="AF1257" s="16"/>
      <c r="AG1257" s="16"/>
      <c r="AH1257" s="16" t="s">
        <v>402</v>
      </c>
      <c r="AI1257" s="16"/>
      <c r="AJ1257" s="16" t="s">
        <v>1804</v>
      </c>
    </row>
    <row r="1258" spans="1:36" ht="15" customHeight="1" x14ac:dyDescent="0.3">
      <c r="A1258" s="16" t="s">
        <v>273</v>
      </c>
      <c r="B1258" s="16" t="s">
        <v>627</v>
      </c>
      <c r="C1258" s="16" t="s">
        <v>1705</v>
      </c>
      <c r="D1258" s="16" t="s">
        <v>324</v>
      </c>
      <c r="E1258" s="16" t="s">
        <v>404</v>
      </c>
      <c r="F1258" s="16" t="s">
        <v>790</v>
      </c>
      <c r="G1258" s="16">
        <v>0.8</v>
      </c>
      <c r="H1258" s="16">
        <v>905</v>
      </c>
      <c r="I1258" s="16">
        <v>38</v>
      </c>
      <c r="J1258" s="16">
        <v>38</v>
      </c>
      <c r="K1258" s="16">
        <v>-3.3991099711710798E-2</v>
      </c>
      <c r="L1258" s="16">
        <v>3.9493851217689203E-2</v>
      </c>
      <c r="M1258" s="16">
        <v>-0.86066814614641296</v>
      </c>
      <c r="N1258" s="16">
        <v>36</v>
      </c>
      <c r="O1258" s="16">
        <v>0.39511689598266803</v>
      </c>
      <c r="P1258" s="16"/>
      <c r="Q1258" s="16"/>
      <c r="R1258" s="16"/>
      <c r="S1258" s="16"/>
      <c r="T1258" s="16"/>
      <c r="U1258" s="16"/>
      <c r="V1258" s="16"/>
      <c r="W1258" s="16"/>
      <c r="X1258" s="16"/>
      <c r="Y1258" s="16"/>
      <c r="Z1258" s="16"/>
      <c r="AA1258" s="16"/>
      <c r="AB1258" s="16"/>
      <c r="AC1258" s="16"/>
      <c r="AD1258" s="16"/>
      <c r="AE1258" s="16"/>
      <c r="AF1258" s="16"/>
      <c r="AG1258" s="16"/>
      <c r="AH1258" s="16" t="s">
        <v>402</v>
      </c>
      <c r="AI1258" s="16"/>
      <c r="AJ1258" s="16" t="s">
        <v>1805</v>
      </c>
    </row>
    <row r="1259" spans="1:36" ht="15" customHeight="1" x14ac:dyDescent="0.3">
      <c r="A1259" s="16" t="s">
        <v>273</v>
      </c>
      <c r="B1259" s="16" t="s">
        <v>629</v>
      </c>
      <c r="C1259" s="16" t="s">
        <v>1705</v>
      </c>
      <c r="D1259" s="16" t="s">
        <v>324</v>
      </c>
      <c r="E1259" s="16" t="s">
        <v>404</v>
      </c>
      <c r="F1259" s="16" t="s">
        <v>790</v>
      </c>
      <c r="G1259" s="16">
        <v>0.8</v>
      </c>
      <c r="H1259" s="16">
        <v>2594</v>
      </c>
      <c r="I1259" s="16">
        <v>110</v>
      </c>
      <c r="J1259" s="16">
        <v>109</v>
      </c>
      <c r="K1259" s="16">
        <v>-2.26196483375809E-2</v>
      </c>
      <c r="L1259" s="16">
        <v>2.3651970064960101E-2</v>
      </c>
      <c r="M1259" s="16">
        <v>-0.95635366844520997</v>
      </c>
      <c r="N1259" s="16">
        <v>108</v>
      </c>
      <c r="O1259" s="16">
        <v>0.34102944460447598</v>
      </c>
      <c r="P1259" s="16"/>
      <c r="Q1259" s="16"/>
      <c r="R1259" s="16"/>
      <c r="S1259" s="16"/>
      <c r="T1259" s="16"/>
      <c r="U1259" s="16"/>
      <c r="V1259" s="16"/>
      <c r="W1259" s="16"/>
      <c r="X1259" s="16"/>
      <c r="Y1259" s="16"/>
      <c r="Z1259" s="16"/>
      <c r="AA1259" s="16"/>
      <c r="AB1259" s="16"/>
      <c r="AC1259" s="16"/>
      <c r="AD1259" s="16"/>
      <c r="AE1259" s="16"/>
      <c r="AF1259" s="16"/>
      <c r="AG1259" s="16"/>
      <c r="AH1259" s="16" t="s">
        <v>402</v>
      </c>
      <c r="AI1259" s="16"/>
      <c r="AJ1259" s="16" t="s">
        <v>1806</v>
      </c>
    </row>
    <row r="1260" spans="1:36" ht="15" customHeight="1" x14ac:dyDescent="0.3">
      <c r="A1260" s="16" t="s">
        <v>273</v>
      </c>
      <c r="B1260" s="16" t="s">
        <v>631</v>
      </c>
      <c r="C1260" s="16" t="s">
        <v>1705</v>
      </c>
      <c r="D1260" s="16" t="s">
        <v>324</v>
      </c>
      <c r="E1260" s="16" t="s">
        <v>404</v>
      </c>
      <c r="F1260" s="16" t="s">
        <v>790</v>
      </c>
      <c r="G1260" s="16">
        <v>0.8</v>
      </c>
      <c r="H1260" s="16">
        <v>2594</v>
      </c>
      <c r="I1260" s="16">
        <v>110</v>
      </c>
      <c r="J1260" s="16">
        <v>109</v>
      </c>
      <c r="K1260" s="16">
        <v>-3.9307737731578397E-2</v>
      </c>
      <c r="L1260" s="16">
        <v>2.4882021234973999E-2</v>
      </c>
      <c r="M1260" s="16">
        <v>-1.57976465659179</v>
      </c>
      <c r="N1260" s="16">
        <v>108</v>
      </c>
      <c r="O1260" s="16">
        <v>0.117085227477119</v>
      </c>
      <c r="P1260" s="16"/>
      <c r="Q1260" s="16"/>
      <c r="R1260" s="16"/>
      <c r="S1260" s="16"/>
      <c r="T1260" s="16"/>
      <c r="U1260" s="16"/>
      <c r="V1260" s="16"/>
      <c r="W1260" s="16"/>
      <c r="X1260" s="16"/>
      <c r="Y1260" s="16"/>
      <c r="Z1260" s="16"/>
      <c r="AA1260" s="16"/>
      <c r="AB1260" s="16"/>
      <c r="AC1260" s="16"/>
      <c r="AD1260" s="16"/>
      <c r="AE1260" s="16"/>
      <c r="AF1260" s="16"/>
      <c r="AG1260" s="16"/>
      <c r="AH1260" s="16" t="s">
        <v>402</v>
      </c>
      <c r="AI1260" s="16"/>
      <c r="AJ1260" s="16" t="s">
        <v>1807</v>
      </c>
    </row>
    <row r="1261" spans="1:36" ht="15" customHeight="1" x14ac:dyDescent="0.3">
      <c r="A1261" s="16" t="s">
        <v>273</v>
      </c>
      <c r="B1261" s="16" t="s">
        <v>633</v>
      </c>
      <c r="C1261" s="16" t="s">
        <v>1705</v>
      </c>
      <c r="D1261" s="16" t="s">
        <v>324</v>
      </c>
      <c r="E1261" s="16" t="s">
        <v>404</v>
      </c>
      <c r="F1261" s="16" t="s">
        <v>790</v>
      </c>
      <c r="G1261" s="16">
        <v>0.8</v>
      </c>
      <c r="H1261" s="16">
        <v>2594</v>
      </c>
      <c r="I1261" s="16">
        <v>110</v>
      </c>
      <c r="J1261" s="16">
        <v>109</v>
      </c>
      <c r="K1261" s="16">
        <v>-2.0873518468849599E-2</v>
      </c>
      <c r="L1261" s="16">
        <v>2.5927062508516199E-2</v>
      </c>
      <c r="M1261" s="16">
        <v>-0.80508613199020695</v>
      </c>
      <c r="N1261" s="16">
        <v>107</v>
      </c>
      <c r="O1261" s="16">
        <v>0.42255535475331502</v>
      </c>
      <c r="P1261" s="16"/>
      <c r="Q1261" s="16"/>
      <c r="R1261" s="16"/>
      <c r="S1261" s="16"/>
      <c r="T1261" s="16"/>
      <c r="U1261" s="16"/>
      <c r="V1261" s="16"/>
      <c r="W1261" s="16"/>
      <c r="X1261" s="16"/>
      <c r="Y1261" s="16"/>
      <c r="Z1261" s="16"/>
      <c r="AA1261" s="16"/>
      <c r="AB1261" s="16"/>
      <c r="AC1261" s="16"/>
      <c r="AD1261" s="16"/>
      <c r="AE1261" s="16"/>
      <c r="AF1261" s="16"/>
      <c r="AG1261" s="16"/>
      <c r="AH1261" s="16" t="s">
        <v>402</v>
      </c>
      <c r="AI1261" s="16"/>
      <c r="AJ1261" s="16" t="s">
        <v>1808</v>
      </c>
    </row>
    <row r="1262" spans="1:36" ht="15" customHeight="1" x14ac:dyDescent="0.3">
      <c r="A1262" s="16" t="s">
        <v>273</v>
      </c>
      <c r="B1262" s="16" t="s">
        <v>635</v>
      </c>
      <c r="C1262" s="16" t="s">
        <v>1705</v>
      </c>
      <c r="D1262" s="16" t="s">
        <v>324</v>
      </c>
      <c r="E1262" s="16" t="s">
        <v>404</v>
      </c>
      <c r="F1262" s="16" t="s">
        <v>790</v>
      </c>
      <c r="G1262" s="16">
        <v>0.8</v>
      </c>
      <c r="H1262" s="16">
        <v>2594</v>
      </c>
      <c r="I1262" s="16">
        <v>110</v>
      </c>
      <c r="J1262" s="16">
        <v>109</v>
      </c>
      <c r="K1262" s="16">
        <v>-4.29354653726714E-2</v>
      </c>
      <c r="L1262" s="16">
        <v>2.5979302114179301E-2</v>
      </c>
      <c r="M1262" s="16">
        <v>-1.65267970571225</v>
      </c>
      <c r="N1262" s="16">
        <v>108</v>
      </c>
      <c r="O1262" s="16">
        <v>0.101300370745847</v>
      </c>
      <c r="P1262" s="16"/>
      <c r="Q1262" s="16"/>
      <c r="R1262" s="16"/>
      <c r="S1262" s="16"/>
      <c r="T1262" s="16"/>
      <c r="U1262" s="16"/>
      <c r="V1262" s="16"/>
      <c r="W1262" s="16"/>
      <c r="X1262" s="16"/>
      <c r="Y1262" s="16"/>
      <c r="Z1262" s="16"/>
      <c r="AA1262" s="16"/>
      <c r="AB1262" s="16"/>
      <c r="AC1262" s="16"/>
      <c r="AD1262" s="16"/>
      <c r="AE1262" s="16"/>
      <c r="AF1262" s="16"/>
      <c r="AG1262" s="16"/>
      <c r="AH1262" s="16" t="s">
        <v>402</v>
      </c>
      <c r="AI1262" s="16"/>
      <c r="AJ1262" s="16" t="s">
        <v>1809</v>
      </c>
    </row>
    <row r="1263" spans="1:36" ht="15" customHeight="1" x14ac:dyDescent="0.3">
      <c r="A1263" s="16" t="s">
        <v>273</v>
      </c>
      <c r="B1263" s="16" t="s">
        <v>637</v>
      </c>
      <c r="C1263" s="16" t="s">
        <v>1705</v>
      </c>
      <c r="D1263" s="16" t="s">
        <v>324</v>
      </c>
      <c r="E1263" s="16" t="s">
        <v>404</v>
      </c>
      <c r="F1263" s="16" t="s">
        <v>790</v>
      </c>
      <c r="G1263" s="16">
        <v>0.8</v>
      </c>
      <c r="H1263" s="16">
        <v>2594</v>
      </c>
      <c r="I1263" s="16">
        <v>110</v>
      </c>
      <c r="J1263" s="16">
        <v>109</v>
      </c>
      <c r="K1263" s="16">
        <v>-7.7520901505930004E-3</v>
      </c>
      <c r="L1263" s="16">
        <v>3.1289109346387997E-2</v>
      </c>
      <c r="M1263" s="16">
        <v>-0.24775681738885599</v>
      </c>
      <c r="N1263" s="16">
        <v>107</v>
      </c>
      <c r="O1263" s="16">
        <v>0.80479738698227399</v>
      </c>
      <c r="P1263" s="16"/>
      <c r="Q1263" s="16"/>
      <c r="R1263" s="16"/>
      <c r="S1263" s="16"/>
      <c r="T1263" s="16"/>
      <c r="U1263" s="16"/>
      <c r="V1263" s="16"/>
      <c r="W1263" s="16"/>
      <c r="X1263" s="16"/>
      <c r="Y1263" s="16"/>
      <c r="Z1263" s="16"/>
      <c r="AA1263" s="16"/>
      <c r="AB1263" s="16"/>
      <c r="AC1263" s="16"/>
      <c r="AD1263" s="16"/>
      <c r="AE1263" s="16"/>
      <c r="AF1263" s="16"/>
      <c r="AG1263" s="16"/>
      <c r="AH1263" s="16" t="s">
        <v>402</v>
      </c>
      <c r="AI1263" s="16"/>
      <c r="AJ1263" s="16" t="s">
        <v>1810</v>
      </c>
    </row>
    <row r="1264" spans="1:36" ht="15" customHeight="1" x14ac:dyDescent="0.3">
      <c r="A1264" s="16" t="s">
        <v>273</v>
      </c>
      <c r="B1264" s="16" t="s">
        <v>639</v>
      </c>
      <c r="C1264" s="16" t="s">
        <v>1705</v>
      </c>
      <c r="D1264" s="16" t="s">
        <v>324</v>
      </c>
      <c r="E1264" s="16" t="s">
        <v>404</v>
      </c>
      <c r="F1264" s="16" t="s">
        <v>790</v>
      </c>
      <c r="G1264" s="16">
        <v>0.8</v>
      </c>
      <c r="H1264" s="16">
        <v>2594</v>
      </c>
      <c r="I1264" s="16">
        <v>110</v>
      </c>
      <c r="J1264" s="16">
        <v>109</v>
      </c>
      <c r="K1264" s="16">
        <v>-3.7857493634865101E-3</v>
      </c>
      <c r="L1264" s="16">
        <v>3.3269605292776998E-2</v>
      </c>
      <c r="M1264" s="16">
        <v>-0.113790029372799</v>
      </c>
      <c r="N1264" s="16">
        <v>107</v>
      </c>
      <c r="O1264" s="16">
        <v>0.90961747743800203</v>
      </c>
      <c r="P1264" s="16"/>
      <c r="Q1264" s="16"/>
      <c r="R1264" s="16"/>
      <c r="S1264" s="16"/>
      <c r="T1264" s="16"/>
      <c r="U1264" s="16"/>
      <c r="V1264" s="16"/>
      <c r="W1264" s="16"/>
      <c r="X1264" s="16"/>
      <c r="Y1264" s="16"/>
      <c r="Z1264" s="16"/>
      <c r="AA1264" s="16"/>
      <c r="AB1264" s="16"/>
      <c r="AC1264" s="16"/>
      <c r="AD1264" s="16"/>
      <c r="AE1264" s="16"/>
      <c r="AF1264" s="16"/>
      <c r="AG1264" s="16"/>
      <c r="AH1264" s="16" t="s">
        <v>402</v>
      </c>
      <c r="AI1264" s="16"/>
      <c r="AJ1264" s="16" t="s">
        <v>1811</v>
      </c>
    </row>
    <row r="1265" spans="1:36" ht="15" customHeight="1" x14ac:dyDescent="0.3">
      <c r="A1265" s="16" t="s">
        <v>273</v>
      </c>
      <c r="B1265" s="16" t="s">
        <v>641</v>
      </c>
      <c r="C1265" s="16" t="s">
        <v>1705</v>
      </c>
      <c r="D1265" s="16" t="s">
        <v>324</v>
      </c>
      <c r="E1265" s="16" t="s">
        <v>404</v>
      </c>
      <c r="F1265" s="16" t="s">
        <v>790</v>
      </c>
      <c r="G1265" s="16">
        <v>0.8</v>
      </c>
      <c r="H1265" s="16">
        <v>2594</v>
      </c>
      <c r="I1265" s="16">
        <v>110</v>
      </c>
      <c r="J1265" s="16">
        <v>109</v>
      </c>
      <c r="K1265" s="16">
        <v>-3.02983485841497E-2</v>
      </c>
      <c r="L1265" s="16">
        <v>2.2623436234473899E-2</v>
      </c>
      <c r="M1265" s="16">
        <v>-1.3392460928627901</v>
      </c>
      <c r="N1265" s="16">
        <v>108</v>
      </c>
      <c r="O1265" s="16">
        <v>0.183302299300141</v>
      </c>
      <c r="P1265" s="16"/>
      <c r="Q1265" s="16"/>
      <c r="R1265" s="16"/>
      <c r="S1265" s="16"/>
      <c r="T1265" s="16"/>
      <c r="U1265" s="16"/>
      <c r="V1265" s="16"/>
      <c r="W1265" s="16"/>
      <c r="X1265" s="16"/>
      <c r="Y1265" s="16"/>
      <c r="Z1265" s="16"/>
      <c r="AA1265" s="16"/>
      <c r="AB1265" s="16"/>
      <c r="AC1265" s="16"/>
      <c r="AD1265" s="16"/>
      <c r="AE1265" s="16"/>
      <c r="AF1265" s="16"/>
      <c r="AG1265" s="16"/>
      <c r="AH1265" s="16" t="s">
        <v>402</v>
      </c>
      <c r="AI1265" s="16"/>
      <c r="AJ1265" s="16" t="s">
        <v>1812</v>
      </c>
    </row>
    <row r="1266" spans="1:36" ht="15" customHeight="1" x14ac:dyDescent="0.3">
      <c r="A1266" s="16" t="s">
        <v>273</v>
      </c>
      <c r="B1266" s="16" t="s">
        <v>643</v>
      </c>
      <c r="C1266" s="16" t="s">
        <v>1705</v>
      </c>
      <c r="D1266" s="16" t="s">
        <v>324</v>
      </c>
      <c r="E1266" s="16" t="s">
        <v>404</v>
      </c>
      <c r="F1266" s="16" t="s">
        <v>790</v>
      </c>
      <c r="G1266" s="16">
        <v>0.8</v>
      </c>
      <c r="H1266" s="16">
        <v>2594</v>
      </c>
      <c r="I1266" s="16">
        <v>110</v>
      </c>
      <c r="J1266" s="16">
        <v>109</v>
      </c>
      <c r="K1266" s="16">
        <v>-3.2877639950073201E-2</v>
      </c>
      <c r="L1266" s="16">
        <v>2.14186263596856E-2</v>
      </c>
      <c r="M1266" s="16">
        <v>-1.5350022638219201</v>
      </c>
      <c r="N1266" s="16">
        <v>108</v>
      </c>
      <c r="O1266" s="16">
        <v>0.12770769600603199</v>
      </c>
      <c r="P1266" s="16"/>
      <c r="Q1266" s="16"/>
      <c r="R1266" s="16"/>
      <c r="S1266" s="16"/>
      <c r="T1266" s="16"/>
      <c r="U1266" s="16"/>
      <c r="V1266" s="16"/>
      <c r="W1266" s="16"/>
      <c r="X1266" s="16"/>
      <c r="Y1266" s="16"/>
      <c r="Z1266" s="16"/>
      <c r="AA1266" s="16"/>
      <c r="AB1266" s="16"/>
      <c r="AC1266" s="16"/>
      <c r="AD1266" s="16"/>
      <c r="AE1266" s="16"/>
      <c r="AF1266" s="16"/>
      <c r="AG1266" s="16"/>
      <c r="AH1266" s="16" t="s">
        <v>402</v>
      </c>
      <c r="AI1266" s="16"/>
      <c r="AJ1266" s="16" t="s">
        <v>1813</v>
      </c>
    </row>
    <row r="1267" spans="1:36" ht="15" customHeight="1" x14ac:dyDescent="0.3">
      <c r="A1267" s="16" t="s">
        <v>273</v>
      </c>
      <c r="B1267" s="16" t="s">
        <v>645</v>
      </c>
      <c r="C1267" s="16" t="s">
        <v>1705</v>
      </c>
      <c r="D1267" s="16" t="s">
        <v>324</v>
      </c>
      <c r="E1267" s="16" t="s">
        <v>404</v>
      </c>
      <c r="F1267" s="16" t="s">
        <v>790</v>
      </c>
      <c r="G1267" s="16">
        <v>0.8</v>
      </c>
      <c r="H1267" s="16">
        <v>2594</v>
      </c>
      <c r="I1267" s="16">
        <v>110</v>
      </c>
      <c r="J1267" s="16">
        <v>109</v>
      </c>
      <c r="K1267" s="16">
        <v>-2.6109367715767301E-2</v>
      </c>
      <c r="L1267" s="16">
        <v>2.1359816239424401E-2</v>
      </c>
      <c r="M1267" s="16">
        <v>-1.2223591918162899</v>
      </c>
      <c r="N1267" s="16">
        <v>108</v>
      </c>
      <c r="O1267" s="16">
        <v>0.224232814511135</v>
      </c>
      <c r="P1267" s="16"/>
      <c r="Q1267" s="16"/>
      <c r="R1267" s="16"/>
      <c r="S1267" s="16"/>
      <c r="T1267" s="16"/>
      <c r="U1267" s="16"/>
      <c r="V1267" s="16"/>
      <c r="W1267" s="16"/>
      <c r="X1267" s="16"/>
      <c r="Y1267" s="16"/>
      <c r="Z1267" s="16"/>
      <c r="AA1267" s="16"/>
      <c r="AB1267" s="16"/>
      <c r="AC1267" s="16"/>
      <c r="AD1267" s="16"/>
      <c r="AE1267" s="16"/>
      <c r="AF1267" s="16"/>
      <c r="AG1267" s="16"/>
      <c r="AH1267" s="16" t="s">
        <v>402</v>
      </c>
      <c r="AI1267" s="16"/>
      <c r="AJ1267" s="16" t="s">
        <v>1814</v>
      </c>
    </row>
    <row r="1268" spans="1:36" ht="15" customHeight="1" x14ac:dyDescent="0.3">
      <c r="A1268" s="16" t="s">
        <v>273</v>
      </c>
      <c r="B1268" s="16" t="s">
        <v>647</v>
      </c>
      <c r="C1268" s="16" t="s">
        <v>1705</v>
      </c>
      <c r="D1268" s="16" t="s">
        <v>324</v>
      </c>
      <c r="E1268" s="16" t="s">
        <v>404</v>
      </c>
      <c r="F1268" s="16" t="s">
        <v>790</v>
      </c>
      <c r="G1268" s="16">
        <v>0.8</v>
      </c>
      <c r="H1268" s="16">
        <v>900</v>
      </c>
      <c r="I1268" s="16">
        <v>38</v>
      </c>
      <c r="J1268" s="16">
        <v>38</v>
      </c>
      <c r="K1268" s="16">
        <v>-3.6991708348489402E-2</v>
      </c>
      <c r="L1268" s="16">
        <v>3.9376153076844798E-2</v>
      </c>
      <c r="M1268" s="16">
        <v>-0.93944444690414497</v>
      </c>
      <c r="N1268" s="16">
        <v>36</v>
      </c>
      <c r="O1268" s="16">
        <v>0.35376355416205901</v>
      </c>
      <c r="P1268" s="16"/>
      <c r="Q1268" s="16"/>
      <c r="R1268" s="16"/>
      <c r="S1268" s="16"/>
      <c r="T1268" s="16"/>
      <c r="U1268" s="16"/>
      <c r="V1268" s="16"/>
      <c r="W1268" s="16"/>
      <c r="X1268" s="16"/>
      <c r="Y1268" s="16"/>
      <c r="Z1268" s="16"/>
      <c r="AA1268" s="16"/>
      <c r="AB1268" s="16"/>
      <c r="AC1268" s="16"/>
      <c r="AD1268" s="16"/>
      <c r="AE1268" s="16"/>
      <c r="AF1268" s="16"/>
      <c r="AG1268" s="16"/>
      <c r="AH1268" s="16" t="s">
        <v>402</v>
      </c>
      <c r="AI1268" s="16"/>
      <c r="AJ1268" s="16" t="s">
        <v>1815</v>
      </c>
    </row>
    <row r="1269" spans="1:36" ht="15" customHeight="1" x14ac:dyDescent="0.3">
      <c r="A1269" s="16" t="s">
        <v>273</v>
      </c>
      <c r="B1269" s="16" t="s">
        <v>649</v>
      </c>
      <c r="C1269" s="16" t="s">
        <v>1705</v>
      </c>
      <c r="D1269" s="16" t="s">
        <v>324</v>
      </c>
      <c r="E1269" s="16" t="s">
        <v>404</v>
      </c>
      <c r="F1269" s="16" t="s">
        <v>790</v>
      </c>
      <c r="G1269" s="16">
        <v>0.8</v>
      </c>
      <c r="H1269" s="16">
        <v>2607</v>
      </c>
      <c r="I1269" s="16">
        <v>110</v>
      </c>
      <c r="J1269" s="16">
        <v>109</v>
      </c>
      <c r="K1269" s="16">
        <v>-1.84182697712439E-2</v>
      </c>
      <c r="L1269" s="16">
        <v>2.2597254847615999E-2</v>
      </c>
      <c r="M1269" s="16">
        <v>-0.81506669263355203</v>
      </c>
      <c r="N1269" s="16">
        <v>108</v>
      </c>
      <c r="O1269" s="16">
        <v>0.416827915251268</v>
      </c>
      <c r="P1269" s="16"/>
      <c r="Q1269" s="16"/>
      <c r="R1269" s="16"/>
      <c r="S1269" s="16"/>
      <c r="T1269" s="16"/>
      <c r="U1269" s="16"/>
      <c r="V1269" s="16"/>
      <c r="W1269" s="16"/>
      <c r="X1269" s="16"/>
      <c r="Y1269" s="16"/>
      <c r="Z1269" s="16"/>
      <c r="AA1269" s="16"/>
      <c r="AB1269" s="16"/>
      <c r="AC1269" s="16"/>
      <c r="AD1269" s="16"/>
      <c r="AE1269" s="16"/>
      <c r="AF1269" s="16"/>
      <c r="AG1269" s="16"/>
      <c r="AH1269" s="16" t="s">
        <v>402</v>
      </c>
      <c r="AI1269" s="16"/>
      <c r="AJ1269" s="16" t="s">
        <v>1816</v>
      </c>
    </row>
    <row r="1270" spans="1:36" ht="15" customHeight="1" x14ac:dyDescent="0.3">
      <c r="A1270" s="16" t="s">
        <v>273</v>
      </c>
      <c r="B1270" s="16" t="s">
        <v>651</v>
      </c>
      <c r="C1270" s="16" t="s">
        <v>1705</v>
      </c>
      <c r="D1270" s="16" t="s">
        <v>324</v>
      </c>
      <c r="E1270" s="16" t="s">
        <v>404</v>
      </c>
      <c r="F1270" s="16" t="s">
        <v>790</v>
      </c>
      <c r="G1270" s="16">
        <v>0.8</v>
      </c>
      <c r="H1270" s="16">
        <v>2607</v>
      </c>
      <c r="I1270" s="16">
        <v>110</v>
      </c>
      <c r="J1270" s="16">
        <v>109</v>
      </c>
      <c r="K1270" s="16">
        <v>-3.1069869889417599E-2</v>
      </c>
      <c r="L1270" s="16">
        <v>2.38359879911571E-2</v>
      </c>
      <c r="M1270" s="16">
        <v>-1.30348571667951</v>
      </c>
      <c r="N1270" s="16">
        <v>108</v>
      </c>
      <c r="O1270" s="16">
        <v>0.19518084489083701</v>
      </c>
      <c r="P1270" s="16"/>
      <c r="Q1270" s="16"/>
      <c r="R1270" s="16"/>
      <c r="S1270" s="16"/>
      <c r="T1270" s="16"/>
      <c r="U1270" s="16"/>
      <c r="V1270" s="16"/>
      <c r="W1270" s="16"/>
      <c r="X1270" s="16"/>
      <c r="Y1270" s="16"/>
      <c r="Z1270" s="16"/>
      <c r="AA1270" s="16"/>
      <c r="AB1270" s="16"/>
      <c r="AC1270" s="16"/>
      <c r="AD1270" s="16"/>
      <c r="AE1270" s="16"/>
      <c r="AF1270" s="16"/>
      <c r="AG1270" s="16"/>
      <c r="AH1270" s="16" t="s">
        <v>402</v>
      </c>
      <c r="AI1270" s="16"/>
      <c r="AJ1270" s="16" t="s">
        <v>1817</v>
      </c>
    </row>
    <row r="1271" spans="1:36" ht="15" customHeight="1" x14ac:dyDescent="0.3">
      <c r="A1271" s="16" t="s">
        <v>273</v>
      </c>
      <c r="B1271" s="16" t="s">
        <v>653</v>
      </c>
      <c r="C1271" s="16" t="s">
        <v>1705</v>
      </c>
      <c r="D1271" s="16" t="s">
        <v>324</v>
      </c>
      <c r="E1271" s="16" t="s">
        <v>404</v>
      </c>
      <c r="F1271" s="16" t="s">
        <v>790</v>
      </c>
      <c r="G1271" s="16">
        <v>0.8</v>
      </c>
      <c r="H1271" s="16">
        <v>2607</v>
      </c>
      <c r="I1271" s="16">
        <v>110</v>
      </c>
      <c r="J1271" s="16">
        <v>109</v>
      </c>
      <c r="K1271" s="16">
        <v>-1.75448377735558E-2</v>
      </c>
      <c r="L1271" s="16">
        <v>2.4765550257753999E-2</v>
      </c>
      <c r="M1271" s="16">
        <v>-0.70843722796195996</v>
      </c>
      <c r="N1271" s="16">
        <v>107</v>
      </c>
      <c r="O1271" s="16">
        <v>0.48021431269924097</v>
      </c>
      <c r="P1271" s="16"/>
      <c r="Q1271" s="16"/>
      <c r="R1271" s="16"/>
      <c r="S1271" s="16"/>
      <c r="T1271" s="16"/>
      <c r="U1271" s="16"/>
      <c r="V1271" s="16"/>
      <c r="W1271" s="16"/>
      <c r="X1271" s="16"/>
      <c r="Y1271" s="16"/>
      <c r="Z1271" s="16"/>
      <c r="AA1271" s="16"/>
      <c r="AB1271" s="16"/>
      <c r="AC1271" s="16"/>
      <c r="AD1271" s="16"/>
      <c r="AE1271" s="16"/>
      <c r="AF1271" s="16"/>
      <c r="AG1271" s="16"/>
      <c r="AH1271" s="16" t="s">
        <v>402</v>
      </c>
      <c r="AI1271" s="16"/>
      <c r="AJ1271" s="16" t="s">
        <v>1818</v>
      </c>
    </row>
    <row r="1272" spans="1:36" ht="15" customHeight="1" x14ac:dyDescent="0.3">
      <c r="A1272" s="16" t="s">
        <v>273</v>
      </c>
      <c r="B1272" s="16" t="s">
        <v>655</v>
      </c>
      <c r="C1272" s="16" t="s">
        <v>1705</v>
      </c>
      <c r="D1272" s="16" t="s">
        <v>324</v>
      </c>
      <c r="E1272" s="16" t="s">
        <v>404</v>
      </c>
      <c r="F1272" s="16" t="s">
        <v>790</v>
      </c>
      <c r="G1272" s="16">
        <v>0.8</v>
      </c>
      <c r="H1272" s="16">
        <v>2607</v>
      </c>
      <c r="I1272" s="16">
        <v>110</v>
      </c>
      <c r="J1272" s="16">
        <v>109</v>
      </c>
      <c r="K1272" s="16">
        <v>-3.5317825529138903E-2</v>
      </c>
      <c r="L1272" s="16">
        <v>2.48796651944862E-2</v>
      </c>
      <c r="M1272" s="16">
        <v>-1.4195458521269</v>
      </c>
      <c r="N1272" s="16">
        <v>108</v>
      </c>
      <c r="O1272" s="16">
        <v>0.15861989841383001</v>
      </c>
      <c r="P1272" s="16"/>
      <c r="Q1272" s="16"/>
      <c r="R1272" s="16"/>
      <c r="S1272" s="16"/>
      <c r="T1272" s="16"/>
      <c r="U1272" s="16"/>
      <c r="V1272" s="16"/>
      <c r="W1272" s="16"/>
      <c r="X1272" s="16"/>
      <c r="Y1272" s="16"/>
      <c r="Z1272" s="16"/>
      <c r="AA1272" s="16"/>
      <c r="AB1272" s="16"/>
      <c r="AC1272" s="16"/>
      <c r="AD1272" s="16"/>
      <c r="AE1272" s="16"/>
      <c r="AF1272" s="16"/>
      <c r="AG1272" s="16"/>
      <c r="AH1272" s="16" t="s">
        <v>402</v>
      </c>
      <c r="AI1272" s="16"/>
      <c r="AJ1272" s="16" t="s">
        <v>1819</v>
      </c>
    </row>
    <row r="1273" spans="1:36" ht="15" customHeight="1" x14ac:dyDescent="0.3">
      <c r="A1273" s="16" t="s">
        <v>273</v>
      </c>
      <c r="B1273" s="16" t="s">
        <v>657</v>
      </c>
      <c r="C1273" s="16" t="s">
        <v>1705</v>
      </c>
      <c r="D1273" s="16" t="s">
        <v>324</v>
      </c>
      <c r="E1273" s="16" t="s">
        <v>404</v>
      </c>
      <c r="F1273" s="16" t="s">
        <v>790</v>
      </c>
      <c r="G1273" s="16">
        <v>0.8</v>
      </c>
      <c r="H1273" s="16">
        <v>2607</v>
      </c>
      <c r="I1273" s="16">
        <v>110</v>
      </c>
      <c r="J1273" s="16">
        <v>109</v>
      </c>
      <c r="K1273" s="16">
        <v>-2.08511157320386E-3</v>
      </c>
      <c r="L1273" s="16">
        <v>2.9863015623303402E-2</v>
      </c>
      <c r="M1273" s="16">
        <v>-6.9822539006300505E-2</v>
      </c>
      <c r="N1273" s="16">
        <v>107</v>
      </c>
      <c r="O1273" s="16">
        <v>0.94446523316418196</v>
      </c>
      <c r="P1273" s="16"/>
      <c r="Q1273" s="16"/>
      <c r="R1273" s="16"/>
      <c r="S1273" s="16"/>
      <c r="T1273" s="16"/>
      <c r="U1273" s="16"/>
      <c r="V1273" s="16"/>
      <c r="W1273" s="16"/>
      <c r="X1273" s="16"/>
      <c r="Y1273" s="16"/>
      <c r="Z1273" s="16"/>
      <c r="AA1273" s="16"/>
      <c r="AB1273" s="16"/>
      <c r="AC1273" s="16"/>
      <c r="AD1273" s="16"/>
      <c r="AE1273" s="16"/>
      <c r="AF1273" s="16"/>
      <c r="AG1273" s="16"/>
      <c r="AH1273" s="16" t="s">
        <v>402</v>
      </c>
      <c r="AI1273" s="16"/>
      <c r="AJ1273" s="16" t="s">
        <v>1820</v>
      </c>
    </row>
    <row r="1274" spans="1:36" ht="15" customHeight="1" x14ac:dyDescent="0.3">
      <c r="A1274" s="16" t="s">
        <v>273</v>
      </c>
      <c r="B1274" s="16" t="s">
        <v>659</v>
      </c>
      <c r="C1274" s="16" t="s">
        <v>1705</v>
      </c>
      <c r="D1274" s="16" t="s">
        <v>324</v>
      </c>
      <c r="E1274" s="16" t="s">
        <v>404</v>
      </c>
      <c r="F1274" s="16" t="s">
        <v>790</v>
      </c>
      <c r="G1274" s="16">
        <v>0.8</v>
      </c>
      <c r="H1274" s="16">
        <v>2607</v>
      </c>
      <c r="I1274" s="16">
        <v>110</v>
      </c>
      <c r="J1274" s="16">
        <v>109</v>
      </c>
      <c r="K1274" s="16">
        <v>1.10451479286569E-3</v>
      </c>
      <c r="L1274" s="16">
        <v>3.17473362117425E-2</v>
      </c>
      <c r="M1274" s="16">
        <v>3.4790786398550197E-2</v>
      </c>
      <c r="N1274" s="16">
        <v>107</v>
      </c>
      <c r="O1274" s="16">
        <v>0.97231138758235003</v>
      </c>
      <c r="P1274" s="16"/>
      <c r="Q1274" s="16"/>
      <c r="R1274" s="16"/>
      <c r="S1274" s="16"/>
      <c r="T1274" s="16"/>
      <c r="U1274" s="16"/>
      <c r="V1274" s="16"/>
      <c r="W1274" s="16"/>
      <c r="X1274" s="16"/>
      <c r="Y1274" s="16"/>
      <c r="Z1274" s="16"/>
      <c r="AA1274" s="16"/>
      <c r="AB1274" s="16"/>
      <c r="AC1274" s="16"/>
      <c r="AD1274" s="16"/>
      <c r="AE1274" s="16"/>
      <c r="AF1274" s="16"/>
      <c r="AG1274" s="16"/>
      <c r="AH1274" s="16" t="s">
        <v>402</v>
      </c>
      <c r="AI1274" s="16"/>
      <c r="AJ1274" s="16" t="s">
        <v>1821</v>
      </c>
    </row>
    <row r="1275" spans="1:36" ht="15" customHeight="1" x14ac:dyDescent="0.3">
      <c r="A1275" s="16" t="s">
        <v>273</v>
      </c>
      <c r="B1275" s="16" t="s">
        <v>661</v>
      </c>
      <c r="C1275" s="16" t="s">
        <v>1705</v>
      </c>
      <c r="D1275" s="16" t="s">
        <v>324</v>
      </c>
      <c r="E1275" s="16" t="s">
        <v>404</v>
      </c>
      <c r="F1275" s="16" t="s">
        <v>790</v>
      </c>
      <c r="G1275" s="16">
        <v>0.8</v>
      </c>
      <c r="H1275" s="16">
        <v>2607</v>
      </c>
      <c r="I1275" s="16">
        <v>110</v>
      </c>
      <c r="J1275" s="16">
        <v>109</v>
      </c>
      <c r="K1275" s="16">
        <v>-2.4166595348348901E-2</v>
      </c>
      <c r="L1275" s="16">
        <v>2.1649310132800699E-2</v>
      </c>
      <c r="M1275" s="16">
        <v>-1.1162755395024999</v>
      </c>
      <c r="N1275" s="16">
        <v>108</v>
      </c>
      <c r="O1275" s="16">
        <v>0.26678163989842502</v>
      </c>
      <c r="P1275" s="16"/>
      <c r="Q1275" s="16"/>
      <c r="R1275" s="16"/>
      <c r="S1275" s="16"/>
      <c r="T1275" s="16"/>
      <c r="U1275" s="16"/>
      <c r="V1275" s="16"/>
      <c r="W1275" s="16"/>
      <c r="X1275" s="16"/>
      <c r="Y1275" s="16"/>
      <c r="Z1275" s="16"/>
      <c r="AA1275" s="16"/>
      <c r="AB1275" s="16"/>
      <c r="AC1275" s="16"/>
      <c r="AD1275" s="16"/>
      <c r="AE1275" s="16"/>
      <c r="AF1275" s="16"/>
      <c r="AG1275" s="16"/>
      <c r="AH1275" s="16" t="s">
        <v>402</v>
      </c>
      <c r="AI1275" s="16"/>
      <c r="AJ1275" s="16" t="s">
        <v>1822</v>
      </c>
    </row>
    <row r="1276" spans="1:36" ht="15" customHeight="1" x14ac:dyDescent="0.3">
      <c r="A1276" s="16" t="s">
        <v>273</v>
      </c>
      <c r="B1276" s="16" t="s">
        <v>663</v>
      </c>
      <c r="C1276" s="16" t="s">
        <v>1705</v>
      </c>
      <c r="D1276" s="16" t="s">
        <v>324</v>
      </c>
      <c r="E1276" s="16" t="s">
        <v>404</v>
      </c>
      <c r="F1276" s="16" t="s">
        <v>790</v>
      </c>
      <c r="G1276" s="16">
        <v>0.8</v>
      </c>
      <c r="H1276" s="16">
        <v>2607</v>
      </c>
      <c r="I1276" s="16">
        <v>110</v>
      </c>
      <c r="J1276" s="16">
        <v>109</v>
      </c>
      <c r="K1276" s="16">
        <v>-1.58279357116374E-2</v>
      </c>
      <c r="L1276" s="16">
        <v>2.06150375352992E-2</v>
      </c>
      <c r="M1276" s="16">
        <v>-0.76778592736177198</v>
      </c>
      <c r="N1276" s="16">
        <v>108</v>
      </c>
      <c r="O1276" s="16">
        <v>0.44428980494862003</v>
      </c>
      <c r="P1276" s="16"/>
      <c r="Q1276" s="16"/>
      <c r="R1276" s="16"/>
      <c r="S1276" s="16"/>
      <c r="T1276" s="16"/>
      <c r="U1276" s="16"/>
      <c r="V1276" s="16"/>
      <c r="W1276" s="16"/>
      <c r="X1276" s="16"/>
      <c r="Y1276" s="16"/>
      <c r="Z1276" s="16"/>
      <c r="AA1276" s="16"/>
      <c r="AB1276" s="16"/>
      <c r="AC1276" s="16"/>
      <c r="AD1276" s="16"/>
      <c r="AE1276" s="16"/>
      <c r="AF1276" s="16"/>
      <c r="AG1276" s="16"/>
      <c r="AH1276" s="16" t="s">
        <v>402</v>
      </c>
      <c r="AI1276" s="16"/>
      <c r="AJ1276" s="16" t="s">
        <v>1823</v>
      </c>
    </row>
    <row r="1277" spans="1:36" ht="15" customHeight="1" x14ac:dyDescent="0.3">
      <c r="A1277" s="16" t="s">
        <v>273</v>
      </c>
      <c r="B1277" s="16" t="s">
        <v>665</v>
      </c>
      <c r="C1277" s="16" t="s">
        <v>1705</v>
      </c>
      <c r="D1277" s="16" t="s">
        <v>324</v>
      </c>
      <c r="E1277" s="16" t="s">
        <v>404</v>
      </c>
      <c r="F1277" s="16" t="s">
        <v>790</v>
      </c>
      <c r="G1277" s="16">
        <v>0.8</v>
      </c>
      <c r="H1277" s="16">
        <v>2607</v>
      </c>
      <c r="I1277" s="16">
        <v>110</v>
      </c>
      <c r="J1277" s="16">
        <v>109</v>
      </c>
      <c r="K1277" s="16">
        <v>-1.32299928655041E-2</v>
      </c>
      <c r="L1277" s="16">
        <v>2.0485876179577402E-2</v>
      </c>
      <c r="M1277" s="16">
        <v>-0.64581044762406903</v>
      </c>
      <c r="N1277" s="16">
        <v>108</v>
      </c>
      <c r="O1277" s="16">
        <v>0.51977193980244896</v>
      </c>
      <c r="P1277" s="16"/>
      <c r="Q1277" s="16"/>
      <c r="R1277" s="16"/>
      <c r="S1277" s="16"/>
      <c r="T1277" s="16"/>
      <c r="U1277" s="16"/>
      <c r="V1277" s="16"/>
      <c r="W1277" s="16"/>
      <c r="X1277" s="16"/>
      <c r="Y1277" s="16"/>
      <c r="Z1277" s="16"/>
      <c r="AA1277" s="16"/>
      <c r="AB1277" s="16"/>
      <c r="AC1277" s="16"/>
      <c r="AD1277" s="16"/>
      <c r="AE1277" s="16"/>
      <c r="AF1277" s="16"/>
      <c r="AG1277" s="16"/>
      <c r="AH1277" s="16" t="s">
        <v>402</v>
      </c>
      <c r="AI1277" s="16"/>
      <c r="AJ1277" s="16" t="s">
        <v>1824</v>
      </c>
    </row>
    <row r="1278" spans="1:36" ht="15" customHeight="1" x14ac:dyDescent="0.3">
      <c r="A1278" s="16" t="s">
        <v>273</v>
      </c>
      <c r="B1278" s="16" t="s">
        <v>667</v>
      </c>
      <c r="C1278" s="16" t="s">
        <v>1705</v>
      </c>
      <c r="D1278" s="16" t="s">
        <v>324</v>
      </c>
      <c r="E1278" s="16" t="s">
        <v>404</v>
      </c>
      <c r="F1278" s="16" t="s">
        <v>790</v>
      </c>
      <c r="G1278" s="16">
        <v>0.8</v>
      </c>
      <c r="H1278" s="16">
        <v>905</v>
      </c>
      <c r="I1278" s="16">
        <v>38</v>
      </c>
      <c r="J1278" s="16">
        <v>38</v>
      </c>
      <c r="K1278" s="16">
        <v>-2.9593077648401599E-2</v>
      </c>
      <c r="L1278" s="16">
        <v>3.3260668184143603E-2</v>
      </c>
      <c r="M1278" s="16">
        <v>-0.88973190449942896</v>
      </c>
      <c r="N1278" s="16">
        <v>36</v>
      </c>
      <c r="O1278" s="16">
        <v>0.37951716780619899</v>
      </c>
      <c r="P1278" s="16"/>
      <c r="Q1278" s="16"/>
      <c r="R1278" s="16"/>
      <c r="S1278" s="16"/>
      <c r="T1278" s="16"/>
      <c r="U1278" s="16"/>
      <c r="V1278" s="16"/>
      <c r="W1278" s="16"/>
      <c r="X1278" s="16"/>
      <c r="Y1278" s="16"/>
      <c r="Z1278" s="16"/>
      <c r="AA1278" s="16"/>
      <c r="AB1278" s="16"/>
      <c r="AC1278" s="16"/>
      <c r="AD1278" s="16"/>
      <c r="AE1278" s="16"/>
      <c r="AF1278" s="16"/>
      <c r="AG1278" s="16"/>
      <c r="AH1278" s="16" t="s">
        <v>402</v>
      </c>
      <c r="AI1278" s="16"/>
      <c r="AJ1278" s="16" t="s">
        <v>1825</v>
      </c>
    </row>
    <row r="1279" spans="1:36" ht="15" customHeight="1" x14ac:dyDescent="0.3">
      <c r="A1279" s="16" t="s">
        <v>273</v>
      </c>
      <c r="B1279" s="16" t="s">
        <v>669</v>
      </c>
      <c r="C1279" s="16" t="s">
        <v>1705</v>
      </c>
      <c r="D1279" s="16" t="s">
        <v>324</v>
      </c>
      <c r="E1279" s="16" t="s">
        <v>404</v>
      </c>
      <c r="F1279" s="16" t="s">
        <v>790</v>
      </c>
      <c r="G1279" s="16">
        <v>0.8</v>
      </c>
      <c r="H1279" s="16">
        <v>2704</v>
      </c>
      <c r="I1279" s="16">
        <v>113</v>
      </c>
      <c r="J1279" s="16">
        <v>112</v>
      </c>
      <c r="K1279" s="16">
        <v>2.75913553855336E-2</v>
      </c>
      <c r="L1279" s="16">
        <v>7.1034793118516196E-2</v>
      </c>
      <c r="M1279" s="16">
        <v>0.38842029622722402</v>
      </c>
      <c r="N1279" s="16">
        <v>111</v>
      </c>
      <c r="O1279" s="16">
        <v>0.69844901521307701</v>
      </c>
      <c r="P1279" s="16"/>
      <c r="Q1279" s="16"/>
      <c r="R1279" s="16"/>
      <c r="S1279" s="16"/>
      <c r="T1279" s="16"/>
      <c r="U1279" s="16"/>
      <c r="V1279" s="16"/>
      <c r="W1279" s="16"/>
      <c r="X1279" s="16"/>
      <c r="Y1279" s="16"/>
      <c r="Z1279" s="16"/>
      <c r="AA1279" s="16"/>
      <c r="AB1279" s="16"/>
      <c r="AC1279" s="16"/>
      <c r="AD1279" s="16"/>
      <c r="AE1279" s="16"/>
      <c r="AF1279" s="16"/>
      <c r="AG1279" s="16"/>
      <c r="AH1279" s="16" t="s">
        <v>402</v>
      </c>
      <c r="AI1279" s="16"/>
      <c r="AJ1279" s="16" t="s">
        <v>1826</v>
      </c>
    </row>
    <row r="1280" spans="1:36" ht="15" customHeight="1" x14ac:dyDescent="0.3">
      <c r="A1280" s="16" t="s">
        <v>273</v>
      </c>
      <c r="B1280" s="16" t="s">
        <v>671</v>
      </c>
      <c r="C1280" s="16" t="s">
        <v>1705</v>
      </c>
      <c r="D1280" s="16" t="s">
        <v>324</v>
      </c>
      <c r="E1280" s="16" t="s">
        <v>404</v>
      </c>
      <c r="F1280" s="16" t="s">
        <v>790</v>
      </c>
      <c r="G1280" s="16">
        <v>0.8</v>
      </c>
      <c r="H1280" s="16">
        <v>2704</v>
      </c>
      <c r="I1280" s="16">
        <v>113</v>
      </c>
      <c r="J1280" s="16">
        <v>112</v>
      </c>
      <c r="K1280" s="16">
        <v>1.02139413290535E-2</v>
      </c>
      <c r="L1280" s="16">
        <v>7.5352429419981895E-2</v>
      </c>
      <c r="M1280" s="16">
        <v>0.13554893196774601</v>
      </c>
      <c r="N1280" s="16">
        <v>111</v>
      </c>
      <c r="O1280" s="16">
        <v>0.89242338927106901</v>
      </c>
      <c r="P1280" s="16"/>
      <c r="Q1280" s="16"/>
      <c r="R1280" s="16"/>
      <c r="S1280" s="16"/>
      <c r="T1280" s="16"/>
      <c r="U1280" s="16"/>
      <c r="V1280" s="16"/>
      <c r="W1280" s="16"/>
      <c r="X1280" s="16"/>
      <c r="Y1280" s="16"/>
      <c r="Z1280" s="16"/>
      <c r="AA1280" s="16"/>
      <c r="AB1280" s="16"/>
      <c r="AC1280" s="16"/>
      <c r="AD1280" s="16"/>
      <c r="AE1280" s="16"/>
      <c r="AF1280" s="16"/>
      <c r="AG1280" s="16"/>
      <c r="AH1280" s="16" t="s">
        <v>402</v>
      </c>
      <c r="AI1280" s="16"/>
      <c r="AJ1280" s="16" t="s">
        <v>1827</v>
      </c>
    </row>
    <row r="1281" spans="1:36" ht="15" customHeight="1" x14ac:dyDescent="0.3">
      <c r="A1281" s="16" t="s">
        <v>273</v>
      </c>
      <c r="B1281" s="16" t="s">
        <v>673</v>
      </c>
      <c r="C1281" s="16" t="s">
        <v>1705</v>
      </c>
      <c r="D1281" s="16" t="s">
        <v>324</v>
      </c>
      <c r="E1281" s="16" t="s">
        <v>404</v>
      </c>
      <c r="F1281" s="16" t="s">
        <v>790</v>
      </c>
      <c r="G1281" s="16">
        <v>0.8</v>
      </c>
      <c r="H1281" s="16">
        <v>2704</v>
      </c>
      <c r="I1281" s="16">
        <v>113</v>
      </c>
      <c r="J1281" s="16">
        <v>112</v>
      </c>
      <c r="K1281" s="16">
        <v>-5.9795347653494799E-2</v>
      </c>
      <c r="L1281" s="16">
        <v>7.4826974211476605E-2</v>
      </c>
      <c r="M1281" s="16">
        <v>-0.79911486844972102</v>
      </c>
      <c r="N1281" s="16">
        <v>110</v>
      </c>
      <c r="O1281" s="16">
        <v>0.42594593544089698</v>
      </c>
      <c r="P1281" s="16"/>
      <c r="Q1281" s="16"/>
      <c r="R1281" s="16"/>
      <c r="S1281" s="16"/>
      <c r="T1281" s="16"/>
      <c r="U1281" s="16"/>
      <c r="V1281" s="16"/>
      <c r="W1281" s="16"/>
      <c r="X1281" s="16"/>
      <c r="Y1281" s="16"/>
      <c r="Z1281" s="16"/>
      <c r="AA1281" s="16"/>
      <c r="AB1281" s="16"/>
      <c r="AC1281" s="16"/>
      <c r="AD1281" s="16"/>
      <c r="AE1281" s="16"/>
      <c r="AF1281" s="16"/>
      <c r="AG1281" s="16"/>
      <c r="AH1281" s="16" t="s">
        <v>402</v>
      </c>
      <c r="AI1281" s="16"/>
      <c r="AJ1281" s="16" t="s">
        <v>1828</v>
      </c>
    </row>
    <row r="1282" spans="1:36" ht="15" customHeight="1" x14ac:dyDescent="0.3">
      <c r="A1282" s="16" t="s">
        <v>273</v>
      </c>
      <c r="B1282" s="16" t="s">
        <v>675</v>
      </c>
      <c r="C1282" s="16" t="s">
        <v>1705</v>
      </c>
      <c r="D1282" s="16" t="s">
        <v>324</v>
      </c>
      <c r="E1282" s="16" t="s">
        <v>404</v>
      </c>
      <c r="F1282" s="16" t="s">
        <v>790</v>
      </c>
      <c r="G1282" s="16">
        <v>0.8</v>
      </c>
      <c r="H1282" s="16">
        <v>2704</v>
      </c>
      <c r="I1282" s="16">
        <v>113</v>
      </c>
      <c r="J1282" s="16">
        <v>112</v>
      </c>
      <c r="K1282" s="16">
        <v>6.2967816205525299E-3</v>
      </c>
      <c r="L1282" s="16">
        <v>7.8776195595074899E-2</v>
      </c>
      <c r="M1282" s="16">
        <v>7.9932542730537806E-2</v>
      </c>
      <c r="N1282" s="16">
        <v>111</v>
      </c>
      <c r="O1282" s="16">
        <v>0.93643484092763196</v>
      </c>
      <c r="P1282" s="16"/>
      <c r="Q1282" s="16"/>
      <c r="R1282" s="16"/>
      <c r="S1282" s="16"/>
      <c r="T1282" s="16"/>
      <c r="U1282" s="16"/>
      <c r="V1282" s="16"/>
      <c r="W1282" s="16"/>
      <c r="X1282" s="16"/>
      <c r="Y1282" s="16"/>
      <c r="Z1282" s="16"/>
      <c r="AA1282" s="16"/>
      <c r="AB1282" s="16"/>
      <c r="AC1282" s="16"/>
      <c r="AD1282" s="16"/>
      <c r="AE1282" s="16"/>
      <c r="AF1282" s="16"/>
      <c r="AG1282" s="16"/>
      <c r="AH1282" s="16" t="s">
        <v>402</v>
      </c>
      <c r="AI1282" s="16"/>
      <c r="AJ1282" s="16" t="s">
        <v>1829</v>
      </c>
    </row>
    <row r="1283" spans="1:36" ht="15" customHeight="1" x14ac:dyDescent="0.3">
      <c r="A1283" s="16" t="s">
        <v>273</v>
      </c>
      <c r="B1283" s="16" t="s">
        <v>677</v>
      </c>
      <c r="C1283" s="16" t="s">
        <v>1705</v>
      </c>
      <c r="D1283" s="16" t="s">
        <v>324</v>
      </c>
      <c r="E1283" s="16" t="s">
        <v>404</v>
      </c>
      <c r="F1283" s="16" t="s">
        <v>790</v>
      </c>
      <c r="G1283" s="16">
        <v>0.8</v>
      </c>
      <c r="H1283" s="16">
        <v>2704</v>
      </c>
      <c r="I1283" s="16">
        <v>113</v>
      </c>
      <c r="J1283" s="16">
        <v>112</v>
      </c>
      <c r="K1283" s="16">
        <v>2.9262062763948E-2</v>
      </c>
      <c r="L1283" s="16">
        <v>9.3896274474028693E-2</v>
      </c>
      <c r="M1283" s="16">
        <v>0.311642425941422</v>
      </c>
      <c r="N1283" s="16">
        <v>110</v>
      </c>
      <c r="O1283" s="16">
        <v>0.75590217792431602</v>
      </c>
      <c r="P1283" s="16"/>
      <c r="Q1283" s="16"/>
      <c r="R1283" s="16"/>
      <c r="S1283" s="16"/>
      <c r="T1283" s="16"/>
      <c r="U1283" s="16"/>
      <c r="V1283" s="16"/>
      <c r="W1283" s="16"/>
      <c r="X1283" s="16"/>
      <c r="Y1283" s="16"/>
      <c r="Z1283" s="16"/>
      <c r="AA1283" s="16"/>
      <c r="AB1283" s="16"/>
      <c r="AC1283" s="16"/>
      <c r="AD1283" s="16"/>
      <c r="AE1283" s="16"/>
      <c r="AF1283" s="16"/>
      <c r="AG1283" s="16"/>
      <c r="AH1283" s="16" t="s">
        <v>402</v>
      </c>
      <c r="AI1283" s="16"/>
      <c r="AJ1283" s="16" t="s">
        <v>1830</v>
      </c>
    </row>
    <row r="1284" spans="1:36" ht="15" customHeight="1" x14ac:dyDescent="0.3">
      <c r="A1284" s="16" t="s">
        <v>273</v>
      </c>
      <c r="B1284" s="16" t="s">
        <v>679</v>
      </c>
      <c r="C1284" s="16" t="s">
        <v>1705</v>
      </c>
      <c r="D1284" s="16" t="s">
        <v>324</v>
      </c>
      <c r="E1284" s="16" t="s">
        <v>404</v>
      </c>
      <c r="F1284" s="16" t="s">
        <v>790</v>
      </c>
      <c r="G1284" s="16">
        <v>0.8</v>
      </c>
      <c r="H1284" s="16">
        <v>2704</v>
      </c>
      <c r="I1284" s="16">
        <v>113</v>
      </c>
      <c r="J1284" s="16">
        <v>112</v>
      </c>
      <c r="K1284" s="16">
        <v>3.3386121562761897E-2</v>
      </c>
      <c r="L1284" s="16">
        <v>9.9830478841094306E-2</v>
      </c>
      <c r="M1284" s="16">
        <v>0.33442814208979699</v>
      </c>
      <c r="N1284" s="16">
        <v>110</v>
      </c>
      <c r="O1284" s="16">
        <v>0.73869330588347104</v>
      </c>
      <c r="P1284" s="16"/>
      <c r="Q1284" s="16"/>
      <c r="R1284" s="16"/>
      <c r="S1284" s="16"/>
      <c r="T1284" s="16"/>
      <c r="U1284" s="16"/>
      <c r="V1284" s="16"/>
      <c r="W1284" s="16"/>
      <c r="X1284" s="16"/>
      <c r="Y1284" s="16"/>
      <c r="Z1284" s="16"/>
      <c r="AA1284" s="16"/>
      <c r="AB1284" s="16"/>
      <c r="AC1284" s="16"/>
      <c r="AD1284" s="16"/>
      <c r="AE1284" s="16"/>
      <c r="AF1284" s="16"/>
      <c r="AG1284" s="16"/>
      <c r="AH1284" s="16" t="s">
        <v>402</v>
      </c>
      <c r="AI1284" s="16"/>
      <c r="AJ1284" s="16" t="s">
        <v>1831</v>
      </c>
    </row>
    <row r="1285" spans="1:36" ht="15" customHeight="1" x14ac:dyDescent="0.3">
      <c r="A1285" s="16" t="s">
        <v>273</v>
      </c>
      <c r="B1285" s="16" t="s">
        <v>681</v>
      </c>
      <c r="C1285" s="16" t="s">
        <v>1705</v>
      </c>
      <c r="D1285" s="16" t="s">
        <v>324</v>
      </c>
      <c r="E1285" s="16" t="s">
        <v>404</v>
      </c>
      <c r="F1285" s="16" t="s">
        <v>790</v>
      </c>
      <c r="G1285" s="16">
        <v>0.8</v>
      </c>
      <c r="H1285" s="16">
        <v>2704</v>
      </c>
      <c r="I1285" s="16">
        <v>113</v>
      </c>
      <c r="J1285" s="16">
        <v>112</v>
      </c>
      <c r="K1285" s="16">
        <v>-7.2111238265588601E-2</v>
      </c>
      <c r="L1285" s="16">
        <v>6.6481787892885794E-2</v>
      </c>
      <c r="M1285" s="16">
        <v>-1.0846765791222801</v>
      </c>
      <c r="N1285" s="16">
        <v>111</v>
      </c>
      <c r="O1285" s="16">
        <v>0.28041517692361301</v>
      </c>
      <c r="P1285" s="16"/>
      <c r="Q1285" s="16"/>
      <c r="R1285" s="16"/>
      <c r="S1285" s="16"/>
      <c r="T1285" s="16"/>
      <c r="U1285" s="16"/>
      <c r="V1285" s="16"/>
      <c r="W1285" s="16"/>
      <c r="X1285" s="16"/>
      <c r="Y1285" s="16"/>
      <c r="Z1285" s="16"/>
      <c r="AA1285" s="16"/>
      <c r="AB1285" s="16"/>
      <c r="AC1285" s="16"/>
      <c r="AD1285" s="16"/>
      <c r="AE1285" s="16"/>
      <c r="AF1285" s="16"/>
      <c r="AG1285" s="16"/>
      <c r="AH1285" s="16" t="s">
        <v>402</v>
      </c>
      <c r="AI1285" s="16"/>
      <c r="AJ1285" s="16" t="s">
        <v>1832</v>
      </c>
    </row>
    <row r="1286" spans="1:36" ht="15" customHeight="1" x14ac:dyDescent="0.3">
      <c r="A1286" s="16" t="s">
        <v>273</v>
      </c>
      <c r="B1286" s="16" t="s">
        <v>683</v>
      </c>
      <c r="C1286" s="16" t="s">
        <v>1705</v>
      </c>
      <c r="D1286" s="16" t="s">
        <v>324</v>
      </c>
      <c r="E1286" s="16" t="s">
        <v>404</v>
      </c>
      <c r="F1286" s="16" t="s">
        <v>790</v>
      </c>
      <c r="G1286" s="16">
        <v>0.8</v>
      </c>
      <c r="H1286" s="16">
        <v>2704</v>
      </c>
      <c r="I1286" s="16">
        <v>113</v>
      </c>
      <c r="J1286" s="16">
        <v>112</v>
      </c>
      <c r="K1286" s="16">
        <v>3.7561138587200303E-2</v>
      </c>
      <c r="L1286" s="16">
        <v>6.3826061429837003E-2</v>
      </c>
      <c r="M1286" s="16">
        <v>0.588492188703993</v>
      </c>
      <c r="N1286" s="16">
        <v>111</v>
      </c>
      <c r="O1286" s="16">
        <v>0.55739755888957299</v>
      </c>
      <c r="P1286" s="16"/>
      <c r="Q1286" s="16"/>
      <c r="R1286" s="16"/>
      <c r="S1286" s="16"/>
      <c r="T1286" s="16"/>
      <c r="U1286" s="16"/>
      <c r="V1286" s="16"/>
      <c r="W1286" s="16"/>
      <c r="X1286" s="16"/>
      <c r="Y1286" s="16"/>
      <c r="Z1286" s="16"/>
      <c r="AA1286" s="16"/>
      <c r="AB1286" s="16"/>
      <c r="AC1286" s="16"/>
      <c r="AD1286" s="16"/>
      <c r="AE1286" s="16"/>
      <c r="AF1286" s="16"/>
      <c r="AG1286" s="16"/>
      <c r="AH1286" s="16" t="s">
        <v>402</v>
      </c>
      <c r="AI1286" s="16"/>
      <c r="AJ1286" s="16" t="s">
        <v>1833</v>
      </c>
    </row>
    <row r="1287" spans="1:36" ht="15" customHeight="1" x14ac:dyDescent="0.3">
      <c r="A1287" s="16" t="s">
        <v>273</v>
      </c>
      <c r="B1287" s="16" t="s">
        <v>685</v>
      </c>
      <c r="C1287" s="16" t="s">
        <v>1705</v>
      </c>
      <c r="D1287" s="16" t="s">
        <v>324</v>
      </c>
      <c r="E1287" s="16" t="s">
        <v>404</v>
      </c>
      <c r="F1287" s="16" t="s">
        <v>790</v>
      </c>
      <c r="G1287" s="16">
        <v>0.8</v>
      </c>
      <c r="H1287" s="16">
        <v>2704</v>
      </c>
      <c r="I1287" s="16">
        <v>113</v>
      </c>
      <c r="J1287" s="16">
        <v>112</v>
      </c>
      <c r="K1287" s="16">
        <v>2.9628640106659498E-2</v>
      </c>
      <c r="L1287" s="16">
        <v>6.38140817180161E-2</v>
      </c>
      <c r="M1287" s="16">
        <v>0.464296269866947</v>
      </c>
      <c r="N1287" s="16">
        <v>111</v>
      </c>
      <c r="O1287" s="16">
        <v>0.64334484487292898</v>
      </c>
      <c r="P1287" s="16"/>
      <c r="Q1287" s="16"/>
      <c r="R1287" s="16"/>
      <c r="S1287" s="16"/>
      <c r="T1287" s="16"/>
      <c r="U1287" s="16"/>
      <c r="V1287" s="16"/>
      <c r="W1287" s="16"/>
      <c r="X1287" s="16"/>
      <c r="Y1287" s="16"/>
      <c r="Z1287" s="16"/>
      <c r="AA1287" s="16"/>
      <c r="AB1287" s="16"/>
      <c r="AC1287" s="16"/>
      <c r="AD1287" s="16"/>
      <c r="AE1287" s="16"/>
      <c r="AF1287" s="16"/>
      <c r="AG1287" s="16"/>
      <c r="AH1287" s="16" t="s">
        <v>402</v>
      </c>
      <c r="AI1287" s="16"/>
      <c r="AJ1287" s="16" t="s">
        <v>1834</v>
      </c>
    </row>
    <row r="1288" spans="1:36" ht="15" customHeight="1" x14ac:dyDescent="0.3">
      <c r="A1288" s="16" t="s">
        <v>273</v>
      </c>
      <c r="B1288" s="16" t="s">
        <v>687</v>
      </c>
      <c r="C1288" s="16" t="s">
        <v>1705</v>
      </c>
      <c r="D1288" s="16" t="s">
        <v>324</v>
      </c>
      <c r="E1288" s="16" t="s">
        <v>404</v>
      </c>
      <c r="F1288" s="16" t="s">
        <v>790</v>
      </c>
      <c r="G1288" s="16">
        <v>0.8</v>
      </c>
      <c r="H1288" s="16">
        <v>929</v>
      </c>
      <c r="I1288" s="16">
        <v>40</v>
      </c>
      <c r="J1288" s="16">
        <v>40</v>
      </c>
      <c r="K1288" s="16">
        <v>-3.2647265787539501E-2</v>
      </c>
      <c r="L1288" s="16">
        <v>3.8483429930013198E-2</v>
      </c>
      <c r="M1288" s="16">
        <v>-0.84834605041475097</v>
      </c>
      <c r="N1288" s="16">
        <v>38</v>
      </c>
      <c r="O1288" s="16">
        <v>0.40155768318913498</v>
      </c>
      <c r="P1288" s="16"/>
      <c r="Q1288" s="16"/>
      <c r="R1288" s="16"/>
      <c r="S1288" s="16"/>
      <c r="T1288" s="16"/>
      <c r="U1288" s="16"/>
      <c r="V1288" s="16"/>
      <c r="W1288" s="16"/>
      <c r="X1288" s="16"/>
      <c r="Y1288" s="16"/>
      <c r="Z1288" s="16"/>
      <c r="AA1288" s="16"/>
      <c r="AB1288" s="16"/>
      <c r="AC1288" s="16"/>
      <c r="AD1288" s="16"/>
      <c r="AE1288" s="16"/>
      <c r="AF1288" s="16"/>
      <c r="AG1288" s="16"/>
      <c r="AH1288" s="16" t="s">
        <v>402</v>
      </c>
      <c r="AI1288" s="16"/>
      <c r="AJ1288" s="16" t="s">
        <v>1835</v>
      </c>
    </row>
    <row r="1289" spans="1:36" ht="15" customHeight="1" x14ac:dyDescent="0.3">
      <c r="A1289" s="16" t="s">
        <v>273</v>
      </c>
      <c r="B1289" s="16" t="s">
        <v>689</v>
      </c>
      <c r="C1289" s="16" t="s">
        <v>1705</v>
      </c>
      <c r="D1289" s="16" t="s">
        <v>324</v>
      </c>
      <c r="E1289" s="16" t="s">
        <v>404</v>
      </c>
      <c r="F1289" s="16" t="s">
        <v>790</v>
      </c>
      <c r="G1289" s="16">
        <v>0.8</v>
      </c>
      <c r="H1289" s="16">
        <v>2691</v>
      </c>
      <c r="I1289" s="16">
        <v>113</v>
      </c>
      <c r="J1289" s="16">
        <v>112</v>
      </c>
      <c r="K1289" s="16">
        <v>-1.5336497482651E-2</v>
      </c>
      <c r="L1289" s="16">
        <v>2.2847140026355399E-2</v>
      </c>
      <c r="M1289" s="16">
        <v>-0.67126552666809003</v>
      </c>
      <c r="N1289" s="16">
        <v>111</v>
      </c>
      <c r="O1289" s="16">
        <v>0.50344592499738305</v>
      </c>
      <c r="P1289" s="16"/>
      <c r="Q1289" s="16"/>
      <c r="R1289" s="16"/>
      <c r="S1289" s="16"/>
      <c r="T1289" s="16"/>
      <c r="U1289" s="16"/>
      <c r="V1289" s="16"/>
      <c r="W1289" s="16"/>
      <c r="X1289" s="16"/>
      <c r="Y1289" s="16"/>
      <c r="Z1289" s="16"/>
      <c r="AA1289" s="16"/>
      <c r="AB1289" s="16"/>
      <c r="AC1289" s="16"/>
      <c r="AD1289" s="16"/>
      <c r="AE1289" s="16"/>
      <c r="AF1289" s="16"/>
      <c r="AG1289" s="16"/>
      <c r="AH1289" s="16" t="s">
        <v>402</v>
      </c>
      <c r="AI1289" s="16"/>
      <c r="AJ1289" s="16" t="s">
        <v>1836</v>
      </c>
    </row>
    <row r="1290" spans="1:36" ht="15" customHeight="1" x14ac:dyDescent="0.3">
      <c r="A1290" s="16" t="s">
        <v>273</v>
      </c>
      <c r="B1290" s="16" t="s">
        <v>691</v>
      </c>
      <c r="C1290" s="16" t="s">
        <v>1705</v>
      </c>
      <c r="D1290" s="16" t="s">
        <v>324</v>
      </c>
      <c r="E1290" s="16" t="s">
        <v>404</v>
      </c>
      <c r="F1290" s="16" t="s">
        <v>790</v>
      </c>
      <c r="G1290" s="16">
        <v>0.8</v>
      </c>
      <c r="H1290" s="16">
        <v>2691</v>
      </c>
      <c r="I1290" s="16">
        <v>113</v>
      </c>
      <c r="J1290" s="16">
        <v>112</v>
      </c>
      <c r="K1290" s="16">
        <v>-3.06843074837953E-2</v>
      </c>
      <c r="L1290" s="16">
        <v>2.4113241130969802E-2</v>
      </c>
      <c r="M1290" s="16">
        <v>-1.27250863196428</v>
      </c>
      <c r="N1290" s="16">
        <v>111</v>
      </c>
      <c r="O1290" s="16">
        <v>0.20585156050416301</v>
      </c>
      <c r="P1290" s="16"/>
      <c r="Q1290" s="16"/>
      <c r="R1290" s="16"/>
      <c r="S1290" s="16"/>
      <c r="T1290" s="16"/>
      <c r="U1290" s="16"/>
      <c r="V1290" s="16"/>
      <c r="W1290" s="16"/>
      <c r="X1290" s="16"/>
      <c r="Y1290" s="16"/>
      <c r="Z1290" s="16"/>
      <c r="AA1290" s="16"/>
      <c r="AB1290" s="16"/>
      <c r="AC1290" s="16"/>
      <c r="AD1290" s="16"/>
      <c r="AE1290" s="16"/>
      <c r="AF1290" s="16"/>
      <c r="AG1290" s="16"/>
      <c r="AH1290" s="16" t="s">
        <v>402</v>
      </c>
      <c r="AI1290" s="16"/>
      <c r="AJ1290" s="16" t="s">
        <v>1837</v>
      </c>
    </row>
    <row r="1291" spans="1:36" ht="15" customHeight="1" x14ac:dyDescent="0.3">
      <c r="A1291" s="16" t="s">
        <v>273</v>
      </c>
      <c r="B1291" s="16" t="s">
        <v>693</v>
      </c>
      <c r="C1291" s="16" t="s">
        <v>1705</v>
      </c>
      <c r="D1291" s="16" t="s">
        <v>324</v>
      </c>
      <c r="E1291" s="16" t="s">
        <v>404</v>
      </c>
      <c r="F1291" s="16" t="s">
        <v>790</v>
      </c>
      <c r="G1291" s="16">
        <v>0.8</v>
      </c>
      <c r="H1291" s="16">
        <v>2691</v>
      </c>
      <c r="I1291" s="16">
        <v>113</v>
      </c>
      <c r="J1291" s="16">
        <v>112</v>
      </c>
      <c r="K1291" s="16">
        <v>-1.79917720097546E-2</v>
      </c>
      <c r="L1291" s="16">
        <v>2.43753696919605E-2</v>
      </c>
      <c r="M1291" s="16">
        <v>-0.73811278504172295</v>
      </c>
      <c r="N1291" s="16">
        <v>110</v>
      </c>
      <c r="O1291" s="16">
        <v>0.46201771823529603</v>
      </c>
      <c r="P1291" s="16"/>
      <c r="Q1291" s="16"/>
      <c r="R1291" s="16"/>
      <c r="S1291" s="16"/>
      <c r="T1291" s="16"/>
      <c r="U1291" s="16"/>
      <c r="V1291" s="16"/>
      <c r="W1291" s="16"/>
      <c r="X1291" s="16"/>
      <c r="Y1291" s="16"/>
      <c r="Z1291" s="16"/>
      <c r="AA1291" s="16"/>
      <c r="AB1291" s="16"/>
      <c r="AC1291" s="16"/>
      <c r="AD1291" s="16"/>
      <c r="AE1291" s="16"/>
      <c r="AF1291" s="16"/>
      <c r="AG1291" s="16"/>
      <c r="AH1291" s="16" t="s">
        <v>402</v>
      </c>
      <c r="AI1291" s="16"/>
      <c r="AJ1291" s="16" t="s">
        <v>1838</v>
      </c>
    </row>
    <row r="1292" spans="1:36" ht="15" customHeight="1" x14ac:dyDescent="0.3">
      <c r="A1292" s="16" t="s">
        <v>273</v>
      </c>
      <c r="B1292" s="16" t="s">
        <v>695</v>
      </c>
      <c r="C1292" s="16" t="s">
        <v>1705</v>
      </c>
      <c r="D1292" s="16" t="s">
        <v>324</v>
      </c>
      <c r="E1292" s="16" t="s">
        <v>404</v>
      </c>
      <c r="F1292" s="16" t="s">
        <v>790</v>
      </c>
      <c r="G1292" s="16">
        <v>0.8</v>
      </c>
      <c r="H1292" s="16">
        <v>2691</v>
      </c>
      <c r="I1292" s="16">
        <v>113</v>
      </c>
      <c r="J1292" s="16">
        <v>112</v>
      </c>
      <c r="K1292" s="16">
        <v>-3.3322788086867998E-2</v>
      </c>
      <c r="L1292" s="16">
        <v>2.52044959887428E-2</v>
      </c>
      <c r="M1292" s="16">
        <v>-1.32209698229043</v>
      </c>
      <c r="N1292" s="16">
        <v>111</v>
      </c>
      <c r="O1292" s="16">
        <v>0.18885385891105799</v>
      </c>
      <c r="P1292" s="16"/>
      <c r="Q1292" s="16"/>
      <c r="R1292" s="16"/>
      <c r="S1292" s="16"/>
      <c r="T1292" s="16"/>
      <c r="U1292" s="16"/>
      <c r="V1292" s="16"/>
      <c r="W1292" s="16"/>
      <c r="X1292" s="16"/>
      <c r="Y1292" s="16"/>
      <c r="Z1292" s="16"/>
      <c r="AA1292" s="16"/>
      <c r="AB1292" s="16"/>
      <c r="AC1292" s="16"/>
      <c r="AD1292" s="16"/>
      <c r="AE1292" s="16"/>
      <c r="AF1292" s="16"/>
      <c r="AG1292" s="16"/>
      <c r="AH1292" s="16" t="s">
        <v>402</v>
      </c>
      <c r="AI1292" s="16"/>
      <c r="AJ1292" s="16" t="s">
        <v>1839</v>
      </c>
    </row>
    <row r="1293" spans="1:36" ht="15" customHeight="1" x14ac:dyDescent="0.3">
      <c r="A1293" s="16" t="s">
        <v>273</v>
      </c>
      <c r="B1293" s="16" t="s">
        <v>697</v>
      </c>
      <c r="C1293" s="16" t="s">
        <v>1705</v>
      </c>
      <c r="D1293" s="16" t="s">
        <v>324</v>
      </c>
      <c r="E1293" s="16" t="s">
        <v>404</v>
      </c>
      <c r="F1293" s="16" t="s">
        <v>790</v>
      </c>
      <c r="G1293" s="16">
        <v>0.8</v>
      </c>
      <c r="H1293" s="16">
        <v>2691</v>
      </c>
      <c r="I1293" s="16">
        <v>113</v>
      </c>
      <c r="J1293" s="16">
        <v>112</v>
      </c>
      <c r="K1293" s="16">
        <v>-8.8470237816081106E-3</v>
      </c>
      <c r="L1293" s="16">
        <v>3.0245053860871399E-2</v>
      </c>
      <c r="M1293" s="16">
        <v>-0.29251142425815602</v>
      </c>
      <c r="N1293" s="16">
        <v>110</v>
      </c>
      <c r="O1293" s="16">
        <v>0.77044665350533503</v>
      </c>
      <c r="P1293" s="16"/>
      <c r="Q1293" s="16"/>
      <c r="R1293" s="16"/>
      <c r="S1293" s="16"/>
      <c r="T1293" s="16"/>
      <c r="U1293" s="16"/>
      <c r="V1293" s="16"/>
      <c r="W1293" s="16"/>
      <c r="X1293" s="16"/>
      <c r="Y1293" s="16"/>
      <c r="Z1293" s="16"/>
      <c r="AA1293" s="16"/>
      <c r="AB1293" s="16"/>
      <c r="AC1293" s="16"/>
      <c r="AD1293" s="16"/>
      <c r="AE1293" s="16"/>
      <c r="AF1293" s="16"/>
      <c r="AG1293" s="16"/>
      <c r="AH1293" s="16" t="s">
        <v>402</v>
      </c>
      <c r="AI1293" s="16"/>
      <c r="AJ1293" s="16" t="s">
        <v>1840</v>
      </c>
    </row>
    <row r="1294" spans="1:36" ht="15" customHeight="1" x14ac:dyDescent="0.3">
      <c r="A1294" s="16" t="s">
        <v>273</v>
      </c>
      <c r="B1294" s="16" t="s">
        <v>699</v>
      </c>
      <c r="C1294" s="16" t="s">
        <v>1705</v>
      </c>
      <c r="D1294" s="16" t="s">
        <v>324</v>
      </c>
      <c r="E1294" s="16" t="s">
        <v>404</v>
      </c>
      <c r="F1294" s="16" t="s">
        <v>790</v>
      </c>
      <c r="G1294" s="16">
        <v>0.8</v>
      </c>
      <c r="H1294" s="16">
        <v>2691</v>
      </c>
      <c r="I1294" s="16">
        <v>113</v>
      </c>
      <c r="J1294" s="16">
        <v>112</v>
      </c>
      <c r="K1294" s="16">
        <v>-4.3845411539433499E-3</v>
      </c>
      <c r="L1294" s="16">
        <v>3.21730884043386E-2</v>
      </c>
      <c r="M1294" s="16">
        <v>-0.136279772051728</v>
      </c>
      <c r="N1294" s="16">
        <v>110</v>
      </c>
      <c r="O1294" s="16">
        <v>0.89184921325205802</v>
      </c>
      <c r="P1294" s="16"/>
      <c r="Q1294" s="16"/>
      <c r="R1294" s="16"/>
      <c r="S1294" s="16"/>
      <c r="T1294" s="16"/>
      <c r="U1294" s="16"/>
      <c r="V1294" s="16"/>
      <c r="W1294" s="16"/>
      <c r="X1294" s="16"/>
      <c r="Y1294" s="16"/>
      <c r="Z1294" s="16"/>
      <c r="AA1294" s="16"/>
      <c r="AB1294" s="16"/>
      <c r="AC1294" s="16"/>
      <c r="AD1294" s="16"/>
      <c r="AE1294" s="16"/>
      <c r="AF1294" s="16"/>
      <c r="AG1294" s="16"/>
      <c r="AH1294" s="16" t="s">
        <v>402</v>
      </c>
      <c r="AI1294" s="16"/>
      <c r="AJ1294" s="16" t="s">
        <v>1841</v>
      </c>
    </row>
    <row r="1295" spans="1:36" ht="15" customHeight="1" x14ac:dyDescent="0.3">
      <c r="A1295" s="16" t="s">
        <v>273</v>
      </c>
      <c r="B1295" s="16" t="s">
        <v>701</v>
      </c>
      <c r="C1295" s="16" t="s">
        <v>1705</v>
      </c>
      <c r="D1295" s="16" t="s">
        <v>324</v>
      </c>
      <c r="E1295" s="16" t="s">
        <v>404</v>
      </c>
      <c r="F1295" s="16" t="s">
        <v>790</v>
      </c>
      <c r="G1295" s="16">
        <v>0.8</v>
      </c>
      <c r="H1295" s="16">
        <v>2691</v>
      </c>
      <c r="I1295" s="16">
        <v>113</v>
      </c>
      <c r="J1295" s="16">
        <v>112</v>
      </c>
      <c r="K1295" s="16">
        <v>-2.7609596615564901E-2</v>
      </c>
      <c r="L1295" s="16">
        <v>2.1510707715660798E-2</v>
      </c>
      <c r="M1295" s="16">
        <v>-1.28352804475437</v>
      </c>
      <c r="N1295" s="16">
        <v>111</v>
      </c>
      <c r="O1295" s="16">
        <v>0.201980226150894</v>
      </c>
      <c r="P1295" s="16"/>
      <c r="Q1295" s="16"/>
      <c r="R1295" s="16"/>
      <c r="S1295" s="16"/>
      <c r="T1295" s="16"/>
      <c r="U1295" s="16"/>
      <c r="V1295" s="16"/>
      <c r="W1295" s="16"/>
      <c r="X1295" s="16"/>
      <c r="Y1295" s="16"/>
      <c r="Z1295" s="16"/>
      <c r="AA1295" s="16"/>
      <c r="AB1295" s="16"/>
      <c r="AC1295" s="16"/>
      <c r="AD1295" s="16"/>
      <c r="AE1295" s="16"/>
      <c r="AF1295" s="16"/>
      <c r="AG1295" s="16"/>
      <c r="AH1295" s="16" t="s">
        <v>402</v>
      </c>
      <c r="AI1295" s="16"/>
      <c r="AJ1295" s="16" t="s">
        <v>1842</v>
      </c>
    </row>
    <row r="1296" spans="1:36" ht="15" customHeight="1" x14ac:dyDescent="0.3">
      <c r="A1296" s="16" t="s">
        <v>273</v>
      </c>
      <c r="B1296" s="16" t="s">
        <v>703</v>
      </c>
      <c r="C1296" s="16" t="s">
        <v>1705</v>
      </c>
      <c r="D1296" s="16" t="s">
        <v>324</v>
      </c>
      <c r="E1296" s="16" t="s">
        <v>404</v>
      </c>
      <c r="F1296" s="16" t="s">
        <v>790</v>
      </c>
      <c r="G1296" s="16">
        <v>0.8</v>
      </c>
      <c r="H1296" s="16">
        <v>2691</v>
      </c>
      <c r="I1296" s="16">
        <v>113</v>
      </c>
      <c r="J1296" s="16">
        <v>112</v>
      </c>
      <c r="K1296" s="16">
        <v>-2.9582693706388101E-2</v>
      </c>
      <c r="L1296" s="16">
        <v>2.0476082320658701E-2</v>
      </c>
      <c r="M1296" s="16">
        <v>-1.4447438354231299</v>
      </c>
      <c r="N1296" s="16">
        <v>111</v>
      </c>
      <c r="O1296" s="16">
        <v>0.15134688519975301</v>
      </c>
      <c r="P1296" s="16"/>
      <c r="Q1296" s="16"/>
      <c r="R1296" s="16"/>
      <c r="S1296" s="16"/>
      <c r="T1296" s="16"/>
      <c r="U1296" s="16"/>
      <c r="V1296" s="16"/>
      <c r="W1296" s="16"/>
      <c r="X1296" s="16"/>
      <c r="Y1296" s="16"/>
      <c r="Z1296" s="16"/>
      <c r="AA1296" s="16"/>
      <c r="AB1296" s="16"/>
      <c r="AC1296" s="16"/>
      <c r="AD1296" s="16"/>
      <c r="AE1296" s="16"/>
      <c r="AF1296" s="16"/>
      <c r="AG1296" s="16"/>
      <c r="AH1296" s="16" t="s">
        <v>402</v>
      </c>
      <c r="AI1296" s="16"/>
      <c r="AJ1296" s="16" t="s">
        <v>1843</v>
      </c>
    </row>
    <row r="1297" spans="1:36" ht="15" customHeight="1" x14ac:dyDescent="0.3">
      <c r="A1297" s="16" t="s">
        <v>273</v>
      </c>
      <c r="B1297" s="16" t="s">
        <v>705</v>
      </c>
      <c r="C1297" s="16" t="s">
        <v>1705</v>
      </c>
      <c r="D1297" s="16" t="s">
        <v>324</v>
      </c>
      <c r="E1297" s="16" t="s">
        <v>404</v>
      </c>
      <c r="F1297" s="16" t="s">
        <v>790</v>
      </c>
      <c r="G1297" s="16">
        <v>0.8</v>
      </c>
      <c r="H1297" s="16">
        <v>2691</v>
      </c>
      <c r="I1297" s="16">
        <v>113</v>
      </c>
      <c r="J1297" s="16">
        <v>112</v>
      </c>
      <c r="K1297" s="16">
        <v>-2.24687309869641E-2</v>
      </c>
      <c r="L1297" s="16">
        <v>2.0466240699801901E-2</v>
      </c>
      <c r="M1297" s="16">
        <v>-1.0978435813657601</v>
      </c>
      <c r="N1297" s="16">
        <v>111</v>
      </c>
      <c r="O1297" s="16">
        <v>0.274648573653549</v>
      </c>
      <c r="P1297" s="16"/>
      <c r="Q1297" s="16"/>
      <c r="R1297" s="16"/>
      <c r="S1297" s="16"/>
      <c r="T1297" s="16"/>
      <c r="U1297" s="16"/>
      <c r="V1297" s="16"/>
      <c r="W1297" s="16"/>
      <c r="X1297" s="16"/>
      <c r="Y1297" s="16"/>
      <c r="Z1297" s="16"/>
      <c r="AA1297" s="16"/>
      <c r="AB1297" s="16"/>
      <c r="AC1297" s="16"/>
      <c r="AD1297" s="16"/>
      <c r="AE1297" s="16"/>
      <c r="AF1297" s="16"/>
      <c r="AG1297" s="16"/>
      <c r="AH1297" s="16" t="s">
        <v>402</v>
      </c>
      <c r="AI1297" s="16"/>
      <c r="AJ1297" s="16" t="s">
        <v>1844</v>
      </c>
    </row>
    <row r="1298" spans="1:36" ht="15" customHeight="1" x14ac:dyDescent="0.3">
      <c r="A1298" s="16" t="s">
        <v>273</v>
      </c>
      <c r="B1298" s="16" t="s">
        <v>707</v>
      </c>
      <c r="C1298" s="16" t="s">
        <v>1705</v>
      </c>
      <c r="D1298" s="16" t="s">
        <v>324</v>
      </c>
      <c r="E1298" s="16" t="s">
        <v>404</v>
      </c>
      <c r="F1298" s="16" t="s">
        <v>790</v>
      </c>
      <c r="G1298" s="16">
        <v>0.8</v>
      </c>
      <c r="H1298" s="16">
        <v>924</v>
      </c>
      <c r="I1298" s="16">
        <v>40</v>
      </c>
      <c r="J1298" s="16">
        <v>40</v>
      </c>
      <c r="K1298" s="16">
        <v>-3.5566794446919597E-2</v>
      </c>
      <c r="L1298" s="16">
        <v>3.8419472458184598E-2</v>
      </c>
      <c r="M1298" s="16">
        <v>-0.92574916237150695</v>
      </c>
      <c r="N1298" s="16">
        <v>38</v>
      </c>
      <c r="O1298" s="16">
        <v>0.36041859323418102</v>
      </c>
      <c r="P1298" s="16"/>
      <c r="Q1298" s="16"/>
      <c r="R1298" s="16"/>
      <c r="S1298" s="16"/>
      <c r="T1298" s="16"/>
      <c r="U1298" s="16"/>
      <c r="V1298" s="16"/>
      <c r="W1298" s="16"/>
      <c r="X1298" s="16"/>
      <c r="Y1298" s="16"/>
      <c r="Z1298" s="16"/>
      <c r="AA1298" s="16"/>
      <c r="AB1298" s="16"/>
      <c r="AC1298" s="16"/>
      <c r="AD1298" s="16"/>
      <c r="AE1298" s="16"/>
      <c r="AF1298" s="16"/>
      <c r="AG1298" s="16"/>
      <c r="AH1298" s="16" t="s">
        <v>402</v>
      </c>
      <c r="AI1298" s="16"/>
      <c r="AJ1298" s="16" t="s">
        <v>1845</v>
      </c>
    </row>
    <row r="1299" spans="1:36" ht="15" customHeight="1" x14ac:dyDescent="0.3">
      <c r="A1299" s="16" t="s">
        <v>273</v>
      </c>
      <c r="B1299" s="16" t="s">
        <v>709</v>
      </c>
      <c r="C1299" s="16" t="s">
        <v>1705</v>
      </c>
      <c r="D1299" s="16" t="s">
        <v>324</v>
      </c>
      <c r="E1299" s="16" t="s">
        <v>404</v>
      </c>
      <c r="F1299" s="16" t="s">
        <v>790</v>
      </c>
      <c r="G1299" s="16">
        <v>0.8</v>
      </c>
      <c r="H1299" s="16">
        <v>2704</v>
      </c>
      <c r="I1299" s="16">
        <v>113</v>
      </c>
      <c r="J1299" s="16">
        <v>112</v>
      </c>
      <c r="K1299" s="16">
        <v>-1.1559580228348E-2</v>
      </c>
      <c r="L1299" s="16">
        <v>2.1740729881789499E-2</v>
      </c>
      <c r="M1299" s="16">
        <v>-0.53170157079365199</v>
      </c>
      <c r="N1299" s="16">
        <v>111</v>
      </c>
      <c r="O1299" s="16">
        <v>0.59599521918006404</v>
      </c>
      <c r="P1299" s="16"/>
      <c r="Q1299" s="16"/>
      <c r="R1299" s="16"/>
      <c r="S1299" s="16"/>
      <c r="T1299" s="16"/>
      <c r="U1299" s="16"/>
      <c r="V1299" s="16"/>
      <c r="W1299" s="16"/>
      <c r="X1299" s="16"/>
      <c r="Y1299" s="16"/>
      <c r="Z1299" s="16"/>
      <c r="AA1299" s="16"/>
      <c r="AB1299" s="16"/>
      <c r="AC1299" s="16"/>
      <c r="AD1299" s="16"/>
      <c r="AE1299" s="16"/>
      <c r="AF1299" s="16"/>
      <c r="AG1299" s="16"/>
      <c r="AH1299" s="16" t="s">
        <v>402</v>
      </c>
      <c r="AI1299" s="16"/>
      <c r="AJ1299" s="16" t="s">
        <v>1846</v>
      </c>
    </row>
    <row r="1300" spans="1:36" ht="15" customHeight="1" x14ac:dyDescent="0.3">
      <c r="A1300" s="16" t="s">
        <v>273</v>
      </c>
      <c r="B1300" s="16" t="s">
        <v>711</v>
      </c>
      <c r="C1300" s="16" t="s">
        <v>1705</v>
      </c>
      <c r="D1300" s="16" t="s">
        <v>324</v>
      </c>
      <c r="E1300" s="16" t="s">
        <v>404</v>
      </c>
      <c r="F1300" s="16" t="s">
        <v>790</v>
      </c>
      <c r="G1300" s="16">
        <v>0.8</v>
      </c>
      <c r="H1300" s="16">
        <v>2704</v>
      </c>
      <c r="I1300" s="16">
        <v>113</v>
      </c>
      <c r="J1300" s="16">
        <v>112</v>
      </c>
      <c r="K1300" s="16">
        <v>-2.2889830720473799E-2</v>
      </c>
      <c r="L1300" s="16">
        <v>2.29967520768368E-2</v>
      </c>
      <c r="M1300" s="16">
        <v>-0.99535058881333405</v>
      </c>
      <c r="N1300" s="16">
        <v>111</v>
      </c>
      <c r="O1300" s="16">
        <v>0.321730659964647</v>
      </c>
      <c r="P1300" s="16"/>
      <c r="Q1300" s="16"/>
      <c r="R1300" s="16"/>
      <c r="S1300" s="16"/>
      <c r="T1300" s="16"/>
      <c r="U1300" s="16"/>
      <c r="V1300" s="16"/>
      <c r="W1300" s="16"/>
      <c r="X1300" s="16"/>
      <c r="Y1300" s="16"/>
      <c r="Z1300" s="16"/>
      <c r="AA1300" s="16"/>
      <c r="AB1300" s="16"/>
      <c r="AC1300" s="16"/>
      <c r="AD1300" s="16"/>
      <c r="AE1300" s="16"/>
      <c r="AF1300" s="16"/>
      <c r="AG1300" s="16"/>
      <c r="AH1300" s="16" t="s">
        <v>402</v>
      </c>
      <c r="AI1300" s="16"/>
      <c r="AJ1300" s="16" t="s">
        <v>1847</v>
      </c>
    </row>
    <row r="1301" spans="1:36" ht="15" customHeight="1" x14ac:dyDescent="0.3">
      <c r="A1301" s="16" t="s">
        <v>273</v>
      </c>
      <c r="B1301" s="16" t="s">
        <v>713</v>
      </c>
      <c r="C1301" s="16" t="s">
        <v>1705</v>
      </c>
      <c r="D1301" s="16" t="s">
        <v>324</v>
      </c>
      <c r="E1301" s="16" t="s">
        <v>404</v>
      </c>
      <c r="F1301" s="16" t="s">
        <v>790</v>
      </c>
      <c r="G1301" s="16">
        <v>0.8</v>
      </c>
      <c r="H1301" s="16">
        <v>2704</v>
      </c>
      <c r="I1301" s="16">
        <v>113</v>
      </c>
      <c r="J1301" s="16">
        <v>112</v>
      </c>
      <c r="K1301" s="16">
        <v>-1.5263896285369101E-2</v>
      </c>
      <c r="L1301" s="16">
        <v>2.3194714463616799E-2</v>
      </c>
      <c r="M1301" s="16">
        <v>-0.65807649019831604</v>
      </c>
      <c r="N1301" s="16">
        <v>110</v>
      </c>
      <c r="O1301" s="16">
        <v>0.51186388058744303</v>
      </c>
      <c r="P1301" s="16"/>
      <c r="Q1301" s="16"/>
      <c r="R1301" s="16"/>
      <c r="S1301" s="16"/>
      <c r="T1301" s="16"/>
      <c r="U1301" s="16"/>
      <c r="V1301" s="16"/>
      <c r="W1301" s="16"/>
      <c r="X1301" s="16"/>
      <c r="Y1301" s="16"/>
      <c r="Z1301" s="16"/>
      <c r="AA1301" s="16"/>
      <c r="AB1301" s="16"/>
      <c r="AC1301" s="16"/>
      <c r="AD1301" s="16"/>
      <c r="AE1301" s="16"/>
      <c r="AF1301" s="16"/>
      <c r="AG1301" s="16"/>
      <c r="AH1301" s="16" t="s">
        <v>402</v>
      </c>
      <c r="AI1301" s="16"/>
      <c r="AJ1301" s="16" t="s">
        <v>1848</v>
      </c>
    </row>
    <row r="1302" spans="1:36" ht="15" customHeight="1" x14ac:dyDescent="0.3">
      <c r="A1302" s="16" t="s">
        <v>273</v>
      </c>
      <c r="B1302" s="16" t="s">
        <v>715</v>
      </c>
      <c r="C1302" s="16" t="s">
        <v>1705</v>
      </c>
      <c r="D1302" s="16" t="s">
        <v>324</v>
      </c>
      <c r="E1302" s="16" t="s">
        <v>404</v>
      </c>
      <c r="F1302" s="16" t="s">
        <v>790</v>
      </c>
      <c r="G1302" s="16">
        <v>0.8</v>
      </c>
      <c r="H1302" s="16">
        <v>2704</v>
      </c>
      <c r="I1302" s="16">
        <v>113</v>
      </c>
      <c r="J1302" s="16">
        <v>112</v>
      </c>
      <c r="K1302" s="16">
        <v>-2.6132301485399599E-2</v>
      </c>
      <c r="L1302" s="16">
        <v>2.40324170738472E-2</v>
      </c>
      <c r="M1302" s="16">
        <v>-1.08737716248432</v>
      </c>
      <c r="N1302" s="16">
        <v>111</v>
      </c>
      <c r="O1302" s="16">
        <v>0.27922568840152001</v>
      </c>
      <c r="P1302" s="16"/>
      <c r="Q1302" s="16"/>
      <c r="R1302" s="16"/>
      <c r="S1302" s="16"/>
      <c r="T1302" s="16"/>
      <c r="U1302" s="16"/>
      <c r="V1302" s="16"/>
      <c r="W1302" s="16"/>
      <c r="X1302" s="16"/>
      <c r="Y1302" s="16"/>
      <c r="Z1302" s="16"/>
      <c r="AA1302" s="16"/>
      <c r="AB1302" s="16"/>
      <c r="AC1302" s="16"/>
      <c r="AD1302" s="16"/>
      <c r="AE1302" s="16"/>
      <c r="AF1302" s="16"/>
      <c r="AG1302" s="16"/>
      <c r="AH1302" s="16" t="s">
        <v>402</v>
      </c>
      <c r="AI1302" s="16"/>
      <c r="AJ1302" s="16" t="s">
        <v>1849</v>
      </c>
    </row>
    <row r="1303" spans="1:36" ht="15" customHeight="1" x14ac:dyDescent="0.3">
      <c r="A1303" s="16" t="s">
        <v>273</v>
      </c>
      <c r="B1303" s="16" t="s">
        <v>717</v>
      </c>
      <c r="C1303" s="16" t="s">
        <v>1705</v>
      </c>
      <c r="D1303" s="16" t="s">
        <v>324</v>
      </c>
      <c r="E1303" s="16" t="s">
        <v>404</v>
      </c>
      <c r="F1303" s="16" t="s">
        <v>790</v>
      </c>
      <c r="G1303" s="16">
        <v>0.8</v>
      </c>
      <c r="H1303" s="16">
        <v>2704</v>
      </c>
      <c r="I1303" s="16">
        <v>113</v>
      </c>
      <c r="J1303" s="16">
        <v>112</v>
      </c>
      <c r="K1303" s="16">
        <v>-3.6464316821576801E-3</v>
      </c>
      <c r="L1303" s="16">
        <v>2.8764968897337199E-2</v>
      </c>
      <c r="M1303" s="16">
        <v>-0.126766404482197</v>
      </c>
      <c r="N1303" s="16">
        <v>110</v>
      </c>
      <c r="O1303" s="16">
        <v>0.89935671709309595</v>
      </c>
      <c r="P1303" s="16"/>
      <c r="Q1303" s="16"/>
      <c r="R1303" s="16"/>
      <c r="S1303" s="16"/>
      <c r="T1303" s="16"/>
      <c r="U1303" s="16"/>
      <c r="V1303" s="16"/>
      <c r="W1303" s="16"/>
      <c r="X1303" s="16"/>
      <c r="Y1303" s="16"/>
      <c r="Z1303" s="16"/>
      <c r="AA1303" s="16"/>
      <c r="AB1303" s="16"/>
      <c r="AC1303" s="16"/>
      <c r="AD1303" s="16"/>
      <c r="AE1303" s="16"/>
      <c r="AF1303" s="16"/>
      <c r="AG1303" s="16"/>
      <c r="AH1303" s="16" t="s">
        <v>402</v>
      </c>
      <c r="AI1303" s="16"/>
      <c r="AJ1303" s="16" t="s">
        <v>1850</v>
      </c>
    </row>
    <row r="1304" spans="1:36" ht="15" customHeight="1" x14ac:dyDescent="0.3">
      <c r="A1304" s="16" t="s">
        <v>273</v>
      </c>
      <c r="B1304" s="16" t="s">
        <v>719</v>
      </c>
      <c r="C1304" s="16" t="s">
        <v>1705</v>
      </c>
      <c r="D1304" s="16" t="s">
        <v>324</v>
      </c>
      <c r="E1304" s="16" t="s">
        <v>404</v>
      </c>
      <c r="F1304" s="16" t="s">
        <v>790</v>
      </c>
      <c r="G1304" s="16">
        <v>0.8</v>
      </c>
      <c r="H1304" s="16">
        <v>2704</v>
      </c>
      <c r="I1304" s="16">
        <v>113</v>
      </c>
      <c r="J1304" s="16">
        <v>112</v>
      </c>
      <c r="K1304" s="16">
        <v>2.5078819237980801E-5</v>
      </c>
      <c r="L1304" s="16">
        <v>3.0592347657671701E-2</v>
      </c>
      <c r="M1304" s="16">
        <v>8.1977426245977603E-4</v>
      </c>
      <c r="N1304" s="16">
        <v>110</v>
      </c>
      <c r="O1304" s="16">
        <v>0.99934739969531605</v>
      </c>
      <c r="P1304" s="16"/>
      <c r="Q1304" s="16"/>
      <c r="R1304" s="16"/>
      <c r="S1304" s="16"/>
      <c r="T1304" s="16"/>
      <c r="U1304" s="16"/>
      <c r="V1304" s="16"/>
      <c r="W1304" s="16"/>
      <c r="X1304" s="16"/>
      <c r="Y1304" s="16"/>
      <c r="Z1304" s="16"/>
      <c r="AA1304" s="16"/>
      <c r="AB1304" s="16"/>
      <c r="AC1304" s="16"/>
      <c r="AD1304" s="16"/>
      <c r="AE1304" s="16"/>
      <c r="AF1304" s="16"/>
      <c r="AG1304" s="16"/>
      <c r="AH1304" s="16" t="s">
        <v>402</v>
      </c>
      <c r="AI1304" s="16"/>
      <c r="AJ1304" s="16" t="s">
        <v>1851</v>
      </c>
    </row>
    <row r="1305" spans="1:36" ht="15" customHeight="1" x14ac:dyDescent="0.3">
      <c r="A1305" s="16" t="s">
        <v>273</v>
      </c>
      <c r="B1305" s="16" t="s">
        <v>721</v>
      </c>
      <c r="C1305" s="16" t="s">
        <v>1705</v>
      </c>
      <c r="D1305" s="16" t="s">
        <v>324</v>
      </c>
      <c r="E1305" s="16" t="s">
        <v>404</v>
      </c>
      <c r="F1305" s="16" t="s">
        <v>790</v>
      </c>
      <c r="G1305" s="16">
        <v>0.8</v>
      </c>
      <c r="H1305" s="16">
        <v>2704</v>
      </c>
      <c r="I1305" s="16">
        <v>113</v>
      </c>
      <c r="J1305" s="16">
        <v>112</v>
      </c>
      <c r="K1305" s="16">
        <v>-2.2166637273569899E-2</v>
      </c>
      <c r="L1305" s="16">
        <v>2.0502108206779002E-2</v>
      </c>
      <c r="M1305" s="16">
        <v>-1.08118819050231</v>
      </c>
      <c r="N1305" s="16">
        <v>111</v>
      </c>
      <c r="O1305" s="16">
        <v>0.281956815996462</v>
      </c>
      <c r="P1305" s="16"/>
      <c r="Q1305" s="16"/>
      <c r="R1305" s="16"/>
      <c r="S1305" s="16"/>
      <c r="T1305" s="16"/>
      <c r="U1305" s="16"/>
      <c r="V1305" s="16"/>
      <c r="W1305" s="16"/>
      <c r="X1305" s="16"/>
      <c r="Y1305" s="16"/>
      <c r="Z1305" s="16"/>
      <c r="AA1305" s="16"/>
      <c r="AB1305" s="16"/>
      <c r="AC1305" s="16"/>
      <c r="AD1305" s="16"/>
      <c r="AE1305" s="16"/>
      <c r="AF1305" s="16"/>
      <c r="AG1305" s="16"/>
      <c r="AH1305" s="16" t="s">
        <v>402</v>
      </c>
      <c r="AI1305" s="16"/>
      <c r="AJ1305" s="16" t="s">
        <v>1852</v>
      </c>
    </row>
    <row r="1306" spans="1:36" ht="15" customHeight="1" x14ac:dyDescent="0.3">
      <c r="A1306" s="16" t="s">
        <v>273</v>
      </c>
      <c r="B1306" s="16" t="s">
        <v>723</v>
      </c>
      <c r="C1306" s="16" t="s">
        <v>1705</v>
      </c>
      <c r="D1306" s="16" t="s">
        <v>324</v>
      </c>
      <c r="E1306" s="16" t="s">
        <v>404</v>
      </c>
      <c r="F1306" s="16" t="s">
        <v>790</v>
      </c>
      <c r="G1306" s="16">
        <v>0.8</v>
      </c>
      <c r="H1306" s="16">
        <v>2704</v>
      </c>
      <c r="I1306" s="16">
        <v>113</v>
      </c>
      <c r="J1306" s="16">
        <v>112</v>
      </c>
      <c r="K1306" s="16">
        <v>-1.3370043076364401E-2</v>
      </c>
      <c r="L1306" s="16">
        <v>1.9619635338518199E-2</v>
      </c>
      <c r="M1306" s="16">
        <v>-0.68146236388582104</v>
      </c>
      <c r="N1306" s="16">
        <v>111</v>
      </c>
      <c r="O1306" s="16">
        <v>0.49699830395273598</v>
      </c>
      <c r="P1306" s="16"/>
      <c r="Q1306" s="16"/>
      <c r="R1306" s="16"/>
      <c r="S1306" s="16"/>
      <c r="T1306" s="16"/>
      <c r="U1306" s="16"/>
      <c r="V1306" s="16"/>
      <c r="W1306" s="16"/>
      <c r="X1306" s="16"/>
      <c r="Y1306" s="16"/>
      <c r="Z1306" s="16"/>
      <c r="AA1306" s="16"/>
      <c r="AB1306" s="16"/>
      <c r="AC1306" s="16"/>
      <c r="AD1306" s="16"/>
      <c r="AE1306" s="16"/>
      <c r="AF1306" s="16"/>
      <c r="AG1306" s="16"/>
      <c r="AH1306" s="16" t="s">
        <v>402</v>
      </c>
      <c r="AI1306" s="16"/>
      <c r="AJ1306" s="16" t="s">
        <v>1853</v>
      </c>
    </row>
    <row r="1307" spans="1:36" ht="15" customHeight="1" x14ac:dyDescent="0.3">
      <c r="A1307" s="16" t="s">
        <v>273</v>
      </c>
      <c r="B1307" s="16" t="s">
        <v>725</v>
      </c>
      <c r="C1307" s="16" t="s">
        <v>1705</v>
      </c>
      <c r="D1307" s="16" t="s">
        <v>324</v>
      </c>
      <c r="E1307" s="16" t="s">
        <v>404</v>
      </c>
      <c r="F1307" s="16" t="s">
        <v>790</v>
      </c>
      <c r="G1307" s="16">
        <v>0.8</v>
      </c>
      <c r="H1307" s="16">
        <v>2704</v>
      </c>
      <c r="I1307" s="16">
        <v>113</v>
      </c>
      <c r="J1307" s="16">
        <v>112</v>
      </c>
      <c r="K1307" s="16">
        <v>-1.01397261844705E-2</v>
      </c>
      <c r="L1307" s="16">
        <v>1.9542888554249301E-2</v>
      </c>
      <c r="M1307" s="16">
        <v>-0.51884480415080703</v>
      </c>
      <c r="N1307" s="16">
        <v>111</v>
      </c>
      <c r="O1307" s="16">
        <v>0.60490184631897603</v>
      </c>
      <c r="P1307" s="16"/>
      <c r="Q1307" s="16"/>
      <c r="R1307" s="16"/>
      <c r="S1307" s="16"/>
      <c r="T1307" s="16"/>
      <c r="U1307" s="16"/>
      <c r="V1307" s="16"/>
      <c r="W1307" s="16"/>
      <c r="X1307" s="16"/>
      <c r="Y1307" s="16"/>
      <c r="Z1307" s="16"/>
      <c r="AA1307" s="16"/>
      <c r="AB1307" s="16"/>
      <c r="AC1307" s="16"/>
      <c r="AD1307" s="16"/>
      <c r="AE1307" s="16"/>
      <c r="AF1307" s="16"/>
      <c r="AG1307" s="16"/>
      <c r="AH1307" s="16" t="s">
        <v>402</v>
      </c>
      <c r="AI1307" s="16"/>
      <c r="AJ1307" s="16" t="s">
        <v>1854</v>
      </c>
    </row>
    <row r="1308" spans="1:36" ht="15" customHeight="1" x14ac:dyDescent="0.3">
      <c r="A1308" s="16" t="s">
        <v>273</v>
      </c>
      <c r="B1308" s="16" t="s">
        <v>727</v>
      </c>
      <c r="C1308" s="16" t="s">
        <v>1705</v>
      </c>
      <c r="D1308" s="16" t="s">
        <v>324</v>
      </c>
      <c r="E1308" s="16" t="s">
        <v>404</v>
      </c>
      <c r="F1308" s="16" t="s">
        <v>790</v>
      </c>
      <c r="G1308" s="16">
        <v>0.8</v>
      </c>
      <c r="H1308" s="16">
        <v>929</v>
      </c>
      <c r="I1308" s="16">
        <v>40</v>
      </c>
      <c r="J1308" s="16">
        <v>40</v>
      </c>
      <c r="K1308" s="16">
        <v>-2.88241839110529E-2</v>
      </c>
      <c r="L1308" s="16">
        <v>3.21742983895996E-2</v>
      </c>
      <c r="M1308" s="16">
        <v>-0.89587606735102399</v>
      </c>
      <c r="N1308" s="16">
        <v>38</v>
      </c>
      <c r="O1308" s="16">
        <v>0.37595924043788997</v>
      </c>
      <c r="P1308" s="16"/>
      <c r="Q1308" s="16"/>
      <c r="R1308" s="16"/>
      <c r="S1308" s="16"/>
      <c r="T1308" s="16"/>
      <c r="U1308" s="16"/>
      <c r="V1308" s="16"/>
      <c r="W1308" s="16"/>
      <c r="X1308" s="16"/>
      <c r="Y1308" s="16"/>
      <c r="Z1308" s="16"/>
      <c r="AA1308" s="16"/>
      <c r="AB1308" s="16"/>
      <c r="AC1308" s="16"/>
      <c r="AD1308" s="16"/>
      <c r="AE1308" s="16"/>
      <c r="AF1308" s="16"/>
      <c r="AG1308" s="16"/>
      <c r="AH1308" s="16" t="s">
        <v>402</v>
      </c>
      <c r="AI1308" s="16"/>
      <c r="AJ1308" s="16" t="s">
        <v>1855</v>
      </c>
    </row>
    <row r="1309" spans="1:36" ht="15" customHeight="1" x14ac:dyDescent="0.3">
      <c r="A1309" s="16" t="s">
        <v>273</v>
      </c>
      <c r="B1309" s="16" t="s">
        <v>729</v>
      </c>
      <c r="C1309" s="16" t="s">
        <v>1705</v>
      </c>
      <c r="D1309" s="16" t="s">
        <v>324</v>
      </c>
      <c r="E1309" s="16" t="s">
        <v>404</v>
      </c>
      <c r="F1309" s="16" t="s">
        <v>790</v>
      </c>
      <c r="G1309" s="16">
        <v>0.8</v>
      </c>
      <c r="H1309" s="16">
        <v>2606</v>
      </c>
      <c r="I1309" s="16">
        <v>110</v>
      </c>
      <c r="J1309" s="16">
        <v>109</v>
      </c>
      <c r="K1309" s="16">
        <v>2.1248491089068199E-2</v>
      </c>
      <c r="L1309" s="16">
        <v>7.2572482017301099E-2</v>
      </c>
      <c r="M1309" s="16">
        <v>0.29278991841566898</v>
      </c>
      <c r="N1309" s="16">
        <v>108</v>
      </c>
      <c r="O1309" s="16">
        <v>0.77024452593996595</v>
      </c>
      <c r="P1309" s="16"/>
      <c r="Q1309" s="16"/>
      <c r="R1309" s="16"/>
      <c r="S1309" s="16"/>
      <c r="T1309" s="16"/>
      <c r="U1309" s="16"/>
      <c r="V1309" s="16"/>
      <c r="W1309" s="16"/>
      <c r="X1309" s="16"/>
      <c r="Y1309" s="16"/>
      <c r="Z1309" s="16"/>
      <c r="AA1309" s="16"/>
      <c r="AB1309" s="16"/>
      <c r="AC1309" s="16"/>
      <c r="AD1309" s="16"/>
      <c r="AE1309" s="16"/>
      <c r="AF1309" s="16"/>
      <c r="AG1309" s="16"/>
      <c r="AH1309" s="16" t="s">
        <v>402</v>
      </c>
      <c r="AI1309" s="16"/>
      <c r="AJ1309" s="16" t="s">
        <v>1856</v>
      </c>
    </row>
    <row r="1310" spans="1:36" ht="15" customHeight="1" x14ac:dyDescent="0.3">
      <c r="A1310" s="16" t="s">
        <v>273</v>
      </c>
      <c r="B1310" s="16" t="s">
        <v>731</v>
      </c>
      <c r="C1310" s="16" t="s">
        <v>1705</v>
      </c>
      <c r="D1310" s="16" t="s">
        <v>324</v>
      </c>
      <c r="E1310" s="16" t="s">
        <v>404</v>
      </c>
      <c r="F1310" s="16" t="s">
        <v>790</v>
      </c>
      <c r="G1310" s="16">
        <v>0.8</v>
      </c>
      <c r="H1310" s="16">
        <v>2606</v>
      </c>
      <c r="I1310" s="16">
        <v>110</v>
      </c>
      <c r="J1310" s="16">
        <v>109</v>
      </c>
      <c r="K1310" s="16">
        <v>2.4602076489388001E-3</v>
      </c>
      <c r="L1310" s="16">
        <v>7.6883219778610998E-2</v>
      </c>
      <c r="M1310" s="16">
        <v>3.1999279635050198E-2</v>
      </c>
      <c r="N1310" s="16">
        <v>108</v>
      </c>
      <c r="O1310" s="16">
        <v>0.97453168756181396</v>
      </c>
      <c r="P1310" s="16"/>
      <c r="Q1310" s="16"/>
      <c r="R1310" s="16"/>
      <c r="S1310" s="16"/>
      <c r="T1310" s="16"/>
      <c r="U1310" s="16"/>
      <c r="V1310" s="16"/>
      <c r="W1310" s="16"/>
      <c r="X1310" s="16"/>
      <c r="Y1310" s="16"/>
      <c r="Z1310" s="16"/>
      <c r="AA1310" s="16"/>
      <c r="AB1310" s="16"/>
      <c r="AC1310" s="16"/>
      <c r="AD1310" s="16"/>
      <c r="AE1310" s="16"/>
      <c r="AF1310" s="16"/>
      <c r="AG1310" s="16"/>
      <c r="AH1310" s="16" t="s">
        <v>402</v>
      </c>
      <c r="AI1310" s="16"/>
      <c r="AJ1310" s="16" t="s">
        <v>1857</v>
      </c>
    </row>
    <row r="1311" spans="1:36" ht="15" customHeight="1" x14ac:dyDescent="0.3">
      <c r="A1311" s="16" t="s">
        <v>273</v>
      </c>
      <c r="B1311" s="16" t="s">
        <v>733</v>
      </c>
      <c r="C1311" s="16" t="s">
        <v>1705</v>
      </c>
      <c r="D1311" s="16" t="s">
        <v>324</v>
      </c>
      <c r="E1311" s="16" t="s">
        <v>404</v>
      </c>
      <c r="F1311" s="16" t="s">
        <v>790</v>
      </c>
      <c r="G1311" s="16">
        <v>0.8</v>
      </c>
      <c r="H1311" s="16">
        <v>2606</v>
      </c>
      <c r="I1311" s="16">
        <v>110</v>
      </c>
      <c r="J1311" s="16">
        <v>109</v>
      </c>
      <c r="K1311" s="16">
        <v>-6.5370754425377903E-2</v>
      </c>
      <c r="L1311" s="16">
        <v>7.8409101946454798E-2</v>
      </c>
      <c r="M1311" s="16">
        <v>-0.83371385212419902</v>
      </c>
      <c r="N1311" s="16">
        <v>107</v>
      </c>
      <c r="O1311" s="16">
        <v>0.40629955075734298</v>
      </c>
      <c r="P1311" s="16"/>
      <c r="Q1311" s="16"/>
      <c r="R1311" s="16"/>
      <c r="S1311" s="16"/>
      <c r="T1311" s="16"/>
      <c r="U1311" s="16"/>
      <c r="V1311" s="16"/>
      <c r="W1311" s="16"/>
      <c r="X1311" s="16"/>
      <c r="Y1311" s="16"/>
      <c r="Z1311" s="16"/>
      <c r="AA1311" s="16"/>
      <c r="AB1311" s="16"/>
      <c r="AC1311" s="16"/>
      <c r="AD1311" s="16"/>
      <c r="AE1311" s="16"/>
      <c r="AF1311" s="16"/>
      <c r="AG1311" s="16"/>
      <c r="AH1311" s="16" t="s">
        <v>402</v>
      </c>
      <c r="AI1311" s="16"/>
      <c r="AJ1311" s="16" t="s">
        <v>1858</v>
      </c>
    </row>
    <row r="1312" spans="1:36" ht="15" customHeight="1" x14ac:dyDescent="0.3">
      <c r="A1312" s="16" t="s">
        <v>273</v>
      </c>
      <c r="B1312" s="16" t="s">
        <v>735</v>
      </c>
      <c r="C1312" s="16" t="s">
        <v>1705</v>
      </c>
      <c r="D1312" s="16" t="s">
        <v>324</v>
      </c>
      <c r="E1312" s="16" t="s">
        <v>404</v>
      </c>
      <c r="F1312" s="16" t="s">
        <v>790</v>
      </c>
      <c r="G1312" s="16">
        <v>0.8</v>
      </c>
      <c r="H1312" s="16">
        <v>2606</v>
      </c>
      <c r="I1312" s="16">
        <v>110</v>
      </c>
      <c r="J1312" s="16">
        <v>109</v>
      </c>
      <c r="K1312" s="16">
        <v>-2.47748954240108E-3</v>
      </c>
      <c r="L1312" s="16">
        <v>8.0324129475311007E-2</v>
      </c>
      <c r="M1312" s="16">
        <v>-3.0843652568467401E-2</v>
      </c>
      <c r="N1312" s="16">
        <v>108</v>
      </c>
      <c r="O1312" s="16">
        <v>0.97545115439883001</v>
      </c>
      <c r="P1312" s="16"/>
      <c r="Q1312" s="16"/>
      <c r="R1312" s="16"/>
      <c r="S1312" s="16"/>
      <c r="T1312" s="16"/>
      <c r="U1312" s="16"/>
      <c r="V1312" s="16"/>
      <c r="W1312" s="16"/>
      <c r="X1312" s="16"/>
      <c r="Y1312" s="16"/>
      <c r="Z1312" s="16"/>
      <c r="AA1312" s="16"/>
      <c r="AB1312" s="16"/>
      <c r="AC1312" s="16"/>
      <c r="AD1312" s="16"/>
      <c r="AE1312" s="16"/>
      <c r="AF1312" s="16"/>
      <c r="AG1312" s="16"/>
      <c r="AH1312" s="16" t="s">
        <v>402</v>
      </c>
      <c r="AI1312" s="16"/>
      <c r="AJ1312" s="16" t="s">
        <v>1859</v>
      </c>
    </row>
    <row r="1313" spans="1:36" ht="15" customHeight="1" x14ac:dyDescent="0.3">
      <c r="A1313" s="16" t="s">
        <v>273</v>
      </c>
      <c r="B1313" s="16" t="s">
        <v>737</v>
      </c>
      <c r="C1313" s="16" t="s">
        <v>1705</v>
      </c>
      <c r="D1313" s="16" t="s">
        <v>324</v>
      </c>
      <c r="E1313" s="16" t="s">
        <v>404</v>
      </c>
      <c r="F1313" s="16" t="s">
        <v>790</v>
      </c>
      <c r="G1313" s="16">
        <v>0.8</v>
      </c>
      <c r="H1313" s="16">
        <v>2606</v>
      </c>
      <c r="I1313" s="16">
        <v>110</v>
      </c>
      <c r="J1313" s="16">
        <v>109</v>
      </c>
      <c r="K1313" s="16">
        <v>3.1431935922650901E-2</v>
      </c>
      <c r="L1313" s="16">
        <v>9.5612540569122495E-2</v>
      </c>
      <c r="M1313" s="16">
        <v>0.32874281695221103</v>
      </c>
      <c r="N1313" s="16">
        <v>107</v>
      </c>
      <c r="O1313" s="16">
        <v>0.74299262045229097</v>
      </c>
      <c r="P1313" s="16"/>
      <c r="Q1313" s="16"/>
      <c r="R1313" s="16"/>
      <c r="S1313" s="16"/>
      <c r="T1313" s="16"/>
      <c r="U1313" s="16"/>
      <c r="V1313" s="16"/>
      <c r="W1313" s="16"/>
      <c r="X1313" s="16"/>
      <c r="Y1313" s="16"/>
      <c r="Z1313" s="16"/>
      <c r="AA1313" s="16"/>
      <c r="AB1313" s="16"/>
      <c r="AC1313" s="16"/>
      <c r="AD1313" s="16"/>
      <c r="AE1313" s="16"/>
      <c r="AF1313" s="16"/>
      <c r="AG1313" s="16"/>
      <c r="AH1313" s="16" t="s">
        <v>402</v>
      </c>
      <c r="AI1313" s="16"/>
      <c r="AJ1313" s="16" t="s">
        <v>1860</v>
      </c>
    </row>
    <row r="1314" spans="1:36" ht="15" customHeight="1" x14ac:dyDescent="0.3">
      <c r="A1314" s="16" t="s">
        <v>273</v>
      </c>
      <c r="B1314" s="16" t="s">
        <v>739</v>
      </c>
      <c r="C1314" s="16" t="s">
        <v>1705</v>
      </c>
      <c r="D1314" s="16" t="s">
        <v>324</v>
      </c>
      <c r="E1314" s="16" t="s">
        <v>404</v>
      </c>
      <c r="F1314" s="16" t="s">
        <v>790</v>
      </c>
      <c r="G1314" s="16">
        <v>0.8</v>
      </c>
      <c r="H1314" s="16">
        <v>2606</v>
      </c>
      <c r="I1314" s="16">
        <v>110</v>
      </c>
      <c r="J1314" s="16">
        <v>109</v>
      </c>
      <c r="K1314" s="16">
        <v>3.5534079990839802E-2</v>
      </c>
      <c r="L1314" s="16">
        <v>0.10162228473646</v>
      </c>
      <c r="M1314" s="16">
        <v>0.34966818629389701</v>
      </c>
      <c r="N1314" s="16">
        <v>107</v>
      </c>
      <c r="O1314" s="16">
        <v>0.72727501225224001</v>
      </c>
      <c r="P1314" s="16"/>
      <c r="Q1314" s="16"/>
      <c r="R1314" s="16"/>
      <c r="S1314" s="16"/>
      <c r="T1314" s="16"/>
      <c r="U1314" s="16"/>
      <c r="V1314" s="16"/>
      <c r="W1314" s="16"/>
      <c r="X1314" s="16"/>
      <c r="Y1314" s="16"/>
      <c r="Z1314" s="16"/>
      <c r="AA1314" s="16"/>
      <c r="AB1314" s="16"/>
      <c r="AC1314" s="16"/>
      <c r="AD1314" s="16"/>
      <c r="AE1314" s="16"/>
      <c r="AF1314" s="16"/>
      <c r="AG1314" s="16"/>
      <c r="AH1314" s="16" t="s">
        <v>402</v>
      </c>
      <c r="AI1314" s="16"/>
      <c r="AJ1314" s="16" t="s">
        <v>1861</v>
      </c>
    </row>
    <row r="1315" spans="1:36" ht="15" customHeight="1" x14ac:dyDescent="0.3">
      <c r="A1315" s="16" t="s">
        <v>273</v>
      </c>
      <c r="B1315" s="16" t="s">
        <v>741</v>
      </c>
      <c r="C1315" s="16" t="s">
        <v>1705</v>
      </c>
      <c r="D1315" s="16" t="s">
        <v>324</v>
      </c>
      <c r="E1315" s="16" t="s">
        <v>404</v>
      </c>
      <c r="F1315" s="16" t="s">
        <v>790</v>
      </c>
      <c r="G1315" s="16">
        <v>0.8</v>
      </c>
      <c r="H1315" s="16">
        <v>2606</v>
      </c>
      <c r="I1315" s="16">
        <v>110</v>
      </c>
      <c r="J1315" s="16">
        <v>109</v>
      </c>
      <c r="K1315" s="16">
        <v>-7.7030270734765302E-2</v>
      </c>
      <c r="L1315" s="16">
        <v>6.8867419928325402E-2</v>
      </c>
      <c r="M1315" s="16">
        <v>-1.11852993498138</v>
      </c>
      <c r="N1315" s="16">
        <v>108</v>
      </c>
      <c r="O1315" s="16">
        <v>0.265822467875657</v>
      </c>
      <c r="P1315" s="16"/>
      <c r="Q1315" s="16"/>
      <c r="R1315" s="16"/>
      <c r="S1315" s="16"/>
      <c r="T1315" s="16"/>
      <c r="U1315" s="16"/>
      <c r="V1315" s="16"/>
      <c r="W1315" s="16"/>
      <c r="X1315" s="16"/>
      <c r="Y1315" s="16"/>
      <c r="Z1315" s="16"/>
      <c r="AA1315" s="16"/>
      <c r="AB1315" s="16"/>
      <c r="AC1315" s="16"/>
      <c r="AD1315" s="16"/>
      <c r="AE1315" s="16"/>
      <c r="AF1315" s="16"/>
      <c r="AG1315" s="16"/>
      <c r="AH1315" s="16" t="s">
        <v>402</v>
      </c>
      <c r="AI1315" s="16"/>
      <c r="AJ1315" s="16" t="s">
        <v>1862</v>
      </c>
    </row>
    <row r="1316" spans="1:36" ht="15" customHeight="1" x14ac:dyDescent="0.3">
      <c r="A1316" s="16" t="s">
        <v>273</v>
      </c>
      <c r="B1316" s="16" t="s">
        <v>743</v>
      </c>
      <c r="C1316" s="16" t="s">
        <v>1705</v>
      </c>
      <c r="D1316" s="16" t="s">
        <v>324</v>
      </c>
      <c r="E1316" s="16" t="s">
        <v>404</v>
      </c>
      <c r="F1316" s="16" t="s">
        <v>790</v>
      </c>
      <c r="G1316" s="16">
        <v>0.8</v>
      </c>
      <c r="H1316" s="16">
        <v>2606</v>
      </c>
      <c r="I1316" s="16">
        <v>110</v>
      </c>
      <c r="J1316" s="16">
        <v>109</v>
      </c>
      <c r="K1316" s="16">
        <v>3.6256378660097802E-2</v>
      </c>
      <c r="L1316" s="16">
        <v>6.5843113893664706E-2</v>
      </c>
      <c r="M1316" s="16">
        <v>0.55064799515179497</v>
      </c>
      <c r="N1316" s="16">
        <v>108</v>
      </c>
      <c r="O1316" s="16">
        <v>0.58301222579032697</v>
      </c>
      <c r="P1316" s="16"/>
      <c r="Q1316" s="16"/>
      <c r="R1316" s="16"/>
      <c r="S1316" s="16"/>
      <c r="T1316" s="16"/>
      <c r="U1316" s="16"/>
      <c r="V1316" s="16"/>
      <c r="W1316" s="16"/>
      <c r="X1316" s="16"/>
      <c r="Y1316" s="16"/>
      <c r="Z1316" s="16"/>
      <c r="AA1316" s="16"/>
      <c r="AB1316" s="16"/>
      <c r="AC1316" s="16"/>
      <c r="AD1316" s="16"/>
      <c r="AE1316" s="16"/>
      <c r="AF1316" s="16"/>
      <c r="AG1316" s="16"/>
      <c r="AH1316" s="16" t="s">
        <v>402</v>
      </c>
      <c r="AI1316" s="16"/>
      <c r="AJ1316" s="16" t="s">
        <v>1863</v>
      </c>
    </row>
    <row r="1317" spans="1:36" ht="15" customHeight="1" x14ac:dyDescent="0.3">
      <c r="A1317" s="16" t="s">
        <v>273</v>
      </c>
      <c r="B1317" s="16" t="s">
        <v>745</v>
      </c>
      <c r="C1317" s="16" t="s">
        <v>1705</v>
      </c>
      <c r="D1317" s="16" t="s">
        <v>324</v>
      </c>
      <c r="E1317" s="16" t="s">
        <v>404</v>
      </c>
      <c r="F1317" s="16" t="s">
        <v>790</v>
      </c>
      <c r="G1317" s="16">
        <v>0.8</v>
      </c>
      <c r="H1317" s="16">
        <v>2606</v>
      </c>
      <c r="I1317" s="16">
        <v>110</v>
      </c>
      <c r="J1317" s="16">
        <v>109</v>
      </c>
      <c r="K1317" s="16">
        <v>2.7195157028880399E-2</v>
      </c>
      <c r="L1317" s="16">
        <v>6.5685435100927503E-2</v>
      </c>
      <c r="M1317" s="16">
        <v>0.41402111422561599</v>
      </c>
      <c r="N1317" s="16">
        <v>108</v>
      </c>
      <c r="O1317" s="16">
        <v>0.67967971848685005</v>
      </c>
      <c r="P1317" s="16"/>
      <c r="Q1317" s="16"/>
      <c r="R1317" s="16"/>
      <c r="S1317" s="16"/>
      <c r="T1317" s="16"/>
      <c r="U1317" s="16"/>
      <c r="V1317" s="16"/>
      <c r="W1317" s="16"/>
      <c r="X1317" s="16"/>
      <c r="Y1317" s="16"/>
      <c r="Z1317" s="16"/>
      <c r="AA1317" s="16"/>
      <c r="AB1317" s="16"/>
      <c r="AC1317" s="16"/>
      <c r="AD1317" s="16"/>
      <c r="AE1317" s="16"/>
      <c r="AF1317" s="16"/>
      <c r="AG1317" s="16"/>
      <c r="AH1317" s="16" t="s">
        <v>402</v>
      </c>
      <c r="AI1317" s="16"/>
      <c r="AJ1317" s="16" t="s">
        <v>1864</v>
      </c>
    </row>
    <row r="1318" spans="1:36" ht="15" customHeight="1" x14ac:dyDescent="0.3">
      <c r="A1318" s="16" t="s">
        <v>273</v>
      </c>
      <c r="B1318" s="16" t="s">
        <v>747</v>
      </c>
      <c r="C1318" s="16" t="s">
        <v>1705</v>
      </c>
      <c r="D1318" s="16" t="s">
        <v>324</v>
      </c>
      <c r="E1318" s="16" t="s">
        <v>404</v>
      </c>
      <c r="F1318" s="16" t="s">
        <v>790</v>
      </c>
      <c r="G1318" s="16">
        <v>0.8</v>
      </c>
      <c r="H1318" s="16">
        <v>905</v>
      </c>
      <c r="I1318" s="16">
        <v>38</v>
      </c>
      <c r="J1318" s="16">
        <v>38</v>
      </c>
      <c r="K1318" s="16">
        <v>-3.6045461438114101E-2</v>
      </c>
      <c r="L1318" s="16">
        <v>4.0043536975806003E-2</v>
      </c>
      <c r="M1318" s="16">
        <v>-0.90015678335039395</v>
      </c>
      <c r="N1318" s="16">
        <v>36</v>
      </c>
      <c r="O1318" s="16">
        <v>0.37401916675535202</v>
      </c>
      <c r="P1318" s="16"/>
      <c r="Q1318" s="16"/>
      <c r="R1318" s="16"/>
      <c r="S1318" s="16"/>
      <c r="T1318" s="16"/>
      <c r="U1318" s="16"/>
      <c r="V1318" s="16"/>
      <c r="W1318" s="16"/>
      <c r="X1318" s="16"/>
      <c r="Y1318" s="16"/>
      <c r="Z1318" s="16"/>
      <c r="AA1318" s="16"/>
      <c r="AB1318" s="16"/>
      <c r="AC1318" s="16"/>
      <c r="AD1318" s="16"/>
      <c r="AE1318" s="16"/>
      <c r="AF1318" s="16"/>
      <c r="AG1318" s="16"/>
      <c r="AH1318" s="16" t="s">
        <v>402</v>
      </c>
      <c r="AI1318" s="16"/>
      <c r="AJ1318" s="16" t="s">
        <v>1865</v>
      </c>
    </row>
    <row r="1319" spans="1:36" ht="15" customHeight="1" x14ac:dyDescent="0.3">
      <c r="A1319" s="16" t="s">
        <v>273</v>
      </c>
      <c r="B1319" s="16" t="s">
        <v>749</v>
      </c>
      <c r="C1319" s="16" t="s">
        <v>1705</v>
      </c>
      <c r="D1319" s="16" t="s">
        <v>324</v>
      </c>
      <c r="E1319" s="16" t="s">
        <v>404</v>
      </c>
      <c r="F1319" s="16" t="s">
        <v>790</v>
      </c>
      <c r="G1319" s="16">
        <v>0.8</v>
      </c>
      <c r="H1319" s="16">
        <v>2593</v>
      </c>
      <c r="I1319" s="16">
        <v>110</v>
      </c>
      <c r="J1319" s="16">
        <v>109</v>
      </c>
      <c r="K1319" s="16">
        <v>-2.33705136633434E-2</v>
      </c>
      <c r="L1319" s="16">
        <v>2.3786024338977502E-2</v>
      </c>
      <c r="M1319" s="16">
        <v>-0.98253131041519903</v>
      </c>
      <c r="N1319" s="16">
        <v>108</v>
      </c>
      <c r="O1319" s="16">
        <v>0.32803412091373002</v>
      </c>
      <c r="P1319" s="16"/>
      <c r="Q1319" s="16"/>
      <c r="R1319" s="16"/>
      <c r="S1319" s="16"/>
      <c r="T1319" s="16"/>
      <c r="U1319" s="16"/>
      <c r="V1319" s="16"/>
      <c r="W1319" s="16"/>
      <c r="X1319" s="16"/>
      <c r="Y1319" s="16"/>
      <c r="Z1319" s="16"/>
      <c r="AA1319" s="16"/>
      <c r="AB1319" s="16"/>
      <c r="AC1319" s="16"/>
      <c r="AD1319" s="16"/>
      <c r="AE1319" s="16"/>
      <c r="AF1319" s="16"/>
      <c r="AG1319" s="16"/>
      <c r="AH1319" s="16" t="s">
        <v>402</v>
      </c>
      <c r="AI1319" s="16"/>
      <c r="AJ1319" s="16" t="s">
        <v>1866</v>
      </c>
    </row>
    <row r="1320" spans="1:36" ht="15" customHeight="1" x14ac:dyDescent="0.3">
      <c r="A1320" s="16" t="s">
        <v>273</v>
      </c>
      <c r="B1320" s="16" t="s">
        <v>751</v>
      </c>
      <c r="C1320" s="16" t="s">
        <v>1705</v>
      </c>
      <c r="D1320" s="16" t="s">
        <v>324</v>
      </c>
      <c r="E1320" s="16" t="s">
        <v>404</v>
      </c>
      <c r="F1320" s="16" t="s">
        <v>790</v>
      </c>
      <c r="G1320" s="16">
        <v>0.8</v>
      </c>
      <c r="H1320" s="16">
        <v>2593</v>
      </c>
      <c r="I1320" s="16">
        <v>110</v>
      </c>
      <c r="J1320" s="16">
        <v>109</v>
      </c>
      <c r="K1320" s="16">
        <v>-3.9969800439034003E-2</v>
      </c>
      <c r="L1320" s="16">
        <v>2.50215743746042E-2</v>
      </c>
      <c r="M1320" s="16">
        <v>-1.59741348968039</v>
      </c>
      <c r="N1320" s="16">
        <v>108</v>
      </c>
      <c r="O1320" s="16">
        <v>0.11309541964899</v>
      </c>
      <c r="P1320" s="16"/>
      <c r="Q1320" s="16"/>
      <c r="R1320" s="16"/>
      <c r="S1320" s="16"/>
      <c r="T1320" s="16"/>
      <c r="U1320" s="16"/>
      <c r="V1320" s="16"/>
      <c r="W1320" s="16"/>
      <c r="X1320" s="16"/>
      <c r="Y1320" s="16"/>
      <c r="Z1320" s="16"/>
      <c r="AA1320" s="16"/>
      <c r="AB1320" s="16"/>
      <c r="AC1320" s="16"/>
      <c r="AD1320" s="16"/>
      <c r="AE1320" s="16"/>
      <c r="AF1320" s="16"/>
      <c r="AG1320" s="16"/>
      <c r="AH1320" s="16" t="s">
        <v>402</v>
      </c>
      <c r="AI1320" s="16"/>
      <c r="AJ1320" s="16" t="s">
        <v>1867</v>
      </c>
    </row>
    <row r="1321" spans="1:36" ht="15" customHeight="1" x14ac:dyDescent="0.3">
      <c r="A1321" s="16" t="s">
        <v>273</v>
      </c>
      <c r="B1321" s="16" t="s">
        <v>753</v>
      </c>
      <c r="C1321" s="16" t="s">
        <v>1705</v>
      </c>
      <c r="D1321" s="16" t="s">
        <v>324</v>
      </c>
      <c r="E1321" s="16" t="s">
        <v>404</v>
      </c>
      <c r="F1321" s="16" t="s">
        <v>790</v>
      </c>
      <c r="G1321" s="16">
        <v>0.8</v>
      </c>
      <c r="H1321" s="16">
        <v>2593</v>
      </c>
      <c r="I1321" s="16">
        <v>110</v>
      </c>
      <c r="J1321" s="16">
        <v>109</v>
      </c>
      <c r="K1321" s="16">
        <v>-2.3536619993679099E-2</v>
      </c>
      <c r="L1321" s="16">
        <v>2.60877713346843E-2</v>
      </c>
      <c r="M1321" s="16">
        <v>-0.902208919716597</v>
      </c>
      <c r="N1321" s="16">
        <v>107</v>
      </c>
      <c r="O1321" s="16">
        <v>0.368972359372301</v>
      </c>
      <c r="P1321" s="16"/>
      <c r="Q1321" s="16"/>
      <c r="R1321" s="16"/>
      <c r="S1321" s="16"/>
      <c r="T1321" s="16"/>
      <c r="U1321" s="16"/>
      <c r="V1321" s="16"/>
      <c r="W1321" s="16"/>
      <c r="X1321" s="16"/>
      <c r="Y1321" s="16"/>
      <c r="Z1321" s="16"/>
      <c r="AA1321" s="16"/>
      <c r="AB1321" s="16"/>
      <c r="AC1321" s="16"/>
      <c r="AD1321" s="16"/>
      <c r="AE1321" s="16"/>
      <c r="AF1321" s="16"/>
      <c r="AG1321" s="16"/>
      <c r="AH1321" s="16" t="s">
        <v>402</v>
      </c>
      <c r="AI1321" s="16"/>
      <c r="AJ1321" s="16" t="s">
        <v>1868</v>
      </c>
    </row>
    <row r="1322" spans="1:36" ht="15" customHeight="1" x14ac:dyDescent="0.3">
      <c r="A1322" s="16" t="s">
        <v>273</v>
      </c>
      <c r="B1322" s="16" t="s">
        <v>755</v>
      </c>
      <c r="C1322" s="16" t="s">
        <v>1705</v>
      </c>
      <c r="D1322" s="16" t="s">
        <v>324</v>
      </c>
      <c r="E1322" s="16" t="s">
        <v>404</v>
      </c>
      <c r="F1322" s="16" t="s">
        <v>790</v>
      </c>
      <c r="G1322" s="16">
        <v>0.8</v>
      </c>
      <c r="H1322" s="16">
        <v>2593</v>
      </c>
      <c r="I1322" s="16">
        <v>110</v>
      </c>
      <c r="J1322" s="16">
        <v>109</v>
      </c>
      <c r="K1322" s="16">
        <v>-4.3565114689489197E-2</v>
      </c>
      <c r="L1322" s="16">
        <v>2.6124888866920298E-2</v>
      </c>
      <c r="M1322" s="16">
        <v>-1.6675712923185699</v>
      </c>
      <c r="N1322" s="16">
        <v>108</v>
      </c>
      <c r="O1322" s="16">
        <v>9.8298043739331806E-2</v>
      </c>
      <c r="P1322" s="16"/>
      <c r="Q1322" s="16"/>
      <c r="R1322" s="16"/>
      <c r="S1322" s="16"/>
      <c r="T1322" s="16"/>
      <c r="U1322" s="16"/>
      <c r="V1322" s="16"/>
      <c r="W1322" s="16"/>
      <c r="X1322" s="16"/>
      <c r="Y1322" s="16"/>
      <c r="Z1322" s="16"/>
      <c r="AA1322" s="16"/>
      <c r="AB1322" s="16"/>
      <c r="AC1322" s="16"/>
      <c r="AD1322" s="16"/>
      <c r="AE1322" s="16"/>
      <c r="AF1322" s="16"/>
      <c r="AG1322" s="16"/>
      <c r="AH1322" s="16" t="s">
        <v>402</v>
      </c>
      <c r="AI1322" s="16"/>
      <c r="AJ1322" s="16" t="s">
        <v>1869</v>
      </c>
    </row>
    <row r="1323" spans="1:36" ht="15" customHeight="1" x14ac:dyDescent="0.3">
      <c r="A1323" s="16" t="s">
        <v>273</v>
      </c>
      <c r="B1323" s="16" t="s">
        <v>757</v>
      </c>
      <c r="C1323" s="16" t="s">
        <v>1705</v>
      </c>
      <c r="D1323" s="16" t="s">
        <v>324</v>
      </c>
      <c r="E1323" s="16" t="s">
        <v>404</v>
      </c>
      <c r="F1323" s="16" t="s">
        <v>790</v>
      </c>
      <c r="G1323" s="16">
        <v>0.8</v>
      </c>
      <c r="H1323" s="16">
        <v>2593</v>
      </c>
      <c r="I1323" s="16">
        <v>110</v>
      </c>
      <c r="J1323" s="16">
        <v>109</v>
      </c>
      <c r="K1323" s="16">
        <v>-7.7544980150953003E-3</v>
      </c>
      <c r="L1323" s="16">
        <v>3.1466180274807E-2</v>
      </c>
      <c r="M1323" s="16">
        <v>-0.24643912757672201</v>
      </c>
      <c r="N1323" s="16">
        <v>107</v>
      </c>
      <c r="O1323" s="16">
        <v>0.80581447839195097</v>
      </c>
      <c r="P1323" s="16"/>
      <c r="Q1323" s="16"/>
      <c r="R1323" s="16"/>
      <c r="S1323" s="16"/>
      <c r="T1323" s="16"/>
      <c r="U1323" s="16"/>
      <c r="V1323" s="16"/>
      <c r="W1323" s="16"/>
      <c r="X1323" s="16"/>
      <c r="Y1323" s="16"/>
      <c r="Z1323" s="16"/>
      <c r="AA1323" s="16"/>
      <c r="AB1323" s="16"/>
      <c r="AC1323" s="16"/>
      <c r="AD1323" s="16"/>
      <c r="AE1323" s="16"/>
      <c r="AF1323" s="16"/>
      <c r="AG1323" s="16"/>
      <c r="AH1323" s="16" t="s">
        <v>402</v>
      </c>
      <c r="AI1323" s="16"/>
      <c r="AJ1323" s="16" t="s">
        <v>1870</v>
      </c>
    </row>
    <row r="1324" spans="1:36" ht="15" customHeight="1" x14ac:dyDescent="0.3">
      <c r="A1324" s="16" t="s">
        <v>273</v>
      </c>
      <c r="B1324" s="16" t="s">
        <v>759</v>
      </c>
      <c r="C1324" s="16" t="s">
        <v>1705</v>
      </c>
      <c r="D1324" s="16" t="s">
        <v>324</v>
      </c>
      <c r="E1324" s="16" t="s">
        <v>404</v>
      </c>
      <c r="F1324" s="16" t="s">
        <v>790</v>
      </c>
      <c r="G1324" s="16">
        <v>0.8</v>
      </c>
      <c r="H1324" s="16">
        <v>2593</v>
      </c>
      <c r="I1324" s="16">
        <v>110</v>
      </c>
      <c r="J1324" s="16">
        <v>109</v>
      </c>
      <c r="K1324" s="16">
        <v>-3.2629910622339799E-3</v>
      </c>
      <c r="L1324" s="16">
        <v>3.3458049652420302E-2</v>
      </c>
      <c r="M1324" s="16">
        <v>-9.7524843681315296E-2</v>
      </c>
      <c r="N1324" s="16">
        <v>107</v>
      </c>
      <c r="O1324" s="16">
        <v>0.92249205445553895</v>
      </c>
      <c r="P1324" s="16"/>
      <c r="Q1324" s="16"/>
      <c r="R1324" s="16"/>
      <c r="S1324" s="16"/>
      <c r="T1324" s="16"/>
      <c r="U1324" s="16"/>
      <c r="V1324" s="16"/>
      <c r="W1324" s="16"/>
      <c r="X1324" s="16"/>
      <c r="Y1324" s="16"/>
      <c r="Z1324" s="16"/>
      <c r="AA1324" s="16"/>
      <c r="AB1324" s="16"/>
      <c r="AC1324" s="16"/>
      <c r="AD1324" s="16"/>
      <c r="AE1324" s="16"/>
      <c r="AF1324" s="16"/>
      <c r="AG1324" s="16"/>
      <c r="AH1324" s="16" t="s">
        <v>402</v>
      </c>
      <c r="AI1324" s="16"/>
      <c r="AJ1324" s="16" t="s">
        <v>1871</v>
      </c>
    </row>
    <row r="1325" spans="1:36" ht="15" customHeight="1" x14ac:dyDescent="0.3">
      <c r="A1325" s="16" t="s">
        <v>273</v>
      </c>
      <c r="B1325" s="16" t="s">
        <v>761</v>
      </c>
      <c r="C1325" s="16" t="s">
        <v>1705</v>
      </c>
      <c r="D1325" s="16" t="s">
        <v>324</v>
      </c>
      <c r="E1325" s="16" t="s">
        <v>404</v>
      </c>
      <c r="F1325" s="16" t="s">
        <v>790</v>
      </c>
      <c r="G1325" s="16">
        <v>0.8</v>
      </c>
      <c r="H1325" s="16">
        <v>2593</v>
      </c>
      <c r="I1325" s="16">
        <v>110</v>
      </c>
      <c r="J1325" s="16">
        <v>109</v>
      </c>
      <c r="K1325" s="16">
        <v>-3.2036563131906698E-2</v>
      </c>
      <c r="L1325" s="16">
        <v>2.2752352086006299E-2</v>
      </c>
      <c r="M1325" s="16">
        <v>-1.4080550006788399</v>
      </c>
      <c r="N1325" s="16">
        <v>108</v>
      </c>
      <c r="O1325" s="16">
        <v>0.161986828631804</v>
      </c>
      <c r="P1325" s="16"/>
      <c r="Q1325" s="16"/>
      <c r="R1325" s="16"/>
      <c r="S1325" s="16"/>
      <c r="T1325" s="16"/>
      <c r="U1325" s="16"/>
      <c r="V1325" s="16"/>
      <c r="W1325" s="16"/>
      <c r="X1325" s="16"/>
      <c r="Y1325" s="16"/>
      <c r="Z1325" s="16"/>
      <c r="AA1325" s="16"/>
      <c r="AB1325" s="16"/>
      <c r="AC1325" s="16"/>
      <c r="AD1325" s="16"/>
      <c r="AE1325" s="16"/>
      <c r="AF1325" s="16"/>
      <c r="AG1325" s="16"/>
      <c r="AH1325" s="16" t="s">
        <v>402</v>
      </c>
      <c r="AI1325" s="16"/>
      <c r="AJ1325" s="16" t="s">
        <v>1872</v>
      </c>
    </row>
    <row r="1326" spans="1:36" ht="15" customHeight="1" x14ac:dyDescent="0.3">
      <c r="A1326" s="16" t="s">
        <v>273</v>
      </c>
      <c r="B1326" s="16" t="s">
        <v>763</v>
      </c>
      <c r="C1326" s="16" t="s">
        <v>1705</v>
      </c>
      <c r="D1326" s="16" t="s">
        <v>324</v>
      </c>
      <c r="E1326" s="16" t="s">
        <v>404</v>
      </c>
      <c r="F1326" s="16" t="s">
        <v>790</v>
      </c>
      <c r="G1326" s="16">
        <v>0.8</v>
      </c>
      <c r="H1326" s="16">
        <v>2593</v>
      </c>
      <c r="I1326" s="16">
        <v>110</v>
      </c>
      <c r="J1326" s="16">
        <v>109</v>
      </c>
      <c r="K1326" s="16">
        <v>-3.3683760508172997E-2</v>
      </c>
      <c r="L1326" s="16">
        <v>2.1544943633211001E-2</v>
      </c>
      <c r="M1326" s="16">
        <v>-1.5634183631026199</v>
      </c>
      <c r="N1326" s="16">
        <v>108</v>
      </c>
      <c r="O1326" s="16">
        <v>0.120879774675568</v>
      </c>
      <c r="P1326" s="16"/>
      <c r="Q1326" s="16"/>
      <c r="R1326" s="16"/>
      <c r="S1326" s="16"/>
      <c r="T1326" s="16"/>
      <c r="U1326" s="16"/>
      <c r="V1326" s="16"/>
      <c r="W1326" s="16"/>
      <c r="X1326" s="16"/>
      <c r="Y1326" s="16"/>
      <c r="Z1326" s="16"/>
      <c r="AA1326" s="16"/>
      <c r="AB1326" s="16"/>
      <c r="AC1326" s="16"/>
      <c r="AD1326" s="16"/>
      <c r="AE1326" s="16"/>
      <c r="AF1326" s="16"/>
      <c r="AG1326" s="16"/>
      <c r="AH1326" s="16" t="s">
        <v>402</v>
      </c>
      <c r="AI1326" s="16"/>
      <c r="AJ1326" s="16" t="s">
        <v>1873</v>
      </c>
    </row>
    <row r="1327" spans="1:36" ht="15" customHeight="1" x14ac:dyDescent="0.3">
      <c r="A1327" s="16" t="s">
        <v>273</v>
      </c>
      <c r="B1327" s="16" t="s">
        <v>765</v>
      </c>
      <c r="C1327" s="16" t="s">
        <v>1705</v>
      </c>
      <c r="D1327" s="16" t="s">
        <v>324</v>
      </c>
      <c r="E1327" s="16" t="s">
        <v>404</v>
      </c>
      <c r="F1327" s="16" t="s">
        <v>790</v>
      </c>
      <c r="G1327" s="16">
        <v>0.8</v>
      </c>
      <c r="H1327" s="16">
        <v>2593</v>
      </c>
      <c r="I1327" s="16">
        <v>110</v>
      </c>
      <c r="J1327" s="16">
        <v>109</v>
      </c>
      <c r="K1327" s="16">
        <v>-2.6619236972100401E-2</v>
      </c>
      <c r="L1327" s="16">
        <v>2.1486007684617999E-2</v>
      </c>
      <c r="M1327" s="16">
        <v>-1.23891033470854</v>
      </c>
      <c r="N1327" s="16">
        <v>108</v>
      </c>
      <c r="O1327" s="16">
        <v>0.21806452497600701</v>
      </c>
      <c r="P1327" s="16"/>
      <c r="Q1327" s="16"/>
      <c r="R1327" s="16"/>
      <c r="S1327" s="16"/>
      <c r="T1327" s="16"/>
      <c r="U1327" s="16"/>
      <c r="V1327" s="16"/>
      <c r="W1327" s="16"/>
      <c r="X1327" s="16"/>
      <c r="Y1327" s="16"/>
      <c r="Z1327" s="16"/>
      <c r="AA1327" s="16"/>
      <c r="AB1327" s="16"/>
      <c r="AC1327" s="16"/>
      <c r="AD1327" s="16"/>
      <c r="AE1327" s="16"/>
      <c r="AF1327" s="16"/>
      <c r="AG1327" s="16"/>
      <c r="AH1327" s="16" t="s">
        <v>402</v>
      </c>
      <c r="AI1327" s="16"/>
      <c r="AJ1327" s="16" t="s">
        <v>1874</v>
      </c>
    </row>
    <row r="1328" spans="1:36" ht="15" customHeight="1" x14ac:dyDescent="0.3">
      <c r="A1328" s="16" t="s">
        <v>273</v>
      </c>
      <c r="B1328" s="16" t="s">
        <v>767</v>
      </c>
      <c r="C1328" s="16" t="s">
        <v>1705</v>
      </c>
      <c r="D1328" s="16" t="s">
        <v>324</v>
      </c>
      <c r="E1328" s="16" t="s">
        <v>404</v>
      </c>
      <c r="F1328" s="16" t="s">
        <v>790</v>
      </c>
      <c r="G1328" s="16">
        <v>0.8</v>
      </c>
      <c r="H1328" s="16">
        <v>900</v>
      </c>
      <c r="I1328" s="16">
        <v>38</v>
      </c>
      <c r="J1328" s="16">
        <v>38</v>
      </c>
      <c r="K1328" s="16">
        <v>-3.9139625669705899E-2</v>
      </c>
      <c r="L1328" s="16">
        <v>3.9944025790659303E-2</v>
      </c>
      <c r="M1328" s="16">
        <v>-0.97986181650369497</v>
      </c>
      <c r="N1328" s="16">
        <v>36</v>
      </c>
      <c r="O1328" s="16">
        <v>0.33369373645411399</v>
      </c>
      <c r="P1328" s="16"/>
      <c r="Q1328" s="16"/>
      <c r="R1328" s="16"/>
      <c r="S1328" s="16"/>
      <c r="T1328" s="16"/>
      <c r="U1328" s="16"/>
      <c r="V1328" s="16"/>
      <c r="W1328" s="16"/>
      <c r="X1328" s="16"/>
      <c r="Y1328" s="16"/>
      <c r="Z1328" s="16"/>
      <c r="AA1328" s="16"/>
      <c r="AB1328" s="16"/>
      <c r="AC1328" s="16"/>
      <c r="AD1328" s="16"/>
      <c r="AE1328" s="16"/>
      <c r="AF1328" s="16"/>
      <c r="AG1328" s="16"/>
      <c r="AH1328" s="16" t="s">
        <v>402</v>
      </c>
      <c r="AI1328" s="16"/>
      <c r="AJ1328" s="16" t="s">
        <v>1875</v>
      </c>
    </row>
    <row r="1329" spans="1:36" ht="15" customHeight="1" x14ac:dyDescent="0.3">
      <c r="A1329" s="16" t="s">
        <v>273</v>
      </c>
      <c r="B1329" s="16" t="s">
        <v>769</v>
      </c>
      <c r="C1329" s="16" t="s">
        <v>1705</v>
      </c>
      <c r="D1329" s="16" t="s">
        <v>324</v>
      </c>
      <c r="E1329" s="16" t="s">
        <v>404</v>
      </c>
      <c r="F1329" s="16" t="s">
        <v>790</v>
      </c>
      <c r="G1329" s="16">
        <v>0.8</v>
      </c>
      <c r="H1329" s="16">
        <v>2606</v>
      </c>
      <c r="I1329" s="16">
        <v>110</v>
      </c>
      <c r="J1329" s="16">
        <v>109</v>
      </c>
      <c r="K1329" s="16">
        <v>-1.9166378576038701E-2</v>
      </c>
      <c r="L1329" s="16">
        <v>2.2665902693467001E-2</v>
      </c>
      <c r="M1329" s="16">
        <v>-0.84560402624348496</v>
      </c>
      <c r="N1329" s="16">
        <v>108</v>
      </c>
      <c r="O1329" s="16">
        <v>0.39964324327055101</v>
      </c>
      <c r="P1329" s="16"/>
      <c r="Q1329" s="16"/>
      <c r="R1329" s="16"/>
      <c r="S1329" s="16"/>
      <c r="T1329" s="16"/>
      <c r="U1329" s="16"/>
      <c r="V1329" s="16"/>
      <c r="W1329" s="16"/>
      <c r="X1329" s="16"/>
      <c r="Y1329" s="16"/>
      <c r="Z1329" s="16"/>
      <c r="AA1329" s="16"/>
      <c r="AB1329" s="16"/>
      <c r="AC1329" s="16"/>
      <c r="AD1329" s="16"/>
      <c r="AE1329" s="16"/>
      <c r="AF1329" s="16"/>
      <c r="AG1329" s="16"/>
      <c r="AH1329" s="16" t="s">
        <v>402</v>
      </c>
      <c r="AI1329" s="16"/>
      <c r="AJ1329" s="16" t="s">
        <v>1876</v>
      </c>
    </row>
    <row r="1330" spans="1:36" ht="15" customHeight="1" x14ac:dyDescent="0.3">
      <c r="A1330" s="16" t="s">
        <v>273</v>
      </c>
      <c r="B1330" s="16" t="s">
        <v>771</v>
      </c>
      <c r="C1330" s="16" t="s">
        <v>1705</v>
      </c>
      <c r="D1330" s="16" t="s">
        <v>324</v>
      </c>
      <c r="E1330" s="16" t="s">
        <v>404</v>
      </c>
      <c r="F1330" s="16" t="s">
        <v>790</v>
      </c>
      <c r="G1330" s="16">
        <v>0.8</v>
      </c>
      <c r="H1330" s="16">
        <v>2606</v>
      </c>
      <c r="I1330" s="16">
        <v>110</v>
      </c>
      <c r="J1330" s="16">
        <v>109</v>
      </c>
      <c r="K1330" s="16">
        <v>-3.1757308450033002E-2</v>
      </c>
      <c r="L1330" s="16">
        <v>2.3906014852089201E-2</v>
      </c>
      <c r="M1330" s="16">
        <v>-1.3284233548134701</v>
      </c>
      <c r="N1330" s="16">
        <v>108</v>
      </c>
      <c r="O1330" s="16">
        <v>0.18683855142205899</v>
      </c>
      <c r="P1330" s="16"/>
      <c r="Q1330" s="16"/>
      <c r="R1330" s="16"/>
      <c r="S1330" s="16"/>
      <c r="T1330" s="16"/>
      <c r="U1330" s="16"/>
      <c r="V1330" s="16"/>
      <c r="W1330" s="16"/>
      <c r="X1330" s="16"/>
      <c r="Y1330" s="16"/>
      <c r="Z1330" s="16"/>
      <c r="AA1330" s="16"/>
      <c r="AB1330" s="16"/>
      <c r="AC1330" s="16"/>
      <c r="AD1330" s="16"/>
      <c r="AE1330" s="16"/>
      <c r="AF1330" s="16"/>
      <c r="AG1330" s="16"/>
      <c r="AH1330" s="16" t="s">
        <v>402</v>
      </c>
      <c r="AI1330" s="16"/>
      <c r="AJ1330" s="16" t="s">
        <v>1877</v>
      </c>
    </row>
    <row r="1331" spans="1:36" ht="15" customHeight="1" x14ac:dyDescent="0.3">
      <c r="A1331" s="16" t="s">
        <v>273</v>
      </c>
      <c r="B1331" s="16" t="s">
        <v>773</v>
      </c>
      <c r="C1331" s="16" t="s">
        <v>1705</v>
      </c>
      <c r="D1331" s="16" t="s">
        <v>324</v>
      </c>
      <c r="E1331" s="16" t="s">
        <v>404</v>
      </c>
      <c r="F1331" s="16" t="s">
        <v>790</v>
      </c>
      <c r="G1331" s="16">
        <v>0.8</v>
      </c>
      <c r="H1331" s="16">
        <v>2606</v>
      </c>
      <c r="I1331" s="16">
        <v>110</v>
      </c>
      <c r="J1331" s="16">
        <v>109</v>
      </c>
      <c r="K1331" s="16">
        <v>-2.0017154060694899E-2</v>
      </c>
      <c r="L1331" s="16">
        <v>2.4856106917353502E-2</v>
      </c>
      <c r="M1331" s="16">
        <v>-0.80532136940237398</v>
      </c>
      <c r="N1331" s="16">
        <v>107</v>
      </c>
      <c r="O1331" s="16">
        <v>0.42242022322074602</v>
      </c>
      <c r="P1331" s="16"/>
      <c r="Q1331" s="16"/>
      <c r="R1331" s="16"/>
      <c r="S1331" s="16"/>
      <c r="T1331" s="16"/>
      <c r="U1331" s="16"/>
      <c r="V1331" s="16"/>
      <c r="W1331" s="16"/>
      <c r="X1331" s="16"/>
      <c r="Y1331" s="16"/>
      <c r="Z1331" s="16"/>
      <c r="AA1331" s="16"/>
      <c r="AB1331" s="16"/>
      <c r="AC1331" s="16"/>
      <c r="AD1331" s="16"/>
      <c r="AE1331" s="16"/>
      <c r="AF1331" s="16"/>
      <c r="AG1331" s="16"/>
      <c r="AH1331" s="16" t="s">
        <v>402</v>
      </c>
      <c r="AI1331" s="16"/>
      <c r="AJ1331" s="16" t="s">
        <v>1878</v>
      </c>
    </row>
    <row r="1332" spans="1:36" ht="15" customHeight="1" x14ac:dyDescent="0.3">
      <c r="A1332" s="16" t="s">
        <v>273</v>
      </c>
      <c r="B1332" s="16" t="s">
        <v>775</v>
      </c>
      <c r="C1332" s="16" t="s">
        <v>1705</v>
      </c>
      <c r="D1332" s="16" t="s">
        <v>324</v>
      </c>
      <c r="E1332" s="16" t="s">
        <v>404</v>
      </c>
      <c r="F1332" s="16" t="s">
        <v>790</v>
      </c>
      <c r="G1332" s="16">
        <v>0.8</v>
      </c>
      <c r="H1332" s="16">
        <v>2606</v>
      </c>
      <c r="I1332" s="16">
        <v>110</v>
      </c>
      <c r="J1332" s="16">
        <v>109</v>
      </c>
      <c r="K1332" s="16">
        <v>-3.5988519093120397E-2</v>
      </c>
      <c r="L1332" s="16">
        <v>2.4952054024883898E-2</v>
      </c>
      <c r="M1332" s="16">
        <v>-1.4423068761084901</v>
      </c>
      <c r="N1332" s="16">
        <v>108</v>
      </c>
      <c r="O1332" s="16">
        <v>0.15210960660292699</v>
      </c>
      <c r="P1332" s="16"/>
      <c r="Q1332" s="16"/>
      <c r="R1332" s="16"/>
      <c r="S1332" s="16"/>
      <c r="T1332" s="16"/>
      <c r="U1332" s="16"/>
      <c r="V1332" s="16"/>
      <c r="W1332" s="16"/>
      <c r="X1332" s="16"/>
      <c r="Y1332" s="16"/>
      <c r="Z1332" s="16"/>
      <c r="AA1332" s="16"/>
      <c r="AB1332" s="16"/>
      <c r="AC1332" s="16"/>
      <c r="AD1332" s="16"/>
      <c r="AE1332" s="16"/>
      <c r="AF1332" s="16"/>
      <c r="AG1332" s="16"/>
      <c r="AH1332" s="16" t="s">
        <v>402</v>
      </c>
      <c r="AI1332" s="16"/>
      <c r="AJ1332" s="16" t="s">
        <v>1879</v>
      </c>
    </row>
    <row r="1333" spans="1:36" ht="15" customHeight="1" x14ac:dyDescent="0.3">
      <c r="A1333" s="16" t="s">
        <v>273</v>
      </c>
      <c r="B1333" s="16" t="s">
        <v>777</v>
      </c>
      <c r="C1333" s="16" t="s">
        <v>1705</v>
      </c>
      <c r="D1333" s="16" t="s">
        <v>324</v>
      </c>
      <c r="E1333" s="16" t="s">
        <v>404</v>
      </c>
      <c r="F1333" s="16" t="s">
        <v>790</v>
      </c>
      <c r="G1333" s="16">
        <v>0.8</v>
      </c>
      <c r="H1333" s="16">
        <v>2606</v>
      </c>
      <c r="I1333" s="16">
        <v>110</v>
      </c>
      <c r="J1333" s="16">
        <v>109</v>
      </c>
      <c r="K1333" s="16">
        <v>-2.2051413310739398E-3</v>
      </c>
      <c r="L1333" s="16">
        <v>2.99533336854646E-2</v>
      </c>
      <c r="M1333" s="16">
        <v>-7.3619228972300402E-2</v>
      </c>
      <c r="N1333" s="16">
        <v>107</v>
      </c>
      <c r="O1333" s="16">
        <v>0.94145081950024401</v>
      </c>
      <c r="P1333" s="16"/>
      <c r="Q1333" s="16"/>
      <c r="R1333" s="16"/>
      <c r="S1333" s="16"/>
      <c r="T1333" s="16"/>
      <c r="U1333" s="16"/>
      <c r="V1333" s="16"/>
      <c r="W1333" s="16"/>
      <c r="X1333" s="16"/>
      <c r="Y1333" s="16"/>
      <c r="Z1333" s="16"/>
      <c r="AA1333" s="16"/>
      <c r="AB1333" s="16"/>
      <c r="AC1333" s="16"/>
      <c r="AD1333" s="16"/>
      <c r="AE1333" s="16"/>
      <c r="AF1333" s="16"/>
      <c r="AG1333" s="16"/>
      <c r="AH1333" s="16" t="s">
        <v>402</v>
      </c>
      <c r="AI1333" s="16"/>
      <c r="AJ1333" s="16" t="s">
        <v>1880</v>
      </c>
    </row>
    <row r="1334" spans="1:36" ht="15" customHeight="1" x14ac:dyDescent="0.3">
      <c r="A1334" s="16" t="s">
        <v>273</v>
      </c>
      <c r="B1334" s="16" t="s">
        <v>779</v>
      </c>
      <c r="C1334" s="16" t="s">
        <v>1705</v>
      </c>
      <c r="D1334" s="16" t="s">
        <v>324</v>
      </c>
      <c r="E1334" s="16" t="s">
        <v>404</v>
      </c>
      <c r="F1334" s="16" t="s">
        <v>790</v>
      </c>
      <c r="G1334" s="16">
        <v>0.8</v>
      </c>
      <c r="H1334" s="16">
        <v>2606</v>
      </c>
      <c r="I1334" s="16">
        <v>110</v>
      </c>
      <c r="J1334" s="16">
        <v>109</v>
      </c>
      <c r="K1334" s="16">
        <v>1.4798025447565501E-3</v>
      </c>
      <c r="L1334" s="16">
        <v>3.1843109358901001E-2</v>
      </c>
      <c r="M1334" s="16">
        <v>4.6471672350768801E-2</v>
      </c>
      <c r="N1334" s="16">
        <v>107</v>
      </c>
      <c r="O1334" s="16">
        <v>0.963020935876026</v>
      </c>
      <c r="P1334" s="16"/>
      <c r="Q1334" s="16"/>
      <c r="R1334" s="16"/>
      <c r="S1334" s="16"/>
      <c r="T1334" s="16"/>
      <c r="U1334" s="16"/>
      <c r="V1334" s="16"/>
      <c r="W1334" s="16"/>
      <c r="X1334" s="16"/>
      <c r="Y1334" s="16"/>
      <c r="Z1334" s="16"/>
      <c r="AA1334" s="16"/>
      <c r="AB1334" s="16"/>
      <c r="AC1334" s="16"/>
      <c r="AD1334" s="16"/>
      <c r="AE1334" s="16"/>
      <c r="AF1334" s="16"/>
      <c r="AG1334" s="16"/>
      <c r="AH1334" s="16" t="s">
        <v>402</v>
      </c>
      <c r="AI1334" s="16"/>
      <c r="AJ1334" s="16" t="s">
        <v>1881</v>
      </c>
    </row>
    <row r="1335" spans="1:36" ht="15" customHeight="1" x14ac:dyDescent="0.3">
      <c r="A1335" s="16" t="s">
        <v>273</v>
      </c>
      <c r="B1335" s="16" t="s">
        <v>781</v>
      </c>
      <c r="C1335" s="16" t="s">
        <v>1705</v>
      </c>
      <c r="D1335" s="16" t="s">
        <v>324</v>
      </c>
      <c r="E1335" s="16" t="s">
        <v>404</v>
      </c>
      <c r="F1335" s="16" t="s">
        <v>790</v>
      </c>
      <c r="G1335" s="16">
        <v>0.8</v>
      </c>
      <c r="H1335" s="16">
        <v>2606</v>
      </c>
      <c r="I1335" s="16">
        <v>110</v>
      </c>
      <c r="J1335" s="16">
        <v>109</v>
      </c>
      <c r="K1335" s="16">
        <v>-2.58357060495032E-2</v>
      </c>
      <c r="L1335" s="16">
        <v>2.1717714888910802E-2</v>
      </c>
      <c r="M1335" s="16">
        <v>-1.18961438538339</v>
      </c>
      <c r="N1335" s="16">
        <v>108</v>
      </c>
      <c r="O1335" s="16">
        <v>0.23680669724067699</v>
      </c>
      <c r="P1335" s="16"/>
      <c r="Q1335" s="16"/>
      <c r="R1335" s="16"/>
      <c r="S1335" s="16"/>
      <c r="T1335" s="16"/>
      <c r="U1335" s="16"/>
      <c r="V1335" s="16"/>
      <c r="W1335" s="16"/>
      <c r="X1335" s="16"/>
      <c r="Y1335" s="16"/>
      <c r="Z1335" s="16"/>
      <c r="AA1335" s="16"/>
      <c r="AB1335" s="16"/>
      <c r="AC1335" s="16"/>
      <c r="AD1335" s="16"/>
      <c r="AE1335" s="16"/>
      <c r="AF1335" s="16"/>
      <c r="AG1335" s="16"/>
      <c r="AH1335" s="16" t="s">
        <v>402</v>
      </c>
      <c r="AI1335" s="16"/>
      <c r="AJ1335" s="16" t="s">
        <v>1882</v>
      </c>
    </row>
    <row r="1336" spans="1:36" ht="15" customHeight="1" x14ac:dyDescent="0.3">
      <c r="A1336" s="16" t="s">
        <v>273</v>
      </c>
      <c r="B1336" s="16" t="s">
        <v>783</v>
      </c>
      <c r="C1336" s="16" t="s">
        <v>1705</v>
      </c>
      <c r="D1336" s="16" t="s">
        <v>324</v>
      </c>
      <c r="E1336" s="16" t="s">
        <v>404</v>
      </c>
      <c r="F1336" s="16" t="s">
        <v>790</v>
      </c>
      <c r="G1336" s="16">
        <v>0.8</v>
      </c>
      <c r="H1336" s="16">
        <v>2606</v>
      </c>
      <c r="I1336" s="16">
        <v>110</v>
      </c>
      <c r="J1336" s="16">
        <v>109</v>
      </c>
      <c r="K1336" s="16">
        <v>-1.6586490659787699E-2</v>
      </c>
      <c r="L1336" s="16">
        <v>2.06847821540488E-2</v>
      </c>
      <c r="M1336" s="16">
        <v>-0.80186924552846095</v>
      </c>
      <c r="N1336" s="16">
        <v>108</v>
      </c>
      <c r="O1336" s="16">
        <v>0.42438943874109902</v>
      </c>
      <c r="P1336" s="16"/>
      <c r="Q1336" s="16"/>
      <c r="R1336" s="16"/>
      <c r="S1336" s="16"/>
      <c r="T1336" s="16"/>
      <c r="U1336" s="16"/>
      <c r="V1336" s="16"/>
      <c r="W1336" s="16"/>
      <c r="X1336" s="16"/>
      <c r="Y1336" s="16"/>
      <c r="Z1336" s="16"/>
      <c r="AA1336" s="16"/>
      <c r="AB1336" s="16"/>
      <c r="AC1336" s="16"/>
      <c r="AD1336" s="16"/>
      <c r="AE1336" s="16"/>
      <c r="AF1336" s="16"/>
      <c r="AG1336" s="16"/>
      <c r="AH1336" s="16" t="s">
        <v>402</v>
      </c>
      <c r="AI1336" s="16"/>
      <c r="AJ1336" s="16" t="s">
        <v>1883</v>
      </c>
    </row>
    <row r="1337" spans="1:36" ht="15" customHeight="1" x14ac:dyDescent="0.3">
      <c r="A1337" s="16" t="s">
        <v>273</v>
      </c>
      <c r="B1337" s="16" t="s">
        <v>785</v>
      </c>
      <c r="C1337" s="16" t="s">
        <v>1705</v>
      </c>
      <c r="D1337" s="16" t="s">
        <v>324</v>
      </c>
      <c r="E1337" s="16" t="s">
        <v>404</v>
      </c>
      <c r="F1337" s="16" t="s">
        <v>790</v>
      </c>
      <c r="G1337" s="16">
        <v>0.8</v>
      </c>
      <c r="H1337" s="16">
        <v>2606</v>
      </c>
      <c r="I1337" s="16">
        <v>110</v>
      </c>
      <c r="J1337" s="16">
        <v>109</v>
      </c>
      <c r="K1337" s="16">
        <v>-1.3736497688421201E-2</v>
      </c>
      <c r="L1337" s="16">
        <v>2.0553370556263498E-2</v>
      </c>
      <c r="M1337" s="16">
        <v>-0.66833309168529997</v>
      </c>
      <c r="N1337" s="16">
        <v>108</v>
      </c>
      <c r="O1337" s="16">
        <v>0.50534687834280601</v>
      </c>
      <c r="P1337" s="16"/>
      <c r="Q1337" s="16"/>
      <c r="R1337" s="16"/>
      <c r="S1337" s="16"/>
      <c r="T1337" s="16"/>
      <c r="U1337" s="16"/>
      <c r="V1337" s="16"/>
      <c r="W1337" s="16"/>
      <c r="X1337" s="16"/>
      <c r="Y1337" s="16"/>
      <c r="Z1337" s="16"/>
      <c r="AA1337" s="16"/>
      <c r="AB1337" s="16"/>
      <c r="AC1337" s="16"/>
      <c r="AD1337" s="16"/>
      <c r="AE1337" s="16"/>
      <c r="AF1337" s="16"/>
      <c r="AG1337" s="16"/>
      <c r="AH1337" s="16" t="s">
        <v>402</v>
      </c>
      <c r="AI1337" s="16"/>
      <c r="AJ1337" s="16" t="s">
        <v>1884</v>
      </c>
    </row>
    <row r="1338" spans="1:36" ht="15" customHeight="1" x14ac:dyDescent="0.3">
      <c r="A1338" s="16" t="s">
        <v>273</v>
      </c>
      <c r="B1338" s="16" t="s">
        <v>787</v>
      </c>
      <c r="C1338" s="16" t="s">
        <v>1705</v>
      </c>
      <c r="D1338" s="16" t="s">
        <v>324</v>
      </c>
      <c r="E1338" s="16" t="s">
        <v>404</v>
      </c>
      <c r="F1338" s="16" t="s">
        <v>790</v>
      </c>
      <c r="G1338" s="16">
        <v>0.8</v>
      </c>
      <c r="H1338" s="16">
        <v>905</v>
      </c>
      <c r="I1338" s="16">
        <v>38</v>
      </c>
      <c r="J1338" s="16">
        <v>38</v>
      </c>
      <c r="K1338" s="16">
        <v>-3.1519008119531997E-2</v>
      </c>
      <c r="L1338" s="16">
        <v>3.3480223725027701E-2</v>
      </c>
      <c r="M1338" s="16">
        <v>-0.94142166965181695</v>
      </c>
      <c r="N1338" s="16">
        <v>36</v>
      </c>
      <c r="O1338" s="16">
        <v>0.352763593601367</v>
      </c>
      <c r="P1338" s="16"/>
      <c r="Q1338" s="16"/>
      <c r="R1338" s="16"/>
      <c r="S1338" s="16"/>
      <c r="T1338" s="16"/>
      <c r="U1338" s="16"/>
      <c r="V1338" s="16"/>
      <c r="W1338" s="16"/>
      <c r="X1338" s="16"/>
      <c r="Y1338" s="16"/>
      <c r="Z1338" s="16"/>
      <c r="AA1338" s="16"/>
      <c r="AB1338" s="16"/>
      <c r="AC1338" s="16"/>
      <c r="AD1338" s="16"/>
      <c r="AE1338" s="16"/>
      <c r="AF1338" s="16"/>
      <c r="AG1338" s="16"/>
      <c r="AH1338" s="16" t="s">
        <v>402</v>
      </c>
      <c r="AI1338" s="16"/>
      <c r="AJ1338" s="16" t="s">
        <v>1885</v>
      </c>
    </row>
    <row r="1339" spans="1:36" ht="15" customHeight="1" x14ac:dyDescent="0.3">
      <c r="A1339" s="16" t="s">
        <v>344</v>
      </c>
      <c r="B1339" s="16" t="s">
        <v>345</v>
      </c>
      <c r="C1339" s="16" t="s">
        <v>169</v>
      </c>
      <c r="D1339" s="16" t="s">
        <v>1886</v>
      </c>
      <c r="E1339" s="16" t="s">
        <v>400</v>
      </c>
      <c r="F1339" s="16" t="s">
        <v>1887</v>
      </c>
      <c r="G1339" s="16"/>
      <c r="H1339" s="16"/>
      <c r="I1339" s="16"/>
      <c r="J1339" s="16"/>
      <c r="K1339" s="16"/>
      <c r="L1339" s="16"/>
      <c r="M1339" s="16"/>
      <c r="N1339" s="16"/>
      <c r="O1339" s="16"/>
      <c r="P1339" s="16"/>
      <c r="Q1339" s="16"/>
      <c r="R1339" s="16"/>
      <c r="S1339" s="16"/>
      <c r="T1339" s="16"/>
      <c r="U1339" s="16"/>
      <c r="V1339" s="16"/>
      <c r="W1339" s="16"/>
      <c r="X1339" s="16"/>
      <c r="Y1339" s="16"/>
      <c r="Z1339" s="16"/>
      <c r="AA1339" s="16"/>
      <c r="AB1339" s="16"/>
      <c r="AC1339" s="16"/>
      <c r="AD1339" s="16"/>
      <c r="AE1339" s="16"/>
      <c r="AF1339" s="16"/>
      <c r="AG1339" s="16">
        <v>500</v>
      </c>
      <c r="AH1339" s="16" t="s">
        <v>402</v>
      </c>
      <c r="AI1339" s="16"/>
      <c r="AJ1339" s="16" t="s">
        <v>1888</v>
      </c>
    </row>
    <row r="1340" spans="1:36" ht="15" customHeight="1" x14ac:dyDescent="0.3">
      <c r="A1340" s="16" t="s">
        <v>344</v>
      </c>
      <c r="B1340" s="16" t="s">
        <v>345</v>
      </c>
      <c r="C1340" s="16" t="s">
        <v>169</v>
      </c>
      <c r="D1340" s="16" t="s">
        <v>1889</v>
      </c>
      <c r="E1340" s="16" t="s">
        <v>400</v>
      </c>
      <c r="F1340" s="16" t="s">
        <v>1887</v>
      </c>
      <c r="G1340" s="16"/>
      <c r="H1340" s="16"/>
      <c r="I1340" s="16"/>
      <c r="J1340" s="16"/>
      <c r="K1340" s="16"/>
      <c r="L1340" s="16"/>
      <c r="M1340" s="16"/>
      <c r="N1340" s="16"/>
      <c r="O1340" s="16"/>
      <c r="P1340" s="16"/>
      <c r="Q1340" s="16"/>
      <c r="R1340" s="16"/>
      <c r="S1340" s="16"/>
      <c r="T1340" s="16"/>
      <c r="U1340" s="16"/>
      <c r="V1340" s="16"/>
      <c r="W1340" s="16"/>
      <c r="X1340" s="16"/>
      <c r="Y1340" s="16"/>
      <c r="Z1340" s="16"/>
      <c r="AA1340" s="16"/>
      <c r="AB1340" s="16"/>
      <c r="AC1340" s="16"/>
      <c r="AD1340" s="16"/>
      <c r="AE1340" s="16"/>
      <c r="AF1340" s="16"/>
      <c r="AG1340" s="16"/>
      <c r="AH1340" s="16" t="s">
        <v>402</v>
      </c>
      <c r="AI1340" s="16"/>
      <c r="AJ1340" s="16" t="s">
        <v>1890</v>
      </c>
    </row>
    <row r="1341" spans="1:36" ht="15" customHeight="1" x14ac:dyDescent="0.3">
      <c r="A1341" s="16" t="s">
        <v>344</v>
      </c>
      <c r="B1341" s="16" t="s">
        <v>345</v>
      </c>
      <c r="C1341" s="16" t="s">
        <v>169</v>
      </c>
      <c r="D1341" s="16" t="s">
        <v>1891</v>
      </c>
      <c r="E1341" s="16" t="s">
        <v>400</v>
      </c>
      <c r="F1341" s="16" t="s">
        <v>1887</v>
      </c>
      <c r="G1341" s="16"/>
      <c r="H1341" s="16"/>
      <c r="I1341" s="16"/>
      <c r="J1341" s="16"/>
      <c r="K1341" s="16"/>
      <c r="L1341" s="16"/>
      <c r="M1341" s="16"/>
      <c r="N1341" s="16"/>
      <c r="O1341" s="16"/>
      <c r="P1341" s="16"/>
      <c r="Q1341" s="16"/>
      <c r="R1341" s="16"/>
      <c r="S1341" s="16"/>
      <c r="T1341" s="16"/>
      <c r="U1341" s="16"/>
      <c r="V1341" s="16"/>
      <c r="W1341" s="16"/>
      <c r="X1341" s="16"/>
      <c r="Y1341" s="16"/>
      <c r="Z1341" s="16"/>
      <c r="AA1341" s="16"/>
      <c r="AB1341" s="16"/>
      <c r="AC1341" s="16"/>
      <c r="AD1341" s="16"/>
      <c r="AE1341" s="16"/>
      <c r="AF1341" s="16"/>
      <c r="AG1341" s="16"/>
      <c r="AH1341" s="16" t="s">
        <v>402</v>
      </c>
      <c r="AI1341" s="16"/>
      <c r="AJ1341" s="16" t="s">
        <v>1892</v>
      </c>
    </row>
    <row r="1342" spans="1:36" ht="15" customHeight="1" x14ac:dyDescent="0.3">
      <c r="A1342" s="16" t="s">
        <v>344</v>
      </c>
      <c r="B1342" s="16" t="s">
        <v>345</v>
      </c>
      <c r="C1342" s="16" t="s">
        <v>169</v>
      </c>
      <c r="D1342" s="16" t="s">
        <v>1893</v>
      </c>
      <c r="E1342" s="16" t="s">
        <v>1894</v>
      </c>
      <c r="F1342" s="16" t="s">
        <v>1887</v>
      </c>
      <c r="G1342" s="16"/>
      <c r="H1342" s="16"/>
      <c r="I1342" s="16"/>
      <c r="J1342" s="16"/>
      <c r="K1342" s="16"/>
      <c r="L1342" s="16"/>
      <c r="M1342" s="16"/>
      <c r="N1342" s="16"/>
      <c r="O1342" s="16"/>
      <c r="P1342" s="16"/>
      <c r="Q1342" s="16"/>
      <c r="R1342" s="16"/>
      <c r="S1342" s="16"/>
      <c r="T1342" s="16"/>
      <c r="U1342" s="16"/>
      <c r="V1342" s="16"/>
      <c r="W1342" s="16"/>
      <c r="X1342" s="16"/>
      <c r="Y1342" s="16"/>
      <c r="Z1342" s="16"/>
      <c r="AA1342" s="16"/>
      <c r="AB1342" s="16"/>
      <c r="AC1342" s="16"/>
      <c r="AD1342" s="16"/>
      <c r="AE1342" s="16"/>
      <c r="AF1342" s="16"/>
      <c r="AG1342" s="16">
        <v>2012.257855823</v>
      </c>
      <c r="AH1342" s="16" t="s">
        <v>402</v>
      </c>
      <c r="AI1342" s="16"/>
      <c r="AJ1342" s="16" t="s">
        <v>1895</v>
      </c>
    </row>
    <row r="1343" spans="1:36" ht="15" customHeight="1" x14ac:dyDescent="0.3">
      <c r="A1343" s="16" t="s">
        <v>344</v>
      </c>
      <c r="B1343" s="16" t="s">
        <v>345</v>
      </c>
      <c r="C1343" s="16" t="s">
        <v>169</v>
      </c>
      <c r="D1343" s="16" t="s">
        <v>373</v>
      </c>
      <c r="E1343" s="16" t="s">
        <v>400</v>
      </c>
      <c r="F1343" s="16" t="s">
        <v>1887</v>
      </c>
      <c r="G1343" s="16"/>
      <c r="H1343" s="16"/>
      <c r="I1343" s="16"/>
      <c r="J1343" s="16"/>
      <c r="K1343" s="16"/>
      <c r="L1343" s="16"/>
      <c r="M1343" s="16"/>
      <c r="N1343" s="16"/>
      <c r="O1343" s="16"/>
      <c r="P1343" s="16"/>
      <c r="Q1343" s="16"/>
      <c r="R1343" s="16"/>
      <c r="S1343" s="16"/>
      <c r="T1343" s="16"/>
      <c r="U1343" s="16"/>
      <c r="V1343" s="16"/>
      <c r="W1343" s="16"/>
      <c r="X1343" s="16"/>
      <c r="Y1343" s="16"/>
      <c r="Z1343" s="16"/>
      <c r="AA1343" s="16"/>
      <c r="AB1343" s="16"/>
      <c r="AC1343" s="16"/>
      <c r="AD1343" s="16"/>
      <c r="AE1343" s="16"/>
      <c r="AF1343" s="16"/>
      <c r="AG1343" s="16"/>
      <c r="AH1343" s="16" t="s">
        <v>402</v>
      </c>
      <c r="AI1343" s="16"/>
      <c r="AJ1343" s="16" t="s">
        <v>1896</v>
      </c>
    </row>
    <row r="1344" spans="1:36" ht="15" customHeight="1" x14ac:dyDescent="0.3">
      <c r="A1344" s="16" t="s">
        <v>344</v>
      </c>
      <c r="B1344" s="16" t="s">
        <v>345</v>
      </c>
      <c r="C1344" s="16" t="s">
        <v>169</v>
      </c>
      <c r="D1344" s="16" t="s">
        <v>361</v>
      </c>
      <c r="E1344" s="16" t="s">
        <v>400</v>
      </c>
      <c r="F1344" s="16" t="s">
        <v>1887</v>
      </c>
      <c r="G1344" s="16"/>
      <c r="H1344" s="16"/>
      <c r="I1344" s="16"/>
      <c r="J1344" s="16"/>
      <c r="K1344" s="16"/>
      <c r="L1344" s="16"/>
      <c r="M1344" s="16"/>
      <c r="N1344" s="16"/>
      <c r="O1344" s="16"/>
      <c r="P1344" s="16"/>
      <c r="Q1344" s="16"/>
      <c r="R1344" s="16"/>
      <c r="S1344" s="16"/>
      <c r="T1344" s="16"/>
      <c r="U1344" s="16"/>
      <c r="V1344" s="16"/>
      <c r="W1344" s="16"/>
      <c r="X1344" s="16"/>
      <c r="Y1344" s="16"/>
      <c r="Z1344" s="16"/>
      <c r="AA1344" s="16"/>
      <c r="AB1344" s="16"/>
      <c r="AC1344" s="16"/>
      <c r="AD1344" s="16"/>
      <c r="AE1344" s="16"/>
      <c r="AF1344" s="16"/>
      <c r="AG1344" s="16">
        <v>12</v>
      </c>
      <c r="AH1344" s="16" t="s">
        <v>402</v>
      </c>
      <c r="AI1344" s="16"/>
      <c r="AJ1344" s="16" t="s">
        <v>1897</v>
      </c>
    </row>
    <row r="1345" spans="1:36" ht="15" customHeight="1" x14ac:dyDescent="0.3">
      <c r="A1345" s="16" t="s">
        <v>344</v>
      </c>
      <c r="B1345" s="16" t="s">
        <v>345</v>
      </c>
      <c r="C1345" s="16" t="s">
        <v>169</v>
      </c>
      <c r="D1345" s="16" t="s">
        <v>1898</v>
      </c>
      <c r="E1345" s="16" t="s">
        <v>400</v>
      </c>
      <c r="F1345" s="16" t="s">
        <v>1887</v>
      </c>
      <c r="G1345" s="16"/>
      <c r="H1345" s="16"/>
      <c r="I1345" s="16"/>
      <c r="J1345" s="16"/>
      <c r="K1345" s="16"/>
      <c r="L1345" s="16"/>
      <c r="M1345" s="16"/>
      <c r="N1345" s="16"/>
      <c r="O1345" s="16"/>
      <c r="P1345" s="16"/>
      <c r="Q1345" s="16"/>
      <c r="R1345" s="16"/>
      <c r="S1345" s="16"/>
      <c r="T1345" s="16"/>
      <c r="U1345" s="16"/>
      <c r="V1345" s="16"/>
      <c r="W1345" s="16"/>
      <c r="X1345" s="16"/>
      <c r="Y1345" s="16"/>
      <c r="Z1345" s="16"/>
      <c r="AA1345" s="16"/>
      <c r="AB1345" s="16"/>
      <c r="AC1345" s="16"/>
      <c r="AD1345" s="16"/>
      <c r="AE1345" s="16"/>
      <c r="AF1345" s="16"/>
      <c r="AG1345" s="16">
        <v>13</v>
      </c>
      <c r="AH1345" s="16" t="s">
        <v>402</v>
      </c>
      <c r="AI1345" s="16"/>
      <c r="AJ1345" s="16" t="s">
        <v>1899</v>
      </c>
    </row>
    <row r="1346" spans="1:36" ht="15" customHeight="1" x14ac:dyDescent="0.3">
      <c r="A1346" s="16" t="s">
        <v>344</v>
      </c>
      <c r="B1346" s="16" t="s">
        <v>345</v>
      </c>
      <c r="C1346" s="16" t="s">
        <v>169</v>
      </c>
      <c r="D1346" s="16" t="s">
        <v>1900</v>
      </c>
      <c r="E1346" s="16" t="s">
        <v>400</v>
      </c>
      <c r="F1346" s="16" t="s">
        <v>1887</v>
      </c>
      <c r="G1346" s="16"/>
      <c r="H1346" s="16"/>
      <c r="I1346" s="16"/>
      <c r="J1346" s="16"/>
      <c r="K1346" s="16"/>
      <c r="L1346" s="16"/>
      <c r="M1346" s="16"/>
      <c r="N1346" s="16"/>
      <c r="O1346" s="16"/>
      <c r="P1346" s="16"/>
      <c r="Q1346" s="16"/>
      <c r="R1346" s="16"/>
      <c r="S1346" s="16"/>
      <c r="T1346" s="16"/>
      <c r="U1346" s="16"/>
      <c r="V1346" s="16"/>
      <c r="W1346" s="16"/>
      <c r="X1346" s="16"/>
      <c r="Y1346" s="16"/>
      <c r="Z1346" s="16"/>
      <c r="AA1346" s="16"/>
      <c r="AB1346" s="16"/>
      <c r="AC1346" s="16"/>
      <c r="AD1346" s="16"/>
      <c r="AE1346" s="16"/>
      <c r="AF1346" s="16"/>
      <c r="AG1346" s="16"/>
      <c r="AH1346" s="16" t="s">
        <v>402</v>
      </c>
      <c r="AI1346" s="16"/>
      <c r="AJ1346" s="16" t="s">
        <v>1901</v>
      </c>
    </row>
    <row r="1347" spans="1:36" ht="15" customHeight="1" x14ac:dyDescent="0.3">
      <c r="A1347" s="16" t="s">
        <v>344</v>
      </c>
      <c r="B1347" s="16" t="s">
        <v>345</v>
      </c>
      <c r="C1347" s="16" t="s">
        <v>169</v>
      </c>
      <c r="D1347" s="16" t="s">
        <v>1902</v>
      </c>
      <c r="E1347" s="16" t="s">
        <v>400</v>
      </c>
      <c r="F1347" s="16" t="s">
        <v>1887</v>
      </c>
      <c r="G1347" s="16"/>
      <c r="H1347" s="16"/>
      <c r="I1347" s="16"/>
      <c r="J1347" s="16"/>
      <c r="K1347" s="16"/>
      <c r="L1347" s="16"/>
      <c r="M1347" s="16"/>
      <c r="N1347" s="16"/>
      <c r="O1347" s="16"/>
      <c r="P1347" s="16"/>
      <c r="Q1347" s="16"/>
      <c r="R1347" s="16"/>
      <c r="S1347" s="16"/>
      <c r="T1347" s="16"/>
      <c r="U1347" s="16"/>
      <c r="V1347" s="16"/>
      <c r="W1347" s="16"/>
      <c r="X1347" s="16"/>
      <c r="Y1347" s="16"/>
      <c r="Z1347" s="16"/>
      <c r="AA1347" s="16"/>
      <c r="AB1347" s="16"/>
      <c r="AC1347" s="16"/>
      <c r="AD1347" s="16"/>
      <c r="AE1347" s="16"/>
      <c r="AF1347" s="16"/>
      <c r="AG1347" s="16">
        <v>2607</v>
      </c>
      <c r="AH1347" s="16" t="s">
        <v>402</v>
      </c>
      <c r="AI1347" s="16"/>
      <c r="AJ1347" s="16" t="s">
        <v>1903</v>
      </c>
    </row>
    <row r="1348" spans="1:36" ht="15" customHeight="1" x14ac:dyDescent="0.3">
      <c r="A1348" s="16" t="s">
        <v>344</v>
      </c>
      <c r="B1348" s="16" t="s">
        <v>345</v>
      </c>
      <c r="C1348" s="16" t="s">
        <v>169</v>
      </c>
      <c r="D1348" s="16" t="s">
        <v>346</v>
      </c>
      <c r="E1348" s="16" t="s">
        <v>400</v>
      </c>
      <c r="F1348" s="16" t="s">
        <v>1887</v>
      </c>
      <c r="G1348" s="16"/>
      <c r="H1348" s="16"/>
      <c r="I1348" s="16"/>
      <c r="J1348" s="16"/>
      <c r="K1348" s="16"/>
      <c r="L1348" s="16"/>
      <c r="M1348" s="16"/>
      <c r="N1348" s="16"/>
      <c r="O1348" s="16"/>
      <c r="P1348" s="16"/>
      <c r="Q1348" s="16"/>
      <c r="R1348" s="16"/>
      <c r="S1348" s="16"/>
      <c r="T1348" s="16"/>
      <c r="U1348" s="16"/>
      <c r="V1348" s="16"/>
      <c r="W1348" s="16"/>
      <c r="X1348" s="16"/>
      <c r="Y1348" s="16"/>
      <c r="Z1348" s="16"/>
      <c r="AA1348" s="16"/>
      <c r="AB1348" s="16"/>
      <c r="AC1348" s="16"/>
      <c r="AD1348" s="16"/>
      <c r="AE1348" s="16"/>
      <c r="AF1348" s="16"/>
      <c r="AG1348" s="16">
        <v>10</v>
      </c>
      <c r="AH1348" s="16" t="s">
        <v>402</v>
      </c>
      <c r="AI1348" s="16"/>
      <c r="AJ1348" s="16" t="s">
        <v>1904</v>
      </c>
    </row>
  </sheetData>
  <autoFilter ref="A1:AJ1348" xr:uid="{00000000-0009-0000-0000-00000A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9"/>
  <sheetViews>
    <sheetView zoomScaleNormal="100" workbookViewId="0">
      <pane ySplit="5" topLeftCell="A6" activePane="bottomLeft" state="frozen"/>
      <selection pane="bottomLeft"/>
    </sheetView>
  </sheetViews>
  <sheetFormatPr baseColWidth="10" defaultColWidth="8.6640625" defaultRowHeight="14.4" x14ac:dyDescent="0.3"/>
  <cols>
    <col min="1" max="1" width="24" customWidth="1"/>
    <col min="2" max="2" width="42" customWidth="1"/>
    <col min="3" max="7" width="12" customWidth="1"/>
    <col min="8" max="8" width="95" customWidth="1"/>
    <col min="9" max="9" width="30" customWidth="1"/>
    <col min="10" max="10" width="60" customWidth="1"/>
  </cols>
  <sheetData>
    <row r="1" spans="1:10" ht="15" customHeight="1" x14ac:dyDescent="0.3">
      <c r="A1" s="1" t="s">
        <v>1905</v>
      </c>
    </row>
    <row r="2" spans="1:10" ht="15" customHeight="1" x14ac:dyDescent="0.3">
      <c r="A2" s="2" t="s">
        <v>1906</v>
      </c>
    </row>
    <row r="3" spans="1:10" ht="15" customHeight="1" x14ac:dyDescent="0.3">
      <c r="A3" s="2" t="s">
        <v>2</v>
      </c>
    </row>
    <row r="5" spans="1:10" ht="15" customHeight="1" x14ac:dyDescent="0.3">
      <c r="A5" s="3" t="s">
        <v>398</v>
      </c>
      <c r="B5" s="3" t="s">
        <v>25</v>
      </c>
      <c r="C5" s="3" t="s">
        <v>1907</v>
      </c>
      <c r="D5" s="3" t="s">
        <v>1908</v>
      </c>
      <c r="E5" s="3" t="s">
        <v>1909</v>
      </c>
      <c r="F5" s="3" t="s">
        <v>1910</v>
      </c>
      <c r="G5" s="3" t="s">
        <v>1911</v>
      </c>
      <c r="H5" s="3" t="s">
        <v>1912</v>
      </c>
      <c r="I5" s="3" t="s">
        <v>1913</v>
      </c>
      <c r="J5" s="3" t="s">
        <v>165</v>
      </c>
    </row>
    <row r="6" spans="1:10" ht="68.25" customHeight="1" x14ac:dyDescent="0.3">
      <c r="A6" s="4" t="s">
        <v>409</v>
      </c>
      <c r="B6" s="5" t="s">
        <v>1914</v>
      </c>
      <c r="C6" s="6" t="str">
        <f>IF(INDEX(Results_Long!$AG:$AG,SUMPRODUCT((Results_Long!$A$2:$A$1348="H1")*(Results_Long!$B$2:$B$1348="own_x1.0")*(Results_Long!$C$2:$C$1348="defined")*(Results_Long!$D$2:$D$1348="mde_power80")*ROW(Results_Long!$A$2:$A$1348)))="","NA",INDEX(Results_Long!$AG:$AG,SUMPRODUCT((Results_Long!$A$2:$A$1348="H1")*(Results_Long!$B$2:$B$1348="own_x1.0")*(Results_Long!$C$2:$C$1348="defined")*(Results_Long!$D$2:$D$1348="mde_power80")*ROW(Results_Long!$A$2:$A$1348))))</f>
        <v>NA</v>
      </c>
      <c r="D6" s="6">
        <f>IF(INDEX(Results_Long!$AG:$AG,SUMPRODUCT((Results_Long!$A$2:$A$1348="H1")*(Results_Long!$B$2:$B$1348="own_x1.0")*(Results_Long!$C$2:$C$1348="defined")*(Results_Long!$D$2:$D$1348="power_delta_0.08")*ROW(Results_Long!$A$2:$A$1348)))="","NA",INDEX(Results_Long!$AG:$AG,SUMPRODUCT((Results_Long!$A$2:$A$1348="H1")*(Results_Long!$B$2:$B$1348="own_x1.0")*(Results_Long!$C$2:$C$1348="defined")*(Results_Long!$D$2:$D$1348="power_delta_0.08")*ROW(Results_Long!$A$2:$A$1348))))</f>
        <v>0.73040000000000005</v>
      </c>
      <c r="E6" s="6">
        <f>IF(INDEX(Results_Long!$N:$N,SUMPRODUCT((Results_Long!$A$2:$A$1348="H1")*(Results_Long!$B$2:$B$1348="own_x1.0")*(Results_Long!$C$2:$C$1348="defined")*(Results_Long!$D$2:$D$1348="mde_power80")*ROW(Results_Long!$A$2:$A$1348)))="","NA",INDEX(Results_Long!$N:$N,SUMPRODUCT((Results_Long!$A$2:$A$1348="H1")*(Results_Long!$B$2:$B$1348="own_x1.0")*(Results_Long!$C$2:$C$1348="defined")*(Results_Long!$D$2:$D$1348="mde_power80")*ROW(Results_Long!$A$2:$A$1348))))</f>
        <v>11.819360757098201</v>
      </c>
      <c r="F6" s="17"/>
      <c r="G6" s="17"/>
      <c r="H6" s="5" t="str">
        <f>"MDE80 (own x1.0 scenario): "&amp;IF($C6="NA","NA - above the delta-grid ceiling 0.08; power at 0.08 = "&amp;IF($D6="NA","NA",IF($D6&lt;0,"-","")&amp;INT(ROUND(ABS($D6)*10000,0)/10000)&amp;"."&amp;REPT("0",4-LEN(MOD(ROUND(ABS($D6)*10000,0),10000)))&amp;MOD(ROUND(ABS($D6)*10000,0),10000)),""&amp;IF($C6="NA","NA",IF($C6&lt;0,"-","")&amp;INT(ROUND(ABS($C6)*10000,0)/10000)&amp;"."&amp;REPT("0",4-LEN(MOD(ROUND(ABS($C6)*10000,0),10000)))&amp;MOD(ROUND(ABS($C6)*10000,0),10000)))&amp;" (df_Satt = "&amp;IF($E6="NA","NA",IF($E6&lt;0,"-","")&amp;INT(ROUND(ABS($E6)*100,0)/100)&amp;"."&amp;REPT("0",2-LEN(MOD(ROUND(ABS($E6)*100,0),100)))&amp;MOD(ROUND(ABS($E6)*100,0),100))&amp;")"</f>
        <v>MDE80 (own x1.0 scenario): NA - above the delta-grid ceiling 0.08; power at 0.08 = 0.7304 (df_Satt = 11.82)</v>
      </c>
      <c r="I6" s="5" t="s">
        <v>1915</v>
      </c>
      <c r="J6" s="5" t="str">
        <f>IF(INDEX(Results_Long!$AJ:$AJ,SUMPRODUCT((Results_Long!$A$2:$A$1348="H1")*(Results_Long!$B$2:$B$1348="own_x1.0")*(Results_Long!$C$2:$C$1348="defined")*(Results_Long!$D$2:$D$1348="mde_power80")*ROW(Results_Long!$A$2:$A$1348)))="","NA",INDEX(Results_Long!$AJ:$AJ,SUMPRODUCT((Results_Long!$A$2:$A$1348="H1")*(Results_Long!$B$2:$B$1348="own_x1.0")*(Results_Long!$C$2:$C$1348="defined")*(Results_Long!$D$2:$D$1348="mde_power80")*ROW(Results_Long!$A$2:$A$1348))))</f>
        <v>H1 scenario own_x1.0: fixed VC (cluster/study/esid) = 0.0197455/1.02092e-09/0.0118832 (= T1/A2 components x 1.0); design X = [1, pp_mid] on 2,705/112; CR2/Satterthwaite two-sided alpha=.05, df precomputed y-free; delta enters as noncentral shift of one B=5000 stream [DEC-045/H-Q14/R1]; MDE = smallest delta with power &gt;= .80, linear interpolation on the 9-point grid; NA = above grid ceiling 0.08</v>
      </c>
    </row>
    <row r="7" spans="1:10" ht="23.25" customHeight="1" x14ac:dyDescent="0.3">
      <c r="A7" s="4" t="s">
        <v>434</v>
      </c>
      <c r="B7" s="5" t="s">
        <v>1916</v>
      </c>
      <c r="C7" s="6">
        <f>IF(INDEX(Results_Long!$AG:$AG,SUMPRODUCT((Results_Long!$A$2:$A$1348="H3")*(Results_Long!$B$2:$B$1348="core_curve")*(Results_Long!$C$2:$C$1348="defined")*(Results_Long!$D$2:$D$1348="p_perm_share_sig")*ROW(Results_Long!$A$2:$A$1348)))="","NA",INDEX(Results_Long!$AG:$AG,SUMPRODUCT((Results_Long!$A$2:$A$1348="H3")*(Results_Long!$B$2:$B$1348="core_curve")*(Results_Long!$C$2:$C$1348="defined")*(Results_Long!$D$2:$D$1348="p_perm_share_sig")*ROW(Results_Long!$A$2:$A$1348))))</f>
        <v>1</v>
      </c>
      <c r="D7" s="6">
        <f>IF(INDEX(Results_Long!$AG:$AG,SUMPRODUCT((Results_Long!$A$2:$A$1348="H3")*(Results_Long!$B$2:$B$1348="core_curve")*(Results_Long!$C$2:$C$1348="defined")*(Results_Long!$D$2:$D$1348="observed_share_sig")*ROW(Results_Long!$A$2:$A$1348)))="","NA",INDEX(Results_Long!$AG:$AG,SUMPRODUCT((Results_Long!$A$2:$A$1348="H3")*(Results_Long!$B$2:$B$1348="core_curve")*(Results_Long!$C$2:$C$1348="defined")*(Results_Long!$D$2:$D$1348="observed_share_sig")*ROW(Results_Long!$A$2:$A$1348))))</f>
        <v>0</v>
      </c>
      <c r="E7" s="6">
        <f>IF(INDEX(Results_Long!$AG:$AG,SUMPRODUCT((Results_Long!$A$2:$A$1348="H3")*(Results_Long!$B$2:$B$1348="core_curve")*(Results_Long!$C$2:$C$1348="defined")*(Results_Long!$D$2:$D$1348="p_perm_median_t")*ROW(Results_Long!$A$2:$A$1348)))="","NA",INDEX(Results_Long!$AG:$AG,SUMPRODUCT((Results_Long!$A$2:$A$1348="H3")*(Results_Long!$B$2:$B$1348="core_curve")*(Results_Long!$C$2:$C$1348="defined")*(Results_Long!$D$2:$D$1348="p_perm_median_t")*ROW(Results_Long!$A$2:$A$1348))))</f>
        <v>0.85429141716566903</v>
      </c>
      <c r="F7" s="6">
        <f>IF(INDEX(Results_Long!$AG:$AG,SUMPRODUCT((Results_Long!$A$2:$A$1348="H3")*(Results_Long!$B$2:$B$1348="core_curve")*(Results_Long!$C$2:$C$1348="defined")*(Results_Long!$D$2:$D$1348="eff_B")*ROW(Results_Long!$A$2:$A$1348)))="","NA",INDEX(Results_Long!$AG:$AG,SUMPRODUCT((Results_Long!$A$2:$A$1348="H3")*(Results_Long!$B$2:$B$1348="core_curve")*(Results_Long!$C$2:$C$1348="defined")*(Results_Long!$D$2:$D$1348="eff_B")*ROW(Results_Long!$A$2:$A$1348))))</f>
        <v>500</v>
      </c>
      <c r="G7" s="17"/>
      <c r="H7" s="5" t="str">
        <f>"Joint spec-curve permutation: observed share p&lt;.05 = "&amp;IF($D7="NA","NA",ROUND($D7*10,0))&amp;"/10; p_perm(share) = "&amp;IF($C7="NA","NA",IF($C7&lt;0,"-","")&amp;INT(ROUND(ABS($C7)*10000,0)/10000)&amp;"."&amp;REPT("0",4-LEN(MOD(ROUND(ABS($C7)*10000,0),10000)))&amp;MOD(ROUND(ABS($C7)*10000,0),10000))&amp;"; p_perm(median |t|) = "&amp;IF($E7="NA","NA",IF($E7&lt;0,"-","")&amp;INT(ROUND(ABS($E7)*10000,0)/10000)&amp;"."&amp;REPT("0",4-LEN(MOD(ROUND(ABS($E7)*10000,0),10000)))&amp;MOD(ROUND(ABS($E7)*10000,0),10000))&amp;"; B_eff = "&amp;IF($F7="NA","NA",ROUND($F7,0))</f>
        <v>Joint spec-curve permutation: observed share p&lt;.05 = 0/10; p_perm(share) = 1.0000; p_perm(median |t|) = 0.8543; B_eff = 500</v>
      </c>
      <c r="I7" s="5" t="s">
        <v>1917</v>
      </c>
      <c r="J7" s="5" t="str">
        <f>IF(INDEX(Results_Long!$AJ:$AJ,SUMPRODUCT((Results_Long!$A$2:$A$1348="H3")*(Results_Long!$B$2:$B$1348="core_curve")*(Results_Long!$C$2:$C$1348="defined")*(Results_Long!$D$2:$D$1348="p_perm_share_sig")*ROW(Results_Long!$A$2:$A$1348)))="","NA",INDEX(Results_Long!$AJ:$AJ,SUMPRODUCT((Results_Long!$A$2:$A$1348="H3")*(Results_Long!$B$2:$B$1348="core_curve")*(Results_Long!$C$2:$C$1348="defined")*(Results_Long!$D$2:$D$1348="p_perm_share_sig")*ROW(Results_Long!$A$2:$A$1348))))</f>
        <v>joint permutation [H-Q15/R3]: ONE cluster time-translation per replicate applied to all 10 core cells (codings re-derived); p = (1 + 500)/(500 + 1)</v>
      </c>
    </row>
    <row r="8" spans="1:10" ht="45.75" customHeight="1" x14ac:dyDescent="0.3">
      <c r="A8" s="4" t="s">
        <v>971</v>
      </c>
      <c r="B8" s="5" t="s">
        <v>1918</v>
      </c>
      <c r="C8" s="6">
        <f>IF(INDEX(Results_Long!$K:$K,SUMPRODUCT((Results_Long!$A$2:$A$1348="H3")*(Results_Long!$B$2:$B$1348="paris_mid|none|full|dfE")*(Results_Long!$C$2:$C$1348="3LMA-RVE_CR2|r0.6")*(Results_Long!$D$2:$D$1348="diff")*ROW(Results_Long!$A$2:$A$1348)))="","NA",INDEX(Results_Long!$K:$K,SUMPRODUCT((Results_Long!$A$2:$A$1348="H3")*(Results_Long!$B$2:$B$1348="paris_mid|none|full|dfE")*(Results_Long!$C$2:$C$1348="3LMA-RVE_CR2|r0.6")*(Results_Long!$D$2:$D$1348="diff")*ROW(Results_Long!$A$2:$A$1348))))</f>
        <v>1.01759067104026E-2</v>
      </c>
      <c r="D8" s="6">
        <f>IF(INDEX(Results_Long!$N:$N,SUMPRODUCT((Results_Long!$A$2:$A$1348="H3")*(Results_Long!$B$2:$B$1348="paris_mid|none|full|dfE")*(Results_Long!$C$2:$C$1348="3LMA-RVE_CR2|r0.6")*(Results_Long!$D$2:$D$1348="diff")*ROW(Results_Long!$A$2:$A$1348)))="","NA",INDEX(Results_Long!$N:$N,SUMPRODUCT((Results_Long!$A$2:$A$1348="H3")*(Results_Long!$B$2:$B$1348="paris_mid|none|full|dfE")*(Results_Long!$C$2:$C$1348="3LMA-RVE_CR2|r0.6")*(Results_Long!$D$2:$D$1348="diff")*ROW(Results_Long!$A$2:$A$1348))))</f>
        <v>14.9920663728925</v>
      </c>
      <c r="E8" s="6">
        <f>IF(INDEX(Results_Long!$M:$M,SUMPRODUCT((Results_Long!$A$2:$A$1348="H3")*(Results_Long!$B$2:$B$1348="paris_mid|none|full|dfE")*(Results_Long!$C$2:$C$1348="3LMA-RVE_CR2|r0.6")*(Results_Long!$D$2:$D$1348="diff")*ROW(Results_Long!$A$2:$A$1348)))="","NA",INDEX(Results_Long!$M:$M,SUMPRODUCT((Results_Long!$A$2:$A$1348="H3")*(Results_Long!$B$2:$B$1348="paris_mid|none|full|dfE")*(Results_Long!$C$2:$C$1348="3LMA-RVE_CR2|r0.6")*(Results_Long!$D$2:$D$1348="diff")*ROW(Results_Long!$A$2:$A$1348))))</f>
        <v>0.56197868203879797</v>
      </c>
      <c r="F8" s="6">
        <f>IF(INDEX(Results_Long!$O:$O,SUMPRODUCT((Results_Long!$A$2:$A$1348="H3")*(Results_Long!$B$2:$B$1348="paris_mid|none|full|dfE")*(Results_Long!$C$2:$C$1348="3LMA-RVE_CR2|r0.6")*(Results_Long!$D$2:$D$1348="diff")*ROW(Results_Long!$A$2:$A$1348)))="","NA",INDEX(Results_Long!$O:$O,SUMPRODUCT((Results_Long!$A$2:$A$1348="H3")*(Results_Long!$B$2:$B$1348="paris_mid|none|full|dfE")*(Results_Long!$C$2:$C$1348="3LMA-RVE_CR2|r0.6")*(Results_Long!$D$2:$D$1348="diff")*ROW(Results_Long!$A$2:$A$1348))))</f>
        <v>0.58243572563051604</v>
      </c>
      <c r="G8" s="17"/>
      <c r="H8" s="5" t="str">
        <f>"core cell paris_mid: diff_z = "&amp;IF($C8="NA","NA",IF($C8&lt;0,"-","+")&amp;INT(ROUND(ABS($C8)*10000,0)/10000)&amp;"."&amp;REPT("0",4-LEN(MOD(ROUND(ABS($C8)*10000,0),10000)))&amp;MOD(ROUND(ABS($C8)*10000,0),10000))&amp;", t("&amp;IF($D8="NA","NA",IF($D8&lt;0,"-","")&amp;INT(ROUND(ABS($D8)*10,0)/10)&amp;"."&amp;REPT("0",1-LEN(MOD(ROUND(ABS($D8)*10,0),10)))&amp;MOD(ROUND(ABS($D8)*10,0),10))&amp;") = "&amp;IF($E8="NA","NA",IF($E8&lt;0,"-","")&amp;INT(ROUND(ABS($E8)*100,0)/100)&amp;"."&amp;REPT("0",2-LEN(MOD(ROUND(ABS($E8)*100,0),100)))&amp;MOD(ROUND(ABS($E8)*100,0),100))&amp;", "&amp;IF($F8="NA","p = NA",IF($F8&lt;0.0001,"p &lt; 0.0001","p = "&amp;IF($F8="NA","NA",IF($F8&lt;0,"-","")&amp;INT(ROUND(ABS($F8)*10000,0)/10000)&amp;"."&amp;REPT("0",4-LEN(MOD(ROUND(ABS($F8)*10000,0),10000)))&amp;MOD(ROUND(ABS($F8)*10000,0),10000))))</f>
        <v>core cell paris_mid: diff_z = +0.0102, t(15.0) = 0.56, p = 0.5824</v>
      </c>
      <c r="I8" s="5" t="s">
        <v>1919</v>
      </c>
      <c r="J8" s="5" t="str">
        <f>IF(INDEX(Results_Long!$AJ:$AJ,SUMPRODUCT((Results_Long!$A$2:$A$1348="H3")*(Results_Long!$B$2:$B$1348="paris_mid|none|full|dfE")*(Results_Long!$C$2:$C$1348="3LMA-RVE_CR2|r0.6")*(Results_Long!$D$2:$D$1348="diff")*ROW(Results_Long!$A$2:$A$1348)))="","NA",INDEX(Results_Long!$AJ:$AJ,SUMPRODUCT((Results_Long!$A$2:$A$1348="H3")*(Results_Long!$B$2:$B$1348="paris_mid|none|full|dfE")*(Results_Long!$C$2:$C$1348="3LMA-RVE_CR2|r0.6")*(Results_Long!$D$2:$D$1348="diff")*ROW(Results_Long!$A$2:$A$1348))))</f>
        <v>multiverse cell 361/1260: coding=paris_mid, outlier=none, es_set=full, df_basis=dfE, estimator=3LMA-RVE_CR2, rho=0.6 [DEC-045 S2]; descriptive curve cell; CORE cell (inference via joint permutation); verifier identity vs committed T2 diff at 1e-6</v>
      </c>
    </row>
    <row r="9" spans="1:10" ht="45.75" customHeight="1" x14ac:dyDescent="0.3">
      <c r="A9" s="4" t="s">
        <v>973</v>
      </c>
      <c r="B9" s="5" t="s">
        <v>1920</v>
      </c>
      <c r="C9" s="6">
        <f>IF(INDEX(Results_Long!$K:$K,SUMPRODUCT((Results_Long!$A$2:$A$1348="H3")*(Results_Long!$B$2:$B$1348="tie_break_median|none|full|dfE")*(Results_Long!$C$2:$C$1348="3LMA-RVE_CR2|r0.6")*(Results_Long!$D$2:$D$1348="diff")*ROW(Results_Long!$A$2:$A$1348)))="","NA",INDEX(Results_Long!$K:$K,SUMPRODUCT((Results_Long!$A$2:$A$1348="H3")*(Results_Long!$B$2:$B$1348="tie_break_median|none|full|dfE")*(Results_Long!$C$2:$C$1348="3LMA-RVE_CR2|r0.6")*(Results_Long!$D$2:$D$1348="diff")*ROW(Results_Long!$A$2:$A$1348))))</f>
        <v>9.8055409007067607E-3</v>
      </c>
      <c r="D9" s="6">
        <f>IF(INDEX(Results_Long!$N:$N,SUMPRODUCT((Results_Long!$A$2:$A$1348="H3")*(Results_Long!$B$2:$B$1348="tie_break_median|none|full|dfE")*(Results_Long!$C$2:$C$1348="3LMA-RVE_CR2|r0.6")*(Results_Long!$D$2:$D$1348="diff")*ROW(Results_Long!$A$2:$A$1348)))="","NA",INDEX(Results_Long!$N:$N,SUMPRODUCT((Results_Long!$A$2:$A$1348="H3")*(Results_Long!$B$2:$B$1348="tie_break_median|none|full|dfE")*(Results_Long!$C$2:$C$1348="3LMA-RVE_CR2|r0.6")*(Results_Long!$D$2:$D$1348="diff")*ROW(Results_Long!$A$2:$A$1348))))</f>
        <v>12.263709778995601</v>
      </c>
      <c r="E9" s="6">
        <f>IF(INDEX(Results_Long!$M:$M,SUMPRODUCT((Results_Long!$A$2:$A$1348="H3")*(Results_Long!$B$2:$B$1348="tie_break_median|none|full|dfE")*(Results_Long!$C$2:$C$1348="3LMA-RVE_CR2|r0.6")*(Results_Long!$D$2:$D$1348="diff")*ROW(Results_Long!$A$2:$A$1348)))="","NA",INDEX(Results_Long!$M:$M,SUMPRODUCT((Results_Long!$A$2:$A$1348="H3")*(Results_Long!$B$2:$B$1348="tie_break_median|none|full|dfE")*(Results_Long!$C$2:$C$1348="3LMA-RVE_CR2|r0.6")*(Results_Long!$D$2:$D$1348="diff")*ROW(Results_Long!$A$2:$A$1348))))</f>
        <v>0.55248623585996703</v>
      </c>
      <c r="F9" s="6">
        <f>IF(INDEX(Results_Long!$O:$O,SUMPRODUCT((Results_Long!$A$2:$A$1348="H3")*(Results_Long!$B$2:$B$1348="tie_break_median|none|full|dfE")*(Results_Long!$C$2:$C$1348="3LMA-RVE_CR2|r0.6")*(Results_Long!$D$2:$D$1348="diff")*ROW(Results_Long!$A$2:$A$1348)))="","NA",INDEX(Results_Long!$O:$O,SUMPRODUCT((Results_Long!$A$2:$A$1348="H3")*(Results_Long!$B$2:$B$1348="tie_break_median|none|full|dfE")*(Results_Long!$C$2:$C$1348="3LMA-RVE_CR2|r0.6")*(Results_Long!$D$2:$D$1348="diff")*ROW(Results_Long!$A$2:$A$1348))))</f>
        <v>0.59054305378376004</v>
      </c>
      <c r="G9" s="17"/>
      <c r="H9" s="5" t="str">
        <f>"core cell tie_break_median: diff_z = "&amp;IF($C9="NA","NA",IF($C9&lt;0,"-","+")&amp;INT(ROUND(ABS($C9)*10000,0)/10000)&amp;"."&amp;REPT("0",4-LEN(MOD(ROUND(ABS($C9)*10000,0),10000)))&amp;MOD(ROUND(ABS($C9)*10000,0),10000))&amp;", t("&amp;IF($D9="NA","NA",IF($D9&lt;0,"-","")&amp;INT(ROUND(ABS($D9)*10,0)/10)&amp;"."&amp;REPT("0",1-LEN(MOD(ROUND(ABS($D9)*10,0),10)))&amp;MOD(ROUND(ABS($D9)*10,0),10))&amp;") = "&amp;IF($E9="NA","NA",IF($E9&lt;0,"-","")&amp;INT(ROUND(ABS($E9)*100,0)/100)&amp;"."&amp;REPT("0",2-LEN(MOD(ROUND(ABS($E9)*100,0),100)))&amp;MOD(ROUND(ABS($E9)*100,0),100))&amp;", "&amp;IF($F9="NA","p = NA",IF($F9&lt;0.0001,"p &lt; 0.0001","p = "&amp;IF($F9="NA","NA",IF($F9&lt;0,"-","")&amp;INT(ROUND(ABS($F9)*10000,0)/10000)&amp;"."&amp;REPT("0",4-LEN(MOD(ROUND(ABS($F9)*10000,0),10000)))&amp;MOD(ROUND(ABS($F9)*10000,0),10000))))</f>
        <v>core cell tie_break_median: diff_z = +0.0098, t(12.3) = 0.55, p = 0.5905</v>
      </c>
      <c r="I9" s="5" t="s">
        <v>1921</v>
      </c>
      <c r="J9" s="5" t="str">
        <f>IF(INDEX(Results_Long!$AJ:$AJ,SUMPRODUCT((Results_Long!$A$2:$A$1348="H3")*(Results_Long!$B$2:$B$1348="tie_break_median|none|full|dfE")*(Results_Long!$C$2:$C$1348="3LMA-RVE_CR2|r0.6")*(Results_Long!$D$2:$D$1348="diff")*ROW(Results_Long!$A$2:$A$1348)))="","NA",INDEX(Results_Long!$AJ:$AJ,SUMPRODUCT((Results_Long!$A$2:$A$1348="H3")*(Results_Long!$B$2:$B$1348="tie_break_median|none|full|dfE")*(Results_Long!$C$2:$C$1348="3LMA-RVE_CR2|r0.6")*(Results_Long!$D$2:$D$1348="diff")*ROW(Results_Long!$A$2:$A$1348))))</f>
        <v>multiverse cell 362/1260: coding=tie_break_median, outlier=none, es_set=full, df_basis=dfE, estimator=3LMA-RVE_CR2, rho=0.6 [DEC-045 S2]; descriptive curve cell; CORE cell (inference via joint permutation); verifier identity vs committed T2 diff at 1e-6</v>
      </c>
    </row>
    <row r="10" spans="1:10" ht="45.75" customHeight="1" x14ac:dyDescent="0.3">
      <c r="A10" s="4" t="s">
        <v>975</v>
      </c>
      <c r="B10" s="5" t="s">
        <v>1922</v>
      </c>
      <c r="C10" s="6">
        <f>IF(INDEX(Results_Long!$K:$K,SUMPRODUCT((Results_Long!$A$2:$A$1348="H3")*(Results_Long!$B$2:$B$1348="end_any_exposure|none|full|dfE")*(Results_Long!$C$2:$C$1348="3LMA-RVE_CR2|r0.6")*(Results_Long!$D$2:$D$1348="diff")*ROW(Results_Long!$A$2:$A$1348)))="","NA",INDEX(Results_Long!$K:$K,SUMPRODUCT((Results_Long!$A$2:$A$1348="H3")*(Results_Long!$B$2:$B$1348="end_any_exposure|none|full|dfE")*(Results_Long!$C$2:$C$1348="3LMA-RVE_CR2|r0.6")*(Results_Long!$D$2:$D$1348="diff")*ROW(Results_Long!$A$2:$A$1348))))</f>
        <v>-1.9403455244936401E-2</v>
      </c>
      <c r="D10" s="6">
        <f>IF(INDEX(Results_Long!$N:$N,SUMPRODUCT((Results_Long!$A$2:$A$1348="H3")*(Results_Long!$B$2:$B$1348="end_any_exposure|none|full|dfE")*(Results_Long!$C$2:$C$1348="3LMA-RVE_CR2|r0.6")*(Results_Long!$D$2:$D$1348="diff")*ROW(Results_Long!$A$2:$A$1348)))="","NA",INDEX(Results_Long!$N:$N,SUMPRODUCT((Results_Long!$A$2:$A$1348="H3")*(Results_Long!$B$2:$B$1348="end_any_exposure|none|full|dfE")*(Results_Long!$C$2:$C$1348="3LMA-RVE_CR2|r0.6")*(Results_Long!$D$2:$D$1348="diff")*ROW(Results_Long!$A$2:$A$1348))))</f>
        <v>41.602909518717901</v>
      </c>
      <c r="E10" s="6">
        <f>IF(INDEX(Results_Long!$M:$M,SUMPRODUCT((Results_Long!$A$2:$A$1348="H3")*(Results_Long!$B$2:$B$1348="end_any_exposure|none|full|dfE")*(Results_Long!$C$2:$C$1348="3LMA-RVE_CR2|r0.6")*(Results_Long!$D$2:$D$1348="diff")*ROW(Results_Long!$A$2:$A$1348)))="","NA",INDEX(Results_Long!$M:$M,SUMPRODUCT((Results_Long!$A$2:$A$1348="H3")*(Results_Long!$B$2:$B$1348="end_any_exposure|none|full|dfE")*(Results_Long!$C$2:$C$1348="3LMA-RVE_CR2|r0.6")*(Results_Long!$D$2:$D$1348="diff")*ROW(Results_Long!$A$2:$A$1348))))</f>
        <v>-0.92698673549672805</v>
      </c>
      <c r="F10" s="6">
        <f>IF(INDEX(Results_Long!$O:$O,SUMPRODUCT((Results_Long!$A$2:$A$1348="H3")*(Results_Long!$B$2:$B$1348="end_any_exposure|none|full|dfE")*(Results_Long!$C$2:$C$1348="3LMA-RVE_CR2|r0.6")*(Results_Long!$D$2:$D$1348="diff")*ROW(Results_Long!$A$2:$A$1348)))="","NA",INDEX(Results_Long!$O:$O,SUMPRODUCT((Results_Long!$A$2:$A$1348="H3")*(Results_Long!$B$2:$B$1348="end_any_exposure|none|full|dfE")*(Results_Long!$C$2:$C$1348="3LMA-RVE_CR2|r0.6")*(Results_Long!$D$2:$D$1348="diff")*ROW(Results_Long!$A$2:$A$1348))))</f>
        <v>0.35928021253577103</v>
      </c>
      <c r="G10" s="17"/>
      <c r="H10" s="5" t="str">
        <f>"core cell end_any_exposure: diff_z = "&amp;IF($C10="NA","NA",IF($C10&lt;0,"-","+")&amp;INT(ROUND(ABS($C10)*10000,0)/10000)&amp;"."&amp;REPT("0",4-LEN(MOD(ROUND(ABS($C10)*10000,0),10000)))&amp;MOD(ROUND(ABS($C10)*10000,0),10000))&amp;", t("&amp;IF($D10="NA","NA",IF($D10&lt;0,"-","")&amp;INT(ROUND(ABS($D10)*10,0)/10)&amp;"."&amp;REPT("0",1-LEN(MOD(ROUND(ABS($D10)*10,0),10)))&amp;MOD(ROUND(ABS($D10)*10,0),10))&amp;") = "&amp;IF($E10="NA","NA",IF($E10&lt;0,"-","")&amp;INT(ROUND(ABS($E10)*100,0)/100)&amp;"."&amp;REPT("0",2-LEN(MOD(ROUND(ABS($E10)*100,0),100)))&amp;MOD(ROUND(ABS($E10)*100,0),100))&amp;", "&amp;IF($F10="NA","p = NA",IF($F10&lt;0.0001,"p &lt; 0.0001","p = "&amp;IF($F10="NA","NA",IF($F10&lt;0,"-","")&amp;INT(ROUND(ABS($F10)*10000,0)/10000)&amp;"."&amp;REPT("0",4-LEN(MOD(ROUND(ABS($F10)*10000,0),10000)))&amp;MOD(ROUND(ABS($F10)*10000,0),10000))))</f>
        <v>core cell end_any_exposure: diff_z = -0.0194, t(41.6) = -0.93, p = 0.3593</v>
      </c>
      <c r="I10" s="5" t="s">
        <v>1923</v>
      </c>
      <c r="J10" s="5" t="str">
        <f>IF(INDEX(Results_Long!$AJ:$AJ,SUMPRODUCT((Results_Long!$A$2:$A$1348="H3")*(Results_Long!$B$2:$B$1348="end_any_exposure|none|full|dfE")*(Results_Long!$C$2:$C$1348="3LMA-RVE_CR2|r0.6")*(Results_Long!$D$2:$D$1348="diff")*ROW(Results_Long!$A$2:$A$1348)))="","NA",INDEX(Results_Long!$AJ:$AJ,SUMPRODUCT((Results_Long!$A$2:$A$1348="H3")*(Results_Long!$B$2:$B$1348="end_any_exposure|none|full|dfE")*(Results_Long!$C$2:$C$1348="3LMA-RVE_CR2|r0.6")*(Results_Long!$D$2:$D$1348="diff")*ROW(Results_Long!$A$2:$A$1348))))</f>
        <v>multiverse cell 363/1260: coding=end_any_exposure, outlier=none, es_set=full, df_basis=dfE, estimator=3LMA-RVE_CR2, rho=0.6 [DEC-045 S2]; descriptive curve cell; CORE cell (inference via joint permutation); verifier identity vs committed T2 diff at 1e-6</v>
      </c>
    </row>
    <row r="11" spans="1:10" ht="45.75" customHeight="1" x14ac:dyDescent="0.3">
      <c r="A11" s="4" t="s">
        <v>977</v>
      </c>
      <c r="B11" s="5" t="s">
        <v>1924</v>
      </c>
      <c r="C11" s="6">
        <f>IF(INDEX(Results_Long!$K:$K,SUMPRODUCT((Results_Long!$A$2:$A$1348="H3")*(Results_Long!$B$2:$B$1348="share_recut_2017|none|full|dfE")*(Results_Long!$C$2:$C$1348="3LMA-RVE_CR2|r0.6")*(Results_Long!$D$2:$D$1348="diff")*ROW(Results_Long!$A$2:$A$1348)))="","NA",INDEX(Results_Long!$K:$K,SUMPRODUCT((Results_Long!$A$2:$A$1348="H3")*(Results_Long!$B$2:$B$1348="share_recut_2017|none|full|dfE")*(Results_Long!$C$2:$C$1348="3LMA-RVE_CR2|r0.6")*(Results_Long!$D$2:$D$1348="diff")*ROW(Results_Long!$A$2:$A$1348))))</f>
        <v>8.0340693802523292E-3</v>
      </c>
      <c r="D11" s="6">
        <f>IF(INDEX(Results_Long!$N:$N,SUMPRODUCT((Results_Long!$A$2:$A$1348="H3")*(Results_Long!$B$2:$B$1348="share_recut_2017|none|full|dfE")*(Results_Long!$C$2:$C$1348="3LMA-RVE_CR2|r0.6")*(Results_Long!$D$2:$D$1348="diff")*ROW(Results_Long!$A$2:$A$1348)))="","NA",INDEX(Results_Long!$N:$N,SUMPRODUCT((Results_Long!$A$2:$A$1348="H3")*(Results_Long!$B$2:$B$1348="share_recut_2017|none|full|dfE")*(Results_Long!$C$2:$C$1348="3LMA-RVE_CR2|r0.6")*(Results_Long!$D$2:$D$1348="diff")*ROW(Results_Long!$A$2:$A$1348))))</f>
        <v>10.8521828308988</v>
      </c>
      <c r="E11" s="6">
        <f>IF(INDEX(Results_Long!$M:$M,SUMPRODUCT((Results_Long!$A$2:$A$1348="H3")*(Results_Long!$B$2:$B$1348="share_recut_2017|none|full|dfE")*(Results_Long!$C$2:$C$1348="3LMA-RVE_CR2|r0.6")*(Results_Long!$D$2:$D$1348="diff")*ROW(Results_Long!$A$2:$A$1348)))="","NA",INDEX(Results_Long!$M:$M,SUMPRODUCT((Results_Long!$A$2:$A$1348="H3")*(Results_Long!$B$2:$B$1348="share_recut_2017|none|full|dfE")*(Results_Long!$C$2:$C$1348="3LMA-RVE_CR2|r0.6")*(Results_Long!$D$2:$D$1348="diff")*ROW(Results_Long!$A$2:$A$1348))))</f>
        <v>0.44633389599475698</v>
      </c>
      <c r="F11" s="6">
        <f>IF(INDEX(Results_Long!$O:$O,SUMPRODUCT((Results_Long!$A$2:$A$1348="H3")*(Results_Long!$B$2:$B$1348="share_recut_2017|none|full|dfE")*(Results_Long!$C$2:$C$1348="3LMA-RVE_CR2|r0.6")*(Results_Long!$D$2:$D$1348="diff")*ROW(Results_Long!$A$2:$A$1348)))="","NA",INDEX(Results_Long!$O:$O,SUMPRODUCT((Results_Long!$A$2:$A$1348="H3")*(Results_Long!$B$2:$B$1348="share_recut_2017|none|full|dfE")*(Results_Long!$C$2:$C$1348="3LMA-RVE_CR2|r0.6")*(Results_Long!$D$2:$D$1348="diff")*ROW(Results_Long!$A$2:$A$1348))))</f>
        <v>0.66413079969344402</v>
      </c>
      <c r="G11" s="17"/>
      <c r="H11" s="5" t="str">
        <f>"core cell share_recut_2017: diff_z = "&amp;IF($C11="NA","NA",IF($C11&lt;0,"-","+")&amp;INT(ROUND(ABS($C11)*10000,0)/10000)&amp;"."&amp;REPT("0",4-LEN(MOD(ROUND(ABS($C11)*10000,0),10000)))&amp;MOD(ROUND(ABS($C11)*10000,0),10000))&amp;", t("&amp;IF($D11="NA","NA",IF($D11&lt;0,"-","")&amp;INT(ROUND(ABS($D11)*10,0)/10)&amp;"."&amp;REPT("0",1-LEN(MOD(ROUND(ABS($D11)*10,0),10)))&amp;MOD(ROUND(ABS($D11)*10,0),10))&amp;") = "&amp;IF($E11="NA","NA",IF($E11&lt;0,"-","")&amp;INT(ROUND(ABS($E11)*100,0)/100)&amp;"."&amp;REPT("0",2-LEN(MOD(ROUND(ABS($E11)*100,0),100)))&amp;MOD(ROUND(ABS($E11)*100,0),100))&amp;", "&amp;IF($F11="NA","p = NA",IF($F11&lt;0.0001,"p &lt; 0.0001","p = "&amp;IF($F11="NA","NA",IF($F11&lt;0,"-","")&amp;INT(ROUND(ABS($F11)*10000,0)/10000)&amp;"."&amp;REPT("0",4-LEN(MOD(ROUND(ABS($F11)*10000,0),10000)))&amp;MOD(ROUND(ABS($F11)*10000,0),10000))))</f>
        <v>core cell share_recut_2017: diff_z = +0.0080, t(10.9) = 0.45, p = 0.6641</v>
      </c>
      <c r="I11" s="5" t="s">
        <v>1925</v>
      </c>
      <c r="J11" s="5" t="str">
        <f>IF(INDEX(Results_Long!$AJ:$AJ,SUMPRODUCT((Results_Long!$A$2:$A$1348="H3")*(Results_Long!$B$2:$B$1348="share_recut_2017|none|full|dfE")*(Results_Long!$C$2:$C$1348="3LMA-RVE_CR2|r0.6")*(Results_Long!$D$2:$D$1348="diff")*ROW(Results_Long!$A$2:$A$1348)))="","NA",INDEX(Results_Long!$AJ:$AJ,SUMPRODUCT((Results_Long!$A$2:$A$1348="H3")*(Results_Long!$B$2:$B$1348="share_recut_2017|none|full|dfE")*(Results_Long!$C$2:$C$1348="3LMA-RVE_CR2|r0.6")*(Results_Long!$D$2:$D$1348="diff")*ROW(Results_Long!$A$2:$A$1348))))</f>
        <v>multiverse cell 364/1260: coding=share_recut_2017, outlier=none, es_set=full, df_basis=dfE, estimator=3LMA-RVE_CR2, rho=0.6 [DEC-045 S2]; descriptive curve cell; CORE cell (inference via joint permutation); verifier identity vs committed T2 diff at 1e-6</v>
      </c>
    </row>
    <row r="12" spans="1:10" ht="45.75" customHeight="1" x14ac:dyDescent="0.3">
      <c r="A12" s="4" t="s">
        <v>979</v>
      </c>
      <c r="B12" s="5" t="s">
        <v>1926</v>
      </c>
      <c r="C12" s="6">
        <f>IF(INDEX(Results_Long!$K:$K,SUMPRODUCT((Results_Long!$A$2:$A$1348="H3")*(Results_Long!$B$2:$B$1348="share_recut_2018|none|full|dfE")*(Results_Long!$C$2:$C$1348="3LMA-RVE_CR2|r0.6")*(Results_Long!$D$2:$D$1348="diff")*ROW(Results_Long!$A$2:$A$1348)))="","NA",INDEX(Results_Long!$K:$K,SUMPRODUCT((Results_Long!$A$2:$A$1348="H3")*(Results_Long!$B$2:$B$1348="share_recut_2018|none|full|dfE")*(Results_Long!$C$2:$C$1348="3LMA-RVE_CR2|r0.6")*(Results_Long!$D$2:$D$1348="diff")*ROW(Results_Long!$A$2:$A$1348))))</f>
        <v>3.1230425951205699E-3</v>
      </c>
      <c r="D12" s="6">
        <f>IF(INDEX(Results_Long!$N:$N,SUMPRODUCT((Results_Long!$A$2:$A$1348="H3")*(Results_Long!$B$2:$B$1348="share_recut_2018|none|full|dfE")*(Results_Long!$C$2:$C$1348="3LMA-RVE_CR2|r0.6")*(Results_Long!$D$2:$D$1348="diff")*ROW(Results_Long!$A$2:$A$1348)))="","NA",INDEX(Results_Long!$N:$N,SUMPRODUCT((Results_Long!$A$2:$A$1348="H3")*(Results_Long!$B$2:$B$1348="share_recut_2018|none|full|dfE")*(Results_Long!$C$2:$C$1348="3LMA-RVE_CR2|r0.6")*(Results_Long!$D$2:$D$1348="diff")*ROW(Results_Long!$A$2:$A$1348))))</f>
        <v>18.7761441211637</v>
      </c>
      <c r="E12" s="6">
        <f>IF(INDEX(Results_Long!$M:$M,SUMPRODUCT((Results_Long!$A$2:$A$1348="H3")*(Results_Long!$B$2:$B$1348="share_recut_2018|none|full|dfE")*(Results_Long!$C$2:$C$1348="3LMA-RVE_CR2|r0.6")*(Results_Long!$D$2:$D$1348="diff")*ROW(Results_Long!$A$2:$A$1348)))="","NA",INDEX(Results_Long!$M:$M,SUMPRODUCT((Results_Long!$A$2:$A$1348="H3")*(Results_Long!$B$2:$B$1348="share_recut_2018|none|full|dfE")*(Results_Long!$C$2:$C$1348="3LMA-RVE_CR2|r0.6")*(Results_Long!$D$2:$D$1348="diff")*ROW(Results_Long!$A$2:$A$1348))))</f>
        <v>0.140435528152245</v>
      </c>
      <c r="F12" s="6">
        <f>IF(INDEX(Results_Long!$O:$O,SUMPRODUCT((Results_Long!$A$2:$A$1348="H3")*(Results_Long!$B$2:$B$1348="share_recut_2018|none|full|dfE")*(Results_Long!$C$2:$C$1348="3LMA-RVE_CR2|r0.6")*(Results_Long!$D$2:$D$1348="diff")*ROW(Results_Long!$A$2:$A$1348)))="","NA",INDEX(Results_Long!$O:$O,SUMPRODUCT((Results_Long!$A$2:$A$1348="H3")*(Results_Long!$B$2:$B$1348="share_recut_2018|none|full|dfE")*(Results_Long!$C$2:$C$1348="3LMA-RVE_CR2|r0.6")*(Results_Long!$D$2:$D$1348="diff")*ROW(Results_Long!$A$2:$A$1348))))</f>
        <v>0.88981150913840201</v>
      </c>
      <c r="G12" s="17"/>
      <c r="H12" s="5" t="str">
        <f>"core cell share_recut_2018: diff_z = "&amp;IF($C12="NA","NA",IF($C12&lt;0,"-","+")&amp;INT(ROUND(ABS($C12)*10000,0)/10000)&amp;"."&amp;REPT("0",4-LEN(MOD(ROUND(ABS($C12)*10000,0),10000)))&amp;MOD(ROUND(ABS($C12)*10000,0),10000))&amp;", t("&amp;IF($D12="NA","NA",IF($D12&lt;0,"-","")&amp;INT(ROUND(ABS($D12)*10,0)/10)&amp;"."&amp;REPT("0",1-LEN(MOD(ROUND(ABS($D12)*10,0),10)))&amp;MOD(ROUND(ABS($D12)*10,0),10))&amp;") = "&amp;IF($E12="NA","NA",IF($E12&lt;0,"-","")&amp;INT(ROUND(ABS($E12)*100,0)/100)&amp;"."&amp;REPT("0",2-LEN(MOD(ROUND(ABS($E12)*100,0),100)))&amp;MOD(ROUND(ABS($E12)*100,0),100))&amp;", "&amp;IF($F12="NA","p = NA",IF($F12&lt;0.0001,"p &lt; 0.0001","p = "&amp;IF($F12="NA","NA",IF($F12&lt;0,"-","")&amp;INT(ROUND(ABS($F12)*10000,0)/10000)&amp;"."&amp;REPT("0",4-LEN(MOD(ROUND(ABS($F12)*10000,0),10000)))&amp;MOD(ROUND(ABS($F12)*10000,0),10000))))</f>
        <v>core cell share_recut_2018: diff_z = +0.0031, t(18.8) = 0.14, p = 0.8898</v>
      </c>
      <c r="I12" s="5" t="s">
        <v>1927</v>
      </c>
      <c r="J12" s="5" t="str">
        <f>IF(INDEX(Results_Long!$AJ:$AJ,SUMPRODUCT((Results_Long!$A$2:$A$1348="H3")*(Results_Long!$B$2:$B$1348="share_recut_2018|none|full|dfE")*(Results_Long!$C$2:$C$1348="3LMA-RVE_CR2|r0.6")*(Results_Long!$D$2:$D$1348="diff")*ROW(Results_Long!$A$2:$A$1348)))="","NA",INDEX(Results_Long!$AJ:$AJ,SUMPRODUCT((Results_Long!$A$2:$A$1348="H3")*(Results_Long!$B$2:$B$1348="share_recut_2018|none|full|dfE")*(Results_Long!$C$2:$C$1348="3LMA-RVE_CR2|r0.6")*(Results_Long!$D$2:$D$1348="diff")*ROW(Results_Long!$A$2:$A$1348))))</f>
        <v>multiverse cell 365/1260: coding=share_recut_2018, outlier=none, es_set=full, df_basis=dfE, estimator=3LMA-RVE_CR2, rho=0.6 [DEC-045 S2]; descriptive curve cell; CORE cell (inference via joint permutation); verifier identity vs committed T2 diff at 1e-6</v>
      </c>
    </row>
    <row r="13" spans="1:10" ht="45.75" customHeight="1" x14ac:dyDescent="0.3">
      <c r="A13" s="4" t="s">
        <v>981</v>
      </c>
      <c r="B13" s="5" t="s">
        <v>1928</v>
      </c>
      <c r="C13" s="6">
        <f>IF(INDEX(Results_Long!$K:$K,SUMPRODUCT((Results_Long!$A$2:$A$1348="H3")*(Results_Long!$B$2:$B$1348="share_recut_2019|none|full|dfE")*(Results_Long!$C$2:$C$1348="3LMA-RVE_CR2|r0.6")*(Results_Long!$D$2:$D$1348="diff")*ROW(Results_Long!$A$2:$A$1348)))="","NA",INDEX(Results_Long!$K:$K,SUMPRODUCT((Results_Long!$A$2:$A$1348="H3")*(Results_Long!$B$2:$B$1348="share_recut_2019|none|full|dfE")*(Results_Long!$C$2:$C$1348="3LMA-RVE_CR2|r0.6")*(Results_Long!$D$2:$D$1348="diff")*ROW(Results_Long!$A$2:$A$1348))))</f>
        <v>4.2056665621964997E-3</v>
      </c>
      <c r="D13" s="6">
        <f>IF(INDEX(Results_Long!$N:$N,SUMPRODUCT((Results_Long!$A$2:$A$1348="H3")*(Results_Long!$B$2:$B$1348="share_recut_2019|none|full|dfE")*(Results_Long!$C$2:$C$1348="3LMA-RVE_CR2|r0.6")*(Results_Long!$D$2:$D$1348="diff")*ROW(Results_Long!$A$2:$A$1348)))="","NA",INDEX(Results_Long!$N:$N,SUMPRODUCT((Results_Long!$A$2:$A$1348="H3")*(Results_Long!$B$2:$B$1348="share_recut_2019|none|full|dfE")*(Results_Long!$C$2:$C$1348="3LMA-RVE_CR2|r0.6")*(Results_Long!$D$2:$D$1348="diff")*ROW(Results_Long!$A$2:$A$1348))))</f>
        <v>15.443904167078101</v>
      </c>
      <c r="E13" s="6">
        <f>IF(INDEX(Results_Long!$M:$M,SUMPRODUCT((Results_Long!$A$2:$A$1348="H3")*(Results_Long!$B$2:$B$1348="share_recut_2019|none|full|dfE")*(Results_Long!$C$2:$C$1348="3LMA-RVE_CR2|r0.6")*(Results_Long!$D$2:$D$1348="diff")*ROW(Results_Long!$A$2:$A$1348)))="","NA",INDEX(Results_Long!$M:$M,SUMPRODUCT((Results_Long!$A$2:$A$1348="H3")*(Results_Long!$B$2:$B$1348="share_recut_2019|none|full|dfE")*(Results_Long!$C$2:$C$1348="3LMA-RVE_CR2|r0.6")*(Results_Long!$D$2:$D$1348="diff")*ROW(Results_Long!$A$2:$A$1348))))</f>
        <v>0.184584914620741</v>
      </c>
      <c r="F13" s="6">
        <f>IF(INDEX(Results_Long!$O:$O,SUMPRODUCT((Results_Long!$A$2:$A$1348="H3")*(Results_Long!$B$2:$B$1348="share_recut_2019|none|full|dfE")*(Results_Long!$C$2:$C$1348="3LMA-RVE_CR2|r0.6")*(Results_Long!$D$2:$D$1348="diff")*ROW(Results_Long!$A$2:$A$1348)))="","NA",INDEX(Results_Long!$O:$O,SUMPRODUCT((Results_Long!$A$2:$A$1348="H3")*(Results_Long!$B$2:$B$1348="share_recut_2019|none|full|dfE")*(Results_Long!$C$2:$C$1348="3LMA-RVE_CR2|r0.6")*(Results_Long!$D$2:$D$1348="diff")*ROW(Results_Long!$A$2:$A$1348))))</f>
        <v>0.85595666796786096</v>
      </c>
      <c r="G13" s="17"/>
      <c r="H13" s="5" t="str">
        <f>"core cell share_recut_2019: diff_z = "&amp;IF($C13="NA","NA",IF($C13&lt;0,"-","+")&amp;INT(ROUND(ABS($C13)*10000,0)/10000)&amp;"."&amp;REPT("0",4-LEN(MOD(ROUND(ABS($C13)*10000,0),10000)))&amp;MOD(ROUND(ABS($C13)*10000,0),10000))&amp;", t("&amp;IF($D13="NA","NA",IF($D13&lt;0,"-","")&amp;INT(ROUND(ABS($D13)*10,0)/10)&amp;"."&amp;REPT("0",1-LEN(MOD(ROUND(ABS($D13)*10,0),10)))&amp;MOD(ROUND(ABS($D13)*10,0),10))&amp;") = "&amp;IF($E13="NA","NA",IF($E13&lt;0,"-","")&amp;INT(ROUND(ABS($E13)*100,0)/100)&amp;"."&amp;REPT("0",2-LEN(MOD(ROUND(ABS($E13)*100,0),100)))&amp;MOD(ROUND(ABS($E13)*100,0),100))&amp;", "&amp;IF($F13="NA","p = NA",IF($F13&lt;0.0001,"p &lt; 0.0001","p = "&amp;IF($F13="NA","NA",IF($F13&lt;0,"-","")&amp;INT(ROUND(ABS($F13)*10000,0)/10000)&amp;"."&amp;REPT("0",4-LEN(MOD(ROUND(ABS($F13)*10000,0),10000)))&amp;MOD(ROUND(ABS($F13)*10000,0),10000))))</f>
        <v>core cell share_recut_2019: diff_z = +0.0042, t(15.4) = 0.18, p = 0.8560</v>
      </c>
      <c r="I13" s="5" t="s">
        <v>1929</v>
      </c>
      <c r="J13" s="5" t="str">
        <f>IF(INDEX(Results_Long!$AJ:$AJ,SUMPRODUCT((Results_Long!$A$2:$A$1348="H3")*(Results_Long!$B$2:$B$1348="share_recut_2019|none|full|dfE")*(Results_Long!$C$2:$C$1348="3LMA-RVE_CR2|r0.6")*(Results_Long!$D$2:$D$1348="diff")*ROW(Results_Long!$A$2:$A$1348)))="","NA",INDEX(Results_Long!$AJ:$AJ,SUMPRODUCT((Results_Long!$A$2:$A$1348="H3")*(Results_Long!$B$2:$B$1348="share_recut_2019|none|full|dfE")*(Results_Long!$C$2:$C$1348="3LMA-RVE_CR2|r0.6")*(Results_Long!$D$2:$D$1348="diff")*ROW(Results_Long!$A$2:$A$1348))))</f>
        <v>multiverse cell 366/1260: coding=share_recut_2019, outlier=none, es_set=full, df_basis=dfE, estimator=3LMA-RVE_CR2, rho=0.6 [DEC-045 S2]; descriptive curve cell; CORE cell (inference via joint permutation); verifier identity vs committed T2 diff at 1e-6</v>
      </c>
    </row>
    <row r="14" spans="1:10" ht="45.75" customHeight="1" x14ac:dyDescent="0.3">
      <c r="A14" s="4" t="s">
        <v>983</v>
      </c>
      <c r="B14" s="5" t="s">
        <v>1930</v>
      </c>
      <c r="C14" s="6">
        <f>IF(INDEX(Results_Long!$K:$K,SUMPRODUCT((Results_Long!$A$2:$A$1348="H3")*(Results_Long!$B$2:$B$1348="end_lag1|none|full|dfE")*(Results_Long!$C$2:$C$1348="3LMA-RVE_CR2|r0.6")*(Results_Long!$D$2:$D$1348="diff")*ROW(Results_Long!$A$2:$A$1348)))="","NA",INDEX(Results_Long!$K:$K,SUMPRODUCT((Results_Long!$A$2:$A$1348="H3")*(Results_Long!$B$2:$B$1348="end_lag1|none|full|dfE")*(Results_Long!$C$2:$C$1348="3LMA-RVE_CR2|r0.6")*(Results_Long!$D$2:$D$1348="diff")*ROW(Results_Long!$A$2:$A$1348))))</f>
        <v>-6.3644566569005696E-3</v>
      </c>
      <c r="D14" s="6">
        <f>IF(INDEX(Results_Long!$N:$N,SUMPRODUCT((Results_Long!$A$2:$A$1348="H3")*(Results_Long!$B$2:$B$1348="end_lag1|none|full|dfE")*(Results_Long!$C$2:$C$1348="3LMA-RVE_CR2|r0.6")*(Results_Long!$D$2:$D$1348="diff")*ROW(Results_Long!$A$2:$A$1348)))="","NA",INDEX(Results_Long!$N:$N,SUMPRODUCT((Results_Long!$A$2:$A$1348="H3")*(Results_Long!$B$2:$B$1348="end_lag1|none|full|dfE")*(Results_Long!$C$2:$C$1348="3LMA-RVE_CR2|r0.6")*(Results_Long!$D$2:$D$1348="diff")*ROW(Results_Long!$A$2:$A$1348))))</f>
        <v>17.755887810728598</v>
      </c>
      <c r="E14" s="6">
        <f>IF(INDEX(Results_Long!$M:$M,SUMPRODUCT((Results_Long!$A$2:$A$1348="H3")*(Results_Long!$B$2:$B$1348="end_lag1|none|full|dfE")*(Results_Long!$C$2:$C$1348="3LMA-RVE_CR2|r0.6")*(Results_Long!$D$2:$D$1348="diff")*ROW(Results_Long!$A$2:$A$1348)))="","NA",INDEX(Results_Long!$M:$M,SUMPRODUCT((Results_Long!$A$2:$A$1348="H3")*(Results_Long!$B$2:$B$1348="end_lag1|none|full|dfE")*(Results_Long!$C$2:$C$1348="3LMA-RVE_CR2|r0.6")*(Results_Long!$D$2:$D$1348="diff")*ROW(Results_Long!$A$2:$A$1348))))</f>
        <v>-0.30866671735523499</v>
      </c>
      <c r="F14" s="6">
        <f>IF(INDEX(Results_Long!$O:$O,SUMPRODUCT((Results_Long!$A$2:$A$1348="H3")*(Results_Long!$B$2:$B$1348="end_lag1|none|full|dfE")*(Results_Long!$C$2:$C$1348="3LMA-RVE_CR2|r0.6")*(Results_Long!$D$2:$D$1348="diff")*ROW(Results_Long!$A$2:$A$1348)))="","NA",INDEX(Results_Long!$O:$O,SUMPRODUCT((Results_Long!$A$2:$A$1348="H3")*(Results_Long!$B$2:$B$1348="end_lag1|none|full|dfE")*(Results_Long!$C$2:$C$1348="3LMA-RVE_CR2|r0.6")*(Results_Long!$D$2:$D$1348="diff")*ROW(Results_Long!$A$2:$A$1348))))</f>
        <v>0.76116726839259996</v>
      </c>
      <c r="G14" s="17"/>
      <c r="H14" s="5" t="str">
        <f>"core cell end_lag1: diff_z = "&amp;IF($C14="NA","NA",IF($C14&lt;0,"-","+")&amp;INT(ROUND(ABS($C14)*10000,0)/10000)&amp;"."&amp;REPT("0",4-LEN(MOD(ROUND(ABS($C14)*10000,0),10000)))&amp;MOD(ROUND(ABS($C14)*10000,0),10000))&amp;", t("&amp;IF($D14="NA","NA",IF($D14&lt;0,"-","")&amp;INT(ROUND(ABS($D14)*10,0)/10)&amp;"."&amp;REPT("0",1-LEN(MOD(ROUND(ABS($D14)*10,0),10)))&amp;MOD(ROUND(ABS($D14)*10,0),10))&amp;") = "&amp;IF($E14="NA","NA",IF($E14&lt;0,"-","")&amp;INT(ROUND(ABS($E14)*100,0)/100)&amp;"."&amp;REPT("0",2-LEN(MOD(ROUND(ABS($E14)*100,0),100)))&amp;MOD(ROUND(ABS($E14)*100,0),100))&amp;", "&amp;IF($F14="NA","p = NA",IF($F14&lt;0.0001,"p &lt; 0.0001","p = "&amp;IF($F14="NA","NA",IF($F14&lt;0,"-","")&amp;INT(ROUND(ABS($F14)*10000,0)/10000)&amp;"."&amp;REPT("0",4-LEN(MOD(ROUND(ABS($F14)*10000,0),10000)))&amp;MOD(ROUND(ABS($F14)*10000,0),10000))))</f>
        <v>core cell end_lag1: diff_z = -0.0064, t(17.8) = -0.31, p = 0.7612</v>
      </c>
      <c r="I14" s="5" t="s">
        <v>1931</v>
      </c>
      <c r="J14" s="5" t="str">
        <f>IF(INDEX(Results_Long!$AJ:$AJ,SUMPRODUCT((Results_Long!$A$2:$A$1348="H3")*(Results_Long!$B$2:$B$1348="end_lag1|none|full|dfE")*(Results_Long!$C$2:$C$1348="3LMA-RVE_CR2|r0.6")*(Results_Long!$D$2:$D$1348="diff")*ROW(Results_Long!$A$2:$A$1348)))="","NA",INDEX(Results_Long!$AJ:$AJ,SUMPRODUCT((Results_Long!$A$2:$A$1348="H3")*(Results_Long!$B$2:$B$1348="end_lag1|none|full|dfE")*(Results_Long!$C$2:$C$1348="3LMA-RVE_CR2|r0.6")*(Results_Long!$D$2:$D$1348="diff")*ROW(Results_Long!$A$2:$A$1348))))</f>
        <v>multiverse cell 367/1260: coding=end_lag1, outlier=none, es_set=full, df_basis=dfE, estimator=3LMA-RVE_CR2, rho=0.6 [DEC-045 S2]; descriptive curve cell; CORE cell (inference via joint permutation); verifier identity vs committed T2 diff at 1e-6</v>
      </c>
    </row>
    <row r="15" spans="1:10" ht="45.75" customHeight="1" x14ac:dyDescent="0.3">
      <c r="A15" s="4" t="s">
        <v>985</v>
      </c>
      <c r="B15" s="5" t="s">
        <v>1932</v>
      </c>
      <c r="C15" s="6">
        <f>IF(INDEX(Results_Long!$K:$K,SUMPRODUCT((Results_Long!$A$2:$A$1348="H3")*(Results_Long!$B$2:$B$1348="end_lag2|none|full|dfE")*(Results_Long!$C$2:$C$1348="3LMA-RVE_CR2|r0.6")*(Results_Long!$D$2:$D$1348="diff")*ROW(Results_Long!$A$2:$A$1348)))="","NA",INDEX(Results_Long!$K:$K,SUMPRODUCT((Results_Long!$A$2:$A$1348="H3")*(Results_Long!$B$2:$B$1348="end_lag2|none|full|dfE")*(Results_Long!$C$2:$C$1348="3LMA-RVE_CR2|r0.6")*(Results_Long!$D$2:$D$1348="diff")*ROW(Results_Long!$A$2:$A$1348))))</f>
        <v>3.9789555352768798E-2</v>
      </c>
      <c r="D15" s="6">
        <f>IF(INDEX(Results_Long!$N:$N,SUMPRODUCT((Results_Long!$A$2:$A$1348="H3")*(Results_Long!$B$2:$B$1348="end_lag2|none|full|dfE")*(Results_Long!$C$2:$C$1348="3LMA-RVE_CR2|r0.6")*(Results_Long!$D$2:$D$1348="diff")*ROW(Results_Long!$A$2:$A$1348)))="","NA",INDEX(Results_Long!$N:$N,SUMPRODUCT((Results_Long!$A$2:$A$1348="H3")*(Results_Long!$B$2:$B$1348="end_lag2|none|full|dfE")*(Results_Long!$C$2:$C$1348="3LMA-RVE_CR2|r0.6")*(Results_Long!$D$2:$D$1348="diff")*ROW(Results_Long!$A$2:$A$1348))))</f>
        <v>22.010830067898699</v>
      </c>
      <c r="E15" s="6">
        <f>IF(INDEX(Results_Long!$M:$M,SUMPRODUCT((Results_Long!$A$2:$A$1348="H3")*(Results_Long!$B$2:$B$1348="end_lag2|none|full|dfE")*(Results_Long!$C$2:$C$1348="3LMA-RVE_CR2|r0.6")*(Results_Long!$D$2:$D$1348="diff")*ROW(Results_Long!$A$2:$A$1348)))="","NA",INDEX(Results_Long!$M:$M,SUMPRODUCT((Results_Long!$A$2:$A$1348="H3")*(Results_Long!$B$2:$B$1348="end_lag2|none|full|dfE")*(Results_Long!$C$2:$C$1348="3LMA-RVE_CR2|r0.6")*(Results_Long!$D$2:$D$1348="diff")*ROW(Results_Long!$A$2:$A$1348))))</f>
        <v>1.5221247684425701</v>
      </c>
      <c r="F15" s="6">
        <f>IF(INDEX(Results_Long!$O:$O,SUMPRODUCT((Results_Long!$A$2:$A$1348="H3")*(Results_Long!$B$2:$B$1348="end_lag2|none|full|dfE")*(Results_Long!$C$2:$C$1348="3LMA-RVE_CR2|r0.6")*(Results_Long!$D$2:$D$1348="diff")*ROW(Results_Long!$A$2:$A$1348)))="","NA",INDEX(Results_Long!$O:$O,SUMPRODUCT((Results_Long!$A$2:$A$1348="H3")*(Results_Long!$B$2:$B$1348="end_lag2|none|full|dfE")*(Results_Long!$C$2:$C$1348="3LMA-RVE_CR2|r0.6")*(Results_Long!$D$2:$D$1348="diff")*ROW(Results_Long!$A$2:$A$1348))))</f>
        <v>0.14221586082545001</v>
      </c>
      <c r="G15" s="17"/>
      <c r="H15" s="5" t="str">
        <f>"core cell end_lag2: diff_z = "&amp;IF($C15="NA","NA",IF($C15&lt;0,"-","+")&amp;INT(ROUND(ABS($C15)*10000,0)/10000)&amp;"."&amp;REPT("0",4-LEN(MOD(ROUND(ABS($C15)*10000,0),10000)))&amp;MOD(ROUND(ABS($C15)*10000,0),10000))&amp;", t("&amp;IF($D15="NA","NA",IF($D15&lt;0,"-","")&amp;INT(ROUND(ABS($D15)*10,0)/10)&amp;"."&amp;REPT("0",1-LEN(MOD(ROUND(ABS($D15)*10,0),10)))&amp;MOD(ROUND(ABS($D15)*10,0),10))&amp;") = "&amp;IF($E15="NA","NA",IF($E15&lt;0,"-","")&amp;INT(ROUND(ABS($E15)*100,0)/100)&amp;"."&amp;REPT("0",2-LEN(MOD(ROUND(ABS($E15)*100,0),100)))&amp;MOD(ROUND(ABS($E15)*100,0),100))&amp;", "&amp;IF($F15="NA","p = NA",IF($F15&lt;0.0001,"p &lt; 0.0001","p = "&amp;IF($F15="NA","NA",IF($F15&lt;0,"-","")&amp;INT(ROUND(ABS($F15)*10000,0)/10000)&amp;"."&amp;REPT("0",4-LEN(MOD(ROUND(ABS($F15)*10000,0),10000)))&amp;MOD(ROUND(ABS($F15)*10000,0),10000))))</f>
        <v>core cell end_lag2: diff_z = +0.0398, t(22.0) = 1.52, p = 0.1422</v>
      </c>
      <c r="I15" s="5" t="s">
        <v>1933</v>
      </c>
      <c r="J15" s="5" t="str">
        <f>IF(INDEX(Results_Long!$AJ:$AJ,SUMPRODUCT((Results_Long!$A$2:$A$1348="H3")*(Results_Long!$B$2:$B$1348="end_lag2|none|full|dfE")*(Results_Long!$C$2:$C$1348="3LMA-RVE_CR2|r0.6")*(Results_Long!$D$2:$D$1348="diff")*ROW(Results_Long!$A$2:$A$1348)))="","NA",INDEX(Results_Long!$AJ:$AJ,SUMPRODUCT((Results_Long!$A$2:$A$1348="H3")*(Results_Long!$B$2:$B$1348="end_lag2|none|full|dfE")*(Results_Long!$C$2:$C$1348="3LMA-RVE_CR2|r0.6")*(Results_Long!$D$2:$D$1348="diff")*ROW(Results_Long!$A$2:$A$1348))))</f>
        <v>multiverse cell 368/1260: coding=end_lag2, outlier=none, es_set=full, df_basis=dfE, estimator=3LMA-RVE_CR2, rho=0.6 [DEC-045 S2]; descriptive curve cell; CORE cell (inference via joint permutation); verifier identity vs committed T2 diff at 1e-6</v>
      </c>
    </row>
    <row r="16" spans="1:10" ht="45.75" customHeight="1" x14ac:dyDescent="0.3">
      <c r="A16" s="4" t="s">
        <v>987</v>
      </c>
      <c r="B16" s="5" t="s">
        <v>1934</v>
      </c>
      <c r="C16" s="6">
        <f>IF(INDEX(Results_Long!$K:$K,SUMPRODUCT((Results_Long!$A$2:$A$1348="H3")*(Results_Long!$B$2:$B$1348="end_lag3|none|full|dfE")*(Results_Long!$C$2:$C$1348="3LMA-RVE_CR2|r0.6")*(Results_Long!$D$2:$D$1348="diff")*ROW(Results_Long!$A$2:$A$1348)))="","NA",INDEX(Results_Long!$K:$K,SUMPRODUCT((Results_Long!$A$2:$A$1348="H3")*(Results_Long!$B$2:$B$1348="end_lag3|none|full|dfE")*(Results_Long!$C$2:$C$1348="3LMA-RVE_CR2|r0.6")*(Results_Long!$D$2:$D$1348="diff")*ROW(Results_Long!$A$2:$A$1348))))</f>
        <v>2.13188918890692E-2</v>
      </c>
      <c r="D16" s="6">
        <f>IF(INDEX(Results_Long!$N:$N,SUMPRODUCT((Results_Long!$A$2:$A$1348="H3")*(Results_Long!$B$2:$B$1348="end_lag3|none|full|dfE")*(Results_Long!$C$2:$C$1348="3LMA-RVE_CR2|r0.6")*(Results_Long!$D$2:$D$1348="diff")*ROW(Results_Long!$A$2:$A$1348)))="","NA",INDEX(Results_Long!$N:$N,SUMPRODUCT((Results_Long!$A$2:$A$1348="H3")*(Results_Long!$B$2:$B$1348="end_lag3|none|full|dfE")*(Results_Long!$C$2:$C$1348="3LMA-RVE_CR2|r0.6")*(Results_Long!$D$2:$D$1348="diff")*ROW(Results_Long!$A$2:$A$1348))))</f>
        <v>22.304971547207099</v>
      </c>
      <c r="E16" s="6">
        <f>IF(INDEX(Results_Long!$M:$M,SUMPRODUCT((Results_Long!$A$2:$A$1348="H3")*(Results_Long!$B$2:$B$1348="end_lag3|none|full|dfE")*(Results_Long!$C$2:$C$1348="3LMA-RVE_CR2|r0.6")*(Results_Long!$D$2:$D$1348="diff")*ROW(Results_Long!$A$2:$A$1348)))="","NA",INDEX(Results_Long!$M:$M,SUMPRODUCT((Results_Long!$A$2:$A$1348="H3")*(Results_Long!$B$2:$B$1348="end_lag3|none|full|dfE")*(Results_Long!$C$2:$C$1348="3LMA-RVE_CR2|r0.6")*(Results_Long!$D$2:$D$1348="diff")*ROW(Results_Long!$A$2:$A$1348))))</f>
        <v>0.97959873483433402</v>
      </c>
      <c r="F16" s="6">
        <f>IF(INDEX(Results_Long!$O:$O,SUMPRODUCT((Results_Long!$A$2:$A$1348="H3")*(Results_Long!$B$2:$B$1348="end_lag3|none|full|dfE")*(Results_Long!$C$2:$C$1348="3LMA-RVE_CR2|r0.6")*(Results_Long!$D$2:$D$1348="diff")*ROW(Results_Long!$A$2:$A$1348)))="","NA",INDEX(Results_Long!$O:$O,SUMPRODUCT((Results_Long!$A$2:$A$1348="H3")*(Results_Long!$B$2:$B$1348="end_lag3|none|full|dfE")*(Results_Long!$C$2:$C$1348="3LMA-RVE_CR2|r0.6")*(Results_Long!$D$2:$D$1348="diff")*ROW(Results_Long!$A$2:$A$1348))))</f>
        <v>0.33779063598521097</v>
      </c>
      <c r="G16" s="17"/>
      <c r="H16" s="5" t="str">
        <f>"core cell end_lag3: diff_z = "&amp;IF($C16="NA","NA",IF($C16&lt;0,"-","+")&amp;INT(ROUND(ABS($C16)*10000,0)/10000)&amp;"."&amp;REPT("0",4-LEN(MOD(ROUND(ABS($C16)*10000,0),10000)))&amp;MOD(ROUND(ABS($C16)*10000,0),10000))&amp;", t("&amp;IF($D16="NA","NA",IF($D16&lt;0,"-","")&amp;INT(ROUND(ABS($D16)*10,0)/10)&amp;"."&amp;REPT("0",1-LEN(MOD(ROUND(ABS($D16)*10,0),10)))&amp;MOD(ROUND(ABS($D16)*10,0),10))&amp;") = "&amp;IF($E16="NA","NA",IF($E16&lt;0,"-","")&amp;INT(ROUND(ABS($E16)*100,0)/100)&amp;"."&amp;REPT("0",2-LEN(MOD(ROUND(ABS($E16)*100,0),100)))&amp;MOD(ROUND(ABS($E16)*100,0),100))&amp;", "&amp;IF($F16="NA","p = NA",IF($F16&lt;0.0001,"p &lt; 0.0001","p = "&amp;IF($F16="NA","NA",IF($F16&lt;0,"-","")&amp;INT(ROUND(ABS($F16)*10000,0)/10000)&amp;"."&amp;REPT("0",4-LEN(MOD(ROUND(ABS($F16)*10000,0),10000)))&amp;MOD(ROUND(ABS($F16)*10000,0),10000))))</f>
        <v>core cell end_lag3: diff_z = +0.0213, t(22.3) = 0.98, p = 0.3378</v>
      </c>
      <c r="I16" s="5" t="s">
        <v>1935</v>
      </c>
      <c r="J16" s="5" t="str">
        <f>IF(INDEX(Results_Long!$AJ:$AJ,SUMPRODUCT((Results_Long!$A$2:$A$1348="H3")*(Results_Long!$B$2:$B$1348="end_lag3|none|full|dfE")*(Results_Long!$C$2:$C$1348="3LMA-RVE_CR2|r0.6")*(Results_Long!$D$2:$D$1348="diff")*ROW(Results_Long!$A$2:$A$1348)))="","NA",INDEX(Results_Long!$AJ:$AJ,SUMPRODUCT((Results_Long!$A$2:$A$1348="H3")*(Results_Long!$B$2:$B$1348="end_lag3|none|full|dfE")*(Results_Long!$C$2:$C$1348="3LMA-RVE_CR2|r0.6")*(Results_Long!$D$2:$D$1348="diff")*ROW(Results_Long!$A$2:$A$1348))))</f>
        <v>multiverse cell 369/1260: coding=end_lag3, outlier=none, es_set=full, df_basis=dfE, estimator=3LMA-RVE_CR2, rho=0.6 [DEC-045 S2]; descriptive curve cell; CORE cell (inference via joint permutation); verifier identity vs committed T2 diff at 1e-6</v>
      </c>
    </row>
    <row r="17" spans="1:10" ht="45.75" customHeight="1" x14ac:dyDescent="0.3">
      <c r="A17" s="4" t="s">
        <v>989</v>
      </c>
      <c r="B17" s="5" t="s">
        <v>1936</v>
      </c>
      <c r="C17" s="6">
        <f>IF(INDEX(Results_Long!$K:$K,SUMPRODUCT((Results_Long!$A$2:$A$1348="H3")*(Results_Long!$B$2:$B$1348="clean_window|none|full|dfE")*(Results_Long!$C$2:$C$1348="3LMA-RVE_CR2|r0.6")*(Results_Long!$D$2:$D$1348="diff")*ROW(Results_Long!$A$2:$A$1348)))="","NA",INDEX(Results_Long!$K:$K,SUMPRODUCT((Results_Long!$A$2:$A$1348="H3")*(Results_Long!$B$2:$B$1348="clean_window|none|full|dfE")*(Results_Long!$C$2:$C$1348="3LMA-RVE_CR2|r0.6")*(Results_Long!$D$2:$D$1348="diff")*ROW(Results_Long!$A$2:$A$1348))))</f>
        <v>-1.2921000363889301E-2</v>
      </c>
      <c r="D17" s="6">
        <f>IF(INDEX(Results_Long!$N:$N,SUMPRODUCT((Results_Long!$A$2:$A$1348="H3")*(Results_Long!$B$2:$B$1348="clean_window|none|full|dfE")*(Results_Long!$C$2:$C$1348="3LMA-RVE_CR2|r0.6")*(Results_Long!$D$2:$D$1348="diff")*ROW(Results_Long!$A$2:$A$1348)))="","NA",INDEX(Results_Long!$N:$N,SUMPRODUCT((Results_Long!$A$2:$A$1348="H3")*(Results_Long!$B$2:$B$1348="clean_window|none|full|dfE")*(Results_Long!$C$2:$C$1348="3LMA-RVE_CR2|r0.6")*(Results_Long!$D$2:$D$1348="diff")*ROW(Results_Long!$A$2:$A$1348))))</f>
        <v>23.4744834169779</v>
      </c>
      <c r="E17" s="6">
        <f>IF(INDEX(Results_Long!$M:$M,SUMPRODUCT((Results_Long!$A$2:$A$1348="H3")*(Results_Long!$B$2:$B$1348="clean_window|none|full|dfE")*(Results_Long!$C$2:$C$1348="3LMA-RVE_CR2|r0.6")*(Results_Long!$D$2:$D$1348="diff")*ROW(Results_Long!$A$2:$A$1348)))="","NA",INDEX(Results_Long!$M:$M,SUMPRODUCT((Results_Long!$A$2:$A$1348="H3")*(Results_Long!$B$2:$B$1348="clean_window|none|full|dfE")*(Results_Long!$C$2:$C$1348="3LMA-RVE_CR2|r0.6")*(Results_Long!$D$2:$D$1348="diff")*ROW(Results_Long!$A$2:$A$1348))))</f>
        <v>-0.74550013310819996</v>
      </c>
      <c r="F17" s="6">
        <f>IF(INDEX(Results_Long!$O:$O,SUMPRODUCT((Results_Long!$A$2:$A$1348="H3")*(Results_Long!$B$2:$B$1348="clean_window|none|full|dfE")*(Results_Long!$C$2:$C$1348="3LMA-RVE_CR2|r0.6")*(Results_Long!$D$2:$D$1348="diff")*ROW(Results_Long!$A$2:$A$1348)))="","NA",INDEX(Results_Long!$O:$O,SUMPRODUCT((Results_Long!$A$2:$A$1348="H3")*(Results_Long!$B$2:$B$1348="clean_window|none|full|dfE")*(Results_Long!$C$2:$C$1348="3LMA-RVE_CR2|r0.6")*(Results_Long!$D$2:$D$1348="diff")*ROW(Results_Long!$A$2:$A$1348))))</f>
        <v>0.46336936745305102</v>
      </c>
      <c r="G17" s="17"/>
      <c r="H17" s="5" t="str">
        <f>"core cell clean_window: diff_z = "&amp;IF($C17="NA","NA",IF($C17&lt;0,"-","+")&amp;INT(ROUND(ABS($C17)*10000,0)/10000)&amp;"."&amp;REPT("0",4-LEN(MOD(ROUND(ABS($C17)*10000,0),10000)))&amp;MOD(ROUND(ABS($C17)*10000,0),10000))&amp;", t("&amp;IF($D17="NA","NA",IF($D17&lt;0,"-","")&amp;INT(ROUND(ABS($D17)*10,0)/10)&amp;"."&amp;REPT("0",1-LEN(MOD(ROUND(ABS($D17)*10,0),10)))&amp;MOD(ROUND(ABS($D17)*10,0),10))&amp;") = "&amp;IF($E17="NA","NA",IF($E17&lt;0,"-","")&amp;INT(ROUND(ABS($E17)*100,0)/100)&amp;"."&amp;REPT("0",2-LEN(MOD(ROUND(ABS($E17)*100,0),100)))&amp;MOD(ROUND(ABS($E17)*100,0),100))&amp;", "&amp;IF($F17="NA","p = NA",IF($F17&lt;0.0001,"p &lt; 0.0001","p = "&amp;IF($F17="NA","NA",IF($F17&lt;0,"-","")&amp;INT(ROUND(ABS($F17)*10000,0)/10000)&amp;"."&amp;REPT("0",4-LEN(MOD(ROUND(ABS($F17)*10000,0),10000)))&amp;MOD(ROUND(ABS($F17)*10000,0),10000))))</f>
        <v>core cell clean_window: diff_z = -0.0129, t(23.5) = -0.75, p = 0.4634</v>
      </c>
      <c r="I17" s="5" t="s">
        <v>1937</v>
      </c>
      <c r="J17" s="5" t="str">
        <f>IF(INDEX(Results_Long!$AJ:$AJ,SUMPRODUCT((Results_Long!$A$2:$A$1348="H3")*(Results_Long!$B$2:$B$1348="clean_window|none|full|dfE")*(Results_Long!$C$2:$C$1348="3LMA-RVE_CR2|r0.6")*(Results_Long!$D$2:$D$1348="diff")*ROW(Results_Long!$A$2:$A$1348)))="","NA",INDEX(Results_Long!$AJ:$AJ,SUMPRODUCT((Results_Long!$A$2:$A$1348="H3")*(Results_Long!$B$2:$B$1348="clean_window|none|full|dfE")*(Results_Long!$C$2:$C$1348="3LMA-RVE_CR2|r0.6")*(Results_Long!$D$2:$D$1348="diff")*ROW(Results_Long!$A$2:$A$1348))))</f>
        <v>multiverse cell 370/1260: coding=clean_window, outlier=none, es_set=full, df_basis=dfE, estimator=3LMA-RVE_CR2, rho=0.6 [DEC-045 S2]; descriptive curve cell; CORE cell (inference via joint permutation); verifier identity vs committed T2 diff at 1e-6</v>
      </c>
    </row>
    <row r="18" spans="1:10" ht="57" customHeight="1" x14ac:dyDescent="0.3">
      <c r="A18" s="4" t="s">
        <v>429</v>
      </c>
      <c r="B18" s="5" t="s">
        <v>1938</v>
      </c>
      <c r="C18" s="6">
        <f>IF(INDEX(Results_Long!$AG:$AG,SUMPRODUCT((Results_Long!$A$2:$A$1348="H4")*(Results_Long!$B$2:$B$1348="perm_sup")*(Results_Long!$C$2:$C$1348="defined")*(Results_Long!$D$2:$D$1348="p_perm")*ROW(Results_Long!$A$2:$A$1348)))="","NA",INDEX(Results_Long!$AG:$AG,SUMPRODUCT((Results_Long!$A$2:$A$1348="H4")*(Results_Long!$B$2:$B$1348="perm_sup")*(Results_Long!$C$2:$C$1348="defined")*(Results_Long!$D$2:$D$1348="p_perm")*ROW(Results_Long!$A$2:$A$1348))))</f>
        <v>0.34131736526946099</v>
      </c>
      <c r="D18" s="6">
        <f>IF(INDEX(Results_Long!$AG:$AG,SUMPRODUCT((Results_Long!$A$2:$A$1348="H4")*(Results_Long!$B$2:$B$1348="perm_sup")*(Results_Long!$C$2:$C$1348="defined")*(Results_Long!$D$2:$D$1348="eff_B")*ROW(Results_Long!$A$2:$A$1348)))="","NA",INDEX(Results_Long!$AG:$AG,SUMPRODUCT((Results_Long!$A$2:$A$1348="H4")*(Results_Long!$B$2:$B$1348="perm_sup")*(Results_Long!$C$2:$C$1348="defined")*(Results_Long!$D$2:$D$1348="eff_B")*ROW(Results_Long!$A$2:$A$1348))))</f>
        <v>500</v>
      </c>
      <c r="E18" s="17"/>
      <c r="F18" s="17"/>
      <c r="G18" s="17"/>
      <c r="H18" s="5" t="str">
        <f>"H4 sup-break permutation: p_perm = "&amp;IF($C18="NA","NA",IF($C18&lt;0,"-","")&amp;INT(ROUND(ABS($C18)*10000,0)/10000)&amp;"."&amp;REPT("0",4-LEN(MOD(ROUND(ABS($C18)*10000,0),10000)))&amp;MOD(ROUND(ABS($C18)*10000,0),10000))&amp;"; B_eff = "&amp;IF($D18="NA","NA",ROUND($D18,0))&amp;" (observed sup single-homed in the TH-a workbook Tab 7)"</f>
        <v>H4 sup-break permutation: p_perm = 0.3413; B_eff = 500 (observed sup single-homed in the TH-a workbook Tab 7)</v>
      </c>
      <c r="I18" s="5" t="s">
        <v>1939</v>
      </c>
      <c r="J18" s="5" t="str">
        <f>IF(INDEX(Results_Long!$AJ:$AJ,SUMPRODUCT((Results_Long!$A$2:$A$1348="H4")*(Results_Long!$B$2:$B$1348="perm_sup")*(Results_Long!$C$2:$C$1348="defined")*(Results_Long!$D$2:$D$1348="p_perm")*ROW(Results_Long!$A$2:$A$1348)))="","NA",INDEX(Results_Long!$AJ:$AJ,SUMPRODUCT((Results_Long!$A$2:$A$1348="H4")*(Results_Long!$B$2:$B$1348="perm_sup")*(Results_Long!$C$2:$C$1348="defined")*(Results_Long!$D$2:$D$1348="p_perm")*ROW(Results_Long!$A$2:$A$1348))))</f>
        <v>time-translation permutation, identical list as H5 [H-Q16/H-Q20]: p = (1 + 170) / (500 + 1); observed sup |t| = 2.122533 (from TH_a_results.csv observed_sup); admissible years fixed at the observed design: 2008, 2009, 2010, 2011, 2012, 2013, 2014, 2015, 2016, 2017, 2018, 2019; exceed count = 170 of 500 effective</v>
      </c>
    </row>
    <row r="19" spans="1:10" ht="45.75" customHeight="1" x14ac:dyDescent="0.3">
      <c r="A19" s="4" t="s">
        <v>426</v>
      </c>
      <c r="B19" s="5" t="s">
        <v>1940</v>
      </c>
      <c r="C19" s="6">
        <f>IF(INDEX(Results_Long!$AG:$AG,SUMPRODUCT((Results_Long!$A$2:$A$1348="H5")*(Results_Long!$B$2:$B$1348="perm_race")*(Results_Long!$C$2:$C$1348="defined")*(Results_Long!$D$2:$D$1348="p_perm")*ROW(Results_Long!$A$2:$A$1348)))="","NA",INDEX(Results_Long!$AG:$AG,SUMPRODUCT((Results_Long!$A$2:$A$1348="H5")*(Results_Long!$B$2:$B$1348="perm_race")*(Results_Long!$C$2:$C$1348="defined")*(Results_Long!$D$2:$D$1348="p_perm")*ROW(Results_Long!$A$2:$A$1348))))</f>
        <v>0.40119760479041899</v>
      </c>
      <c r="D19" s="6">
        <f>IF(INDEX(Results_Long!$AG:$AG,SUMPRODUCT((Results_Long!$A$2:$A$1348="H5")*(Results_Long!$B$2:$B$1348="perm_race")*(Results_Long!$C$2:$C$1348="defined")*(Results_Long!$D$2:$D$1348="eff_B")*ROW(Results_Long!$A$2:$A$1348)))="","NA",INDEX(Results_Long!$AG:$AG,SUMPRODUCT((Results_Long!$A$2:$A$1348="H5")*(Results_Long!$B$2:$B$1348="perm_race")*(Results_Long!$C$2:$C$1348="defined")*(Results_Long!$D$2:$D$1348="eff_B")*ROW(Results_Long!$A$2:$A$1348))))</f>
        <v>500</v>
      </c>
      <c r="E19" s="17"/>
      <c r="F19" s="17"/>
      <c r="G19" s="17"/>
      <c r="H19" s="5" t="str">
        <f>"H5 race permutation: p_perm = "&amp;IF($C19="NA","NA",IF($C19&lt;0,"-","")&amp;INT(ROUND(ABS($C19)*10000,0)/10000)&amp;"."&amp;REPT("0",4-LEN(MOD(ROUND(ABS($C19)*10000,0),10000)))&amp;MOD(ROUND(ABS($C19)*10000,0),10000))&amp;"; B_eff = "&amp;IF($D19="NA","NA",ROUND($D19,0))&amp;" (observed |t_race| verbatim in note; point estimate single-home: T8)"</f>
        <v>H5 race permutation: p_perm = 0.4012; B_eff = 500 (observed |t_race| verbatim in note; point estimate single-home: T8)</v>
      </c>
      <c r="I19" s="5" t="s">
        <v>1941</v>
      </c>
      <c r="J19" s="5" t="str">
        <f>IF(INDEX(Results_Long!$AJ:$AJ,SUMPRODUCT((Results_Long!$A$2:$A$1348="H5")*(Results_Long!$B$2:$B$1348="perm_race")*(Results_Long!$C$2:$C$1348="defined")*(Results_Long!$D$2:$D$1348="p_perm")*ROW(Results_Long!$A$2:$A$1348)))="","NA",INDEX(Results_Long!$AJ:$AJ,SUMPRODUCT((Results_Long!$A$2:$A$1348="H5")*(Results_Long!$B$2:$B$1348="perm_race")*(Results_Long!$C$2:$C$1348="defined")*(Results_Long!$D$2:$D$1348="p_perm")*ROW(Results_Long!$A$2:$A$1348))))</f>
        <v>time-translation permutation [H-Q20]: p = (1 + 200) / (500 + 1); observed |t_race| = 1.052421 (pp_mid coefficient of the T8 race model; point estimate/p_CR2 live in T8 — single-home [4a]); B = 500, exceed count = 200 of 500 effective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1"/>
  <sheetViews>
    <sheetView zoomScaleNormal="100" workbookViewId="0">
      <pane ySplit="5" topLeftCell="A6" activePane="bottomLeft" state="frozen"/>
      <selection pane="bottomLeft"/>
    </sheetView>
  </sheetViews>
  <sheetFormatPr baseColWidth="10" defaultColWidth="8.6640625" defaultRowHeight="14.4" x14ac:dyDescent="0.3"/>
  <cols>
    <col min="1" max="1" width="8" customWidth="1"/>
    <col min="2" max="2" width="26" customWidth="1"/>
    <col min="3" max="3" width="22" customWidth="1"/>
    <col min="4" max="4" width="110" customWidth="1"/>
    <col min="5" max="5" width="34" customWidth="1"/>
    <col min="6" max="6" width="30" customWidth="1"/>
  </cols>
  <sheetData>
    <row r="1" spans="1:6" ht="15" customHeight="1" x14ac:dyDescent="0.3">
      <c r="A1" s="1" t="s">
        <v>1942</v>
      </c>
    </row>
    <row r="2" spans="1:6" ht="15" customHeight="1" x14ac:dyDescent="0.3">
      <c r="A2" s="2" t="s">
        <v>1943</v>
      </c>
    </row>
    <row r="3" spans="1:6" ht="15" customHeight="1" x14ac:dyDescent="0.3">
      <c r="A3" s="2" t="s">
        <v>2</v>
      </c>
    </row>
    <row r="5" spans="1:6" ht="15" customHeight="1" x14ac:dyDescent="0.3">
      <c r="A5" s="3" t="s">
        <v>1944</v>
      </c>
      <c r="B5" s="3" t="s">
        <v>1945</v>
      </c>
      <c r="C5" s="3" t="s">
        <v>1946</v>
      </c>
      <c r="D5" s="3" t="s">
        <v>1947</v>
      </c>
      <c r="E5" s="3" t="s">
        <v>1948</v>
      </c>
      <c r="F5" s="3" t="s">
        <v>1949</v>
      </c>
    </row>
    <row r="6" spans="1:6" ht="45.75" customHeight="1" x14ac:dyDescent="0.3">
      <c r="A6" s="4" t="s">
        <v>1950</v>
      </c>
      <c r="B6" s="6" t="s">
        <v>1951</v>
      </c>
      <c r="C6" s="18" t="s">
        <v>1952</v>
      </c>
      <c r="D6" s="5" t="s">
        <v>1953</v>
      </c>
      <c r="E6" s="5" t="s">
        <v>1954</v>
      </c>
      <c r="F6" s="5" t="s">
        <v>1955</v>
      </c>
    </row>
    <row r="7" spans="1:6" ht="34.5" customHeight="1" x14ac:dyDescent="0.3">
      <c r="A7" s="4" t="s">
        <v>1956</v>
      </c>
      <c r="B7" s="6" t="s">
        <v>1957</v>
      </c>
      <c r="C7" s="19" t="s">
        <v>1952</v>
      </c>
      <c r="D7" s="5" t="s">
        <v>1958</v>
      </c>
      <c r="E7" s="5" t="s">
        <v>1959</v>
      </c>
      <c r="F7" s="5"/>
    </row>
    <row r="8" spans="1:6" ht="45.75" customHeight="1" x14ac:dyDescent="0.3">
      <c r="A8" s="4" t="s">
        <v>1960</v>
      </c>
      <c r="B8" s="6" t="s">
        <v>1961</v>
      </c>
      <c r="C8" s="20" t="s">
        <v>1952</v>
      </c>
      <c r="D8" s="5" t="s">
        <v>1962</v>
      </c>
      <c r="E8" s="5" t="s">
        <v>1963</v>
      </c>
      <c r="F8" s="5" t="s">
        <v>1964</v>
      </c>
    </row>
    <row r="9" spans="1:6" ht="34.5" customHeight="1" x14ac:dyDescent="0.3">
      <c r="A9" s="4" t="s">
        <v>1965</v>
      </c>
      <c r="B9" s="6" t="s">
        <v>1966</v>
      </c>
      <c r="C9" s="20" t="s">
        <v>1952</v>
      </c>
      <c r="D9" s="5" t="s">
        <v>1967</v>
      </c>
      <c r="E9" s="5" t="s">
        <v>1968</v>
      </c>
      <c r="F9" s="5" t="s">
        <v>1969</v>
      </c>
    </row>
    <row r="10" spans="1:6" ht="23.25" customHeight="1" x14ac:dyDescent="0.3">
      <c r="A10" s="4" t="s">
        <v>1970</v>
      </c>
      <c r="B10" s="6" t="s">
        <v>1971</v>
      </c>
      <c r="C10" s="20" t="s">
        <v>1952</v>
      </c>
      <c r="D10" s="5" t="s">
        <v>1972</v>
      </c>
      <c r="E10" s="5" t="s">
        <v>1973</v>
      </c>
      <c r="F10" s="5" t="s">
        <v>1974</v>
      </c>
    </row>
    <row r="11" spans="1:6" ht="23.25" customHeight="1" x14ac:dyDescent="0.3">
      <c r="A11" s="4" t="s">
        <v>1975</v>
      </c>
      <c r="B11" s="6" t="s">
        <v>1976</v>
      </c>
      <c r="C11" s="20" t="s">
        <v>1952</v>
      </c>
      <c r="D11" s="5" t="s">
        <v>1977</v>
      </c>
      <c r="E11" s="5" t="s">
        <v>1978</v>
      </c>
      <c r="F11" s="5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1_README</vt:lpstr>
      <vt:lpstr>2_Methodology</vt:lpstr>
      <vt:lpstr>3_Interpretation_Guide</vt:lpstr>
      <vt:lpstr>4_Formula_Reference</vt:lpstr>
      <vt:lpstr>5_Data_Provenance</vt:lpstr>
      <vt:lpstr>6_H1_MDE_Power</vt:lpstr>
      <vt:lpstr>7_H3_Spec_Curve</vt:lpstr>
      <vt:lpstr>8_H3_Core_Family</vt:lpstr>
      <vt:lpstr>9_H4_Perm_Sup</vt:lpstr>
      <vt:lpstr>10_H5_Perm_Race</vt:lpstr>
      <vt:lpstr>Results_Long</vt:lpstr>
      <vt:lpstr>Manuscript_Inputs</vt:lpstr>
      <vt:lpstr>Manuscript_Text_Blocks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Witte</cp:lastModifiedBy>
  <cp:revision>0</cp:revision>
  <dcterms:created xsi:type="dcterms:W3CDTF">2026-07-26T19:38:39Z</dcterms:created>
  <dcterms:modified xsi:type="dcterms:W3CDTF">2026-08-03T12:36:12Z</dcterms:modified>
  <dc:language>en-US</dc:language>
</cp:coreProperties>
</file>