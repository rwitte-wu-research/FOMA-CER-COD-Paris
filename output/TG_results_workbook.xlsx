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Spine_Variants" sheetId="6" state="visible" r:id="rId8"/>
    <sheet name="7_Panel_qVHB" sheetId="7" state="visible" r:id="rId9"/>
    <sheet name="8_Panel_Field" sheetId="8" state="visible" r:id="rId10"/>
    <sheet name="9_Panel_ES_Measure" sheetId="9" state="visible" r:id="rId11"/>
    <sheet name="10_Panel_ES_Method" sheetId="10" state="visible" r:id="rId12"/>
    <sheet name="Results_Long" sheetId="11" state="visible" r:id="rId13"/>
    <sheet name="Manuscript_Inputs" sheetId="12" state="visible" r:id="rId14"/>
    <sheet name="Manuscript_Text_Blocks" sheetId="13" state="visible" r:id="rId15"/>
  </sheets>
  <definedNames>
    <definedName function="false" hidden="true" localSheetId="10" name="_xlnm._FilterDatabase" vbProcedure="false">Results_Long!$A$1:$AK$37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<sst xmlns="http://schemas.openxmlformats.org/spreadsheetml/2006/main" count="700" uniqueCount="423">
  <si>
    <t xml:space="preserve">FOMA CER–COD–Paris — TG / Block G results workbook (robustness register G1–G10)</t>
  </si>
  <si>
    <t xml:space="preserve">Template: docs/results_workbook_template.md (binding) · one workbook per run</t>
  </si>
  <si>
    <t xml:space="preserve">Canonical run · 2026-07-29 17:28:47 · HEAD c935b28 · verifier R/11_verify_outputs.R: 12/12 PASS</t>
  </si>
  <si>
    <t xml:space="preserve">Item</t>
  </si>
  <si>
    <t xml:space="preserve">Value</t>
  </si>
  <si>
    <t xml:space="preserve">Data version</t>
  </si>
  <si>
    <t xml:space="preserve">CERCOD v12 — estimation set 2,713 ES / 115 studies / 114 clusters (per-spec domains in each tab)</t>
  </si>
  <si>
    <t xml:space="preserve">Method (one line)</t>
  </si>
  <si>
    <t xml:space="preserve">3L-RVE spine verbatim (random ~1|cluster_id/study/esid; CS rho=0.6; CR2/Satterthwaite on cluster_id); G6 off-spine cluster-median rma.uni(REML, knha)</t>
  </si>
  <si>
    <t xml:space="preserve">Scope</t>
  </si>
  <si>
    <t xml:space="preserve">Block G: six spine/aggregation variant specs (G1–G6, 7 rows) + four technical level panels (G7–G10); register G11 partial (A+G rows; F rows pending)</t>
  </si>
  <si>
    <t xml:space="preserve">Repository</t>
  </si>
  <si>
    <t xml:space="preserve">github.com/rwitte-wu-research/FOMA-CER-COD-Paris (public, main)</t>
  </si>
  <si>
    <t xml:space="preserve">Computational stack</t>
  </si>
  <si>
    <t xml:space="preserve">R 4.6.1 · metafor · clubSandwich · seed 20260710</t>
  </si>
  <si>
    <t xml:space="preserve">Scripts</t>
  </si>
  <si>
    <t xml:space="preserve">R/11_robustness.R + R/11_verify_outputs.R @ c935b28</t>
  </si>
  <si>
    <t xml:space="preserve">Decision basis</t>
  </si>
  <si>
    <t xml:space="preserve">DEC-050 · DEC-050a · DEC-050b · DEC-050c · analysis_plan A.15; language regime per DEC-047</t>
  </si>
  <si>
    <t xml:space="preserve">TAB-INDEX</t>
  </si>
  <si>
    <t xml:space="preserve">1_README</t>
  </si>
  <si>
    <t xml:space="preserve">this tab</t>
  </si>
  <si>
    <t xml:space="preserve">2_Methodology</t>
  </si>
  <si>
    <t xml:space="preserve">quantity | formula/construction | reference</t>
  </si>
  <si>
    <t xml:space="preserve">3_Interpretation_Guide</t>
  </si>
  <si>
    <t xml:space="preserve">how to read each quantity; decision rules</t>
  </si>
  <si>
    <t xml:space="preserve">4_Formula_Reference</t>
  </si>
  <si>
    <t xml:space="preserve">exact R calls; workbook formula conventions (incl. documented TEXT() deviation)</t>
  </si>
  <si>
    <t xml:space="preserve">5_Data_Provenance</t>
  </si>
  <si>
    <t xml:space="preserve">run record, gates, verifier, known notes</t>
  </si>
  <si>
    <t xml:space="preserve">6_Spine_Variants</t>
  </si>
  <si>
    <t xml:space="preserve">Spine &amp; aggregation variants (G1–G6), reference row = T1-A1</t>
  </si>
  <si>
    <t xml:space="preserve">7_Panel_qVHB</t>
  </si>
  <si>
    <t xml:space="preserve">G7 journal-quality cells incl. 99_NCE (descriptive; D5 cross-ref)</t>
  </si>
  <si>
    <t xml:space="preserve">8_Panel_Field</t>
  </si>
  <si>
    <t xml:space="preserve">G8 research-field cells</t>
  </si>
  <si>
    <t xml:space="preserve">9_Panel_ES_Measure</t>
  </si>
  <si>
    <t xml:space="preserve">G9 FEATURED axis: partial vs bivariate (van Aert)</t>
  </si>
  <si>
    <t xml:space="preserve">10_Panel_ES_Method</t>
  </si>
  <si>
    <t xml:space="preserve">G10 conversion route, main-effect-only</t>
  </si>
  <si>
    <t xml:space="preserve">Results_Long</t>
  </si>
  <si>
    <t xml:space="preserve">verbatim CSV + key; single formula source</t>
  </si>
  <si>
    <t xml:space="preserve">Manuscript_Inputs</t>
  </si>
  <si>
    <t xml:space="preserve">ms_input rows, fully formula-derived</t>
  </si>
  <si>
    <t xml:space="preserve">Manuscript_Text_Blocks</t>
  </si>
  <si>
    <t xml:space="preserve">TB-65…TB-68</t>
  </si>
  <si>
    <t xml:space="preserve">Methodology — Block G robustness specs</t>
  </si>
  <si>
    <t xml:space="preserve">Quantity</t>
  </si>
  <si>
    <t xml:space="preserve">Formula / Construction</t>
  </si>
  <si>
    <t xml:space="preserve">Reference</t>
  </si>
  <si>
    <t xml:space="preserve">Spine engine (G1–G5, G7–G10)</t>
  </si>
  <si>
    <t xml:space="preserve">3L random effects ~1|cluster_id/study/esid; CS V blocks within cluster_id, rho = 0.6; CR2 with Satterthwaite df on cluster_id; optimizer ladder</t>
  </si>
  <si>
    <t xml:space="preserve">[DEC-050 §2; DEC-031f; A.2]</t>
  </si>
  <si>
    <t xml:space="preserve">G1 no_starbound</t>
  </si>
  <si>
    <t xml:space="preserve">drop es_method == "star-bound" (99 ES / 11 studies, asserted)</t>
  </si>
  <si>
    <t xml:space="preserve">[DEC-050 §5]</t>
  </si>
  <si>
    <t xml:space="preserve">G2 no_nobs_proxyfill</t>
  </si>
  <si>
    <t xml:space="preserve">drop dat_prep flag_proxy_n rows — 296 on the estimation set; 297 on the usable basis incl. 134 FLAG-based; one tagged duplicate exits at the estimation filter</t>
  </si>
  <si>
    <t xml:space="preserve">[DEC-050 §5; DEC-050a]</t>
  </si>
  <si>
    <t xml:space="preserve">G3 n_firms_variance</t>
  </si>
  <si>
    <t xml:space="preserve">adj_i = n_obs_i − 1/vi_i (integer share asserted ≥ .99; observed 1.00); vi_g3 = 1/(n_firms − adj); invalid n_firms dropped+counted (0)</t>
  </si>
  <si>
    <t xml:space="preserve">[r02f2; DEC-048-K3; DEC-050 §5]</t>
  </si>
  <si>
    <t xml:space="preserve">G4 direct_r_only</t>
  </si>
  <si>
    <t xml:space="preserve">es_method == "bivariate"; near-identical to the G9 bivariate cell (Δ = 2 ES / 1 study, disclosed)</t>
  </si>
  <si>
    <t xml:space="preserve">[DEC-050 §5–6]</t>
  </si>
  <si>
    <t xml:space="preserve">G5 pcc_df_k10 / k20</t>
  </si>
  <si>
    <t xml:space="preserve">PCC rows: vi = 1/(n − k − 3), k ∈ {10, 20}; bivariate rows unchanged; k20 excludes the single n = 18 row</t>
  </si>
  <si>
    <t xml:space="preserve">[DEC-050 §5; ERROR #14]</t>
  </si>
  <si>
    <t xml:space="preserve">G6 one_per_cluster_median</t>
  </si>
  <si>
    <t xml:space="preserve">median z per cluster; vi of the median-carrying row (even size: mean of the two middle rows' vi); rma.uni(REML, knha)</t>
  </si>
  <si>
    <t xml:space="preserve">[DEC-050 §2/§5; DEC-031a.4]</t>
  </si>
  <si>
    <t xml:space="preserve">G7–G10 panels</t>
  </si>
  <si>
    <t xml:space="preserve">cell-means level panels: q_VHB (incl. 99_NCE per D31.4), field, ES_measure (featured), es_method (main-effect-only per Annex C); HTZ omnibus + pairwise CR2/Satterthwaite contrasts</t>
  </si>
  <si>
    <t xml:space="preserve">[DEC-050 §5; DEC-031a.1]</t>
  </si>
  <si>
    <t xml:space="preserve">Inference regime</t>
  </si>
  <si>
    <t xml:space="preserve">descriptive throughout; no Holm; no spec-vs-headline tests (N5 multiverse = single inferential home); no prediction intervals (PI home = A3/T1)</t>
  </si>
  <si>
    <t xml:space="preserve">[DEC-050 §3–4; DEC-047; DEC-031a.6; A.8]</t>
  </si>
  <si>
    <t xml:space="preserve">Δ vs headline / flags</t>
  </si>
  <si>
    <t xml:space="preserve">presentation-layer formulas: Δ_z = est_z − T1-A1; sign retained; CI excludes 0; |est_r| ≤ 0.070 (SESOI band F27v2)</t>
  </si>
  <si>
    <t xml:space="preserve">[DEC-050 §3/§10]</t>
  </si>
  <si>
    <t xml:space="preserve">Register G11</t>
  </si>
  <si>
    <t xml:space="preserve">output/robustness_register.csv assembled by value from committed CSVs (A + TG rows), 1e-9 source verification, mandatory reported-in column; partial until F session</t>
  </si>
  <si>
    <t xml:space="preserve">[DEC-050 §10]</t>
  </si>
  <si>
    <t xml:space="preserve">Interpretation guide</t>
  </si>
  <si>
    <t xml:space="preserve">Meaning</t>
  </si>
  <si>
    <t xml:space="preserve">Decision rule</t>
  </si>
  <si>
    <t xml:space="preserve">est_z / est_r</t>
  </si>
  <si>
    <t xml:space="preserve">pooled Fisher-z estimate and its back-transform tanh(z) for level rows</t>
  </si>
  <si>
    <t xml:space="preserve">report both scales for levels; r-scale for prose</t>
  </si>
  <si>
    <t xml:space="preserve">Contrast / HTZ rows</t>
  </si>
  <si>
    <t xml:space="preserve">difference-of-z and omnibus F; z-only by convention — tanh is never applied to differences</t>
  </si>
  <si>
    <t xml:space="preserve">template rule; z-only</t>
  </si>
  <si>
    <t xml:space="preserve">df (Satterthwaite)</t>
  </si>
  <si>
    <t xml:space="preserve">small-sample-adjusted df per CR2</t>
  </si>
  <si>
    <t xml:space="preserve">df &lt; 5 on a contrast → interpret descriptively (display flag; DEC-048 convention carried over)</t>
  </si>
  <si>
    <t xml:space="preserve">p (panels)</t>
  </si>
  <si>
    <t xml:space="preserve">descriptive under the resolved gate — no moderation-style claims from G panels</t>
  </si>
  <si>
    <t xml:space="preserve">[DEC-047]; no Holm by design [DEC-050 §4]</t>
  </si>
  <si>
    <t xml:space="preserve">Δ_z vs headline</t>
  </si>
  <si>
    <t xml:space="preserve">descriptive location shift against the T1-A1 headline; carries no SE/p by design</t>
  </si>
  <si>
    <t xml:space="preserve">[DEC-031a.6]; joint spec inference lives in N5</t>
  </si>
  <si>
    <t xml:space="preserve">Flag: sign retained</t>
  </si>
  <si>
    <t xml:space="preserve">sign(est_z) equals the headline sign</t>
  </si>
  <si>
    <t xml:space="preserve">yes/no; descriptive</t>
  </si>
  <si>
    <t xml:space="preserve">Flag: CI excludes 0</t>
  </si>
  <si>
    <t xml:space="preserve">both CI ends on the same side of zero</t>
  </si>
  <si>
    <t xml:space="preserve">Flag: inside SESOI</t>
  </si>
  <si>
    <t xml:space="preserve">|est_r| ≤ 0.070 — point location inside the pre-registered band (F27v2). NOT an equivalence test; TOST single home = E1/TH-a</t>
  </si>
  <si>
    <t xml:space="preserve">99_NCE cell (G7)</t>
  </si>
  <si>
    <t xml:space="preserve">not-classified journal cell, retained per D31.4; publication-status inference single-homed in D5</t>
  </si>
  <si>
    <t xml:space="preserve">descriptive; cross-reference only</t>
  </si>
  <si>
    <t xml:space="preserve">Formula reference — R calls and workbook conventions</t>
  </si>
  <si>
    <t xml:space="preserve">R call / workbook formula</t>
  </si>
  <si>
    <t xml:space="preserve">Reference / script section</t>
  </si>
  <si>
    <t xml:space="preserve">Spine fit</t>
  </si>
  <si>
    <t xml:space="preserve">rma.mv(yi=zi, V=Vmat(rho=0.6), random=~1|cluster_id/study/esid, method="REML") + clubSandwich coef_test/conf_int (CR2, Satterthwaite)</t>
  </si>
  <si>
    <t xml:space="preserve">R/11_robustness.R fit block</t>
  </si>
  <si>
    <t xml:space="preserve">G6 aggregate fit</t>
  </si>
  <si>
    <t xml:space="preserve">rma.uni(yi=z_med, vi=vi_med, method="REML", test="knha")</t>
  </si>
  <si>
    <t xml:space="preserve">R/11_robustness.R G6 block</t>
  </si>
  <si>
    <t xml:space="preserve">Panel HTZ / pairwise</t>
  </si>
  <si>
    <t xml:space="preserve">clubSandwich::Wald_test(cell-means constraints, vcov=CR2, test="HTZ") / linear contrasts with Satterthwaite df</t>
  </si>
  <si>
    <t xml:space="preserve">R/11_robustness.R panel block</t>
  </si>
  <si>
    <t xml:space="preserve">T1-A1 anchor (this workbook)</t>
  </si>
  <si>
    <t xml:space="preserve">by value from output/T1_results.csv (label key analysis_id=="A1"): est_z = -0.058646736610098; source-verified at build (1e-9); single anchor cell 6_Spine_Variants!E6</t>
  </si>
  <si>
    <t xml:space="preserve">[DEC-050 §10; DEC-050c pattern]</t>
  </si>
  <si>
    <t xml:space="preserve">Δ formula</t>
  </si>
  <si>
    <t xml:space="preserve">Δ_z = est_z cell − $E$6 anchor (tab 6_Spine_Variants, column M); signed display format</t>
  </si>
  <si>
    <t xml:space="preserve">[DEC-050 §3]</t>
  </si>
  <si>
    <t xml:space="preserve">Locale-neutral strings</t>
  </si>
  <si>
    <t xml:space="preserve">documented TEXT() deviation from the template: number strings built via ROUND/INT/ABS/REPT/LEN arithmetic and "&amp;" concatenation only — no TEXT() format codes, no CONCAT/XLOOKUP</t>
  </si>
  <si>
    <t xml:space="preserve">[ERROR #9 lesson; T7 precedent]</t>
  </si>
  <si>
    <t xml:space="preserve">Lookups</t>
  </si>
  <si>
    <t xml:space="preserve">INDEX/MATCH on Results_Long!$AK (key = analysis_id|spec|subset|term)</t>
  </si>
  <si>
    <t xml:space="preserve">template formula rules</t>
  </si>
  <si>
    <t xml:space="preserve">Data provenance &amp; run record</t>
  </si>
  <si>
    <t xml:space="preserve">Canonical run accepted under DEC-050 + 050a/b/c; verifier 12/12</t>
  </si>
  <si>
    <t xml:space="preserve">Delivery-side ERROR #32–#34 logged; nothing entered committed bytes invalid</t>
  </si>
  <si>
    <t xml:space="preserve">Source</t>
  </si>
  <si>
    <t xml:space="preserve">Estimation set</t>
  </si>
  <si>
    <t xml:space="preserve">2,713 ES / 115 studies / 114 clusters (dat_prep); per-spec domains in Results_Long</t>
  </si>
  <si>
    <t xml:space="preserve">TG_run_meta.json</t>
  </si>
  <si>
    <t xml:space="preserve">dat_prep md5</t>
  </si>
  <si>
    <t xml:space="preserve">6702ef3dc45fe0b693b13f50ebd1576b</t>
  </si>
  <si>
    <t xml:space="preserve">TG_run_meta.json; A.15 pin</t>
  </si>
  <si>
    <t xml:space="preserve">Seed / rho</t>
  </si>
  <si>
    <t xml:space="preserve">20260710 / 0.6</t>
  </si>
  <si>
    <t xml:space="preserve">FROZEN ZONE</t>
  </si>
  <si>
    <t xml:space="preserve">Run stamp</t>
  </si>
  <si>
    <t xml:space="preserve">2026-07-29 17:28:47 · budget &lt; 5 min / ≤ 14 fits / ≤ 60 rows [DEC-050 §9]; 36 rows delivered</t>
  </si>
  <si>
    <t xml:space="preserve">Gate A (script)</t>
  </si>
  <si>
    <t xml:space="preserve">pre-flight CS-aggregate by value: −0.0616608 (df 113), 1e-9 point / 1e-6 CI tiers — PASS</t>
  </si>
  <si>
    <t xml:space="preserve">[DEC-048; DEC-050 §7]</t>
  </si>
  <si>
    <t xml:space="preserve">Gate B (verifier)</t>
  </si>
  <si>
    <t xml:space="preserve">independent 3L headline refit matched to committed output/T1_results.csv A1: −0.058647; three variance components located ≤ 1e-6; row located by label key (A1≡A3 identity untouched) — PASS</t>
  </si>
  <si>
    <t xml:space="preserve">[DEC-050b; DEC-050c]</t>
  </si>
  <si>
    <t xml:space="preserve">Verifier</t>
  </si>
  <si>
    <t xml:space="preserve">R/11_verify_outputs.R: 12/12 PASS (schema transplant, budget, key uniqueness, domains, G1/G2/G3 asserts, G4/G9 Δ assert, gates)</t>
  </si>
  <si>
    <t xml:space="preserve">@ c935b28</t>
  </si>
  <si>
    <t xml:space="preserve">S-G2 episode</t>
  </si>
  <si>
    <t xml:space="preserve">designed stop fired at 296 vs pinned 297; fully reconciled result-blind (basis difference: estimation set vs usable set; duplicate is a proxy row) — assert re-pinned to 296</t>
  </si>
  <si>
    <t xml:space="preserve">[DEC-050a]</t>
  </si>
  <si>
    <t xml:space="preserve">G3 diagnostics</t>
  </si>
  <si>
    <t xml:space="preserve">adjustment-integer share = 1.00; rows dropped for invalid n_firms = 0</t>
  </si>
  <si>
    <t xml:space="preserve">Canonical HEAD</t>
  </si>
  <si>
    <t xml:space="preserve">c935b28 — TG canonical run: results 36 rows, verifier 12/12 + DEC-050a/b/c + ERROR #32-34 + status G-flip</t>
  </si>
  <si>
    <t xml:space="preserve">git log</t>
  </si>
  <si>
    <t xml:space="preserve">Spine &amp; aggregation variants (G1–G6) — seven alternative estimators of the pooled CER–COD association</t>
  </si>
  <si>
    <t xml:space="preserve">Reference row = T1-A1 headline, by value (source output/T1_results.csv @ c935b28, verified 1e-9 at build) [DEC-050 §10]</t>
  </si>
  <si>
    <t xml:space="preserve">Δ and flags are presentation-layer [DEC-050 §3]; no spec-vs-headline tests [DEC-031a.6; N5 single home]</t>
  </si>
  <si>
    <t xml:space="preserve">Spec</t>
  </si>
  <si>
    <t xml:space="preserve">k_es</t>
  </si>
  <si>
    <t xml:space="preserve">k_study</t>
  </si>
  <si>
    <t xml:space="preserve">k_cluster</t>
  </si>
  <si>
    <t xml:space="preserve">est_z</t>
  </si>
  <si>
    <t xml:space="preserve">CI_z low</t>
  </si>
  <si>
    <t xml:space="preserve">CI_z high</t>
  </si>
  <si>
    <t xml:space="preserve">est_r</t>
  </si>
  <si>
    <t xml:space="preserve">CI_r low</t>
  </si>
  <si>
    <t xml:space="preserve">CI_r high</t>
  </si>
  <si>
    <t xml:space="preserve">df</t>
  </si>
  <si>
    <t xml:space="preserve">p</t>
  </si>
  <si>
    <t xml:space="preserve">sign retained</t>
  </si>
  <si>
    <t xml:space="preserve">CI excl. 0</t>
  </si>
  <si>
    <t xml:space="preserve">inside SESOI (|r| ≤ .070)</t>
  </si>
  <si>
    <t xml:space="preserve">T1-A1 headline (reference)</t>
  </si>
  <si>
    <t xml:space="preserve">G5 pcc_df_k10</t>
  </si>
  <si>
    <t xml:space="preserve">G5 pcc_df_k20</t>
  </si>
  <si>
    <t xml:space="preserve">Interpretation</t>
  </si>
  <si>
    <t xml:space="preserve">Five variants reproduce the headline within .008 on the r scale (G1, G3, G5-k10, G5-k20, G6); the assumption-free cluster-median aggregate (−.062) brackets the rho-based headline from below.</t>
  </si>
  <si>
    <t xml:space="preserve">Two variants attenuate: G2 (−.038, the narrowest CI of the panel) and G4 (−.038 on 52 studies, CI covering zero); both retain the negative sign and sit inside the SESOI band.</t>
  </si>
  <si>
    <t xml:space="preserve">G4 is near-identical to the G9 bivariate cell (Δ = 2 ES / 1 study) — cross-referenced, not an independent check [DEC-050 §6].</t>
  </si>
  <si>
    <t xml:space="preserve">Reviewer Q&amp;A — Finance/Econometrics</t>
  </si>
  <si>
    <t xml:space="preserve">Question</t>
  </si>
  <si>
    <t xml:space="preserve">Answer</t>
  </si>
  <si>
    <t xml:space="preserve">Why is there no significance test of each variant against the headline?</t>
  </si>
  <si>
    <t xml:space="preserve">Nested-subset differences carry no valid SE [DEC-031a.6]; joint specification inference is single-homed in the N5 multiverse permutation. The Δ column is a descriptive location shift.</t>
  </si>
  <si>
    <t xml:space="preserve">What explains the G2 shift?</t>
  </si>
  <si>
    <t xml:space="preserve">Mechanically, removing the flagged proxy-filled sample-size rows — drop 296 rows; 297 on the usable basis incl. 134 FLAG-based; one tagged duplicate exits at the estimation filter [DEC-050a] — moves the pooled estimate to −.038 and narrows the CI. The proxy convention itself is pre-registered [R-19]; this drop-spec is its pre-registered stress test.</t>
  </si>
  <si>
    <t xml:space="preserve">Reviewer Q&amp;A — Management/BSE</t>
  </si>
  <si>
    <t xml:space="preserve">Does any variant overturn the headline reading?</t>
  </si>
  <si>
    <t xml:space="preserve">No: 7/7 negative signs, 7/7 inside the SESOI band, 6/7 CIs excluding zero; the single zero-covering CI (G4) belongs to the 52-study direct-correlation subset and is disclosed [TB-66].</t>
  </si>
  <si>
    <t xml:space="preserve">Mechanical outcome: all seven variants retain the negative sign inside |r| ≤ .070; range r = −.038 to −.062; two disclosed attenuations (G2, G4); wording per the resolved gate [DEC-047].</t>
  </si>
  <si>
    <t xml:space="preserve">G7 — Journal-quality panel (q_VHB): 1_VHB high · 0_VHB low · 99_NCE</t>
  </si>
  <si>
    <t xml:space="preserve">99_NCE cell retained per D31.4; publication-status inference single-homed in D5 (cross-reference only)</t>
  </si>
  <si>
    <t xml:space="preserve">All cells formula-linked to Results_Long; HTZ + pairwise z-only, descriptive [DEC-047]</t>
  </si>
  <si>
    <t xml:space="preserve">Level</t>
  </si>
  <si>
    <t xml:space="preserve">1_VHB high</t>
  </si>
  <si>
    <t xml:space="preserve">0_VHB low</t>
  </si>
  <si>
    <t xml:space="preserve">99_NCE</t>
  </si>
  <si>
    <t xml:space="preserve">Test (z-only)</t>
  </si>
  <si>
    <t xml:space="preserve">note (carries F and df_num verbatim)</t>
  </si>
  <si>
    <t xml:space="preserve">HTZ omnibus</t>
  </si>
  <si>
    <t xml:space="preserve">Contrast (z-only)</t>
  </si>
  <si>
    <t xml:space="preserve">Δz</t>
  </si>
  <si>
    <t xml:space="preserve">flag</t>
  </si>
  <si>
    <t xml:space="preserve">1_VHB high vs 0_VHB low</t>
  </si>
  <si>
    <t xml:space="preserve">1_VHB high vs 99_NCE</t>
  </si>
  <si>
    <t xml:space="preserve">0_VHB low vs 99_NCE</t>
  </si>
  <si>
    <t xml:space="preserve">The three cells sit within .004 of each other on the r scale (−.056 to −.060); HTZ p = .988.</t>
  </si>
  <si>
    <t xml:space="preserve">The not-classified cell (680 ES / 14 clusters) is indistinguishable from the classified cells here; any selection-based reading belongs to the D5 selection-model block.</t>
  </si>
  <si>
    <t xml:space="preserve">Why keep the not-classified (99_NCE) cell in a quality panel?</t>
  </si>
  <si>
    <t xml:space="preserve">It was pre-registered per D31.4; dropping it after seeing results would be a result-contingent design change. Publication-status inference is single-homed in D5; this cell is descriptive.</t>
  </si>
  <si>
    <t xml:space="preserve">Why no multiplicity control over the three pairwise contrasts?</t>
  </si>
  <si>
    <t xml:space="preserve">Level-only technical panel with no moderation claim; descriptive regime per DEC-047/DEC-050 §4 — a Holm line would suggest an inferential family that is not claimed.</t>
  </si>
  <si>
    <t xml:space="preserve">Does journal quality change the headline association?</t>
  </si>
  <si>
    <t xml:space="preserve">No indication: all three cells within .004 on the r scale, HTZ p = .988, all pairwise |Δz| ≤ .004. The high-vs-low feature is the text-carrying contrast [TB-67].</t>
  </si>
  <si>
    <t xml:space="preserve">Mechanical outcome: cell means r = −.056 to −.060; HTZ F = 0.01 (df = 34.7, p = .988); all pairwise |Δz| ≤ .004 — no quality gradient indicated; wording per the resolved gate [DEC-047].</t>
  </si>
  <si>
    <t xml:space="preserve">G8 — Research-field panel (field): 1_fin/acc/econ · 2_sust · 3_mgmt</t>
  </si>
  <si>
    <t xml:space="preserve">Field of the publishing journal; level panel only</t>
  </si>
  <si>
    <t xml:space="preserve">1_fin/acc/econ</t>
  </si>
  <si>
    <t xml:space="preserve">2_sust</t>
  </si>
  <si>
    <t xml:space="preserve">3_mgmt</t>
  </si>
  <si>
    <t xml:space="preserve">1_fin/acc/econ vs 2_sust</t>
  </si>
  <si>
    <t xml:space="preserve">1_fin/acc/econ vs 3_mgmt</t>
  </si>
  <si>
    <t xml:space="preserve">2_sust vs 3_mgmt</t>
  </si>
  <si>
    <t xml:space="preserve">Cell means r = −.046 (fin/acc/econ), −.090 (sust), −.052 (mgmt); HTZ p = .617.</t>
  </si>
  <si>
    <t xml:space="preserve">The sustainability-field cell is largest in magnitude but rests on the widest CI of the panel (571 ES / 32 clusters, p = .065); its contrast against fin/acc/econ is Δz = +.044, p = .356.</t>
  </si>
  <si>
    <t xml:space="preserve">The sustainability cell is noticeably larger in magnitude — why is that not a finding?</t>
  </si>
  <si>
    <t xml:space="preserve">Its pairwise contrast is Δz = +.044 with p = .356 (df 58.8) and the panel HTZ is p = .617; under the descriptive regime no field claim is licensed. The spread is disclosed as-is.</t>
  </si>
  <si>
    <t xml:space="preserve">Do management-journal results differ from finance-journal results?</t>
  </si>
  <si>
    <t xml:space="preserve">fin/acc/econ vs mgmt: Δz = +.007, p = .663 — no indication of a field split.</t>
  </si>
  <si>
    <t xml:space="preserve">Mechanical outcome: cell means r = −.046 / −.090 / −.052; HTZ F = 0.49 (df = 33.5, p = .617) — no field differentiation indicated; wording per the resolved gate [DEC-047].</t>
  </si>
  <si>
    <t xml:space="preserve">G9 — FEATURED axis: ES_measure (partial vs bivariate) [van Aert 2023]</t>
  </si>
  <si>
    <t xml:space="preserve">Featured per DEC-050 §6; carries the G4 near-identity cross-note (Δ = 2 ES / 1 study vs direct_r_only)</t>
  </si>
  <si>
    <t xml:space="preserve">partial</t>
  </si>
  <si>
    <t xml:space="preserve">bivariate</t>
  </si>
  <si>
    <t xml:space="preserve">partial vs bivariate</t>
  </si>
  <si>
    <t xml:space="preserve">Partial-correlation cell r = −.062 (2,607 ES / 113 clusters) vs bivariate cell r = −.026 (106 ES / 53 clusters); Δz = −.036, p = .218.</t>
  </si>
  <si>
    <t xml:space="preserve">More than 95% of effect sizes are partial correlations — this panel is the direct check that the pooled result is not an artifact of the partial-correlation basis [van Aert 2023].</t>
  </si>
  <si>
    <t xml:space="preserve">The bivariate cell and the G4 direct_r_only spec coincide on v12 up to 2 ES / 1 study; the two rows are cross-referenced, not read as independent checks [DEC-050 §6].</t>
  </si>
  <si>
    <t xml:space="preserve">Partial and bivariate rows are pooled on one spine — are the sampling variances comparable?</t>
  </si>
  <si>
    <t xml:space="preserve">Both enter as Fisher-z with measure-appropriate variances (PCC df convention per van Aert 2023 for partial rows; 1/(n−3) for bivariate rows); G5 varies the PCC df convention and moves the pooled estimate by less than .001.</t>
  </si>
  <si>
    <t xml:space="preserve">Is G4 an independent replication of the bivariate cell?</t>
  </si>
  <si>
    <t xml:space="preserve">No — the partitions coincide up to 2 ES / 1 study on v12 [DEC-050 §6]; cross-referenced to avoid double counting.</t>
  </si>
  <si>
    <t xml:space="preserve">Why feature this axis over the other technical panels?</t>
  </si>
  <si>
    <t xml:space="preserve">It is the methodological backbone of the meta-analysis: the van Aert (2023) partial-correlation framework governs &gt; 95% of the evidence, and the panel shows the headline is carried by exactly that basis while the small directly-reported remainder points the same way.</t>
  </si>
  <si>
    <t xml:space="preserve">Mechanical outcome: partial r = −.062 vs bivariate r = −.026; Δz = −.036 (df = 36.9, p = .218), descriptive — featured axis holds the headline reading; wording per the resolved gate [DEC-047].</t>
  </si>
  <si>
    <t xml:space="preserve">G10 — Conversion-route panel (es_method): computed · bivariate · star-bound · v10-adopted</t>
  </si>
  <si>
    <t xml:space="preserve">Main-effect-only per Annex C (method-artifact check; never interacted)</t>
  </si>
  <si>
    <t xml:space="preserve">All cells formula-linked to Results_Long; HTZ + pairwise z-only, descriptive [DEC-047]; one contrast display-flagged (df &lt; 5)</t>
  </si>
  <si>
    <t xml:space="preserve">computed</t>
  </si>
  <si>
    <t xml:space="preserve">star-bound</t>
  </si>
  <si>
    <t xml:space="preserve">v10-adopted</t>
  </si>
  <si>
    <t xml:space="preserve">computed vs bivariate</t>
  </si>
  <si>
    <t xml:space="preserve">computed vs star-bound</t>
  </si>
  <si>
    <t xml:space="preserve">computed vs v10-adopted</t>
  </si>
  <si>
    <t xml:space="preserve">bivariate vs star-bound</t>
  </si>
  <si>
    <t xml:space="preserve">bivariate vs v10-adopted</t>
  </si>
  <si>
    <t xml:space="preserve">star-bound vs v10-adopted</t>
  </si>
  <si>
    <t xml:space="preserve">Cell means r = −.058 (computed, 2,300 ES) / −.022 (bivariate) / −.057 (star-bound) / −.095 (v10-adopted); HTZ p = .565.</t>
  </si>
  <si>
    <t xml:space="preserve">The dominant computed route is indistinguishable from the headline; the star-bound sensitivity additionally has its dedicated full-sample spec (G1).</t>
  </si>
  <si>
    <t xml:space="preserve">The star-bound cell has df = 7.9 on 11 clusters — is its p meaningful?</t>
  </si>
  <si>
    <t xml:space="preserve">It is reported as-is with its Satterthwaite df under the descriptive regime; the dedicated star-bound stress test is G1, where the full sample without these 99 rows gives r = −.058.</t>
  </si>
  <si>
    <t xml:space="preserve">Why is one pairwise contrast flagged?</t>
  </si>
  <si>
    <t xml:space="preserve">computed vs star-bound carries df = 3.1 &lt; 5; per the small-cell display convention [DEC-048] it is read descriptively.</t>
  </si>
  <si>
    <t xml:space="preserve">Do converted effect sizes drive the result?</t>
  </si>
  <si>
    <t xml:space="preserve">No indication: the computed-route cell sits at r = −.058, the smaller routes scatter from −.022 to −.095 around it, HTZ p = .565.</t>
  </si>
  <si>
    <t xml:space="preserve">Mechanical outcome: cell means r = −.022 to −.095 with the dominant computed route at −.058; HTZ F = 0.71 (df = 11.0, p = .565) — no conversion-route artifact indicated; wording per the resolved gate [DEC-047].</t>
  </si>
  <si>
    <t xml:space="preserve">analysis_id</t>
  </si>
  <si>
    <t xml:space="preserve">spec</t>
  </si>
  <si>
    <t xml:space="preserve">subset</t>
  </si>
  <si>
    <t xml:space="preserve">term</t>
  </si>
  <si>
    <t xml:space="preserve">metric</t>
  </si>
  <si>
    <t xml:space="preserve">estimator</t>
  </si>
  <si>
    <t xml:space="preserve">rho</t>
  </si>
  <si>
    <t xml:space="preserve">se_z</t>
  </si>
  <si>
    <t xml:space="preserve">t_stat</t>
  </si>
  <si>
    <t xml:space="preserve">ci_lb_z</t>
  </si>
  <si>
    <t xml:space="preserve">ci_ub_z</t>
  </si>
  <si>
    <t xml:space="preserve">pi_lb_z</t>
  </si>
  <si>
    <t xml:space="preserve">pi_ub_z</t>
  </si>
  <si>
    <t xml:space="preserve">ci_lb_r</t>
  </si>
  <si>
    <t xml:space="preserve">ci_ub_r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</si>
  <si>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</si>
  <si>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</si>
  <si>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</si>
  <si>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</si>
  <si>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</si>
  <si>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</si>
  <si>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</si>
  <si>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</si>
  <si>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</si>
  <si>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</si>
  <si>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value</t>
  </si>
  <si>
    <t xml:space="preserve">ms_input</t>
  </si>
  <si>
    <t xml:space="preserve">ms_label</t>
  </si>
  <si>
    <t xml:space="preserve">note</t>
  </si>
  <si>
    <t xml:space="preserve">key</t>
  </si>
  <si>
    <t xml:space="preserve">G1</t>
  </si>
  <si>
    <t xml:space="preserve">no_starbound</t>
  </si>
  <si>
    <t xml:space="preserve">estimation</t>
  </si>
  <si>
    <t xml:space="preserve">intrcpt</t>
  </si>
  <si>
    <t xml:space="preserve">drop es_method==star-bound (99 ES / 11 studies)</t>
  </si>
  <si>
    <t xml:space="preserve">G1|no_starbound|estimation|intrcpt</t>
  </si>
  <si>
    <t xml:space="preserve">G2</t>
  </si>
  <si>
    <t xml:space="preserve">no_nobs_proxyfill</t>
  </si>
  <si>
    <t xml:space="preserve">drop flag_proxy_n==TRUE (296 rows; 297 on the usable basis incl. 134 FLAG-based, one tagged duplicate exits at the estimation filter; R-19)</t>
  </si>
  <si>
    <t xml:space="preserve">G2|no_nobs_proxyfill|estimation|intrcpt</t>
  </si>
  <si>
    <t xml:space="preserve">G3</t>
  </si>
  <si>
    <t xml:space="preserve">n_firms_variance</t>
  </si>
  <si>
    <t xml:space="preserve">vi rebuilt on n_firms via adjustment recovery; 0 rows dropped (missing/invalid n_firms)</t>
  </si>
  <si>
    <t xml:space="preserve">G3|n_firms_variance|estimation|intrcpt</t>
  </si>
  <si>
    <t xml:space="preserve">G4</t>
  </si>
  <si>
    <t xml:space="preserve">direct_r_only</t>
  </si>
  <si>
    <t xml:space="preserve">es_method==bivariate; near-identical to G9 bivariate cell (delta 2 ES / 1 study)</t>
  </si>
  <si>
    <t xml:space="preserve">G4|direct_r_only|estimation|intrcpt</t>
  </si>
  <si>
    <t xml:space="preserve">G5</t>
  </si>
  <si>
    <t xml:space="preserve">pcc_df_k10</t>
  </si>
  <si>
    <t xml:space="preserve">PCC vi = 1/(n-10-3); bivariate rows unchanged; 0 rows dropped (nonpositive vi)</t>
  </si>
  <si>
    <t xml:space="preserve">G5|pcc_df_k10|estimation|intrcpt</t>
  </si>
  <si>
    <t xml:space="preserve">pcc_df_k20</t>
  </si>
  <si>
    <t xml:space="preserve">PCC vi = 1/(n-20-3); bivariate rows unchanged; 1 rows dropped (nonpositive vi)</t>
  </si>
  <si>
    <t xml:space="preserve">G5|pcc_df_k20|estimation|intrcpt</t>
  </si>
  <si>
    <t xml:space="preserve">G6</t>
  </si>
  <si>
    <t xml:space="preserve">one_per_cluster_median</t>
  </si>
  <si>
    <t xml:space="preserve">aggregate</t>
  </si>
  <si>
    <t xml:space="preserve">114 cluster medians; vi of median-carrying row (even: mean of two middle); k=114</t>
  </si>
  <si>
    <t xml:space="preserve">G6|one_per_cluster_median|aggregate|intrcpt</t>
  </si>
  <si>
    <t xml:space="preserve">G7</t>
  </si>
  <si>
    <t xml:space="preserve">panel_q_vhb</t>
  </si>
  <si>
    <t xml:space="preserve">cell_mean</t>
  </si>
  <si>
    <t xml:space="preserve">NCE cell retained per D31.4; text feature = high vs low; publication-status inference single-homed in D5</t>
  </si>
  <si>
    <t xml:space="preserve">G7|panel_q_vhb|1_VHB high|cell_mean</t>
  </si>
  <si>
    <t xml:space="preserve">G7|panel_q_vhb|0_VHB low|cell_mean</t>
  </si>
  <si>
    <t xml:space="preserve">G7|panel_q_vhb|99_NCE|cell_mean</t>
  </si>
  <si>
    <t xml:space="preserve">panel</t>
  </si>
  <si>
    <t xml:space="preserve">HTZ_omnibus</t>
  </si>
  <si>
    <t xml:space="preserve">F=0.0117, df_num=2.0; descriptive [DEC-047]</t>
  </si>
  <si>
    <t xml:space="preserve">G7|panel_q_vhb|panel|HTZ_omnibus</t>
  </si>
  <si>
    <t xml:space="preserve">pairwise_contrast</t>
  </si>
  <si>
    <t xml:space="preserve">CR2/Satterthwaite (HTZ 1-df); z-scale only; descriptive [DEC-047]</t>
  </si>
  <si>
    <t xml:space="preserve">G7|panel_q_vhb|1_VHB high vs 0_VHB low|pairwise_contrast</t>
  </si>
  <si>
    <t xml:space="preserve">G7|panel_q_vhb|1_VHB high vs 99_NCE|pairwise_contrast</t>
  </si>
  <si>
    <t xml:space="preserve">G7|panel_q_vhb|0_VHB low vs 99_NCE|pairwise_contrast</t>
  </si>
  <si>
    <t xml:space="preserve">G8</t>
  </si>
  <si>
    <t xml:space="preserve">panel_field</t>
  </si>
  <si>
    <t xml:space="preserve">G8|panel_field|1_fin/acc/econ|cell_mean</t>
  </si>
  <si>
    <t xml:space="preserve">G8|panel_field|2_sust|cell_mean</t>
  </si>
  <si>
    <t xml:space="preserve">G8|panel_field|3_mgmt|cell_mean</t>
  </si>
  <si>
    <t xml:space="preserve">F=0.4895, df_num=2.0; descriptive [DEC-047]</t>
  </si>
  <si>
    <t xml:space="preserve">G8|panel_field|panel|HTZ_omnibus</t>
  </si>
  <si>
    <t xml:space="preserve">G8|panel_field|1_fin/acc/econ vs 2_sust|pairwise_contrast</t>
  </si>
  <si>
    <t xml:space="preserve">G8|panel_field|1_fin/acc/econ vs 3_mgmt|pairwise_contrast</t>
  </si>
  <si>
    <t xml:space="preserve">G8|panel_field|2_sust vs 3_mgmt|pairwise_contrast</t>
  </si>
  <si>
    <t xml:space="preserve">G9</t>
  </si>
  <si>
    <t xml:space="preserve">panel_es_measure</t>
  </si>
  <si>
    <t xml:space="preserve">featured axis (van Aert partial vs bivariate)</t>
  </si>
  <si>
    <t xml:space="preserve">G9|panel_es_measure|partial|cell_mean</t>
  </si>
  <si>
    <t xml:space="preserve">G9|panel_es_measure|bivariate|cell_mean</t>
  </si>
  <si>
    <t xml:space="preserve">F=1.5703, df_num=1.0; descriptive [DEC-047]</t>
  </si>
  <si>
    <t xml:space="preserve">G9|panel_es_measure|panel|HTZ_omnibus</t>
  </si>
  <si>
    <t xml:space="preserve">G9|panel_es_measure|partial vs bivariate|pairwise_contrast</t>
  </si>
  <si>
    <t xml:space="preserve">G10</t>
  </si>
  <si>
    <t xml:space="preserve">panel_es_method</t>
  </si>
  <si>
    <t xml:space="preserve">main-effect-only per Annex C (method artifact)</t>
  </si>
  <si>
    <t xml:space="preserve">G10|panel_es_method|computed|cell_mean</t>
  </si>
  <si>
    <t xml:space="preserve">G10|panel_es_method|bivariate|cell_mean</t>
  </si>
  <si>
    <t xml:space="preserve">G10|panel_es_method|star-bound|cell_mean</t>
  </si>
  <si>
    <t xml:space="preserve">G10|panel_es_method|v10-adopted|cell_mean</t>
  </si>
  <si>
    <t xml:space="preserve">F=0.7109, df_num=3.0; descriptive [DEC-047]</t>
  </si>
  <si>
    <t xml:space="preserve">G10|panel_es_method|panel|HTZ_omnibus</t>
  </si>
  <si>
    <t xml:space="preserve">G10|panel_es_method|computed vs bivariate|pairwise_contrast</t>
  </si>
  <si>
    <t xml:space="preserve">G10|panel_es_method|computed vs star-bound|pairwise_contrast</t>
  </si>
  <si>
    <t xml:space="preserve">G10|panel_es_method|computed vs v10-adopted|pairwise_contrast</t>
  </si>
  <si>
    <t xml:space="preserve">G10|panel_es_method|bivariate vs star-bound|pairwise_contrast</t>
  </si>
  <si>
    <t xml:space="preserve">G10|panel_es_method|bivariate vs v10-adopted|pairwise_contrast</t>
  </si>
  <si>
    <t xml:space="preserve">G10|panel_es_method|star-bound vs v10-adopted|pairwise_contrast</t>
  </si>
  <si>
    <t xml:space="preserve">Manuscript inputs — ms_input = TRUE rows only</t>
  </si>
  <si>
    <t xml:space="preserve">Every cell formula-derived from Results_Long; strings built locale-neutrally (documented TEXT() deviation, see 4_Formula_Reference)</t>
  </si>
  <si>
    <t xml:space="preserve">Paste-ready English fragments</t>
  </si>
  <si>
    <t xml:space="preserve">analysis</t>
  </si>
  <si>
    <t xml:space="preserve">quantity</t>
  </si>
  <si>
    <t xml:space="preserve">paste-ready (EN)</t>
  </si>
  <si>
    <t xml:space="preserve">k</t>
  </si>
  <si>
    <t xml:space="preserve">No rows flagged ms_input in TG_results.csv — formula-live citables via 6_Spine_Variants and the panel tabs; prose via TB-65…TB-68.</t>
  </si>
  <si>
    <t xml:space="preserve">Manuscript text blocks — TB numbering continues across runs (TG starts at TB-65)</t>
  </si>
  <si>
    <t xml:space="preserve">Numbers hardcoded from output/TG_results.csv + output/T1_results.csv @ c935b28 — regenerate on any re-run; formula-live layer = Manuscript_Inputs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</si>
  <si>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</si>
  <si>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</si>
  <si>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</si>
  <si>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</si>
  <si>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</si>
  <si>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Note</t>
  </si>
  <si>
    <t xml:space="preserve">TB-65</t>
  </si>
  <si>
    <t xml:space="preserve">Robustness — register overview</t>
  </si>
  <si>
    <t xml:space="preserve">DRAFT</t>
  </si>
  <si>
    <t xml:space="preserve">The robustness register (Appendix Table G11; machine-readable output/robustness_register.csv) collects every pre-registered robustness specification in one long table: the Block-A estimator family, the eleven Block-G rows reported here, and the Block-F outlier and influence family. In its current partial state the register carries the A- and G-block rows; the F rows are appended by the pre-registered outlier analysis before submission. Across all populated rows the pooled CER–COD association keeps its negative sign and stays inside the pre-registered SESOI band (|r| ≤ .070); the two largest movements are the proxy-filled sample-size drop (r = −.038) and the directly reported-correlation subset (r = −.038, CI covering zero on 52 studies), both disclosed individually.</t>
  </si>
  <si>
    <t xml:space="preserve">robustness_register.csv; [DEC-050 §10; DEC-031a.8]</t>
  </si>
  <si>
    <t xml:space="preserve">Final wording after the F append.</t>
  </si>
  <si>
    <t xml:space="preserve">TB-66</t>
  </si>
  <si>
    <t xml:space="preserve">Robustness — spine &amp; aggregation variants</t>
  </si>
  <si>
    <t xml:space="preserve">READY</t>
  </si>
  <si>
    <t xml:space="preserve">Seven alternative estimators of the pooled association leave the headline reading intact. Excluding the 99 star-bound effect sizes (r = −.058), rebuilding the sampling variance on firm counts instead of firm-years (r = −.051), shifting the partial-correlation df convention to k = 10 or k = 20 (r = −.058 in both cases), and replacing the rho-based cluster aggregation with an assumption-free cluster-median analysis (r = −.062) all reproduce the headline estimate of r = −.059 to within .008 on the r scale. Two specifications attenuate the association: dropping the 296 proxy-filled sample-size rows (r = −.038, 95% CI [−.048, −.029]) and restricting to directly reported correlations (r = −.038, 95% CI [−.086, .011], 52 studies) — both retain the negative sign and, like every other row, lie inside the pre-registered SESOI band of |r| = .070.</t>
  </si>
  <si>
    <t xml:space="preserve">TG_results.csv G1–G6; 6_Spine_Variants; [DEC-050 §5; DEC-050a]</t>
  </si>
  <si>
    <t xml:space="preserve">TB-67</t>
  </si>
  <si>
    <t xml:space="preserve">Robustness — technical panels</t>
  </si>
  <si>
    <t xml:space="preserve">Four technical level panels complete the register. The featured axis contrasts partial and bivariate effect sizes (van Aert, 2023): the partial-correlation cell averages r = −.062 and the small bivariate cell r = −.026 (106 effect sizes, 53 clusters), with a panel HTZ of F = 1.57 (df = 36.9, p = .218) — descriptive under the resolved gate. Because the bivariate cell and the directly-reported-correlation specification coincide on v12 up to 2 effect sizes and 1 study, the two rows are cross-referenced rather than read as independent checks. Journal-quality and research-field cells vary between r = −.046 and −.090 with panel HTZ p-values of .988 and .617; the conversion-route panel (main-effect-only by design) spans r = −.022 to −.095 with HTZ p = .565. The not-classified journal cell is carried descriptively, with publication-status inference single-homed in the selection-model block.</t>
  </si>
  <si>
    <t xml:space="preserve">TG_results.csv G7–G10; tabs 7–10; [DEC-050 §5–6; D31.4]</t>
  </si>
  <si>
    <t xml:space="preserve">TB-68</t>
  </si>
  <si>
    <t xml:space="preserve">Robustness — register availability</t>
  </si>
  <si>
    <t xml:space="preserve">The machine-readable robustness register (output/robustness_register.csv) accompanies the appendix in partial form: all Block-A and Block-G rows are populated and source-verified; the Block-F outlier and influence rows are appended by the pre-registered outlier analysis, at which point the register closes.</t>
  </si>
  <si>
    <t xml:space="preserve">Supersession expected at F-close.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</si>
</sst>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"/>
    <numFmt numFmtId="168" formatCode="\+0.0000;\-0.0000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2" t="s">
        <v>5</v>
      </c>
      <c r="B6" s="4" t="s">
        <v>6</v>
      </c>
    </row>
    <row r="7" customFormat="false" ht="23.85" hidden="false" customHeight="false" outlineLevel="0" collapsed="false">
      <c r="A7" s="2" t="s">
        <v>7</v>
      </c>
      <c r="B7" s="4" t="s">
        <v>8</v>
      </c>
    </row>
    <row r="8" customFormat="false" ht="23.85" hidden="false" customHeight="false" outlineLevel="0" collapsed="false">
      <c r="A8" s="2" t="s">
        <v>9</v>
      </c>
      <c r="B8" s="4" t="s">
        <v>10</v>
      </c>
    </row>
    <row r="9" customFormat="false" ht="15" hidden="false" customHeight="false" outlineLevel="0" collapsed="false">
      <c r="A9" s="2" t="s">
        <v>11</v>
      </c>
      <c r="B9" s="4" t="s">
        <v>12</v>
      </c>
    </row>
    <row r="10" customFormat="false" ht="15" hidden="false" customHeight="false" outlineLevel="0" collapsed="false">
      <c r="A10" s="2" t="s">
        <v>13</v>
      </c>
      <c r="B10" s="4" t="s">
        <v>14</v>
      </c>
    </row>
    <row r="11" customFormat="false" ht="15" hidden="false" customHeight="false" outlineLevel="0" collapsed="false">
      <c r="A11" s="2" t="s">
        <v>15</v>
      </c>
      <c r="B11" s="4" t="s">
        <v>16</v>
      </c>
    </row>
    <row r="12" customFormat="false" ht="15" hidden="false" customHeight="false" outlineLevel="0" collapsed="false">
      <c r="A12" s="2" t="s">
        <v>17</v>
      </c>
      <c r="B12" s="4" t="s">
        <v>18</v>
      </c>
    </row>
    <row r="14" customFormat="false" ht="15" hidden="false" customHeight="false" outlineLevel="0" collapsed="false">
      <c r="A14" s="1" t="s">
        <v>19</v>
      </c>
    </row>
    <row r="15" customFormat="false" ht="15" hidden="false" customHeight="false" outlineLevel="0" collapsed="false">
      <c r="A15" s="2" t="s">
        <v>20</v>
      </c>
      <c r="B15" s="2" t="s">
        <v>21</v>
      </c>
    </row>
    <row r="16" customFormat="false" ht="15" hidden="false" customHeight="false" outlineLevel="0" collapsed="false">
      <c r="A16" s="2" t="s">
        <v>22</v>
      </c>
      <c r="B16" s="2" t="s">
        <v>23</v>
      </c>
    </row>
    <row r="17" customFormat="false" ht="15" hidden="false" customHeight="false" outlineLevel="0" collapsed="false">
      <c r="A17" s="2" t="s">
        <v>24</v>
      </c>
      <c r="B17" s="2" t="s">
        <v>25</v>
      </c>
    </row>
    <row r="18" customFormat="false" ht="15" hidden="false" customHeight="false" outlineLevel="0" collapsed="false">
      <c r="A18" s="2" t="s">
        <v>26</v>
      </c>
      <c r="B18" s="2" t="s">
        <v>27</v>
      </c>
    </row>
    <row r="19" customFormat="false" ht="15" hidden="false" customHeight="false" outlineLevel="0" collapsed="false">
      <c r="A19" s="2" t="s">
        <v>28</v>
      </c>
      <c r="B19" s="2" t="s">
        <v>29</v>
      </c>
    </row>
    <row r="20" customFormat="false" ht="15" hidden="false" customHeight="false" outlineLevel="0" collapsed="false">
      <c r="A20" s="2" t="s">
        <v>30</v>
      </c>
      <c r="B20" s="2" t="s">
        <v>31</v>
      </c>
    </row>
    <row r="21" customFormat="false" ht="15" hidden="false" customHeight="false" outlineLevel="0" collapsed="false">
      <c r="A21" s="2" t="s">
        <v>32</v>
      </c>
      <c r="B21" s="2" t="s">
        <v>33</v>
      </c>
    </row>
    <row r="22" customFormat="false" ht="15" hidden="false" customHeight="false" outlineLevel="0" collapsed="false">
      <c r="A22" s="2" t="s">
        <v>34</v>
      </c>
      <c r="B22" s="2" t="s">
        <v>35</v>
      </c>
    </row>
    <row r="23" customFormat="false" ht="15" hidden="false" customHeight="false" outlineLevel="0" collapsed="false">
      <c r="A23" s="2" t="s">
        <v>36</v>
      </c>
      <c r="B23" s="2" t="s">
        <v>37</v>
      </c>
    </row>
    <row r="24" customFormat="false" ht="15" hidden="false" customHeight="false" outlineLevel="0" collapsed="false">
      <c r="A24" s="2" t="s">
        <v>38</v>
      </c>
      <c r="B24" s="2" t="s">
        <v>39</v>
      </c>
    </row>
    <row r="25" customFormat="false" ht="15" hidden="false" customHeight="false" outlineLevel="0" collapsed="false">
      <c r="A25" s="2" t="s">
        <v>40</v>
      </c>
      <c r="B25" s="2" t="s">
        <v>41</v>
      </c>
    </row>
    <row r="26" customFormat="false" ht="15" hidden="false" customHeight="false" outlineLevel="0" collapsed="false">
      <c r="A26" s="2" t="s">
        <v>42</v>
      </c>
      <c r="B26" s="2" t="s">
        <v>43</v>
      </c>
    </row>
    <row r="27" customFormat="false" ht="15" hidden="false" customHeight="false" outlineLevel="0" collapsed="false">
      <c r="A27" s="2" t="s">
        <v>44</v>
      </c>
      <c r="B27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3" t="s">
        <v>47</v>
      </c>
      <c r="B3" s="3" t="s">
        <v>48</v>
      </c>
      <c r="C3" s="3" t="s">
        <v>49</v>
      </c>
    </row>
    <row r="4" customFormat="false" ht="23.85" hidden="false" customHeight="false" outlineLevel="0" collapsed="false">
      <c r="A4" s="4" t="s">
        <v>50</v>
      </c>
      <c r="B4" s="4" t="s">
        <v>51</v>
      </c>
      <c r="C4" s="2" t="s">
        <v>52</v>
      </c>
    </row>
    <row r="5" customFormat="false" ht="15" hidden="false" customHeight="false" outlineLevel="0" collapsed="false">
      <c r="A5" s="4" t="s">
        <v>53</v>
      </c>
      <c r="B5" s="4" t="s">
        <v>54</v>
      </c>
      <c r="C5" s="2" t="s">
        <v>55</v>
      </c>
    </row>
    <row r="6" customFormat="false" ht="23.85" hidden="false" customHeight="false" outlineLevel="0" collapsed="false">
      <c r="A6" s="4" t="s">
        <v>56</v>
      </c>
      <c r="B6" s="4" t="s">
        <v>57</v>
      </c>
      <c r="C6" s="2" t="s">
        <v>58</v>
      </c>
    </row>
    <row r="7" customFormat="false" ht="23.85" hidden="false" customHeight="false" outlineLevel="0" collapsed="false">
      <c r="A7" s="4" t="s">
        <v>59</v>
      </c>
      <c r="B7" s="4" t="s">
        <v>60</v>
      </c>
      <c r="C7" s="2" t="s">
        <v>61</v>
      </c>
    </row>
    <row r="8" customFormat="false" ht="15" hidden="false" customHeight="false" outlineLevel="0" collapsed="false">
      <c r="A8" s="4" t="s">
        <v>62</v>
      </c>
      <c r="B8" s="4" t="s">
        <v>63</v>
      </c>
      <c r="C8" s="2" t="s">
        <v>64</v>
      </c>
    </row>
    <row r="9" customFormat="false" ht="15" hidden="false" customHeight="false" outlineLevel="0" collapsed="false">
      <c r="A9" s="4" t="s">
        <v>65</v>
      </c>
      <c r="B9" s="4" t="s">
        <v>66</v>
      </c>
      <c r="C9" s="2" t="s">
        <v>67</v>
      </c>
    </row>
    <row r="10" customFormat="false" ht="15" hidden="false" customHeight="false" outlineLevel="0" collapsed="false">
      <c r="A10" s="4" t="s">
        <v>68</v>
      </c>
      <c r="B10" s="4" t="s">
        <v>69</v>
      </c>
      <c r="C10" s="2" t="s">
        <v>70</v>
      </c>
    </row>
    <row r="11" customFormat="false" ht="23.85" hidden="false" customHeight="false" outlineLevel="0" collapsed="false">
      <c r="A11" s="4" t="s">
        <v>71</v>
      </c>
      <c r="B11" s="4" t="s">
        <v>72</v>
      </c>
      <c r="C11" s="2" t="s">
        <v>73</v>
      </c>
    </row>
    <row r="12" customFormat="false" ht="23.85" hidden="false" customHeight="false" outlineLevel="0" collapsed="false">
      <c r="A12" s="4" t="s">
        <v>74</v>
      </c>
      <c r="B12" s="4" t="s">
        <v>75</v>
      </c>
      <c r="C12" s="2" t="s">
        <v>76</v>
      </c>
    </row>
    <row r="13" customFormat="false" ht="15" hidden="false" customHeight="false" outlineLevel="0" collapsed="false">
      <c r="A13" s="4" t="s">
        <v>77</v>
      </c>
      <c r="B13" s="4" t="s">
        <v>78</v>
      </c>
      <c r="C13" s="2" t="s">
        <v>79</v>
      </c>
    </row>
    <row r="14" customFormat="false" ht="23.85" hidden="false" customHeight="false" outlineLevel="0" collapsed="false">
      <c r="A14" s="4" t="s">
        <v>80</v>
      </c>
      <c r="B14" s="4" t="s">
        <v>81</v>
      </c>
      <c r="C14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3" t="s">
        <v>47</v>
      </c>
      <c r="B3" s="3" t="s">
        <v>84</v>
      </c>
      <c r="C3" s="3" t="s">
        <v>85</v>
      </c>
    </row>
    <row r="4" customFormat="false" ht="15" hidden="false" customHeight="false" outlineLevel="0" collapsed="false">
      <c r="A4" s="4" t="s">
        <v>86</v>
      </c>
      <c r="B4" s="4" t="s">
        <v>87</v>
      </c>
      <c r="C4" s="4" t="s">
        <v>88</v>
      </c>
    </row>
    <row r="5" customFormat="false" ht="15" hidden="false" customHeight="false" outlineLevel="0" collapsed="false">
      <c r="A5" s="4" t="s">
        <v>89</v>
      </c>
      <c r="B5" s="4" t="s">
        <v>90</v>
      </c>
      <c r="C5" s="4" t="s">
        <v>91</v>
      </c>
    </row>
    <row r="6" customFormat="false" ht="23.85" hidden="false" customHeight="false" outlineLevel="0" collapsed="false">
      <c r="A6" s="4" t="s">
        <v>92</v>
      </c>
      <c r="B6" s="4" t="s">
        <v>93</v>
      </c>
      <c r="C6" s="4" t="s">
        <v>94</v>
      </c>
    </row>
    <row r="7" customFormat="false" ht="15" hidden="false" customHeight="false" outlineLevel="0" collapsed="false">
      <c r="A7" s="4" t="s">
        <v>95</v>
      </c>
      <c r="B7" s="4" t="s">
        <v>96</v>
      </c>
      <c r="C7" s="4" t="s">
        <v>97</v>
      </c>
    </row>
    <row r="8" customFormat="false" ht="15" hidden="false" customHeight="false" outlineLevel="0" collapsed="false">
      <c r="A8" s="4" t="s">
        <v>98</v>
      </c>
      <c r="B8" s="4" t="s">
        <v>99</v>
      </c>
      <c r="C8" s="4" t="s">
        <v>100</v>
      </c>
    </row>
    <row r="9" customFormat="false" ht="15" hidden="false" customHeight="false" outlineLevel="0" collapsed="false">
      <c r="A9" s="4" t="s">
        <v>101</v>
      </c>
      <c r="B9" s="4" t="s">
        <v>102</v>
      </c>
      <c r="C9" s="4" t="s">
        <v>103</v>
      </c>
    </row>
    <row r="10" customFormat="false" ht="15" hidden="false" customHeight="false" outlineLevel="0" collapsed="false">
      <c r="A10" s="4" t="s">
        <v>104</v>
      </c>
      <c r="B10" s="4" t="s">
        <v>105</v>
      </c>
      <c r="C10" s="4" t="s">
        <v>103</v>
      </c>
    </row>
    <row r="11" customFormat="false" ht="23.85" hidden="false" customHeight="false" outlineLevel="0" collapsed="false">
      <c r="A11" s="4" t="s">
        <v>106</v>
      </c>
      <c r="B11" s="4" t="s">
        <v>107</v>
      </c>
      <c r="C11" s="4" t="s">
        <v>103</v>
      </c>
    </row>
    <row r="12" customFormat="false" ht="15" hidden="false" customHeight="false" outlineLevel="0" collapsed="false">
      <c r="A12" s="4" t="s">
        <v>108</v>
      </c>
      <c r="B12" s="4" t="s">
        <v>109</v>
      </c>
      <c r="C12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47</v>
      </c>
      <c r="B3" s="3" t="s">
        <v>112</v>
      </c>
      <c r="C3" s="3" t="s">
        <v>113</v>
      </c>
    </row>
    <row r="4" customFormat="false" ht="23.85" hidden="false" customHeight="false" outlineLevel="0" collapsed="false">
      <c r="A4" s="4" t="s">
        <v>114</v>
      </c>
      <c r="B4" s="4" t="s">
        <v>115</v>
      </c>
      <c r="C4" s="4" t="s">
        <v>116</v>
      </c>
    </row>
    <row r="5" customFormat="false" ht="15" hidden="false" customHeight="false" outlineLevel="0" collapsed="false">
      <c r="A5" s="4" t="s">
        <v>117</v>
      </c>
      <c r="B5" s="4" t="s">
        <v>118</v>
      </c>
      <c r="C5" s="4" t="s">
        <v>119</v>
      </c>
    </row>
    <row r="6" customFormat="false" ht="15" hidden="false" customHeight="false" outlineLevel="0" collapsed="false">
      <c r="A6" s="4" t="s">
        <v>120</v>
      </c>
      <c r="B6" s="4" t="s">
        <v>121</v>
      </c>
      <c r="C6" s="4" t="s">
        <v>122</v>
      </c>
    </row>
    <row r="7" customFormat="false" ht="23.85" hidden="false" customHeight="false" outlineLevel="0" collapsed="false">
      <c r="A7" s="4" t="s">
        <v>123</v>
      </c>
      <c r="B7" s="4" t="s">
        <v>124</v>
      </c>
      <c r="C7" s="4" t="s">
        <v>125</v>
      </c>
    </row>
    <row r="8" customFormat="false" ht="15" hidden="false" customHeight="false" outlineLevel="0" collapsed="false">
      <c r="A8" s="4" t="s">
        <v>126</v>
      </c>
      <c r="B8" s="4" t="s">
        <v>127</v>
      </c>
      <c r="C8" s="4" t="s">
        <v>128</v>
      </c>
    </row>
    <row r="9" customFormat="false" ht="23.85" hidden="false" customHeight="false" outlineLevel="0" collapsed="false">
      <c r="A9" s="4" t="s">
        <v>129</v>
      </c>
      <c r="B9" s="4" t="s">
        <v>130</v>
      </c>
      <c r="C9" s="4" t="s">
        <v>131</v>
      </c>
    </row>
    <row r="10" customFormat="false" ht="15" hidden="false" customHeight="false" outlineLevel="0" collapsed="false">
      <c r="A10" s="4" t="s">
        <v>132</v>
      </c>
      <c r="B10" s="4" t="s">
        <v>133</v>
      </c>
      <c r="C10" s="4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5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2" t="s">
        <v>137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138</v>
      </c>
    </row>
    <row r="6" customFormat="false" ht="15" hidden="false" customHeight="false" outlineLevel="0" collapsed="false">
      <c r="A6" s="4" t="s">
        <v>139</v>
      </c>
      <c r="B6" s="4" t="s">
        <v>140</v>
      </c>
      <c r="C6" s="2" t="s">
        <v>141</v>
      </c>
    </row>
    <row r="7" customFormat="false" ht="15" hidden="false" customHeight="false" outlineLevel="0" collapsed="false">
      <c r="A7" s="4" t="s">
        <v>142</v>
      </c>
      <c r="B7" s="4" t="s">
        <v>143</v>
      </c>
      <c r="C7" s="2" t="s">
        <v>144</v>
      </c>
    </row>
    <row r="8" customFormat="false" ht="15" hidden="false" customHeight="false" outlineLevel="0" collapsed="false">
      <c r="A8" s="4" t="s">
        <v>145</v>
      </c>
      <c r="B8" s="4" t="s">
        <v>146</v>
      </c>
      <c r="C8" s="2" t="s">
        <v>147</v>
      </c>
    </row>
    <row r="9" customFormat="false" ht="15" hidden="false" customHeight="false" outlineLevel="0" collapsed="false">
      <c r="A9" s="4" t="s">
        <v>148</v>
      </c>
      <c r="B9" s="4" t="s">
        <v>149</v>
      </c>
      <c r="C9" s="2" t="s">
        <v>141</v>
      </c>
    </row>
    <row r="10" customFormat="false" ht="15" hidden="false" customHeight="false" outlineLevel="0" collapsed="false">
      <c r="A10" s="4" t="s">
        <v>150</v>
      </c>
      <c r="B10" s="4" t="s">
        <v>151</v>
      </c>
      <c r="C10" s="2" t="s">
        <v>152</v>
      </c>
    </row>
    <row r="11" customFormat="false" ht="23.85" hidden="false" customHeight="false" outlineLevel="0" collapsed="false">
      <c r="A11" s="4" t="s">
        <v>153</v>
      </c>
      <c r="B11" s="4" t="s">
        <v>154</v>
      </c>
      <c r="C11" s="2" t="s">
        <v>155</v>
      </c>
    </row>
    <row r="12" customFormat="false" ht="23.85" hidden="false" customHeight="false" outlineLevel="0" collapsed="false">
      <c r="A12" s="4" t="s">
        <v>156</v>
      </c>
      <c r="B12" s="4" t="s">
        <v>157</v>
      </c>
      <c r="C12" s="2" t="s">
        <v>158</v>
      </c>
    </row>
    <row r="13" customFormat="false" ht="23.85" hidden="false" customHeight="false" outlineLevel="0" collapsed="false">
      <c r="A13" s="4" t="s">
        <v>159</v>
      </c>
      <c r="B13" s="4" t="s">
        <v>160</v>
      </c>
      <c r="C13" s="2" t="s">
        <v>161</v>
      </c>
    </row>
    <row r="14" customFormat="false" ht="15" hidden="false" customHeight="false" outlineLevel="0" collapsed="false">
      <c r="A14" s="4" t="s">
        <v>162</v>
      </c>
      <c r="B14" s="4" t="s">
        <v>163</v>
      </c>
      <c r="C14" s="2" t="s">
        <v>141</v>
      </c>
    </row>
    <row r="15" customFormat="false" ht="15" hidden="false" customHeight="false" outlineLevel="0" collapsed="false">
      <c r="A15" s="4" t="s">
        <v>164</v>
      </c>
      <c r="B15" s="4" t="s">
        <v>165</v>
      </c>
      <c r="C15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10" min="5" style="0" width="11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3" customFormat="false" ht="15" hidden="false" customHeight="false" outlineLevel="0" collapsed="false">
      <c r="A3" s="2" t="s">
        <v>169</v>
      </c>
    </row>
    <row r="5" customFormat="false" ht="15" hidden="false" customHeight="false" outlineLevel="0" collapsed="false">
      <c r="A5" s="3" t="s">
        <v>170</v>
      </c>
      <c r="B5" s="3" t="s">
        <v>171</v>
      </c>
      <c r="C5" s="3" t="s">
        <v>172</v>
      </c>
      <c r="D5" s="3" t="s">
        <v>173</v>
      </c>
      <c r="E5" s="3" t="s">
        <v>174</v>
      </c>
      <c r="F5" s="3" t="s">
        <v>175</v>
      </c>
      <c r="G5" s="3" t="s">
        <v>176</v>
      </c>
      <c r="H5" s="3" t="s">
        <v>177</v>
      </c>
      <c r="I5" s="3" t="s">
        <v>178</v>
      </c>
      <c r="J5" s="3" t="s">
        <v>179</v>
      </c>
      <c r="K5" s="3" t="s">
        <v>180</v>
      </c>
      <c r="L5" s="3" t="s">
        <v>181</v>
      </c>
      <c r="M5" s="3" t="s">
        <v>98</v>
      </c>
      <c r="N5" s="3" t="s">
        <v>182</v>
      </c>
      <c r="O5" s="3" t="s">
        <v>183</v>
      </c>
      <c r="P5" s="3" t="s">
        <v>184</v>
      </c>
    </row>
    <row r="6" customFormat="false" ht="15" hidden="false" customHeight="false" outlineLevel="0" collapsed="false">
      <c r="A6" s="1" t="s">
        <v>185</v>
      </c>
      <c r="B6" s="5" t="n">
        <v>2713</v>
      </c>
      <c r="C6" s="5" t="n">
        <v>115</v>
      </c>
      <c r="D6" s="5" t="n">
        <v>114</v>
      </c>
      <c r="E6" s="6" t="n">
        <v>-0.058646736610098</v>
      </c>
      <c r="F6" s="6" t="n">
        <v>-0.0861025946387978</v>
      </c>
      <c r="G6" s="6" t="n">
        <v>-0.0311908785813981</v>
      </c>
      <c r="H6" s="6" t="n">
        <v>-0.0585795916799434</v>
      </c>
      <c r="I6" s="6" t="n">
        <v>-0.085890445375146</v>
      </c>
      <c r="J6" s="6" t="n">
        <v>-0.0311807676166034</v>
      </c>
      <c r="K6" s="7" t="n">
        <v>111.671795029271</v>
      </c>
      <c r="L6" s="2" t="n">
        <v>4.76198354846184E-005</v>
      </c>
      <c r="M6" s="8" t="n">
        <f aca="false">E6-$E$6</f>
        <v>0</v>
      </c>
      <c r="N6" s="2" t="str">
        <f aca="false">IF(SIGN(E6)=SIGN($E$6),"yes","no")</f>
        <v>yes</v>
      </c>
      <c r="O6" s="2" t="str">
        <f aca="false">IF(F6*G6&gt;0,"yes","no")</f>
        <v>yes</v>
      </c>
      <c r="P6" s="2" t="str">
        <f aca="false">IF(ABS(H6)&lt;=0.07,"yes","no")</f>
        <v>yes</v>
      </c>
    </row>
    <row r="7" customFormat="false" ht="15" hidden="false" customHeight="false" outlineLevel="0" collapsed="false">
      <c r="A7" s="2" t="s">
        <v>53</v>
      </c>
      <c r="B7" s="5" t="n">
        <f aca="false">IF(ISBLANK(INDEX(Results_Long!$H$2:$H$37,MATCH("G1|no_starbound|estimation|intrcpt",Results_Long!$AK$2:$AK$37,0))),"—",INDEX(Results_Long!$H$2:$H$37,MATCH("G1|no_starbound|estimation|intrcpt",Results_Long!$AK$2:$AK$37,0)))</f>
        <v>2614</v>
      </c>
      <c r="C7" s="5" t="n">
        <f aca="false">IF(ISBLANK(INDEX(Results_Long!$I$2:$I$37,MATCH("G1|no_starbound|estimation|intrcpt",Results_Long!$AK$2:$AK$37,0))),"—",INDEX(Results_Long!$I$2:$I$37,MATCH("G1|no_starbound|estimation|intrcpt",Results_Long!$AK$2:$AK$37,0)))</f>
        <v>112</v>
      </c>
      <c r="D7" s="5" t="n">
        <f aca="false">IF(ISBLANK(INDEX(Results_Long!$J$2:$J$37,MATCH("G1|no_starbound|estimation|intrcpt",Results_Long!$AK$2:$AK$37,0))),"—",INDEX(Results_Long!$J$2:$J$37,MATCH("G1|no_starbound|estimation|intrcpt",Results_Long!$AK$2:$AK$37,0)))</f>
        <v>111</v>
      </c>
      <c r="E7" s="6" t="n">
        <f aca="false">IF(ISBLANK(INDEX(Results_Long!$K$2:$K$37,MATCH("G1|no_starbound|estimation|intrcpt",Results_Long!$AK$2:$AK$37,0))),"—",INDEX(Results_Long!$K$2:$K$37,MATCH("G1|no_starbound|estimation|intrcpt",Results_Long!$AK$2:$AK$37,0)))</f>
        <v>-0.0579816151336022</v>
      </c>
      <c r="F7" s="6" t="n">
        <f aca="false">IF(ISBLANK(INDEX(Results_Long!$P$2:$P$37,MATCH("G1|no_starbound|estimation|intrcpt",Results_Long!$AK$2:$AK$37,0))),"—",INDEX(Results_Long!$P$2:$P$37,MATCH("G1|no_starbound|estimation|intrcpt",Results_Long!$AK$2:$AK$37,0)))</f>
        <v>-0.0867649129672002</v>
      </c>
      <c r="G7" s="6" t="n">
        <f aca="false">IF(ISBLANK(INDEX(Results_Long!$Q$2:$Q$37,MATCH("G1|no_starbound|estimation|intrcpt",Results_Long!$AK$2:$AK$37,0))),"—",INDEX(Results_Long!$Q$2:$Q$37,MATCH("G1|no_starbound|estimation|intrcpt",Results_Long!$AK$2:$AK$37,0)))</f>
        <v>-0.0291983173000043</v>
      </c>
      <c r="H7" s="6" t="n">
        <f aca="false">IF(ISBLANK(INDEX(Results_Long!$T$2:$T$37,MATCH("G1|no_starbound|estimation|intrcpt",Results_Long!$AK$2:$AK$37,0))),"—",INDEX(Results_Long!$T$2:$T$37,MATCH("G1|no_starbound|estimation|intrcpt",Results_Long!$AK$2:$AK$37,0)))</f>
        <v>-0.0579167268842443</v>
      </c>
      <c r="I7" s="6" t="n">
        <f aca="false">IF(ISBLANK(INDEX(Results_Long!$U$2:$U$37,MATCH("G1|no_starbound|estimation|intrcpt",Results_Long!$AK$2:$AK$37,0))),"—",INDEX(Results_Long!$U$2:$U$37,MATCH("G1|no_starbound|estimation|intrcpt",Results_Long!$AK$2:$AK$37,0)))</f>
        <v>-0.0865478401763457</v>
      </c>
      <c r="J7" s="6" t="n">
        <f aca="false">IF(ISBLANK(INDEX(Results_Long!$V$2:$V$37,MATCH("G1|no_starbound|estimation|intrcpt",Results_Long!$AK$2:$AK$37,0))),"—",INDEX(Results_Long!$V$2:$V$37,MATCH("G1|no_starbound|estimation|intrcpt",Results_Long!$AK$2:$AK$37,0)))</f>
        <v>-0.0291900225339678</v>
      </c>
      <c r="K7" s="7" t="n">
        <f aca="false">IF(ISBLANK(INDEX(Results_Long!$N$2:$N$37,MATCH("G1|no_starbound|estimation|intrcpt",Results_Long!$AK$2:$AK$37,0))),"—",INDEX(Results_Long!$N$2:$N$37,MATCH("G1|no_starbound|estimation|intrcpt",Results_Long!$AK$2:$AK$37,0)))</f>
        <v>108.653452602814</v>
      </c>
      <c r="L7" s="2" t="n">
        <f aca="false">IF(ISBLANK(INDEX(Results_Long!$O$2:$O$37,MATCH("G1|no_starbound|estimation|intrcpt",Results_Long!$AK$2:$AK$37,0))),"—",INDEX(Results_Long!$O$2:$O$37,MATCH("G1|no_starbound|estimation|intrcpt",Results_Long!$AK$2:$AK$37,0)))</f>
        <v>0.0001190629688348</v>
      </c>
      <c r="M7" s="8" t="n">
        <f aca="false">E7-$E$6</f>
        <v>0.000665121476495799</v>
      </c>
      <c r="N7" s="2" t="str">
        <f aca="false">IF(SIGN(E7)=SIGN($E$6),"yes","no")</f>
        <v>yes</v>
      </c>
      <c r="O7" s="2" t="str">
        <f aca="false">IF(F7*G7&gt;0,"yes","no")</f>
        <v>yes</v>
      </c>
      <c r="P7" s="2" t="str">
        <f aca="false">IF(ABS(H7)&lt;=0.07,"yes","no")</f>
        <v>yes</v>
      </c>
    </row>
    <row r="8" customFormat="false" ht="15" hidden="false" customHeight="false" outlineLevel="0" collapsed="false">
      <c r="A8" s="2" t="s">
        <v>56</v>
      </c>
      <c r="B8" s="5" t="n">
        <f aca="false">IF(ISBLANK(INDEX(Results_Long!$H$2:$H$37,MATCH("G2|no_nobs_proxyfill|estimation|intrcpt",Results_Long!$AK$2:$AK$37,0))),"—",INDEX(Results_Long!$H$2:$H$37,MATCH("G2|no_nobs_proxyfill|estimation|intrcpt",Results_Long!$AK$2:$AK$37,0)))</f>
        <v>2417</v>
      </c>
      <c r="C8" s="5" t="n">
        <f aca="false">IF(ISBLANK(INDEX(Results_Long!$I$2:$I$37,MATCH("G2|no_nobs_proxyfill|estimation|intrcpt",Results_Long!$AK$2:$AK$37,0))),"—",INDEX(Results_Long!$I$2:$I$37,MATCH("G2|no_nobs_proxyfill|estimation|intrcpt",Results_Long!$AK$2:$AK$37,0)))</f>
        <v>109</v>
      </c>
      <c r="D8" s="5" t="n">
        <f aca="false">IF(ISBLANK(INDEX(Results_Long!$J$2:$J$37,MATCH("G2|no_nobs_proxyfill|estimation|intrcpt",Results_Long!$AK$2:$AK$37,0))),"—",INDEX(Results_Long!$J$2:$J$37,MATCH("G2|no_nobs_proxyfill|estimation|intrcpt",Results_Long!$AK$2:$AK$37,0)))</f>
        <v>109</v>
      </c>
      <c r="E8" s="6" t="n">
        <f aca="false">IF(ISBLANK(INDEX(Results_Long!$K$2:$K$37,MATCH("G2|no_nobs_proxyfill|estimation|intrcpt",Results_Long!$AK$2:$AK$37,0))),"—",INDEX(Results_Long!$K$2:$K$37,MATCH("G2|no_nobs_proxyfill|estimation|intrcpt",Results_Long!$AK$2:$AK$37,0)))</f>
        <v>-0.0381676201344568</v>
      </c>
      <c r="F8" s="6" t="n">
        <f aca="false">IF(ISBLANK(INDEX(Results_Long!$P$2:$P$37,MATCH("G2|no_nobs_proxyfill|estimation|intrcpt",Results_Long!$AK$2:$AK$37,0))),"—",INDEX(Results_Long!$P$2:$P$37,MATCH("G2|no_nobs_proxyfill|estimation|intrcpt",Results_Long!$AK$2:$AK$37,0)))</f>
        <v>-0.0475707939487125</v>
      </c>
      <c r="G8" s="6" t="n">
        <f aca="false">IF(ISBLANK(INDEX(Results_Long!$Q$2:$Q$37,MATCH("G2|no_nobs_proxyfill|estimation|intrcpt",Results_Long!$AK$2:$AK$37,0))),"—",INDEX(Results_Long!$Q$2:$Q$37,MATCH("G2|no_nobs_proxyfill|estimation|intrcpt",Results_Long!$AK$2:$AK$37,0)))</f>
        <v>-0.0287644463202012</v>
      </c>
      <c r="H8" s="6" t="n">
        <f aca="false">IF(ISBLANK(INDEX(Results_Long!$T$2:$T$37,MATCH("G2|no_nobs_proxyfill|estimation|intrcpt",Results_Long!$AK$2:$AK$37,0))),"—",INDEX(Results_Long!$T$2:$T$37,MATCH("G2|no_nobs_proxyfill|estimation|intrcpt",Results_Long!$AK$2:$AK$37,0)))</f>
        <v>-0.0381490971484755</v>
      </c>
      <c r="I8" s="6" t="n">
        <f aca="false">IF(ISBLANK(INDEX(Results_Long!$U$2:$U$37,MATCH("G2|no_nobs_proxyfill|estimation|intrcpt",Results_Long!$AK$2:$AK$37,0))),"—",INDEX(Results_Long!$U$2:$U$37,MATCH("G2|no_nobs_proxyfill|estimation|intrcpt",Results_Long!$AK$2:$AK$37,0)))</f>
        <v>-0.0475349424754777</v>
      </c>
      <c r="J8" s="6" t="n">
        <f aca="false">IF(ISBLANK(INDEX(Results_Long!$V$2:$V$37,MATCH("G2|no_nobs_proxyfill|estimation|intrcpt",Results_Long!$AK$2:$AK$37,0))),"—",INDEX(Results_Long!$V$2:$V$37,MATCH("G2|no_nobs_proxyfill|estimation|intrcpt",Results_Long!$AK$2:$AK$37,0)))</f>
        <v>-0.0287565157741174</v>
      </c>
      <c r="K8" s="7" t="n">
        <f aca="false">IF(ISBLANK(INDEX(Results_Long!$N$2:$N$37,MATCH("G2|no_nobs_proxyfill|estimation|intrcpt",Results_Long!$AK$2:$AK$37,0))),"—",INDEX(Results_Long!$N$2:$N$37,MATCH("G2|no_nobs_proxyfill|estimation|intrcpt",Results_Long!$AK$2:$AK$37,0)))</f>
        <v>95.8692747571903</v>
      </c>
      <c r="L8" s="2" t="n">
        <f aca="false">IF(ISBLANK(INDEX(Results_Long!$O$2:$O$37,MATCH("G2|no_nobs_proxyfill|estimation|intrcpt",Results_Long!$AK$2:$AK$37,0))),"—",INDEX(Results_Long!$O$2:$O$37,MATCH("G2|no_nobs_proxyfill|estimation|intrcpt",Results_Long!$AK$2:$AK$37,0)))</f>
        <v>2.16615475585497E-012</v>
      </c>
      <c r="M8" s="8" t="n">
        <f aca="false">E8-$E$6</f>
        <v>0.0204791164756412</v>
      </c>
      <c r="N8" s="2" t="str">
        <f aca="false">IF(SIGN(E8)=SIGN($E$6),"yes","no")</f>
        <v>yes</v>
      </c>
      <c r="O8" s="2" t="str">
        <f aca="false">IF(F8*G8&gt;0,"yes","no")</f>
        <v>yes</v>
      </c>
      <c r="P8" s="2" t="str">
        <f aca="false">IF(ABS(H8)&lt;=0.07,"yes","no")</f>
        <v>yes</v>
      </c>
    </row>
    <row r="9" customFormat="false" ht="15" hidden="false" customHeight="false" outlineLevel="0" collapsed="false">
      <c r="A9" s="2" t="s">
        <v>59</v>
      </c>
      <c r="B9" s="5" t="n">
        <f aca="false">IF(ISBLANK(INDEX(Results_Long!$H$2:$H$37,MATCH("G3|n_firms_variance|estimation|intrcpt",Results_Long!$AK$2:$AK$37,0))),"—",INDEX(Results_Long!$H$2:$H$37,MATCH("G3|n_firms_variance|estimation|intrcpt",Results_Long!$AK$2:$AK$37,0)))</f>
        <v>2713</v>
      </c>
      <c r="C9" s="5" t="n">
        <f aca="false">IF(ISBLANK(INDEX(Results_Long!$I$2:$I$37,MATCH("G3|n_firms_variance|estimation|intrcpt",Results_Long!$AK$2:$AK$37,0))),"—",INDEX(Results_Long!$I$2:$I$37,MATCH("G3|n_firms_variance|estimation|intrcpt",Results_Long!$AK$2:$AK$37,0)))</f>
        <v>115</v>
      </c>
      <c r="D9" s="5" t="n">
        <f aca="false">IF(ISBLANK(INDEX(Results_Long!$J$2:$J$37,MATCH("G3|n_firms_variance|estimation|intrcpt",Results_Long!$AK$2:$AK$37,0))),"—",INDEX(Results_Long!$J$2:$J$37,MATCH("G3|n_firms_variance|estimation|intrcpt",Results_Long!$AK$2:$AK$37,0)))</f>
        <v>114</v>
      </c>
      <c r="E9" s="6" t="n">
        <f aca="false">IF(ISBLANK(INDEX(Results_Long!$K$2:$K$37,MATCH("G3|n_firms_variance|estimation|intrcpt",Results_Long!$AK$2:$AK$37,0))),"—",INDEX(Results_Long!$K$2:$K$37,MATCH("G3|n_firms_variance|estimation|intrcpt",Results_Long!$AK$2:$AK$37,0)))</f>
        <v>-0.0513619041756673</v>
      </c>
      <c r="F9" s="6" t="n">
        <f aca="false">IF(ISBLANK(INDEX(Results_Long!$P$2:$P$37,MATCH("G3|n_firms_variance|estimation|intrcpt",Results_Long!$AK$2:$AK$37,0))),"—",INDEX(Results_Long!$P$2:$P$37,MATCH("G3|n_firms_variance|estimation|intrcpt",Results_Long!$AK$2:$AK$37,0)))</f>
        <v>-0.0711016927457283</v>
      </c>
      <c r="G9" s="6" t="n">
        <f aca="false">IF(ISBLANK(INDEX(Results_Long!$Q$2:$Q$37,MATCH("G3|n_firms_variance|estimation|intrcpt",Results_Long!$AK$2:$AK$37,0))),"—",INDEX(Results_Long!$Q$2:$Q$37,MATCH("G3|n_firms_variance|estimation|intrcpt",Results_Long!$AK$2:$AK$37,0)))</f>
        <v>-0.0316221156056063</v>
      </c>
      <c r="H9" s="6" t="n">
        <f aca="false">IF(ISBLANK(INDEX(Results_Long!$T$2:$T$37,MATCH("G3|n_firms_variance|estimation|intrcpt",Results_Long!$AK$2:$AK$37,0))),"—",INDEX(Results_Long!$T$2:$T$37,MATCH("G3|n_firms_variance|estimation|intrcpt",Results_Long!$AK$2:$AK$37,0)))</f>
        <v>-0.0513167867754985</v>
      </c>
      <c r="I9" s="6" t="n">
        <f aca="false">IF(ISBLANK(INDEX(Results_Long!$U$2:$U$37,MATCH("G3|n_firms_variance|estimation|intrcpt",Results_Long!$AK$2:$AK$37,0))),"—",INDEX(Results_Long!$U$2:$U$37,MATCH("G3|n_firms_variance|estimation|intrcpt",Results_Long!$AK$2:$AK$37,0)))</f>
        <v>-0.0709821175082076</v>
      </c>
      <c r="J9" s="6" t="n">
        <f aca="false">IF(ISBLANK(INDEX(Results_Long!$V$2:$V$37,MATCH("G3|n_firms_variance|estimation|intrcpt",Results_Long!$AK$2:$AK$37,0))),"—",INDEX(Results_Long!$V$2:$V$37,MATCH("G3|n_firms_variance|estimation|intrcpt",Results_Long!$AK$2:$AK$37,0)))</f>
        <v>-0.0316115795552785</v>
      </c>
      <c r="K9" s="7" t="n">
        <f aca="false">IF(ISBLANK(INDEX(Results_Long!$N$2:$N$37,MATCH("G3|n_firms_variance|estimation|intrcpt",Results_Long!$AK$2:$AK$37,0))),"—",INDEX(Results_Long!$N$2:$N$37,MATCH("G3|n_firms_variance|estimation|intrcpt",Results_Long!$AK$2:$AK$37,0)))</f>
        <v>109.896608617746</v>
      </c>
      <c r="L9" s="2" t="n">
        <f aca="false">IF(ISBLANK(INDEX(Results_Long!$O$2:$O$37,MATCH("G3|n_firms_variance|estimation|intrcpt",Results_Long!$AK$2:$AK$37,0))),"—",INDEX(Results_Long!$O$2:$O$37,MATCH("G3|n_firms_variance|estimation|intrcpt",Results_Long!$AK$2:$AK$37,0)))</f>
        <v>1.12197143364988E-006</v>
      </c>
      <c r="M9" s="8" t="n">
        <f aca="false">E9-$E$6</f>
        <v>0.0072848324344307</v>
      </c>
      <c r="N9" s="2" t="str">
        <f aca="false">IF(SIGN(E9)=SIGN($E$6),"yes","no")</f>
        <v>yes</v>
      </c>
      <c r="O9" s="2" t="str">
        <f aca="false">IF(F9*G9&gt;0,"yes","no")</f>
        <v>yes</v>
      </c>
      <c r="P9" s="2" t="str">
        <f aca="false">IF(ABS(H9)&lt;=0.07,"yes","no")</f>
        <v>yes</v>
      </c>
    </row>
    <row r="10" customFormat="false" ht="15" hidden="false" customHeight="false" outlineLevel="0" collapsed="false">
      <c r="A10" s="2" t="s">
        <v>62</v>
      </c>
      <c r="B10" s="5" t="n">
        <f aca="false">IF(ISBLANK(INDEX(Results_Long!$H$2:$H$37,MATCH("G4|direct_r_only|estimation|intrcpt",Results_Long!$AK$2:$AK$37,0))),"—",INDEX(Results_Long!$H$2:$H$37,MATCH("G4|direct_r_only|estimation|intrcpt",Results_Long!$AK$2:$AK$37,0)))</f>
        <v>104</v>
      </c>
      <c r="C10" s="5" t="n">
        <f aca="false">IF(ISBLANK(INDEX(Results_Long!$I$2:$I$37,MATCH("G4|direct_r_only|estimation|intrcpt",Results_Long!$AK$2:$AK$37,0))),"—",INDEX(Results_Long!$I$2:$I$37,MATCH("G4|direct_r_only|estimation|intrcpt",Results_Long!$AK$2:$AK$37,0)))</f>
        <v>52</v>
      </c>
      <c r="D10" s="5" t="n">
        <f aca="false">IF(ISBLANK(INDEX(Results_Long!$J$2:$J$37,MATCH("G4|direct_r_only|estimation|intrcpt",Results_Long!$AK$2:$AK$37,0))),"—",INDEX(Results_Long!$J$2:$J$37,MATCH("G4|direct_r_only|estimation|intrcpt",Results_Long!$AK$2:$AK$37,0)))</f>
        <v>52</v>
      </c>
      <c r="E10" s="6" t="n">
        <f aca="false">IF(ISBLANK(INDEX(Results_Long!$K$2:$K$37,MATCH("G4|direct_r_only|estimation|intrcpt",Results_Long!$AK$2:$AK$37,0))),"—",INDEX(Results_Long!$K$2:$K$37,MATCH("G4|direct_r_only|estimation|intrcpt",Results_Long!$AK$2:$AK$37,0)))</f>
        <v>-0.0377767354308514</v>
      </c>
      <c r="F10" s="6" t="n">
        <f aca="false">IF(ISBLANK(INDEX(Results_Long!$P$2:$P$37,MATCH("G4|direct_r_only|estimation|intrcpt",Results_Long!$AK$2:$AK$37,0))),"—",INDEX(Results_Long!$P$2:$P$37,MATCH("G4|direct_r_only|estimation|intrcpt",Results_Long!$AK$2:$AK$37,0)))</f>
        <v>-0.0861965889888257</v>
      </c>
      <c r="G10" s="6" t="n">
        <f aca="false">IF(ISBLANK(INDEX(Results_Long!$Q$2:$Q$37,MATCH("G4|direct_r_only|estimation|intrcpt",Results_Long!$AK$2:$AK$37,0))),"—",INDEX(Results_Long!$Q$2:$Q$37,MATCH("G4|direct_r_only|estimation|intrcpt",Results_Long!$AK$2:$AK$37,0)))</f>
        <v>0.010643118127123</v>
      </c>
      <c r="H10" s="6" t="n">
        <f aca="false">IF(ISBLANK(INDEX(Results_Long!$T$2:$T$37,MATCH("G4|direct_r_only|estimation|intrcpt",Results_Long!$AK$2:$AK$37,0))),"—",INDEX(Results_Long!$T$2:$T$37,MATCH("G4|direct_r_only|estimation|intrcpt",Results_Long!$AK$2:$AK$37,0)))</f>
        <v>-0.0377587755197785</v>
      </c>
      <c r="I10" s="6" t="n">
        <f aca="false">IF(ISBLANK(INDEX(Results_Long!$U$2:$U$37,MATCH("G4|direct_r_only|estimation|intrcpt",Results_Long!$AK$2:$AK$37,0))),"—",INDEX(Results_Long!$U$2:$U$37,MATCH("G4|direct_r_only|estimation|intrcpt",Results_Long!$AK$2:$AK$37,0)))</f>
        <v>-0.0859837455594983</v>
      </c>
      <c r="J10" s="6" t="n">
        <f aca="false">IF(ISBLANK(INDEX(Results_Long!$V$2:$V$37,MATCH("G4|direct_r_only|estimation|intrcpt",Results_Long!$AK$2:$AK$37,0))),"—",INDEX(Results_Long!$V$2:$V$37,MATCH("G4|direct_r_only|estimation|intrcpt",Results_Long!$AK$2:$AK$37,0)))</f>
        <v>0.010642716275511</v>
      </c>
      <c r="K10" s="7" t="n">
        <f aca="false">IF(ISBLANK(INDEX(Results_Long!$N$2:$N$37,MATCH("G4|direct_r_only|estimation|intrcpt",Results_Long!$AK$2:$AK$37,0))),"—",INDEX(Results_Long!$N$2:$N$37,MATCH("G4|direct_r_only|estimation|intrcpt",Results_Long!$AK$2:$AK$37,0)))</f>
        <v>49.5034247914075</v>
      </c>
      <c r="L10" s="2" t="n">
        <f aca="false">IF(ISBLANK(INDEX(Results_Long!$O$2:$O$37,MATCH("G4|direct_r_only|estimation|intrcpt",Results_Long!$AK$2:$AK$37,0))),"—",INDEX(Results_Long!$O$2:$O$37,MATCH("G4|direct_r_only|estimation|intrcpt",Results_Long!$AK$2:$AK$37,0)))</f>
        <v>0.123380402432223</v>
      </c>
      <c r="M10" s="8" t="n">
        <f aca="false">E10-$E$6</f>
        <v>0.0208700011792466</v>
      </c>
      <c r="N10" s="2" t="str">
        <f aca="false">IF(SIGN(E10)=SIGN($E$6),"yes","no")</f>
        <v>yes</v>
      </c>
      <c r="O10" s="2" t="str">
        <f aca="false">IF(F10*G10&gt;0,"yes","no")</f>
        <v>no</v>
      </c>
      <c r="P10" s="2" t="str">
        <f aca="false">IF(ABS(H10)&lt;=0.07,"yes","no")</f>
        <v>yes</v>
      </c>
    </row>
    <row r="11" customFormat="false" ht="15" hidden="false" customHeight="false" outlineLevel="0" collapsed="false">
      <c r="A11" s="2" t="s">
        <v>186</v>
      </c>
      <c r="B11" s="5" t="n">
        <f aca="false">IF(ISBLANK(INDEX(Results_Long!$H$2:$H$37,MATCH("G5|pcc_df_k10|estimation|intrcpt",Results_Long!$AK$2:$AK$37,0))),"—",INDEX(Results_Long!$H$2:$H$37,MATCH("G5|pcc_df_k10|estimation|intrcpt",Results_Long!$AK$2:$AK$37,0)))</f>
        <v>2713</v>
      </c>
      <c r="C11" s="5" t="n">
        <f aca="false">IF(ISBLANK(INDEX(Results_Long!$I$2:$I$37,MATCH("G5|pcc_df_k10|estimation|intrcpt",Results_Long!$AK$2:$AK$37,0))),"—",INDEX(Results_Long!$I$2:$I$37,MATCH("G5|pcc_df_k10|estimation|intrcpt",Results_Long!$AK$2:$AK$37,0)))</f>
        <v>115</v>
      </c>
      <c r="D11" s="5" t="n">
        <f aca="false">IF(ISBLANK(INDEX(Results_Long!$J$2:$J$37,MATCH("G5|pcc_df_k10|estimation|intrcpt",Results_Long!$AK$2:$AK$37,0))),"—",INDEX(Results_Long!$J$2:$J$37,MATCH("G5|pcc_df_k10|estimation|intrcpt",Results_Long!$AK$2:$AK$37,0)))</f>
        <v>114</v>
      </c>
      <c r="E11" s="6" t="n">
        <f aca="false">IF(ISBLANK(INDEX(Results_Long!$K$2:$K$37,MATCH("G5|pcc_df_k10|estimation|intrcpt",Results_Long!$AK$2:$AK$37,0))),"—",INDEX(Results_Long!$K$2:$K$37,MATCH("G5|pcc_df_k10|estimation|intrcpt",Results_Long!$AK$2:$AK$37,0)))</f>
        <v>-0.058528012690399</v>
      </c>
      <c r="F11" s="6" t="n">
        <f aca="false">IF(ISBLANK(INDEX(Results_Long!$P$2:$P$37,MATCH("G5|pcc_df_k10|estimation|intrcpt",Results_Long!$AK$2:$AK$37,0))),"—",INDEX(Results_Long!$P$2:$P$37,MATCH("G5|pcc_df_k10|estimation|intrcpt",Results_Long!$AK$2:$AK$37,0)))</f>
        <v>-0.0860545092965546</v>
      </c>
      <c r="G11" s="6" t="n">
        <f aca="false">IF(ISBLANK(INDEX(Results_Long!$Q$2:$Q$37,MATCH("G5|pcc_df_k10|estimation|intrcpt",Results_Long!$AK$2:$AK$37,0))),"—",INDEX(Results_Long!$Q$2:$Q$37,MATCH("G5|pcc_df_k10|estimation|intrcpt",Results_Long!$AK$2:$AK$37,0)))</f>
        <v>-0.0310015160842434</v>
      </c>
      <c r="H11" s="6" t="n">
        <f aca="false">IF(ISBLANK(INDEX(Results_Long!$T$2:$T$37,MATCH("G5|pcc_df_k10|estimation|intrcpt",Results_Long!$AK$2:$AK$37,0))),"—",INDEX(Results_Long!$T$2:$T$37,MATCH("G5|pcc_df_k10|estimation|intrcpt",Results_Long!$AK$2:$AK$37,0)))</f>
        <v>-0.0584612743471975</v>
      </c>
      <c r="I11" s="6" t="n">
        <f aca="false">IF(ISBLANK(INDEX(Results_Long!$U$2:$U$37,MATCH("G5|pcc_df_k10|estimation|intrcpt",Results_Long!$AK$2:$AK$37,0))),"—",INDEX(Results_Long!$U$2:$U$37,MATCH("G5|pcc_df_k10|estimation|intrcpt",Results_Long!$AK$2:$AK$37,0)))</f>
        <v>-0.0858427145694852</v>
      </c>
      <c r="J11" s="6" t="n">
        <f aca="false">IF(ISBLANK(INDEX(Results_Long!$V$2:$V$37,MATCH("G5|pcc_df_k10|estimation|intrcpt",Results_Long!$AK$2:$AK$37,0))),"—",INDEX(Results_Long!$V$2:$V$37,MATCH("G5|pcc_df_k10|estimation|intrcpt",Results_Long!$AK$2:$AK$37,0)))</f>
        <v>-0.0309915881105508</v>
      </c>
      <c r="K11" s="7" t="n">
        <f aca="false">IF(ISBLANK(INDEX(Results_Long!$N$2:$N$37,MATCH("G5|pcc_df_k10|estimation|intrcpt",Results_Long!$AK$2:$AK$37,0))),"—",INDEX(Results_Long!$N$2:$N$37,MATCH("G5|pcc_df_k10|estimation|intrcpt",Results_Long!$AK$2:$AK$37,0)))</f>
        <v>111.63275377109</v>
      </c>
      <c r="L11" s="2" t="n">
        <f aca="false">IF(ISBLANK(INDEX(Results_Long!$O$2:$O$37,MATCH("G5|pcc_df_k10|estimation|intrcpt",Results_Long!$AK$2:$AK$37,0))),"—",INDEX(Results_Long!$O$2:$O$37,MATCH("G5|pcc_df_k10|estimation|intrcpt",Results_Long!$AK$2:$AK$37,0)))</f>
        <v>5.12972954764919E-005</v>
      </c>
      <c r="M11" s="8" t="n">
        <f aca="false">E11-$E$6</f>
        <v>0.000118723919698999</v>
      </c>
      <c r="N11" s="2" t="str">
        <f aca="false">IF(SIGN(E11)=SIGN($E$6),"yes","no")</f>
        <v>yes</v>
      </c>
      <c r="O11" s="2" t="str">
        <f aca="false">IF(F11*G11&gt;0,"yes","no")</f>
        <v>yes</v>
      </c>
      <c r="P11" s="2" t="str">
        <f aca="false">IF(ABS(H11)&lt;=0.07,"yes","no")</f>
        <v>yes</v>
      </c>
    </row>
    <row r="12" customFormat="false" ht="15" hidden="false" customHeight="false" outlineLevel="0" collapsed="false">
      <c r="A12" s="2" t="s">
        <v>187</v>
      </c>
      <c r="B12" s="5" t="n">
        <f aca="false">IF(ISBLANK(INDEX(Results_Long!$H$2:$H$37,MATCH("G5|pcc_df_k20|estimation|intrcpt",Results_Long!$AK$2:$AK$37,0))),"—",INDEX(Results_Long!$H$2:$H$37,MATCH("G5|pcc_df_k20|estimation|intrcpt",Results_Long!$AK$2:$AK$37,0)))</f>
        <v>2712</v>
      </c>
      <c r="C12" s="5" t="n">
        <f aca="false">IF(ISBLANK(INDEX(Results_Long!$I$2:$I$37,MATCH("G5|pcc_df_k20|estimation|intrcpt",Results_Long!$AK$2:$AK$37,0))),"—",INDEX(Results_Long!$I$2:$I$37,MATCH("G5|pcc_df_k20|estimation|intrcpt",Results_Long!$AK$2:$AK$37,0)))</f>
        <v>115</v>
      </c>
      <c r="D12" s="5" t="n">
        <f aca="false">IF(ISBLANK(INDEX(Results_Long!$J$2:$J$37,MATCH("G5|pcc_df_k20|estimation|intrcpt",Results_Long!$AK$2:$AK$37,0))),"—",INDEX(Results_Long!$J$2:$J$37,MATCH("G5|pcc_df_k20|estimation|intrcpt",Results_Long!$AK$2:$AK$37,0)))</f>
        <v>114</v>
      </c>
      <c r="E12" s="6" t="n">
        <f aca="false">IF(ISBLANK(INDEX(Results_Long!$K$2:$K$37,MATCH("G5|pcc_df_k20|estimation|intrcpt",Results_Long!$AK$2:$AK$37,0))),"—",INDEX(Results_Long!$K$2:$K$37,MATCH("G5|pcc_df_k20|estimation|intrcpt",Results_Long!$AK$2:$AK$37,0)))</f>
        <v>-0.0580057174134896</v>
      </c>
      <c r="F12" s="6" t="n">
        <f aca="false">IF(ISBLANK(INDEX(Results_Long!$P$2:$P$37,MATCH("G5|pcc_df_k20|estimation|intrcpt",Results_Long!$AK$2:$AK$37,0))),"—",INDEX(Results_Long!$P$2:$P$37,MATCH("G5|pcc_df_k20|estimation|intrcpt",Results_Long!$AK$2:$AK$37,0)))</f>
        <v>-0.0856196160328687</v>
      </c>
      <c r="G12" s="6" t="n">
        <f aca="false">IF(ISBLANK(INDEX(Results_Long!$Q$2:$Q$37,MATCH("G5|pcc_df_k20|estimation|intrcpt",Results_Long!$AK$2:$AK$37,0))),"—",INDEX(Results_Long!$Q$2:$Q$37,MATCH("G5|pcc_df_k20|estimation|intrcpt",Results_Long!$AK$2:$AK$37,0)))</f>
        <v>-0.0303918187941105</v>
      </c>
      <c r="H12" s="6" t="n">
        <f aca="false">IF(ISBLANK(INDEX(Results_Long!$T$2:$T$37,MATCH("G5|pcc_df_k20|estimation|intrcpt",Results_Long!$AK$2:$AK$37,0))),"—",INDEX(Results_Long!$T$2:$T$37,MATCH("G5|pcc_df_k20|estimation|intrcpt",Results_Long!$AK$2:$AK$37,0)))</f>
        <v>-0.0579407482831787</v>
      </c>
      <c r="I12" s="6" t="n">
        <f aca="false">IF(ISBLANK(INDEX(Results_Long!$U$2:$U$37,MATCH("G5|pcc_df_k20|estimation|intrcpt",Results_Long!$AK$2:$AK$37,0))),"—",INDEX(Results_Long!$U$2:$U$37,MATCH("G5|pcc_df_k20|estimation|intrcpt",Results_Long!$AK$2:$AK$37,0)))</f>
        <v>-0.0854110099325662</v>
      </c>
      <c r="J12" s="6" t="n">
        <f aca="false">IF(ISBLANK(INDEX(Results_Long!$V$2:$V$37,MATCH("G5|pcc_df_k20|estimation|intrcpt",Results_Long!$AK$2:$AK$37,0))),"—",INDEX(Results_Long!$V$2:$V$37,MATCH("G5|pcc_df_k20|estimation|intrcpt",Results_Long!$AK$2:$AK$37,0)))</f>
        <v>-0.0303824649873754</v>
      </c>
      <c r="K12" s="7" t="n">
        <f aca="false">IF(ISBLANK(INDEX(Results_Long!$N$2:$N$37,MATCH("G5|pcc_df_k20|estimation|intrcpt",Results_Long!$AK$2:$AK$37,0))),"—",INDEX(Results_Long!$N$2:$N$37,MATCH("G5|pcc_df_k20|estimation|intrcpt",Results_Long!$AK$2:$AK$37,0)))</f>
        <v>111.573950510187</v>
      </c>
      <c r="L12" s="2" t="n">
        <f aca="false">IF(ISBLANK(INDEX(Results_Long!$O$2:$O$37,MATCH("G5|pcc_df_k20|estimation|intrcpt",Results_Long!$AK$2:$AK$37,0))),"—",INDEX(Results_Long!$O$2:$O$37,MATCH("G5|pcc_df_k20|estimation|intrcpt",Results_Long!$AK$2:$AK$37,0)))</f>
        <v>6.22505218504062E-005</v>
      </c>
      <c r="M12" s="8" t="n">
        <f aca="false">E12-$E$6</f>
        <v>0.000641019196608396</v>
      </c>
      <c r="N12" s="2" t="str">
        <f aca="false">IF(SIGN(E12)=SIGN($E$6),"yes","no")</f>
        <v>yes</v>
      </c>
      <c r="O12" s="2" t="str">
        <f aca="false">IF(F12*G12&gt;0,"yes","no")</f>
        <v>yes</v>
      </c>
      <c r="P12" s="2" t="str">
        <f aca="false">IF(ABS(H12)&lt;=0.07,"yes","no")</f>
        <v>yes</v>
      </c>
    </row>
    <row r="13" customFormat="false" ht="15" hidden="false" customHeight="false" outlineLevel="0" collapsed="false">
      <c r="A13" s="2" t="s">
        <v>68</v>
      </c>
      <c r="B13" s="5" t="str">
        <f aca="false">IF(ISBLANK(INDEX(Results_Long!$H$2:$H$37,MATCH("G6|one_per_cluster_median|aggregate|intrcpt",Results_Long!$AK$2:$AK$37,0))),"—",INDEX(Results_Long!$H$2:$H$37,MATCH("G6|one_per_cluster_median|aggregate|intrcpt",Results_Long!$AK$2:$AK$37,0)))</f>
        <v>—</v>
      </c>
      <c r="C13" s="5" t="str">
        <f aca="false">IF(ISBLANK(INDEX(Results_Long!$I$2:$I$37,MATCH("G6|one_per_cluster_median|aggregate|intrcpt",Results_Long!$AK$2:$AK$37,0))),"—",INDEX(Results_Long!$I$2:$I$37,MATCH("G6|one_per_cluster_median|aggregate|intrcpt",Results_Long!$AK$2:$AK$37,0)))</f>
        <v>—</v>
      </c>
      <c r="D13" s="5" t="str">
        <f aca="false">IF(ISBLANK(INDEX(Results_Long!$J$2:$J$37,MATCH("G6|one_per_cluster_median|aggregate|intrcpt",Results_Long!$AK$2:$AK$37,0))),"—",INDEX(Results_Long!$J$2:$J$37,MATCH("G6|one_per_cluster_median|aggregate|intrcpt",Results_Long!$AK$2:$AK$37,0)))</f>
        <v>—</v>
      </c>
      <c r="E13" s="6" t="n">
        <f aca="false">IF(ISBLANK(INDEX(Results_Long!$K$2:$K$37,MATCH("G6|one_per_cluster_median|aggregate|intrcpt",Results_Long!$AK$2:$AK$37,0))),"—",INDEX(Results_Long!$K$2:$K$37,MATCH("G6|one_per_cluster_median|aggregate|intrcpt",Results_Long!$AK$2:$AK$37,0)))</f>
        <v>-0.06199137628065</v>
      </c>
      <c r="F13" s="6" t="n">
        <f aca="false">IF(ISBLANK(INDEX(Results_Long!$P$2:$P$37,MATCH("G6|one_per_cluster_median|aggregate|intrcpt",Results_Long!$AK$2:$AK$37,0))),"—",INDEX(Results_Long!$P$2:$P$37,MATCH("G6|one_per_cluster_median|aggregate|intrcpt",Results_Long!$AK$2:$AK$37,0)))</f>
        <v>-0.0938432932462963</v>
      </c>
      <c r="G13" s="6" t="n">
        <f aca="false">IF(ISBLANK(INDEX(Results_Long!$Q$2:$Q$37,MATCH("G6|one_per_cluster_median|aggregate|intrcpt",Results_Long!$AK$2:$AK$37,0))),"—",INDEX(Results_Long!$Q$2:$Q$37,MATCH("G6|one_per_cluster_median|aggregate|intrcpt",Results_Long!$AK$2:$AK$37,0)))</f>
        <v>-0.0301394593150036</v>
      </c>
      <c r="H13" s="6" t="n">
        <f aca="false">IF(ISBLANK(INDEX(Results_Long!$T$2:$T$37,MATCH("G6|one_per_cluster_median|aggregate|intrcpt",Results_Long!$AK$2:$AK$37,0))),"—",INDEX(Results_Long!$T$2:$T$37,MATCH("G6|one_per_cluster_median|aggregate|intrcpt",Results_Long!$AK$2:$AK$37,0)))</f>
        <v>-0.0619120886354912</v>
      </c>
      <c r="I13" s="6" t="n">
        <f aca="false">IF(ISBLANK(INDEX(Results_Long!$U$2:$U$37,MATCH("G6|one_per_cluster_median|aggregate|intrcpt",Results_Long!$AK$2:$AK$37,0))),"—",INDEX(Results_Long!$U$2:$U$37,MATCH("G6|one_per_cluster_median|aggregate|intrcpt",Results_Long!$AK$2:$AK$37,0)))</f>
        <v>-0.0935687812292509</v>
      </c>
      <c r="J13" s="6" t="n">
        <f aca="false">IF(ISBLANK(INDEX(Results_Long!$V$2:$V$37,MATCH("G6|one_per_cluster_median|aggregate|intrcpt",Results_Long!$AK$2:$AK$37,0))),"—",INDEX(Results_Long!$V$2:$V$37,MATCH("G6|one_per_cluster_median|aggregate|intrcpt",Results_Long!$AK$2:$AK$37,0)))</f>
        <v>-0.0301303365320417</v>
      </c>
      <c r="K13" s="7" t="n">
        <f aca="false">IF(ISBLANK(INDEX(Results_Long!$N$2:$N$37,MATCH("G6|one_per_cluster_median|aggregate|intrcpt",Results_Long!$AK$2:$AK$37,0))),"—",INDEX(Results_Long!$N$2:$N$37,MATCH("G6|one_per_cluster_median|aggregate|intrcpt",Results_Long!$AK$2:$AK$37,0)))</f>
        <v>113</v>
      </c>
      <c r="L13" s="2" t="n">
        <f aca="false">IF(ISBLANK(INDEX(Results_Long!$O$2:$O$37,MATCH("G6|one_per_cluster_median|aggregate|intrcpt",Results_Long!$AK$2:$AK$37,0))),"—",INDEX(Results_Long!$O$2:$O$37,MATCH("G6|one_per_cluster_median|aggregate|intrcpt",Results_Long!$AK$2:$AK$37,0)))</f>
        <v>0.0001921248649832</v>
      </c>
      <c r="M13" s="8" t="n">
        <f aca="false">E13-$E$6</f>
        <v>-0.003344639670552</v>
      </c>
      <c r="N13" s="2" t="str">
        <f aca="false">IF(SIGN(E13)=SIGN($E$6),"yes","no")</f>
        <v>yes</v>
      </c>
      <c r="O13" s="2" t="str">
        <f aca="false">IF(F13*G13&gt;0,"yes","no")</f>
        <v>yes</v>
      </c>
      <c r="P13" s="2" t="str">
        <f aca="false">IF(ABS(H13)&lt;=0.07,"yes","no")</f>
        <v>yes</v>
      </c>
    </row>
    <row r="15" customFormat="false" ht="15" hidden="false" customHeight="false" outlineLevel="0" collapsed="false">
      <c r="A15" s="1" t="s">
        <v>188</v>
      </c>
    </row>
    <row r="16" customFormat="false" ht="79.85" hidden="false" customHeight="false" outlineLevel="0" collapsed="false">
      <c r="A16" s="4" t="s">
        <v>189</v>
      </c>
    </row>
    <row r="17" customFormat="false" ht="68.65" hidden="false" customHeight="false" outlineLevel="0" collapsed="false">
      <c r="A17" s="4" t="s">
        <v>190</v>
      </c>
    </row>
    <row r="18" customFormat="false" ht="57.45" hidden="false" customHeight="false" outlineLevel="0" collapsed="false">
      <c r="A18" s="4" t="s">
        <v>191</v>
      </c>
    </row>
    <row r="20" customFormat="false" ht="15" hidden="false" customHeight="false" outlineLevel="0" collapsed="false">
      <c r="A20" s="1" t="s">
        <v>192</v>
      </c>
    </row>
    <row r="21" customFormat="false" ht="15" hidden="false" customHeight="false" outlineLevel="0" collapsed="false">
      <c r="A21" s="3" t="s">
        <v>193</v>
      </c>
      <c r="B21" s="3" t="s">
        <v>194</v>
      </c>
    </row>
    <row r="22" customFormat="false" ht="292.5" hidden="false" customHeight="false" outlineLevel="0" collapsed="false">
      <c r="A22" s="4" t="s">
        <v>195</v>
      </c>
      <c r="B22" s="4" t="s">
        <v>196</v>
      </c>
    </row>
    <row r="23" customFormat="false" ht="561.15" hidden="false" customHeight="false" outlineLevel="0" collapsed="false">
      <c r="A23" s="4" t="s">
        <v>197</v>
      </c>
      <c r="B23" s="4" t="s">
        <v>198</v>
      </c>
    </row>
    <row r="25" customFormat="false" ht="15" hidden="false" customHeight="false" outlineLevel="0" collapsed="false">
      <c r="A25" s="1" t="s">
        <v>199</v>
      </c>
    </row>
    <row r="26" customFormat="false" ht="15" hidden="false" customHeight="false" outlineLevel="0" collapsed="false">
      <c r="A26" s="3" t="s">
        <v>193</v>
      </c>
      <c r="B26" s="3" t="s">
        <v>194</v>
      </c>
    </row>
    <row r="27" customFormat="false" ht="292.5" hidden="false" customHeight="false" outlineLevel="0" collapsed="false">
      <c r="A27" s="4" t="s">
        <v>200</v>
      </c>
      <c r="B27" s="4" t="s">
        <v>201</v>
      </c>
    </row>
    <row r="29" customFormat="false" ht="91" hidden="false" customHeight="false" outlineLevel="0" collapsed="false">
      <c r="A29" s="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3" customFormat="false" ht="15" hidden="false" customHeight="false" outlineLevel="0" collapsed="false">
      <c r="A3" s="2" t="s">
        <v>205</v>
      </c>
    </row>
    <row r="5" customFormat="false" ht="15" hidden="false" customHeight="false" outlineLevel="0" collapsed="false">
      <c r="A5" s="3" t="s">
        <v>206</v>
      </c>
      <c r="B5" s="3" t="s">
        <v>171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</row>
    <row r="6" customFormat="false" ht="15" hidden="false" customHeight="false" outlineLevel="0" collapsed="false">
      <c r="A6" s="2" t="s">
        <v>207</v>
      </c>
      <c r="B6" s="5" t="n">
        <f aca="false">IF(ISBLANK(INDEX(Results_Long!$H$2:$H$37,MATCH("G7|panel_q_vhb|1_VHB high|cell_mean",Results_Long!$AK$2:$AK$37,0))),"—",INDEX(Results_Long!$H$2:$H$37,MATCH("G7|panel_q_vhb|1_VHB high|cell_mean",Results_Long!$AK$2:$AK$37,0)))</f>
        <v>1591</v>
      </c>
      <c r="C6" s="5" t="n">
        <f aca="false">IF(ISBLANK(INDEX(Results_Long!$J$2:$J$37,MATCH("G7|panel_q_vhb|1_VHB high|cell_mean",Results_Long!$AK$2:$AK$37,0))),"—",INDEX(Results_Long!$J$2:$J$37,MATCH("G7|panel_q_vhb|1_VHB high|cell_mean",Results_Long!$AK$2:$AK$37,0)))</f>
        <v>73</v>
      </c>
      <c r="D6" s="6" t="n">
        <f aca="false">IF(ISBLANK(INDEX(Results_Long!$K$2:$K$37,MATCH("G7|panel_q_vhb|1_VHB high|cell_mean",Results_Long!$AK$2:$AK$37,0))),"—",INDEX(Results_Long!$K$2:$K$37,MATCH("G7|panel_q_vhb|1_VHB high|cell_mean",Results_Long!$AK$2:$AK$37,0)))</f>
        <v>-0.0600160510644849</v>
      </c>
      <c r="E6" s="6" t="n">
        <f aca="false">IF(ISBLANK(INDEX(Results_Long!$P$2:$P$37,MATCH("G7|panel_q_vhb|1_VHB high|cell_mean",Results_Long!$AK$2:$AK$37,0))),"—",INDEX(Results_Long!$P$2:$P$37,MATCH("G7|panel_q_vhb|1_VHB high|cell_mean",Results_Long!$AK$2:$AK$37,0)))</f>
        <v>-0.100727450186185</v>
      </c>
      <c r="F6" s="6" t="n">
        <f aca="false">IF(ISBLANK(INDEX(Results_Long!$Q$2:$Q$37,MATCH("G7|panel_q_vhb|1_VHB high|cell_mean",Results_Long!$AK$2:$AK$37,0))),"—",INDEX(Results_Long!$Q$2:$Q$37,MATCH("G7|panel_q_vhb|1_VHB high|cell_mean",Results_Long!$AK$2:$AK$37,0)))</f>
        <v>-0.0193046519427849</v>
      </c>
      <c r="G6" s="6" t="n">
        <f aca="false">IF(ISBLANK(INDEX(Results_Long!$T$2:$T$37,MATCH("G7|panel_q_vhb|1_VHB high|cell_mean",Results_Long!$AK$2:$AK$37,0))),"—",INDEX(Results_Long!$T$2:$T$37,MATCH("G7|panel_q_vhb|1_VHB high|cell_mean",Results_Long!$AK$2:$AK$37,0)))</f>
        <v>-0.0599440969328095</v>
      </c>
      <c r="H6" s="6" t="n">
        <f aca="false">IF(ISBLANK(INDEX(Results_Long!$U$2:$U$37,MATCH("G7|panel_q_vhb|1_VHB high|cell_mean",Results_Long!$AK$2:$AK$37,0))),"—",INDEX(Results_Long!$U$2:$U$37,MATCH("G7|panel_q_vhb|1_VHB high|cell_mean",Results_Long!$AK$2:$AK$37,0)))</f>
        <v>-0.100388166190574</v>
      </c>
      <c r="I6" s="6" t="n">
        <f aca="false">IF(ISBLANK(INDEX(Results_Long!$V$2:$V$37,MATCH("G7|panel_q_vhb|1_VHB high|cell_mean",Results_Long!$AK$2:$AK$37,0))),"—",INDEX(Results_Long!$V$2:$V$37,MATCH("G7|panel_q_vhb|1_VHB high|cell_mean",Results_Long!$AK$2:$AK$37,0)))</f>
        <v>-0.0193022542146552</v>
      </c>
      <c r="J6" s="7" t="n">
        <f aca="false">IF(ISBLANK(INDEX(Results_Long!$N$2:$N$37,MATCH("G7|panel_q_vhb|1_VHB high|cell_mean",Results_Long!$AK$2:$AK$37,0))),"—",INDEX(Results_Long!$N$2:$N$37,MATCH("G7|panel_q_vhb|1_VHB high|cell_mean",Results_Long!$AK$2:$AK$37,0)))</f>
        <v>71.5587822878493</v>
      </c>
      <c r="K6" s="2" t="n">
        <f aca="false">IF(ISBLANK(INDEX(Results_Long!$O$2:$O$37,MATCH("G7|panel_q_vhb|1_VHB high|cell_mean",Results_Long!$AK$2:$AK$37,0))),"—",INDEX(Results_Long!$O$2:$O$37,MATCH("G7|panel_q_vhb|1_VHB high|cell_mean",Results_Long!$AK$2:$AK$37,0)))</f>
        <v>0.0044293243417918</v>
      </c>
    </row>
    <row r="7" customFormat="false" ht="15" hidden="false" customHeight="false" outlineLevel="0" collapsed="false">
      <c r="A7" s="2" t="s">
        <v>208</v>
      </c>
      <c r="B7" s="5" t="n">
        <f aca="false">IF(ISBLANK(INDEX(Results_Long!$H$2:$H$37,MATCH("G7|panel_q_vhb|0_VHB low|cell_mean",Results_Long!$AK$2:$AK$37,0))),"—",INDEX(Results_Long!$H$2:$H$37,MATCH("G7|panel_q_vhb|0_VHB low|cell_mean",Results_Long!$AK$2:$AK$37,0)))</f>
        <v>442</v>
      </c>
      <c r="C7" s="5" t="n">
        <f aca="false">IF(ISBLANK(INDEX(Results_Long!$J$2:$J$37,MATCH("G7|panel_q_vhb|0_VHB low|cell_mean",Results_Long!$AK$2:$AK$37,0))),"—",INDEX(Results_Long!$J$2:$J$37,MATCH("G7|panel_q_vhb|0_VHB low|cell_mean",Results_Long!$AK$2:$AK$37,0)))</f>
        <v>27</v>
      </c>
      <c r="D7" s="6" t="n">
        <f aca="false">IF(ISBLANK(INDEX(Results_Long!$K$2:$K$37,MATCH("G7|panel_q_vhb|0_VHB low|cell_mean",Results_Long!$AK$2:$AK$37,0))),"—",INDEX(Results_Long!$K$2:$K$37,MATCH("G7|panel_q_vhb|0_VHB low|cell_mean",Results_Long!$AK$2:$AK$37,0)))</f>
        <v>-0.0561966323154083</v>
      </c>
      <c r="E7" s="6" t="n">
        <f aca="false">IF(ISBLANK(INDEX(Results_Long!$P$2:$P$37,MATCH("G7|panel_q_vhb|0_VHB low|cell_mean",Results_Long!$AK$2:$AK$37,0))),"—",INDEX(Results_Long!$P$2:$P$37,MATCH("G7|panel_q_vhb|0_VHB low|cell_mean",Results_Long!$AK$2:$AK$37,0)))</f>
        <v>-0.0873211685771063</v>
      </c>
      <c r="F7" s="6" t="n">
        <f aca="false">IF(ISBLANK(INDEX(Results_Long!$Q$2:$Q$37,MATCH("G7|panel_q_vhb|0_VHB low|cell_mean",Results_Long!$AK$2:$AK$37,0))),"—",INDEX(Results_Long!$Q$2:$Q$37,MATCH("G7|panel_q_vhb|0_VHB low|cell_mean",Results_Long!$AK$2:$AK$37,0)))</f>
        <v>-0.0250720960537103</v>
      </c>
      <c r="G7" s="6" t="n">
        <f aca="false">IF(ISBLANK(INDEX(Results_Long!$T$2:$T$37,MATCH("G7|panel_q_vhb|0_VHB low|cell_mean",Results_Long!$AK$2:$AK$37,0))),"—",INDEX(Results_Long!$T$2:$T$37,MATCH("G7|panel_q_vhb|0_VHB low|cell_mean",Results_Long!$AK$2:$AK$37,0)))</f>
        <v>-0.0561375494758411</v>
      </c>
      <c r="H7" s="6" t="n">
        <f aca="false">IF(ISBLANK(INDEX(Results_Long!$U$2:$U$37,MATCH("G7|panel_q_vhb|0_VHB low|cell_mean",Results_Long!$AK$2:$AK$37,0))),"—",INDEX(Results_Long!$U$2:$U$37,MATCH("G7|panel_q_vhb|0_VHB low|cell_mean",Results_Long!$AK$2:$AK$37,0)))</f>
        <v>-0.0870999025029524</v>
      </c>
      <c r="I7" s="6" t="n">
        <f aca="false">IF(ISBLANK(INDEX(Results_Long!$V$2:$V$37,MATCH("G7|panel_q_vhb|0_VHB low|cell_mean",Results_Long!$AK$2:$AK$37,0))),"—",INDEX(Results_Long!$V$2:$V$37,MATCH("G7|panel_q_vhb|0_VHB low|cell_mean",Results_Long!$AK$2:$AK$37,0)))</f>
        <v>-0.0250668438509034</v>
      </c>
      <c r="J7" s="7" t="n">
        <f aca="false">IF(ISBLANK(INDEX(Results_Long!$N$2:$N$37,MATCH("G7|panel_q_vhb|0_VHB low|cell_mean",Results_Long!$AK$2:$AK$37,0))),"—",INDEX(Results_Long!$N$2:$N$37,MATCH("G7|panel_q_vhb|0_VHB low|cell_mean",Results_Long!$AK$2:$AK$37,0)))</f>
        <v>25.3127475714484</v>
      </c>
      <c r="K7" s="2" t="n">
        <f aca="false">IF(ISBLANK(INDEX(Results_Long!$O$2:$O$37,MATCH("G7|panel_q_vhb|0_VHB low|cell_mean",Results_Long!$AK$2:$AK$37,0))),"—",INDEX(Results_Long!$O$2:$O$37,MATCH("G7|panel_q_vhb|0_VHB low|cell_mean",Results_Long!$AK$2:$AK$37,0)))</f>
        <v>0.0010074756469539</v>
      </c>
    </row>
    <row r="8" customFormat="false" ht="15" hidden="false" customHeight="false" outlineLevel="0" collapsed="false">
      <c r="A8" s="2" t="s">
        <v>209</v>
      </c>
      <c r="B8" s="5" t="n">
        <f aca="false">IF(ISBLANK(INDEX(Results_Long!$H$2:$H$37,MATCH("G7|panel_q_vhb|99_NCE|cell_mean",Results_Long!$AK$2:$AK$37,0))),"—",INDEX(Results_Long!$H$2:$H$37,MATCH("G7|panel_q_vhb|99_NCE|cell_mean",Results_Long!$AK$2:$AK$37,0)))</f>
        <v>680</v>
      </c>
      <c r="C8" s="5" t="n">
        <f aca="false">IF(ISBLANK(INDEX(Results_Long!$J$2:$J$37,MATCH("G7|panel_q_vhb|99_NCE|cell_mean",Results_Long!$AK$2:$AK$37,0))),"—",INDEX(Results_Long!$J$2:$J$37,MATCH("G7|panel_q_vhb|99_NCE|cell_mean",Results_Long!$AK$2:$AK$37,0)))</f>
        <v>14</v>
      </c>
      <c r="D8" s="6" t="n">
        <f aca="false">IF(ISBLANK(INDEX(Results_Long!$K$2:$K$37,MATCH("G7|panel_q_vhb|99_NCE|cell_mean",Results_Long!$AK$2:$AK$37,0))),"—",INDEX(Results_Long!$K$2:$K$37,MATCH("G7|panel_q_vhb|99_NCE|cell_mean",Results_Long!$AK$2:$AK$37,0)))</f>
        <v>-0.0565581639963162</v>
      </c>
      <c r="E8" s="6" t="n">
        <f aca="false">IF(ISBLANK(INDEX(Results_Long!$P$2:$P$37,MATCH("G7|panel_q_vhb|99_NCE|cell_mean",Results_Long!$AK$2:$AK$37,0))),"—",INDEX(Results_Long!$P$2:$P$37,MATCH("G7|panel_q_vhb|99_NCE|cell_mean",Results_Long!$AK$2:$AK$37,0)))</f>
        <v>-0.103861927270336</v>
      </c>
      <c r="F8" s="6" t="n">
        <f aca="false">IF(ISBLANK(INDEX(Results_Long!$Q$2:$Q$37,MATCH("G7|panel_q_vhb|99_NCE|cell_mean",Results_Long!$AK$2:$AK$37,0))),"—",INDEX(Results_Long!$Q$2:$Q$37,MATCH("G7|panel_q_vhb|99_NCE|cell_mean",Results_Long!$AK$2:$AK$37,0)))</f>
        <v>-0.0092544007222965</v>
      </c>
      <c r="G8" s="6" t="n">
        <f aca="false">IF(ISBLANK(INDEX(Results_Long!$T$2:$T$37,MATCH("G7|panel_q_vhb|99_NCE|cell_mean",Results_Long!$AK$2:$AK$37,0))),"—",INDEX(Results_Long!$T$2:$T$37,MATCH("G7|panel_q_vhb|99_NCE|cell_mean",Results_Long!$AK$2:$AK$37,0)))</f>
        <v>-0.0564979344870699</v>
      </c>
      <c r="H8" s="6" t="n">
        <f aca="false">IF(ISBLANK(INDEX(Results_Long!$U$2:$U$37,MATCH("G7|panel_q_vhb|99_NCE|cell_mean",Results_Long!$AK$2:$AK$37,0))),"—",INDEX(Results_Long!$U$2:$U$37,MATCH("G7|panel_q_vhb|99_NCE|cell_mean",Results_Long!$AK$2:$AK$37,0)))</f>
        <v>-0.103490068475087</v>
      </c>
      <c r="I8" s="6" t="n">
        <f aca="false">IF(ISBLANK(INDEX(Results_Long!$V$2:$V$37,MATCH("G7|panel_q_vhb|99_NCE|cell_mean",Results_Long!$AK$2:$AK$37,0))),"—",INDEX(Results_Long!$V$2:$V$37,MATCH("G7|panel_q_vhb|99_NCE|cell_mean",Results_Long!$AK$2:$AK$37,0)))</f>
        <v>-0.0092541365369225</v>
      </c>
      <c r="J8" s="7" t="n">
        <f aca="false">IF(ISBLANK(INDEX(Results_Long!$N$2:$N$37,MATCH("G7|panel_q_vhb|99_NCE|cell_mean",Results_Long!$AK$2:$AK$37,0))),"—",INDEX(Results_Long!$N$2:$N$37,MATCH("G7|panel_q_vhb|99_NCE|cell_mean",Results_Long!$AK$2:$AK$37,0)))</f>
        <v>12.9880103312741</v>
      </c>
      <c r="K8" s="2" t="n">
        <f aca="false">IF(ISBLANK(INDEX(Results_Long!$O$2:$O$37,MATCH("G7|panel_q_vhb|99_NCE|cell_mean",Results_Long!$AK$2:$AK$37,0))),"—",INDEX(Results_Long!$O$2:$O$37,MATCH("G7|panel_q_vhb|99_NCE|cell_mean",Results_Long!$AK$2:$AK$37,0)))</f>
        <v>0.0227293848278272</v>
      </c>
    </row>
    <row r="10" customFormat="false" ht="15" hidden="false" customHeight="false" outlineLevel="0" collapsed="false">
      <c r="A10" s="3" t="s">
        <v>210</v>
      </c>
      <c r="B10" s="3" t="s">
        <v>180</v>
      </c>
      <c r="C10" s="3" t="s">
        <v>181</v>
      </c>
      <c r="D10" s="3" t="s">
        <v>211</v>
      </c>
    </row>
    <row r="11" customFormat="false" ht="46.25" hidden="false" customHeight="false" outlineLevel="0" collapsed="false">
      <c r="A11" s="2" t="s">
        <v>212</v>
      </c>
      <c r="B11" s="7" t="n">
        <f aca="false">IF(ISBLANK(INDEX(Results_Long!$N$2:$N$37,MATCH("G7|panel_q_vhb|panel|HTZ_omnibus",Results_Long!$AK$2:$AK$37,0))),"—",INDEX(Results_Long!$N$2:$N$37,MATCH("G7|panel_q_vhb|panel|HTZ_omnibus",Results_Long!$AK$2:$AK$37,0)))</f>
        <v>34.7475364271227</v>
      </c>
      <c r="C11" s="2" t="n">
        <f aca="false">IF(ISBLANK(INDEX(Results_Long!$O$2:$O$37,MATCH("G7|panel_q_vhb|panel|HTZ_omnibus",Results_Long!$AK$2:$AK$37,0))),"—",INDEX(Results_Long!$O$2:$O$37,MATCH("G7|panel_q_vhb|panel|HTZ_omnibus",Results_Long!$AK$2:$AK$37,0)))</f>
        <v>0.988330176120489</v>
      </c>
      <c r="D11" s="4" t="str">
        <f aca="false">IF(ISBLANK(INDEX(Results_Long!$AJ$2:$AJ$37,MATCH("G7|panel_q_vhb|panel|HTZ_omnibus",Results_Long!$AK$2:$AK$37,0))),"—",INDEX(Results_Long!$AJ$2:$AJ$37,MATCH("G7|panel_q_vhb|panel|HTZ_omnibus",Results_Long!$AK$2:$AK$37,0)))</f>
        <v>F=0.0117, df_num=2.0; descriptive [DEC-047]</v>
      </c>
    </row>
    <row r="13" customFormat="false" ht="15" hidden="false" customHeight="false" outlineLevel="0" collapsed="false">
      <c r="A13" s="3" t="s">
        <v>213</v>
      </c>
      <c r="B13" s="3" t="s">
        <v>214</v>
      </c>
      <c r="C13" s="3" t="s">
        <v>175</v>
      </c>
      <c r="D13" s="3" t="s">
        <v>176</v>
      </c>
      <c r="E13" s="3" t="s">
        <v>180</v>
      </c>
      <c r="F13" s="3" t="s">
        <v>181</v>
      </c>
      <c r="G13" s="3" t="s">
        <v>215</v>
      </c>
    </row>
    <row r="14" customFormat="false" ht="15" hidden="false" customHeight="false" outlineLevel="0" collapsed="false">
      <c r="A14" s="2" t="s">
        <v>216</v>
      </c>
      <c r="B14" s="8" t="n">
        <f aca="false">IF(ISBLANK(INDEX(Results_Long!$K$2:$K$37,MATCH("G7|panel_q_vhb|1_VHB high vs 0_VHB low|pairwise_contrast",Results_Long!$AK$2:$AK$37,0))),"—",INDEX(Results_Long!$K$2:$K$37,MATCH("G7|panel_q_vhb|1_VHB high vs 0_VHB low|pairwise_contrast",Results_Long!$AK$2:$AK$37,0)))</f>
        <v>-0.0038194187490765</v>
      </c>
      <c r="C14" s="6" t="str">
        <f aca="false">IF(ISBLANK(INDEX(Results_Long!$P$2:$P$37,MATCH("G7|panel_q_vhb|1_VHB high vs 0_VHB low|pairwise_contrast",Results_Long!$AK$2:$AK$37,0))),"—",INDEX(Results_Long!$P$2:$P$37,MATCH("G7|panel_q_vhb|1_VHB high vs 0_VHB low|pairwise_contrast",Results_Long!$AK$2:$AK$37,0)))</f>
        <v>—</v>
      </c>
      <c r="D14" s="6" t="str">
        <f aca="false">IF(ISBLANK(INDEX(Results_Long!$Q$2:$Q$37,MATCH("G7|panel_q_vhb|1_VHB high vs 0_VHB low|pairwise_contrast",Results_Long!$AK$2:$AK$37,0))),"—",INDEX(Results_Long!$Q$2:$Q$37,MATCH("G7|panel_q_vhb|1_VHB high vs 0_VHB low|pairwise_contrast",Results_Long!$AK$2:$AK$37,0)))</f>
        <v>—</v>
      </c>
      <c r="E14" s="7" t="n">
        <f aca="false">IF(ISBLANK(INDEX(Results_Long!$N$2:$N$37,MATCH("G7|panel_q_vhb|1_VHB high vs 0_VHB low|pairwise_contrast",Results_Long!$AK$2:$AK$37,0))),"—",INDEX(Results_Long!$N$2:$N$37,MATCH("G7|panel_q_vhb|1_VHB high vs 0_VHB low|pairwise_contrast",Results_Long!$AK$2:$AK$37,0)))</f>
        <v>43.6007430079486</v>
      </c>
      <c r="F14" s="2" t="n">
        <f aca="false">IF(ISBLANK(INDEX(Results_Long!$O$2:$O$37,MATCH("G7|panel_q_vhb|1_VHB high vs 0_VHB low|pairwise_contrast",Results_Long!$AK$2:$AK$37,0))),"—",INDEX(Results_Long!$O$2:$O$37,MATCH("G7|panel_q_vhb|1_VHB high vs 0_VHB low|pairwise_contrast",Results_Long!$AK$2:$AK$37,0)))</f>
        <v>0.881211123260662</v>
      </c>
      <c r="G14" s="2" t="str">
        <f aca="false">IF(INDEX(Results_Long!$N$2:$N$37,MATCH("G7|panel_q_vhb|1_VHB high vs 0_VHB low|pairwise_contrast",Results_Long!$AK$2:$AK$37,0))&lt;5,"df &lt; 5 — descriptive","")</f>
        <v/>
      </c>
    </row>
    <row r="15" customFormat="false" ht="15" hidden="false" customHeight="false" outlineLevel="0" collapsed="false">
      <c r="A15" s="2" t="s">
        <v>217</v>
      </c>
      <c r="B15" s="8" t="n">
        <f aca="false">IF(ISBLANK(INDEX(Results_Long!$K$2:$K$37,MATCH("G7|panel_q_vhb|1_VHB high vs 99_NCE|pairwise_contrast",Results_Long!$AK$2:$AK$37,0))),"—",INDEX(Results_Long!$K$2:$K$37,MATCH("G7|panel_q_vhb|1_VHB high vs 99_NCE|pairwise_contrast",Results_Long!$AK$2:$AK$37,0)))</f>
        <v>-0.0034578870681687</v>
      </c>
      <c r="C15" s="6" t="str">
        <f aca="false">IF(ISBLANK(INDEX(Results_Long!$P$2:$P$37,MATCH("G7|panel_q_vhb|1_VHB high vs 99_NCE|pairwise_contrast",Results_Long!$AK$2:$AK$37,0))),"—",INDEX(Results_Long!$P$2:$P$37,MATCH("G7|panel_q_vhb|1_VHB high vs 99_NCE|pairwise_contrast",Results_Long!$AK$2:$AK$37,0)))</f>
        <v>—</v>
      </c>
      <c r="D15" s="6" t="str">
        <f aca="false">IF(ISBLANK(INDEX(Results_Long!$Q$2:$Q$37,MATCH("G7|panel_q_vhb|1_VHB high vs 99_NCE|pairwise_contrast",Results_Long!$AK$2:$AK$37,0))),"—",INDEX(Results_Long!$Q$2:$Q$37,MATCH("G7|panel_q_vhb|1_VHB high vs 99_NCE|pairwise_contrast",Results_Long!$AK$2:$AK$37,0)))</f>
        <v>—</v>
      </c>
      <c r="E15" s="7" t="n">
        <f aca="false">IF(ISBLANK(INDEX(Results_Long!$N$2:$N$37,MATCH("G7|panel_q_vhb|1_VHB high vs 99_NCE|pairwise_contrast",Results_Long!$AK$2:$AK$37,0))),"—",INDEX(Results_Long!$N$2:$N$37,MATCH("G7|panel_q_vhb|1_VHB high vs 99_NCE|pairwise_contrast",Results_Long!$AK$2:$AK$37,0)))</f>
        <v>18.6135564414487</v>
      </c>
      <c r="F15" s="2" t="n">
        <f aca="false">IF(ISBLANK(INDEX(Results_Long!$O$2:$O$37,MATCH("G7|panel_q_vhb|1_VHB high vs 99_NCE|pairwise_contrast",Results_Long!$AK$2:$AK$37,0))),"—",INDEX(Results_Long!$O$2:$O$37,MATCH("G7|panel_q_vhb|1_VHB high vs 99_NCE|pairwise_contrast",Results_Long!$AK$2:$AK$37,0)))</f>
        <v>0.909287323154821</v>
      </c>
      <c r="G15" s="2" t="str">
        <f aca="false">IF(INDEX(Results_Long!$N$2:$N$37,MATCH("G7|panel_q_vhb|1_VHB high vs 99_NCE|pairwise_contrast",Results_Long!$AK$2:$AK$37,0))&lt;5,"df &lt; 5 — descriptive","")</f>
        <v/>
      </c>
    </row>
    <row r="16" customFormat="false" ht="15" hidden="false" customHeight="false" outlineLevel="0" collapsed="false">
      <c r="A16" s="2" t="s">
        <v>218</v>
      </c>
      <c r="B16" s="8" t="n">
        <f aca="false">IF(ISBLANK(INDEX(Results_Long!$K$2:$K$37,MATCH("G7|panel_q_vhb|0_VHB low vs 99_NCE|pairwise_contrast",Results_Long!$AK$2:$AK$37,0))),"—",INDEX(Results_Long!$K$2:$K$37,MATCH("G7|panel_q_vhb|0_VHB low vs 99_NCE|pairwise_contrast",Results_Long!$AK$2:$AK$37,0)))</f>
        <v>0.0003615316809078</v>
      </c>
      <c r="C16" s="6" t="str">
        <f aca="false">IF(ISBLANK(INDEX(Results_Long!$P$2:$P$37,MATCH("G7|panel_q_vhb|0_VHB low vs 99_NCE|pairwise_contrast",Results_Long!$AK$2:$AK$37,0))),"—",INDEX(Results_Long!$P$2:$P$37,MATCH("G7|panel_q_vhb|0_VHB low vs 99_NCE|pairwise_contrast",Results_Long!$AK$2:$AK$37,0)))</f>
        <v>—</v>
      </c>
      <c r="D16" s="6" t="str">
        <f aca="false">IF(ISBLANK(INDEX(Results_Long!$Q$2:$Q$37,MATCH("G7|panel_q_vhb|0_VHB low vs 99_NCE|pairwise_contrast",Results_Long!$AK$2:$AK$37,0))),"—",INDEX(Results_Long!$Q$2:$Q$37,MATCH("G7|panel_q_vhb|0_VHB low vs 99_NCE|pairwise_contrast",Results_Long!$AK$2:$AK$37,0)))</f>
        <v>—</v>
      </c>
      <c r="E16" s="7" t="n">
        <f aca="false">IF(ISBLANK(INDEX(Results_Long!$N$2:$N$37,MATCH("G7|panel_q_vhb|0_VHB low vs 99_NCE|pairwise_contrast",Results_Long!$AK$2:$AK$37,0))),"—",INDEX(Results_Long!$N$2:$N$37,MATCH("G7|panel_q_vhb|0_VHB low vs 99_NCE|pairwise_contrast",Results_Long!$AK$2:$AK$37,0)))</f>
        <v>27.9590925692482</v>
      </c>
      <c r="F16" s="2" t="n">
        <f aca="false">IF(ISBLANK(INDEX(Results_Long!$O$2:$O$37,MATCH("G7|panel_q_vhb|0_VHB low vs 99_NCE|pairwise_contrast",Results_Long!$AK$2:$AK$37,0))),"—",INDEX(Results_Long!$O$2:$O$37,MATCH("G7|panel_q_vhb|0_VHB low vs 99_NCE|pairwise_contrast",Results_Long!$AK$2:$AK$37,0)))</f>
        <v>0.989255981506258</v>
      </c>
      <c r="G16" s="2" t="str">
        <f aca="false">IF(INDEX(Results_Long!$N$2:$N$37,MATCH("G7|panel_q_vhb|0_VHB low vs 99_NCE|pairwise_contrast",Results_Long!$AK$2:$AK$37,0))&lt;5,"df &lt; 5 — descriptive","")</f>
        <v/>
      </c>
    </row>
    <row r="18" customFormat="false" ht="15" hidden="false" customHeight="false" outlineLevel="0" collapsed="false">
      <c r="A18" s="1" t="s">
        <v>188</v>
      </c>
    </row>
    <row r="19" customFormat="false" ht="35.05" hidden="false" customHeight="false" outlineLevel="0" collapsed="false">
      <c r="A19" s="4" t="s">
        <v>219</v>
      </c>
    </row>
    <row r="20" customFormat="false" ht="57.45" hidden="false" customHeight="false" outlineLevel="0" collapsed="false">
      <c r="A20" s="4" t="s">
        <v>220</v>
      </c>
    </row>
    <row r="22" customFormat="false" ht="15" hidden="false" customHeight="false" outlineLevel="0" collapsed="false">
      <c r="A22" s="1" t="s">
        <v>192</v>
      </c>
    </row>
    <row r="23" customFormat="false" ht="15" hidden="false" customHeight="false" outlineLevel="0" collapsed="false">
      <c r="A23" s="3" t="s">
        <v>193</v>
      </c>
      <c r="B23" s="3" t="s">
        <v>194</v>
      </c>
    </row>
    <row r="24" customFormat="false" ht="202.95" hidden="false" customHeight="false" outlineLevel="0" collapsed="false">
      <c r="A24" s="4" t="s">
        <v>221</v>
      </c>
      <c r="B24" s="4" t="s">
        <v>222</v>
      </c>
    </row>
    <row r="25" customFormat="false" ht="180.55" hidden="false" customHeight="false" outlineLevel="0" collapsed="false">
      <c r="A25" s="4" t="s">
        <v>223</v>
      </c>
      <c r="B25" s="4" t="s">
        <v>224</v>
      </c>
    </row>
    <row r="27" customFormat="false" ht="15" hidden="false" customHeight="false" outlineLevel="0" collapsed="false">
      <c r="A27" s="1" t="s">
        <v>199</v>
      </c>
    </row>
    <row r="28" customFormat="false" ht="15" hidden="false" customHeight="false" outlineLevel="0" collapsed="false">
      <c r="A28" s="3" t="s">
        <v>193</v>
      </c>
      <c r="B28" s="3" t="s">
        <v>194</v>
      </c>
    </row>
    <row r="29" customFormat="false" ht="158.2" hidden="false" customHeight="false" outlineLevel="0" collapsed="false">
      <c r="A29" s="4" t="s">
        <v>225</v>
      </c>
      <c r="B29" s="4" t="s">
        <v>226</v>
      </c>
    </row>
    <row r="31" customFormat="false" ht="68.65" hidden="false" customHeight="false" outlineLevel="0" collapsed="false">
      <c r="A31" s="9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3" customFormat="false" ht="15" hidden="false" customHeight="false" outlineLevel="0" collapsed="false">
      <c r="A3" s="2" t="s">
        <v>205</v>
      </c>
    </row>
    <row r="5" customFormat="false" ht="15" hidden="false" customHeight="false" outlineLevel="0" collapsed="false">
      <c r="A5" s="3" t="s">
        <v>206</v>
      </c>
      <c r="B5" s="3" t="s">
        <v>171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</row>
    <row r="6" customFormat="false" ht="15" hidden="false" customHeight="false" outlineLevel="0" collapsed="false">
      <c r="A6" s="2" t="s">
        <v>230</v>
      </c>
      <c r="B6" s="5" t="n">
        <f aca="false">IF(ISBLANK(INDEX(Results_Long!$H$2:$H$37,MATCH("G8|panel_field|1_fin/acc/econ|cell_mean",Results_Long!$AK$2:$AK$37,0))),"—",INDEX(Results_Long!$H$2:$H$37,MATCH("G8|panel_field|1_fin/acc/econ|cell_mean",Results_Long!$AK$2:$AK$37,0)))</f>
        <v>1852</v>
      </c>
      <c r="C6" s="5" t="n">
        <f aca="false">IF(ISBLANK(INDEX(Results_Long!$J$2:$J$37,MATCH("G8|panel_field|1_fin/acc/econ|cell_mean",Results_Long!$AK$2:$AK$37,0))),"—",INDEX(Results_Long!$J$2:$J$37,MATCH("G8|panel_field|1_fin/acc/econ|cell_mean",Results_Long!$AK$2:$AK$37,0)))</f>
        <v>67</v>
      </c>
      <c r="D6" s="6" t="n">
        <f aca="false">IF(ISBLANK(INDEX(Results_Long!$K$2:$K$37,MATCH("G8|panel_field|1_fin/acc/econ|cell_mean",Results_Long!$AK$2:$AK$37,0))),"—",INDEX(Results_Long!$K$2:$K$37,MATCH("G8|panel_field|1_fin/acc/econ|cell_mean",Results_Long!$AK$2:$AK$37,0)))</f>
        <v>-0.0455896973469383</v>
      </c>
      <c r="E6" s="6" t="n">
        <f aca="false">IF(ISBLANK(INDEX(Results_Long!$P$2:$P$37,MATCH("G8|panel_field|1_fin/acc/econ|cell_mean",Results_Long!$AK$2:$AK$37,0))),"—",INDEX(Results_Long!$P$2:$P$37,MATCH("G8|panel_field|1_fin/acc/econ|cell_mean",Results_Long!$AK$2:$AK$37,0)))</f>
        <v>-0.0609361960829122</v>
      </c>
      <c r="F6" s="6" t="n">
        <f aca="false">IF(ISBLANK(INDEX(Results_Long!$Q$2:$Q$37,MATCH("G8|panel_field|1_fin/acc/econ|cell_mean",Results_Long!$AK$2:$AK$37,0))),"—",INDEX(Results_Long!$Q$2:$Q$37,MATCH("G8|panel_field|1_fin/acc/econ|cell_mean",Results_Long!$AK$2:$AK$37,0)))</f>
        <v>-0.0302431986109645</v>
      </c>
      <c r="G6" s="6" t="n">
        <f aca="false">IF(ISBLANK(INDEX(Results_Long!$T$2:$T$37,MATCH("G8|panel_field|1_fin/acc/econ|cell_mean",Results_Long!$AK$2:$AK$37,0))),"—",INDEX(Results_Long!$T$2:$T$37,MATCH("G8|panel_field|1_fin/acc/econ|cell_mean",Results_Long!$AK$2:$AK$37,0)))</f>
        <v>-0.0455581387295945</v>
      </c>
      <c r="H6" s="6" t="n">
        <f aca="false">IF(ISBLANK(INDEX(Results_Long!$U$2:$U$37,MATCH("G8|panel_field|1_fin/acc/econ|cell_mean",Results_Long!$AK$2:$AK$37,0))),"—",INDEX(Results_Long!$U$2:$U$37,MATCH("G8|panel_field|1_fin/acc/econ|cell_mean",Results_Long!$AK$2:$AK$37,0)))</f>
        <v>-0.0608608847727211</v>
      </c>
      <c r="I6" s="6" t="n">
        <f aca="false">IF(ISBLANK(INDEX(Results_Long!$V$2:$V$37,MATCH("G8|panel_field|1_fin/acc/econ|cell_mean",Results_Long!$AK$2:$AK$37,0))),"—",INDEX(Results_Long!$V$2:$V$37,MATCH("G8|panel_field|1_fin/acc/econ|cell_mean",Results_Long!$AK$2:$AK$37,0)))</f>
        <v>-0.0302339813252784</v>
      </c>
      <c r="J6" s="7" t="n">
        <f aca="false">IF(ISBLANK(INDEX(Results_Long!$N$2:$N$37,MATCH("G8|panel_field|1_fin/acc/econ|cell_mean",Results_Long!$AK$2:$AK$37,0))),"—",INDEX(Results_Long!$N$2:$N$37,MATCH("G8|panel_field|1_fin/acc/econ|cell_mean",Results_Long!$AK$2:$AK$37,0)))</f>
        <v>64.8922710899653</v>
      </c>
      <c r="K6" s="2" t="n">
        <f aca="false">IF(ISBLANK(INDEX(Results_Long!$O$2:$O$37,MATCH("G8|panel_field|1_fin/acc/econ|cell_mean",Results_Long!$AK$2:$AK$37,0))),"—",INDEX(Results_Long!$O$2:$O$37,MATCH("G8|panel_field|1_fin/acc/econ|cell_mean",Results_Long!$AK$2:$AK$37,0)))</f>
        <v>1.26779497392366E-007</v>
      </c>
    </row>
    <row r="7" customFormat="false" ht="15" hidden="false" customHeight="false" outlineLevel="0" collapsed="false">
      <c r="A7" s="2" t="s">
        <v>231</v>
      </c>
      <c r="B7" s="5" t="n">
        <f aca="false">IF(ISBLANK(INDEX(Results_Long!$H$2:$H$37,MATCH("G8|panel_field|2_sust|cell_mean",Results_Long!$AK$2:$AK$37,0))),"—",INDEX(Results_Long!$H$2:$H$37,MATCH("G8|panel_field|2_sust|cell_mean",Results_Long!$AK$2:$AK$37,0)))</f>
        <v>571</v>
      </c>
      <c r="C7" s="5" t="n">
        <f aca="false">IF(ISBLANK(INDEX(Results_Long!$J$2:$J$37,MATCH("G8|panel_field|2_sust|cell_mean",Results_Long!$AK$2:$AK$37,0))),"—",INDEX(Results_Long!$J$2:$J$37,MATCH("G8|panel_field|2_sust|cell_mean",Results_Long!$AK$2:$AK$37,0)))</f>
        <v>32</v>
      </c>
      <c r="D7" s="6" t="n">
        <f aca="false">IF(ISBLANK(INDEX(Results_Long!$K$2:$K$37,MATCH("G8|panel_field|2_sust|cell_mean",Results_Long!$AK$2:$AK$37,0))),"—",INDEX(Results_Long!$K$2:$K$37,MATCH("G8|panel_field|2_sust|cell_mean",Results_Long!$AK$2:$AK$37,0)))</f>
        <v>-0.0899033249713821</v>
      </c>
      <c r="E7" s="6" t="n">
        <f aca="false">IF(ISBLANK(INDEX(Results_Long!$P$2:$P$37,MATCH("G8|panel_field|2_sust|cell_mean",Results_Long!$AK$2:$AK$37,0))),"—",INDEX(Results_Long!$P$2:$P$37,MATCH("G8|panel_field|2_sust|cell_mean",Results_Long!$AK$2:$AK$37,0)))</f>
        <v>-0.185790224932343</v>
      </c>
      <c r="F7" s="6" t="n">
        <f aca="false">IF(ISBLANK(INDEX(Results_Long!$Q$2:$Q$37,MATCH("G8|panel_field|2_sust|cell_mean",Results_Long!$AK$2:$AK$37,0))),"—",INDEX(Results_Long!$Q$2:$Q$37,MATCH("G8|panel_field|2_sust|cell_mean",Results_Long!$AK$2:$AK$37,0)))</f>
        <v>0.0059835749895792</v>
      </c>
      <c r="G7" s="6" t="n">
        <f aca="false">IF(ISBLANK(INDEX(Results_Long!$T$2:$T$37,MATCH("G8|panel_field|2_sust|cell_mean",Results_Long!$AK$2:$AK$37,0))),"—",INDEX(Results_Long!$T$2:$T$37,MATCH("G8|panel_field|2_sust|cell_mean",Results_Long!$AK$2:$AK$37,0)))</f>
        <v>-0.089661887745204</v>
      </c>
      <c r="H7" s="6" t="n">
        <f aca="false">IF(ISBLANK(INDEX(Results_Long!$U$2:$U$37,MATCH("G8|panel_field|2_sust|cell_mean",Results_Long!$AK$2:$AK$37,0))),"—",INDEX(Results_Long!$U$2:$U$37,MATCH("G8|panel_field|2_sust|cell_mean",Results_Long!$AK$2:$AK$37,0)))</f>
        <v>-0.183681631133258</v>
      </c>
      <c r="I7" s="6" t="n">
        <f aca="false">IF(ISBLANK(INDEX(Results_Long!$V$2:$V$37,MATCH("G8|panel_field|2_sust|cell_mean",Results_Long!$AK$2:$AK$37,0))),"—",INDEX(Results_Long!$V$2:$V$37,MATCH("G8|panel_field|2_sust|cell_mean",Results_Long!$AK$2:$AK$37,0)))</f>
        <v>0.005983503580285</v>
      </c>
      <c r="J7" s="7" t="n">
        <f aca="false">IF(ISBLANK(INDEX(Results_Long!$N$2:$N$37,MATCH("G8|panel_field|2_sust|cell_mean",Results_Long!$AK$2:$AK$37,0))),"—",INDEX(Results_Long!$N$2:$N$37,MATCH("G8|panel_field|2_sust|cell_mean",Results_Long!$AK$2:$AK$37,0)))</f>
        <v>30.6056339516052</v>
      </c>
      <c r="K7" s="2" t="n">
        <f aca="false">IF(ISBLANK(INDEX(Results_Long!$O$2:$O$37,MATCH("G8|panel_field|2_sust|cell_mean",Results_Long!$AK$2:$AK$37,0))),"—",INDEX(Results_Long!$O$2:$O$37,MATCH("G8|panel_field|2_sust|cell_mean",Results_Long!$AK$2:$AK$37,0)))</f>
        <v>0.0651122107860247</v>
      </c>
    </row>
    <row r="8" customFormat="false" ht="15" hidden="false" customHeight="false" outlineLevel="0" collapsed="false">
      <c r="A8" s="2" t="s">
        <v>232</v>
      </c>
      <c r="B8" s="5" t="n">
        <f aca="false">IF(ISBLANK(INDEX(Results_Long!$H$2:$H$37,MATCH("G8|panel_field|3_mgmt|cell_mean",Results_Long!$AK$2:$AK$37,0))),"—",INDEX(Results_Long!$H$2:$H$37,MATCH("G8|panel_field|3_mgmt|cell_mean",Results_Long!$AK$2:$AK$37,0)))</f>
        <v>290</v>
      </c>
      <c r="C8" s="5" t="n">
        <f aca="false">IF(ISBLANK(INDEX(Results_Long!$J$2:$J$37,MATCH("G8|panel_field|3_mgmt|cell_mean",Results_Long!$AK$2:$AK$37,0))),"—",INDEX(Results_Long!$J$2:$J$37,MATCH("G8|panel_field|3_mgmt|cell_mean",Results_Long!$AK$2:$AK$37,0)))</f>
        <v>16</v>
      </c>
      <c r="D8" s="6" t="n">
        <f aca="false">IF(ISBLANK(INDEX(Results_Long!$K$2:$K$37,MATCH("G8|panel_field|3_mgmt|cell_mean",Results_Long!$AK$2:$AK$37,0))),"—",INDEX(Results_Long!$K$2:$K$37,MATCH("G8|panel_field|3_mgmt|cell_mean",Results_Long!$AK$2:$AK$37,0)))</f>
        <v>-0.0521609720777986</v>
      </c>
      <c r="E8" s="6" t="n">
        <f aca="false">IF(ISBLANK(INDEX(Results_Long!$P$2:$P$37,MATCH("G8|panel_field|3_mgmt|cell_mean",Results_Long!$AK$2:$AK$37,0))),"—",INDEX(Results_Long!$P$2:$P$37,MATCH("G8|panel_field|3_mgmt|cell_mean",Results_Long!$AK$2:$AK$37,0)))</f>
        <v>-0.0806540542969805</v>
      </c>
      <c r="F8" s="6" t="n">
        <f aca="false">IF(ISBLANK(INDEX(Results_Long!$Q$2:$Q$37,MATCH("G8|panel_field|3_mgmt|cell_mean",Results_Long!$AK$2:$AK$37,0))),"—",INDEX(Results_Long!$Q$2:$Q$37,MATCH("G8|panel_field|3_mgmt|cell_mean",Results_Long!$AK$2:$AK$37,0)))</f>
        <v>-0.0236678898586168</v>
      </c>
      <c r="G8" s="6" t="n">
        <f aca="false">IF(ISBLANK(INDEX(Results_Long!$T$2:$T$37,MATCH("G8|panel_field|3_mgmt|cell_mean",Results_Long!$AK$2:$AK$37,0))),"—",INDEX(Results_Long!$T$2:$T$37,MATCH("G8|panel_field|3_mgmt|cell_mean",Results_Long!$AK$2:$AK$37,0)))</f>
        <v>-0.0521137175539057</v>
      </c>
      <c r="H8" s="6" t="n">
        <f aca="false">IF(ISBLANK(INDEX(Results_Long!$U$2:$U$37,MATCH("G8|panel_field|3_mgmt|cell_mean",Results_Long!$AK$2:$AK$37,0))),"—",INDEX(Results_Long!$U$2:$U$37,MATCH("G8|panel_field|3_mgmt|cell_mean",Results_Long!$AK$2:$AK$37,0)))</f>
        <v>-0.0804796212326995</v>
      </c>
      <c r="I8" s="6" t="n">
        <f aca="false">IF(ISBLANK(INDEX(Results_Long!$V$2:$V$37,MATCH("G8|panel_field|3_mgmt|cell_mean",Results_Long!$AK$2:$AK$37,0))),"—",INDEX(Results_Long!$V$2:$V$37,MATCH("G8|panel_field|3_mgmt|cell_mean",Results_Long!$AK$2:$AK$37,0)))</f>
        <v>-0.0236634715091433</v>
      </c>
      <c r="J8" s="7" t="n">
        <f aca="false">IF(ISBLANK(INDEX(Results_Long!$N$2:$N$37,MATCH("G8|panel_field|3_mgmt|cell_mean",Results_Long!$AK$2:$AK$37,0))),"—",INDEX(Results_Long!$N$2:$N$37,MATCH("G8|panel_field|3_mgmt|cell_mean",Results_Long!$AK$2:$AK$37,0)))</f>
        <v>13.4693077037424</v>
      </c>
      <c r="K8" s="2" t="n">
        <f aca="false">IF(ISBLANK(INDEX(Results_Long!$O$2:$O$37,MATCH("G8|panel_field|3_mgmt|cell_mean",Results_Long!$AK$2:$AK$37,0))),"—",INDEX(Results_Long!$O$2:$O$37,MATCH("G8|panel_field|3_mgmt|cell_mean",Results_Long!$AK$2:$AK$37,0)))</f>
        <v>0.0015845348182045</v>
      </c>
    </row>
    <row r="10" customFormat="false" ht="15" hidden="false" customHeight="false" outlineLevel="0" collapsed="false">
      <c r="A10" s="3" t="s">
        <v>210</v>
      </c>
      <c r="B10" s="3" t="s">
        <v>180</v>
      </c>
      <c r="C10" s="3" t="s">
        <v>181</v>
      </c>
      <c r="D10" s="3" t="s">
        <v>211</v>
      </c>
    </row>
    <row r="11" customFormat="false" ht="46.25" hidden="false" customHeight="false" outlineLevel="0" collapsed="false">
      <c r="A11" s="2" t="s">
        <v>212</v>
      </c>
      <c r="B11" s="7" t="n">
        <f aca="false">IF(ISBLANK(INDEX(Results_Long!$N$2:$N$37,MATCH("G8|panel_field|panel|HTZ_omnibus",Results_Long!$AK$2:$AK$37,0))),"—",INDEX(Results_Long!$N$2:$N$37,MATCH("G8|panel_field|panel|HTZ_omnibus",Results_Long!$AK$2:$AK$37,0)))</f>
        <v>33.5395490409418</v>
      </c>
      <c r="C11" s="2" t="n">
        <f aca="false">IF(ISBLANK(INDEX(Results_Long!$O$2:$O$37,MATCH("G8|panel_field|panel|HTZ_omnibus",Results_Long!$AK$2:$AK$37,0))),"—",INDEX(Results_Long!$O$2:$O$37,MATCH("G8|panel_field|panel|HTZ_omnibus",Results_Long!$AK$2:$AK$37,0)))</f>
        <v>0.617243923597484</v>
      </c>
      <c r="D11" s="4" t="str">
        <f aca="false">IF(ISBLANK(INDEX(Results_Long!$AJ$2:$AJ$37,MATCH("G8|panel_field|panel|HTZ_omnibus",Results_Long!$AK$2:$AK$37,0))),"—",INDEX(Results_Long!$AJ$2:$AJ$37,MATCH("G8|panel_field|panel|HTZ_omnibus",Results_Long!$AK$2:$AK$37,0)))</f>
        <v>F=0.4895, df_num=2.0; descriptive [DEC-047]</v>
      </c>
    </row>
    <row r="13" customFormat="false" ht="15" hidden="false" customHeight="false" outlineLevel="0" collapsed="false">
      <c r="A13" s="3" t="s">
        <v>213</v>
      </c>
      <c r="B13" s="3" t="s">
        <v>214</v>
      </c>
      <c r="C13" s="3" t="s">
        <v>175</v>
      </c>
      <c r="D13" s="3" t="s">
        <v>176</v>
      </c>
      <c r="E13" s="3" t="s">
        <v>180</v>
      </c>
      <c r="F13" s="3" t="s">
        <v>181</v>
      </c>
      <c r="G13" s="3" t="s">
        <v>215</v>
      </c>
    </row>
    <row r="14" customFormat="false" ht="15" hidden="false" customHeight="false" outlineLevel="0" collapsed="false">
      <c r="A14" s="2" t="s">
        <v>233</v>
      </c>
      <c r="B14" s="8" t="n">
        <f aca="false">IF(ISBLANK(INDEX(Results_Long!$K$2:$K$37,MATCH("G8|panel_field|1_fin/acc/econ vs 2_sust|pairwise_contrast",Results_Long!$AK$2:$AK$37,0))),"—",INDEX(Results_Long!$K$2:$K$37,MATCH("G8|panel_field|1_fin/acc/econ vs 2_sust|pairwise_contrast",Results_Long!$AK$2:$AK$37,0)))</f>
        <v>0.0443136276244438</v>
      </c>
      <c r="C14" s="6" t="str">
        <f aca="false">IF(ISBLANK(INDEX(Results_Long!$P$2:$P$37,MATCH("G8|panel_field|1_fin/acc/econ vs 2_sust|pairwise_contrast",Results_Long!$AK$2:$AK$37,0))),"—",INDEX(Results_Long!$P$2:$P$37,MATCH("G8|panel_field|1_fin/acc/econ vs 2_sust|pairwise_contrast",Results_Long!$AK$2:$AK$37,0)))</f>
        <v>—</v>
      </c>
      <c r="D14" s="6" t="str">
        <f aca="false">IF(ISBLANK(INDEX(Results_Long!$Q$2:$Q$37,MATCH("G8|panel_field|1_fin/acc/econ vs 2_sust|pairwise_contrast",Results_Long!$AK$2:$AK$37,0))),"—",INDEX(Results_Long!$Q$2:$Q$37,MATCH("G8|panel_field|1_fin/acc/econ vs 2_sust|pairwise_contrast",Results_Long!$AK$2:$AK$37,0)))</f>
        <v>—</v>
      </c>
      <c r="E14" s="7" t="n">
        <f aca="false">IF(ISBLANK(INDEX(Results_Long!$N$2:$N$37,MATCH("G8|panel_field|1_fin/acc/econ vs 2_sust|pairwise_contrast",Results_Long!$AK$2:$AK$37,0))),"—",INDEX(Results_Long!$N$2:$N$37,MATCH("G8|panel_field|1_fin/acc/econ vs 2_sust|pairwise_contrast",Results_Long!$AK$2:$AK$37,0)))</f>
        <v>58.8178418498058</v>
      </c>
      <c r="F14" s="2" t="n">
        <f aca="false">IF(ISBLANK(INDEX(Results_Long!$O$2:$O$37,MATCH("G8|panel_field|1_fin/acc/econ vs 2_sust|pairwise_contrast",Results_Long!$AK$2:$AK$37,0))),"—",INDEX(Results_Long!$O$2:$O$37,MATCH("G8|panel_field|1_fin/acc/econ vs 2_sust|pairwise_contrast",Results_Long!$AK$2:$AK$37,0)))</f>
        <v>0.355822502437559</v>
      </c>
      <c r="G14" s="2" t="str">
        <f aca="false">IF(INDEX(Results_Long!$N$2:$N$37,MATCH("G8|panel_field|1_fin/acc/econ vs 2_sust|pairwise_contrast",Results_Long!$AK$2:$AK$37,0))&lt;5,"df &lt; 5 — descriptive","")</f>
        <v/>
      </c>
    </row>
    <row r="15" customFormat="false" ht="15" hidden="false" customHeight="false" outlineLevel="0" collapsed="false">
      <c r="A15" s="2" t="s">
        <v>234</v>
      </c>
      <c r="B15" s="8" t="n">
        <f aca="false">IF(ISBLANK(INDEX(Results_Long!$K$2:$K$37,MATCH("G8|panel_field|1_fin/acc/econ vs 3_mgmt|pairwise_contrast",Results_Long!$AK$2:$AK$37,0))),"—",INDEX(Results_Long!$K$2:$K$37,MATCH("G8|panel_field|1_fin/acc/econ vs 3_mgmt|pairwise_contrast",Results_Long!$AK$2:$AK$37,0)))</f>
        <v>0.0065712747308602</v>
      </c>
      <c r="C15" s="6" t="str">
        <f aca="false">IF(ISBLANK(INDEX(Results_Long!$P$2:$P$37,MATCH("G8|panel_field|1_fin/acc/econ vs 3_mgmt|pairwise_contrast",Results_Long!$AK$2:$AK$37,0))),"—",INDEX(Results_Long!$P$2:$P$37,MATCH("G8|panel_field|1_fin/acc/econ vs 3_mgmt|pairwise_contrast",Results_Long!$AK$2:$AK$37,0)))</f>
        <v>—</v>
      </c>
      <c r="D15" s="6" t="str">
        <f aca="false">IF(ISBLANK(INDEX(Results_Long!$Q$2:$Q$37,MATCH("G8|panel_field|1_fin/acc/econ vs 3_mgmt|pairwise_contrast",Results_Long!$AK$2:$AK$37,0))),"—",INDEX(Results_Long!$Q$2:$Q$37,MATCH("G8|panel_field|1_fin/acc/econ vs 3_mgmt|pairwise_contrast",Results_Long!$AK$2:$AK$37,0)))</f>
        <v>—</v>
      </c>
      <c r="E15" s="7" t="n">
        <f aca="false">IF(ISBLANK(INDEX(Results_Long!$N$2:$N$37,MATCH("G8|panel_field|1_fin/acc/econ vs 3_mgmt|pairwise_contrast",Results_Long!$AK$2:$AK$37,0))),"—",INDEX(Results_Long!$N$2:$N$37,MATCH("G8|panel_field|1_fin/acc/econ vs 3_mgmt|pairwise_contrast",Results_Long!$AK$2:$AK$37,0)))</f>
        <v>16.0096993014333</v>
      </c>
      <c r="F15" s="2" t="n">
        <f aca="false">IF(ISBLANK(INDEX(Results_Long!$O$2:$O$37,MATCH("G8|panel_field|1_fin/acc/econ vs 3_mgmt|pairwise_contrast",Results_Long!$AK$2:$AK$37,0))),"—",INDEX(Results_Long!$O$2:$O$37,MATCH("G8|panel_field|1_fin/acc/econ vs 3_mgmt|pairwise_contrast",Results_Long!$AK$2:$AK$37,0)))</f>
        <v>0.663080454476772</v>
      </c>
      <c r="G15" s="2" t="str">
        <f aca="false">IF(INDEX(Results_Long!$N$2:$N$37,MATCH("G8|panel_field|1_fin/acc/econ vs 3_mgmt|pairwise_contrast",Results_Long!$AK$2:$AK$37,0))&lt;5,"df &lt; 5 — descriptive","")</f>
        <v/>
      </c>
    </row>
    <row r="16" customFormat="false" ht="15" hidden="false" customHeight="false" outlineLevel="0" collapsed="false">
      <c r="A16" s="2" t="s">
        <v>235</v>
      </c>
      <c r="B16" s="8" t="n">
        <f aca="false">IF(ISBLANK(INDEX(Results_Long!$K$2:$K$37,MATCH("G8|panel_field|2_sust vs 3_mgmt|pairwise_contrast",Results_Long!$AK$2:$AK$37,0))),"—",INDEX(Results_Long!$K$2:$K$37,MATCH("G8|panel_field|2_sust vs 3_mgmt|pairwise_contrast",Results_Long!$AK$2:$AK$37,0)))</f>
        <v>-0.0377423528935835</v>
      </c>
      <c r="C16" s="6" t="str">
        <f aca="false">IF(ISBLANK(INDEX(Results_Long!$P$2:$P$37,MATCH("G8|panel_field|2_sust vs 3_mgmt|pairwise_contrast",Results_Long!$AK$2:$AK$37,0))),"—",INDEX(Results_Long!$P$2:$P$37,MATCH("G8|panel_field|2_sust vs 3_mgmt|pairwise_contrast",Results_Long!$AK$2:$AK$37,0)))</f>
        <v>—</v>
      </c>
      <c r="D16" s="6" t="str">
        <f aca="false">IF(ISBLANK(INDEX(Results_Long!$Q$2:$Q$37,MATCH("G8|panel_field|2_sust vs 3_mgmt|pairwise_contrast",Results_Long!$AK$2:$AK$37,0))),"—",INDEX(Results_Long!$Q$2:$Q$37,MATCH("G8|panel_field|2_sust vs 3_mgmt|pairwise_contrast",Results_Long!$AK$2:$AK$37,0)))</f>
        <v>—</v>
      </c>
      <c r="E16" s="7" t="n">
        <f aca="false">IF(ISBLANK(INDEX(Results_Long!$N$2:$N$37,MATCH("G8|panel_field|2_sust vs 3_mgmt|pairwise_contrast",Results_Long!$AK$2:$AK$37,0))),"—",INDEX(Results_Long!$N$2:$N$37,MATCH("G8|panel_field|2_sust vs 3_mgmt|pairwise_contrast",Results_Long!$AK$2:$AK$37,0)))</f>
        <v>27.7404185406412</v>
      </c>
      <c r="F16" s="2" t="n">
        <f aca="false">IF(ISBLANK(INDEX(Results_Long!$O$2:$O$37,MATCH("G8|panel_field|2_sust vs 3_mgmt|pairwise_contrast",Results_Long!$AK$2:$AK$37,0))),"—",INDEX(Results_Long!$O$2:$O$37,MATCH("G8|panel_field|2_sust vs 3_mgmt|pairwise_contrast",Results_Long!$AK$2:$AK$37,0)))</f>
        <v>0.445992229140249</v>
      </c>
      <c r="G16" s="2" t="str">
        <f aca="false">IF(INDEX(Results_Long!$N$2:$N$37,MATCH("G8|panel_field|2_sust vs 3_mgmt|pairwise_contrast",Results_Long!$AK$2:$AK$37,0))&lt;5,"df &lt; 5 — descriptive","")</f>
        <v/>
      </c>
    </row>
    <row r="18" customFormat="false" ht="15" hidden="false" customHeight="false" outlineLevel="0" collapsed="false">
      <c r="A18" s="1" t="s">
        <v>188</v>
      </c>
    </row>
    <row r="19" customFormat="false" ht="35.05" hidden="false" customHeight="false" outlineLevel="0" collapsed="false">
      <c r="A19" s="4" t="s">
        <v>236</v>
      </c>
    </row>
    <row r="20" customFormat="false" ht="68.65" hidden="false" customHeight="false" outlineLevel="0" collapsed="false">
      <c r="A20" s="4" t="s">
        <v>237</v>
      </c>
    </row>
    <row r="22" customFormat="false" ht="15" hidden="false" customHeight="false" outlineLevel="0" collapsed="false">
      <c r="A22" s="1" t="s">
        <v>192</v>
      </c>
    </row>
    <row r="23" customFormat="false" ht="15" hidden="false" customHeight="false" outlineLevel="0" collapsed="false">
      <c r="A23" s="3" t="s">
        <v>193</v>
      </c>
      <c r="B23" s="3" t="s">
        <v>194</v>
      </c>
    </row>
    <row r="24" customFormat="false" ht="180.55" hidden="false" customHeight="false" outlineLevel="0" collapsed="false">
      <c r="A24" s="4" t="s">
        <v>238</v>
      </c>
      <c r="B24" s="4" t="s">
        <v>239</v>
      </c>
    </row>
    <row r="26" customFormat="false" ht="15" hidden="false" customHeight="false" outlineLevel="0" collapsed="false">
      <c r="A26" s="1" t="s">
        <v>199</v>
      </c>
    </row>
    <row r="27" customFormat="false" ht="15" hidden="false" customHeight="false" outlineLevel="0" collapsed="false">
      <c r="A27" s="3" t="s">
        <v>193</v>
      </c>
      <c r="B27" s="3" t="s">
        <v>194</v>
      </c>
    </row>
    <row r="28" customFormat="false" ht="68.65" hidden="false" customHeight="false" outlineLevel="0" collapsed="false">
      <c r="A28" s="4" t="s">
        <v>240</v>
      </c>
      <c r="B28" s="4" t="s">
        <v>241</v>
      </c>
    </row>
    <row r="30" customFormat="false" ht="57.45" hidden="false" customHeight="false" outlineLevel="0" collapsed="false">
      <c r="A30" s="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2" t="s">
        <v>244</v>
      </c>
    </row>
    <row r="3" customFormat="false" ht="15" hidden="false" customHeight="false" outlineLevel="0" collapsed="false">
      <c r="A3" s="2" t="s">
        <v>205</v>
      </c>
    </row>
    <row r="5" customFormat="false" ht="15" hidden="false" customHeight="false" outlineLevel="0" collapsed="false">
      <c r="A5" s="3" t="s">
        <v>206</v>
      </c>
      <c r="B5" s="3" t="s">
        <v>171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</row>
    <row r="6" customFormat="false" ht="15" hidden="false" customHeight="false" outlineLevel="0" collapsed="false">
      <c r="A6" s="2" t="s">
        <v>245</v>
      </c>
      <c r="B6" s="5" t="n">
        <f aca="false">IF(ISBLANK(INDEX(Results_Long!$H$2:$H$37,MATCH("G9|panel_es_measure|partial|cell_mean",Results_Long!$AK$2:$AK$37,0))),"—",INDEX(Results_Long!$H$2:$H$37,MATCH("G9|panel_es_measure|partial|cell_mean",Results_Long!$AK$2:$AK$37,0)))</f>
        <v>2607</v>
      </c>
      <c r="C6" s="5" t="n">
        <f aca="false">IF(ISBLANK(INDEX(Results_Long!$J$2:$J$37,MATCH("G9|panel_es_measure|partial|cell_mean",Results_Long!$AK$2:$AK$37,0))),"—",INDEX(Results_Long!$J$2:$J$37,MATCH("G9|panel_es_measure|partial|cell_mean",Results_Long!$AK$2:$AK$37,0)))</f>
        <v>113</v>
      </c>
      <c r="D6" s="6" t="n">
        <f aca="false">IF(ISBLANK(INDEX(Results_Long!$K$2:$K$37,MATCH("G9|panel_es_measure|partial|cell_mean",Results_Long!$AK$2:$AK$37,0))),"—",INDEX(Results_Long!$K$2:$K$37,MATCH("G9|panel_es_measure|partial|cell_mean",Results_Long!$AK$2:$AK$37,0)))</f>
        <v>-0.062212217606833</v>
      </c>
      <c r="E6" s="6" t="n">
        <f aca="false">IF(ISBLANK(INDEX(Results_Long!$P$2:$P$37,MATCH("G9|panel_es_measure|partial|cell_mean",Results_Long!$AK$2:$AK$37,0))),"—",INDEX(Results_Long!$P$2:$P$37,MATCH("G9|panel_es_measure|partial|cell_mean",Results_Long!$AK$2:$AK$37,0)))</f>
        <v>-0.0900956662660865</v>
      </c>
      <c r="F6" s="6" t="n">
        <f aca="false">IF(ISBLANK(INDEX(Results_Long!$Q$2:$Q$37,MATCH("G9|panel_es_measure|partial|cell_mean",Results_Long!$AK$2:$AK$37,0))),"—",INDEX(Results_Long!$Q$2:$Q$37,MATCH("G9|panel_es_measure|partial|cell_mean",Results_Long!$AK$2:$AK$37,0)))</f>
        <v>-0.0343287689475796</v>
      </c>
      <c r="G6" s="6" t="n">
        <f aca="false">IF(ISBLANK(INDEX(Results_Long!$T$2:$T$37,MATCH("G9|panel_es_measure|partial|cell_mean",Results_Long!$AK$2:$AK$37,0))),"—",INDEX(Results_Long!$T$2:$T$37,MATCH("G9|panel_es_measure|partial|cell_mean",Results_Long!$AK$2:$AK$37,0)))</f>
        <v>-0.0621320804418342</v>
      </c>
      <c r="H6" s="6" t="n">
        <f aca="false">IF(ISBLANK(INDEX(Results_Long!$U$2:$U$37,MATCH("G9|panel_es_measure|partial|cell_mean",Results_Long!$AK$2:$AK$37,0))),"—",INDEX(Results_Long!$U$2:$U$37,MATCH("G9|panel_es_measure|partial|cell_mean",Results_Long!$AK$2:$AK$37,0)))</f>
        <v>-0.0898526794666772</v>
      </c>
      <c r="I6" s="6" t="n">
        <f aca="false">IF(ISBLANK(INDEX(Results_Long!$V$2:$V$37,MATCH("G9|panel_es_measure|partial|cell_mean",Results_Long!$AK$2:$AK$37,0))),"—",INDEX(Results_Long!$V$2:$V$37,MATCH("G9|panel_es_measure|partial|cell_mean",Results_Long!$AK$2:$AK$37,0)))</f>
        <v>-0.0343152902241133</v>
      </c>
      <c r="J6" s="7" t="n">
        <f aca="false">IF(ISBLANK(INDEX(Results_Long!$N$2:$N$37,MATCH("G9|panel_es_measure|partial|cell_mean",Results_Long!$AK$2:$AK$37,0))),"—",INDEX(Results_Long!$N$2:$N$37,MATCH("G9|panel_es_measure|partial|cell_mean",Results_Long!$AK$2:$AK$37,0)))</f>
        <v>111.422887400499</v>
      </c>
      <c r="K6" s="2" t="n">
        <f aca="false">IF(ISBLANK(INDEX(Results_Long!$O$2:$O$37,MATCH("G9|panel_es_measure|partial|cell_mean",Results_Long!$AK$2:$AK$37,0))),"—",INDEX(Results_Long!$O$2:$O$37,MATCH("G9|panel_es_measure|partial|cell_mean",Results_Long!$AK$2:$AK$37,0)))</f>
        <v>2.2933588976173E-005</v>
      </c>
    </row>
    <row r="7" customFormat="false" ht="15" hidden="false" customHeight="false" outlineLevel="0" collapsed="false">
      <c r="A7" s="2" t="s">
        <v>246</v>
      </c>
      <c r="B7" s="5" t="n">
        <f aca="false">IF(ISBLANK(INDEX(Results_Long!$H$2:$H$37,MATCH("G9|panel_es_measure|bivariate|cell_mean",Results_Long!$AK$2:$AK$37,0))),"—",INDEX(Results_Long!$H$2:$H$37,MATCH("G9|panel_es_measure|bivariate|cell_mean",Results_Long!$AK$2:$AK$37,0)))</f>
        <v>106</v>
      </c>
      <c r="C7" s="5" t="n">
        <f aca="false">IF(ISBLANK(INDEX(Results_Long!$J$2:$J$37,MATCH("G9|panel_es_measure|bivariate|cell_mean",Results_Long!$AK$2:$AK$37,0))),"—",INDEX(Results_Long!$J$2:$J$37,MATCH("G9|panel_es_measure|bivariate|cell_mean",Results_Long!$AK$2:$AK$37,0)))</f>
        <v>53</v>
      </c>
      <c r="D7" s="6" t="n">
        <f aca="false">IF(ISBLANK(INDEX(Results_Long!$K$2:$K$37,MATCH("G9|panel_es_measure|bivariate|cell_mean",Results_Long!$AK$2:$AK$37,0))),"—",INDEX(Results_Long!$K$2:$K$37,MATCH("G9|panel_es_measure|bivariate|cell_mean",Results_Long!$AK$2:$AK$37,0)))</f>
        <v>-0.0259059366926458</v>
      </c>
      <c r="E7" s="6" t="n">
        <f aca="false">IF(ISBLANK(INDEX(Results_Long!$P$2:$P$37,MATCH("G9|panel_es_measure|bivariate|cell_mean",Results_Long!$AK$2:$AK$37,0))),"—",INDEX(Results_Long!$P$2:$P$37,MATCH("G9|panel_es_measure|bivariate|cell_mean",Results_Long!$AK$2:$AK$37,0)))</f>
        <v>-0.0855980367107051</v>
      </c>
      <c r="F7" s="6" t="n">
        <f aca="false">IF(ISBLANK(INDEX(Results_Long!$Q$2:$Q$37,MATCH("G9|panel_es_measure|bivariate|cell_mean",Results_Long!$AK$2:$AK$37,0))),"—",INDEX(Results_Long!$Q$2:$Q$37,MATCH("G9|panel_es_measure|bivariate|cell_mean",Results_Long!$AK$2:$AK$37,0)))</f>
        <v>0.0337861633254135</v>
      </c>
      <c r="G7" s="6" t="n">
        <f aca="false">IF(ISBLANK(INDEX(Results_Long!$T$2:$T$37,MATCH("G9|panel_es_measure|bivariate|cell_mean",Results_Long!$AK$2:$AK$37,0))),"—",INDEX(Results_Long!$T$2:$T$37,MATCH("G9|panel_es_measure|bivariate|cell_mean",Results_Long!$AK$2:$AK$37,0)))</f>
        <v>-0.0259001429383179</v>
      </c>
      <c r="H7" s="6" t="n">
        <f aca="false">IF(ISBLANK(INDEX(Results_Long!$U$2:$U$37,MATCH("G9|panel_es_measure|bivariate|cell_mean",Results_Long!$AK$2:$AK$37,0))),"—",INDEX(Results_Long!$U$2:$U$37,MATCH("G9|panel_es_measure|bivariate|cell_mean",Results_Long!$AK$2:$AK$37,0)))</f>
        <v>-0.0853895879929546</v>
      </c>
      <c r="I7" s="6" t="n">
        <f aca="false">IF(ISBLANK(INDEX(Results_Long!$V$2:$V$37,MATCH("G9|panel_es_measure|bivariate|cell_mean",Results_Long!$AK$2:$AK$37,0))),"—",INDEX(Results_Long!$V$2:$V$37,MATCH("G9|panel_es_measure|bivariate|cell_mean",Results_Long!$AK$2:$AK$37,0)))</f>
        <v>0.033773313503069</v>
      </c>
      <c r="J7" s="7" t="n">
        <f aca="false">IF(ISBLANK(INDEX(Results_Long!$N$2:$N$37,MATCH("G9|panel_es_measure|bivariate|cell_mean",Results_Long!$AK$2:$AK$37,0))),"—",INDEX(Results_Long!$N$2:$N$37,MATCH("G9|panel_es_measure|bivariate|cell_mean",Results_Long!$AK$2:$AK$37,0)))</f>
        <v>80.9803552763708</v>
      </c>
      <c r="K7" s="2" t="n">
        <f aca="false">IF(ISBLANK(INDEX(Results_Long!$O$2:$O$37,MATCH("G9|panel_es_measure|bivariate|cell_mean",Results_Long!$AK$2:$AK$37,0))),"—",INDEX(Results_Long!$O$2:$O$37,MATCH("G9|panel_es_measure|bivariate|cell_mean",Results_Long!$AK$2:$AK$37,0)))</f>
        <v>0.390406097945211</v>
      </c>
    </row>
    <row r="9" customFormat="false" ht="15" hidden="false" customHeight="false" outlineLevel="0" collapsed="false">
      <c r="A9" s="3" t="s">
        <v>210</v>
      </c>
      <c r="B9" s="3" t="s">
        <v>180</v>
      </c>
      <c r="C9" s="3" t="s">
        <v>181</v>
      </c>
      <c r="D9" s="3" t="s">
        <v>211</v>
      </c>
    </row>
    <row r="10" customFormat="false" ht="46.25" hidden="false" customHeight="false" outlineLevel="0" collapsed="false">
      <c r="A10" s="2" t="s">
        <v>212</v>
      </c>
      <c r="B10" s="7" t="n">
        <f aca="false">IF(ISBLANK(INDEX(Results_Long!$N$2:$N$37,MATCH("G9|panel_es_measure|panel|HTZ_omnibus",Results_Long!$AK$2:$AK$37,0))),"—",INDEX(Results_Long!$N$2:$N$37,MATCH("G9|panel_es_measure|panel|HTZ_omnibus",Results_Long!$AK$2:$AK$37,0)))</f>
        <v>36.8971538752436</v>
      </c>
      <c r="C10" s="2" t="n">
        <f aca="false">IF(ISBLANK(INDEX(Results_Long!$O$2:$O$37,MATCH("G9|panel_es_measure|panel|HTZ_omnibus",Results_Long!$AK$2:$AK$37,0))),"—",INDEX(Results_Long!$O$2:$O$37,MATCH("G9|panel_es_measure|panel|HTZ_omnibus",Results_Long!$AK$2:$AK$37,0)))</f>
        <v>0.218051814404661</v>
      </c>
      <c r="D10" s="4" t="str">
        <f aca="false">IF(ISBLANK(INDEX(Results_Long!$AJ$2:$AJ$37,MATCH("G9|panel_es_measure|panel|HTZ_omnibus",Results_Long!$AK$2:$AK$37,0))),"—",INDEX(Results_Long!$AJ$2:$AJ$37,MATCH("G9|panel_es_measure|panel|HTZ_omnibus",Results_Long!$AK$2:$AK$37,0)))</f>
        <v>F=1.5703, df_num=1.0; descriptive [DEC-047]</v>
      </c>
    </row>
    <row r="12" customFormat="false" ht="15" hidden="false" customHeight="false" outlineLevel="0" collapsed="false">
      <c r="A12" s="3" t="s">
        <v>213</v>
      </c>
      <c r="B12" s="3" t="s">
        <v>214</v>
      </c>
      <c r="C12" s="3" t="s">
        <v>175</v>
      </c>
      <c r="D12" s="3" t="s">
        <v>176</v>
      </c>
      <c r="E12" s="3" t="s">
        <v>180</v>
      </c>
      <c r="F12" s="3" t="s">
        <v>181</v>
      </c>
      <c r="G12" s="3" t="s">
        <v>215</v>
      </c>
    </row>
    <row r="13" customFormat="false" ht="15" hidden="false" customHeight="false" outlineLevel="0" collapsed="false">
      <c r="A13" s="2" t="s">
        <v>247</v>
      </c>
      <c r="B13" s="8" t="n">
        <f aca="false">IF(ISBLANK(INDEX(Results_Long!$K$2:$K$37,MATCH("G9|panel_es_measure|partial vs bivariate|pairwise_contrast",Results_Long!$AK$2:$AK$37,0))),"—",INDEX(Results_Long!$K$2:$K$37,MATCH("G9|panel_es_measure|partial vs bivariate|pairwise_contrast",Results_Long!$AK$2:$AK$37,0)))</f>
        <v>-0.0363062809141872</v>
      </c>
      <c r="C13" s="6" t="str">
        <f aca="false">IF(ISBLANK(INDEX(Results_Long!$P$2:$P$37,MATCH("G9|panel_es_measure|partial vs bivariate|pairwise_contrast",Results_Long!$AK$2:$AK$37,0))),"—",INDEX(Results_Long!$P$2:$P$37,MATCH("G9|panel_es_measure|partial vs bivariate|pairwise_contrast",Results_Long!$AK$2:$AK$37,0)))</f>
        <v>—</v>
      </c>
      <c r="D13" s="6" t="str">
        <f aca="false">IF(ISBLANK(INDEX(Results_Long!$Q$2:$Q$37,MATCH("G9|panel_es_measure|partial vs bivariate|pairwise_contrast",Results_Long!$AK$2:$AK$37,0))),"—",INDEX(Results_Long!$Q$2:$Q$37,MATCH("G9|panel_es_measure|partial vs bivariate|pairwise_contrast",Results_Long!$AK$2:$AK$37,0)))</f>
        <v>—</v>
      </c>
      <c r="E13" s="7" t="n">
        <f aca="false">IF(ISBLANK(INDEX(Results_Long!$N$2:$N$37,MATCH("G9|panel_es_measure|partial vs bivariate|pairwise_contrast",Results_Long!$AK$2:$AK$37,0))),"—",INDEX(Results_Long!$N$2:$N$37,MATCH("G9|panel_es_measure|partial vs bivariate|pairwise_contrast",Results_Long!$AK$2:$AK$37,0)))</f>
        <v>36.8971538752436</v>
      </c>
      <c r="F13" s="2" t="n">
        <f aca="false">IF(ISBLANK(INDEX(Results_Long!$O$2:$O$37,MATCH("G9|panel_es_measure|partial vs bivariate|pairwise_contrast",Results_Long!$AK$2:$AK$37,0))),"—",INDEX(Results_Long!$O$2:$O$37,MATCH("G9|panel_es_measure|partial vs bivariate|pairwise_contrast",Results_Long!$AK$2:$AK$37,0)))</f>
        <v>0.218051814404661</v>
      </c>
      <c r="G13" s="2" t="str">
        <f aca="false">IF(INDEX(Results_Long!$N$2:$N$37,MATCH("G9|panel_es_measure|partial vs bivariate|pairwise_contrast",Results_Long!$AK$2:$AK$37,0))&lt;5,"df &lt; 5 — descriptive","")</f>
        <v/>
      </c>
    </row>
    <row r="15" customFormat="false" ht="15" hidden="false" customHeight="false" outlineLevel="0" collapsed="false">
      <c r="A15" s="1" t="s">
        <v>188</v>
      </c>
    </row>
    <row r="16" customFormat="false" ht="46.25" hidden="false" customHeight="false" outlineLevel="0" collapsed="false">
      <c r="A16" s="4" t="s">
        <v>248</v>
      </c>
    </row>
    <row r="17" customFormat="false" ht="57.45" hidden="false" customHeight="false" outlineLevel="0" collapsed="false">
      <c r="A17" s="4" t="s">
        <v>249</v>
      </c>
    </row>
    <row r="18" customFormat="false" ht="57.45" hidden="false" customHeight="false" outlineLevel="0" collapsed="false">
      <c r="A18" s="4" t="s">
        <v>250</v>
      </c>
    </row>
    <row r="20" customFormat="false" ht="15" hidden="false" customHeight="false" outlineLevel="0" collapsed="false">
      <c r="A20" s="1" t="s">
        <v>192</v>
      </c>
    </row>
    <row r="21" customFormat="false" ht="15" hidden="false" customHeight="false" outlineLevel="0" collapsed="false">
      <c r="A21" s="3" t="s">
        <v>193</v>
      </c>
      <c r="B21" s="3" t="s">
        <v>194</v>
      </c>
    </row>
    <row r="22" customFormat="false" ht="247.75" hidden="false" customHeight="false" outlineLevel="0" collapsed="false">
      <c r="A22" s="4" t="s">
        <v>251</v>
      </c>
      <c r="B22" s="4" t="s">
        <v>252</v>
      </c>
    </row>
    <row r="23" customFormat="false" ht="124.6" hidden="false" customHeight="false" outlineLevel="0" collapsed="false">
      <c r="A23" s="4" t="s">
        <v>253</v>
      </c>
      <c r="B23" s="4" t="s">
        <v>254</v>
      </c>
    </row>
    <row r="25" customFormat="false" ht="15" hidden="false" customHeight="false" outlineLevel="0" collapsed="false">
      <c r="A25" s="1" t="s">
        <v>199</v>
      </c>
    </row>
    <row r="26" customFormat="false" ht="15" hidden="false" customHeight="false" outlineLevel="0" collapsed="false">
      <c r="A26" s="3" t="s">
        <v>193</v>
      </c>
      <c r="B26" s="3" t="s">
        <v>194</v>
      </c>
    </row>
    <row r="27" customFormat="false" ht="292.5" hidden="false" customHeight="false" outlineLevel="0" collapsed="false">
      <c r="A27" s="4" t="s">
        <v>255</v>
      </c>
      <c r="B27" s="4" t="s">
        <v>256</v>
      </c>
    </row>
    <row r="29" customFormat="false" ht="68.65" hidden="false" customHeight="false" outlineLevel="0" collapsed="false">
      <c r="A29" s="9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3" customFormat="false" ht="15" hidden="false" customHeight="false" outlineLevel="0" collapsed="false">
      <c r="A3" s="2" t="s">
        <v>260</v>
      </c>
    </row>
    <row r="5" customFormat="false" ht="15" hidden="false" customHeight="false" outlineLevel="0" collapsed="false">
      <c r="A5" s="3" t="s">
        <v>206</v>
      </c>
      <c r="B5" s="3" t="s">
        <v>171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</row>
    <row r="6" customFormat="false" ht="15" hidden="false" customHeight="false" outlineLevel="0" collapsed="false">
      <c r="A6" s="2" t="s">
        <v>261</v>
      </c>
      <c r="B6" s="5" t="n">
        <f aca="false">IF(ISBLANK(INDEX(Results_Long!$H$2:$H$37,MATCH("G10|panel_es_method|computed|cell_mean",Results_Long!$AK$2:$AK$37,0))),"—",INDEX(Results_Long!$H$2:$H$37,MATCH("G10|panel_es_method|computed|cell_mean",Results_Long!$AK$2:$AK$37,0)))</f>
        <v>2300</v>
      </c>
      <c r="C6" s="5" t="n">
        <f aca="false">IF(ISBLANK(INDEX(Results_Long!$J$2:$J$37,MATCH("G10|panel_es_method|computed|cell_mean",Results_Long!$AK$2:$AK$37,0))),"—",INDEX(Results_Long!$J$2:$J$37,MATCH("G10|panel_es_method|computed|cell_mean",Results_Long!$AK$2:$AK$37,0)))</f>
        <v>104</v>
      </c>
      <c r="D6" s="6" t="n">
        <f aca="false">IF(ISBLANK(INDEX(Results_Long!$K$2:$K$37,MATCH("G10|panel_es_method|computed|cell_mean",Results_Long!$AK$2:$AK$37,0))),"—",INDEX(Results_Long!$K$2:$K$37,MATCH("G10|panel_es_method|computed|cell_mean",Results_Long!$AK$2:$AK$37,0)))</f>
        <v>-0.0579749107953942</v>
      </c>
      <c r="E6" s="6" t="n">
        <f aca="false">IF(ISBLANK(INDEX(Results_Long!$P$2:$P$37,MATCH("G10|panel_es_method|computed|cell_mean",Results_Long!$AK$2:$AK$37,0))),"—",INDEX(Results_Long!$P$2:$P$37,MATCH("G10|panel_es_method|computed|cell_mean",Results_Long!$AK$2:$AK$37,0)))</f>
        <v>-0.0820504413543003</v>
      </c>
      <c r="F6" s="6" t="n">
        <f aca="false">IF(ISBLANK(INDEX(Results_Long!$Q$2:$Q$37,MATCH("G10|panel_es_method|computed|cell_mean",Results_Long!$AK$2:$AK$37,0))),"—",INDEX(Results_Long!$Q$2:$Q$37,MATCH("G10|panel_es_method|computed|cell_mean",Results_Long!$AK$2:$AK$37,0)))</f>
        <v>-0.0338993802364882</v>
      </c>
      <c r="G6" s="6" t="n">
        <f aca="false">IF(ISBLANK(INDEX(Results_Long!$T$2:$T$37,MATCH("G10|panel_es_method|computed|cell_mean",Results_Long!$AK$2:$AK$37,0))),"—",INDEX(Results_Long!$T$2:$T$37,MATCH("G10|panel_es_method|computed|cell_mean",Results_Long!$AK$2:$AK$37,0)))</f>
        <v>-0.0579100450321204</v>
      </c>
      <c r="H6" s="6" t="n">
        <f aca="false">IF(ISBLANK(INDEX(Results_Long!$U$2:$U$37,MATCH("G10|panel_es_method|computed|cell_mean",Results_Long!$AK$2:$AK$37,0))),"—",INDEX(Results_Long!$U$2:$U$37,MATCH("G10|panel_es_method|computed|cell_mean",Results_Long!$AK$2:$AK$37,0)))</f>
        <v>-0.0818668071391831</v>
      </c>
      <c r="I6" s="6" t="n">
        <f aca="false">IF(ISBLANK(INDEX(Results_Long!$V$2:$V$37,MATCH("G10|panel_es_method|computed|cell_mean",Results_Long!$AK$2:$AK$37,0))),"—",INDEX(Results_Long!$V$2:$V$37,MATCH("G10|panel_es_method|computed|cell_mean",Results_Long!$AK$2:$AK$37,0)))</f>
        <v>-0.0338864008418828</v>
      </c>
      <c r="J6" s="7" t="n">
        <f aca="false">IF(ISBLANK(INDEX(Results_Long!$N$2:$N$37,MATCH("G10|panel_es_method|computed|cell_mean",Results_Long!$AK$2:$AK$37,0))),"—",INDEX(Results_Long!$N$2:$N$37,MATCH("G10|panel_es_method|computed|cell_mean",Results_Long!$AK$2:$AK$37,0)))</f>
        <v>110.433636687183</v>
      </c>
      <c r="K6" s="2" t="n">
        <f aca="false">IF(ISBLANK(INDEX(Results_Long!$O$2:$O$37,MATCH("G10|panel_es_method|computed|cell_mean",Results_Long!$AK$2:$AK$37,0))),"—",INDEX(Results_Long!$O$2:$O$37,MATCH("G10|panel_es_method|computed|cell_mean",Results_Long!$AK$2:$AK$37,0)))</f>
        <v>5.62515949951694E-006</v>
      </c>
    </row>
    <row r="7" customFormat="false" ht="15" hidden="false" customHeight="false" outlineLevel="0" collapsed="false">
      <c r="A7" s="2" t="s">
        <v>246</v>
      </c>
      <c r="B7" s="5" t="n">
        <f aca="false">IF(ISBLANK(INDEX(Results_Long!$H$2:$H$37,MATCH("G10|panel_es_method|bivariate|cell_mean",Results_Long!$AK$2:$AK$37,0))),"—",INDEX(Results_Long!$H$2:$H$37,MATCH("G10|panel_es_method|bivariate|cell_mean",Results_Long!$AK$2:$AK$37,0)))</f>
        <v>104</v>
      </c>
      <c r="C7" s="5" t="n">
        <f aca="false">IF(ISBLANK(INDEX(Results_Long!$J$2:$J$37,MATCH("G10|panel_es_method|bivariate|cell_mean",Results_Long!$AK$2:$AK$37,0))),"—",INDEX(Results_Long!$J$2:$J$37,MATCH("G10|panel_es_method|bivariate|cell_mean",Results_Long!$AK$2:$AK$37,0)))</f>
        <v>52</v>
      </c>
      <c r="D7" s="6" t="n">
        <f aca="false">IF(ISBLANK(INDEX(Results_Long!$K$2:$K$37,MATCH("G10|panel_es_method|bivariate|cell_mean",Results_Long!$AK$2:$AK$37,0))),"—",INDEX(Results_Long!$K$2:$K$37,MATCH("G10|panel_es_method|bivariate|cell_mean",Results_Long!$AK$2:$AK$37,0)))</f>
        <v>-0.0219972831036286</v>
      </c>
      <c r="E7" s="6" t="n">
        <f aca="false">IF(ISBLANK(INDEX(Results_Long!$P$2:$P$37,MATCH("G10|panel_es_method|bivariate|cell_mean",Results_Long!$AK$2:$AK$37,0))),"—",INDEX(Results_Long!$P$2:$P$37,MATCH("G10|panel_es_method|bivariate|cell_mean",Results_Long!$AK$2:$AK$37,0)))</f>
        <v>-0.0817601461167154</v>
      </c>
      <c r="F7" s="6" t="n">
        <f aca="false">IF(ISBLANK(INDEX(Results_Long!$Q$2:$Q$37,MATCH("G10|panel_es_method|bivariate|cell_mean",Results_Long!$AK$2:$AK$37,0))),"—",INDEX(Results_Long!$Q$2:$Q$37,MATCH("G10|panel_es_method|bivariate|cell_mean",Results_Long!$AK$2:$AK$37,0)))</f>
        <v>0.0377655799094582</v>
      </c>
      <c r="G7" s="6" t="n">
        <f aca="false">IF(ISBLANK(INDEX(Results_Long!$T$2:$T$37,MATCH("G10|panel_es_method|bivariate|cell_mean",Results_Long!$AK$2:$AK$37,0))),"—",INDEX(Results_Long!$T$2:$T$37,MATCH("G10|panel_es_method|bivariate|cell_mean",Results_Long!$AK$2:$AK$37,0)))</f>
        <v>-0.021993735771703</v>
      </c>
      <c r="H7" s="6" t="n">
        <f aca="false">IF(ISBLANK(INDEX(Results_Long!$U$2:$U$37,MATCH("G10|panel_es_method|bivariate|cell_mean",Results_Long!$AK$2:$AK$37,0))),"—",INDEX(Results_Long!$U$2:$U$37,MATCH("G10|panel_es_method|bivariate|cell_mean",Results_Long!$AK$2:$AK$37,0)))</f>
        <v>-0.0815784506659757</v>
      </c>
      <c r="I7" s="6" t="n">
        <f aca="false">IF(ISBLANK(INDEX(Results_Long!$V$2:$V$37,MATCH("G10|panel_es_method|bivariate|cell_mean",Results_Long!$AK$2:$AK$37,0))),"—",INDEX(Results_Long!$V$2:$V$37,MATCH("G10|panel_es_method|bivariate|cell_mean",Results_Long!$AK$2:$AK$37,0)))</f>
        <v>0.0377476358984007</v>
      </c>
      <c r="J7" s="7" t="n">
        <f aca="false">IF(ISBLANK(INDEX(Results_Long!$N$2:$N$37,MATCH("G10|panel_es_method|bivariate|cell_mean",Results_Long!$AK$2:$AK$37,0))),"—",INDEX(Results_Long!$N$2:$N$37,MATCH("G10|panel_es_method|bivariate|cell_mean",Results_Long!$AK$2:$AK$37,0)))</f>
        <v>79.9035323417947</v>
      </c>
      <c r="K7" s="2" t="n">
        <f aca="false">IF(ISBLANK(INDEX(Results_Long!$O$2:$O$37,MATCH("G10|panel_es_method|bivariate|cell_mean",Results_Long!$AK$2:$AK$37,0))),"—",INDEX(Results_Long!$O$2:$O$37,MATCH("G10|panel_es_method|bivariate|cell_mean",Results_Long!$AK$2:$AK$37,0)))</f>
        <v>0.466001647545973</v>
      </c>
    </row>
    <row r="8" customFormat="false" ht="15" hidden="false" customHeight="false" outlineLevel="0" collapsed="false">
      <c r="A8" s="2" t="s">
        <v>262</v>
      </c>
      <c r="B8" s="5" t="n">
        <f aca="false">IF(ISBLANK(INDEX(Results_Long!$H$2:$H$37,MATCH("G10|panel_es_method|star-bound|cell_mean",Results_Long!$AK$2:$AK$37,0))),"—",INDEX(Results_Long!$H$2:$H$37,MATCH("G10|panel_es_method|star-bound|cell_mean",Results_Long!$AK$2:$AK$37,0)))</f>
        <v>99</v>
      </c>
      <c r="C8" s="5" t="n">
        <f aca="false">IF(ISBLANK(INDEX(Results_Long!$J$2:$J$37,MATCH("G10|panel_es_method|star-bound|cell_mean",Results_Long!$AK$2:$AK$37,0))),"—",INDEX(Results_Long!$J$2:$J$37,MATCH("G10|panel_es_method|star-bound|cell_mean",Results_Long!$AK$2:$AK$37,0)))</f>
        <v>11</v>
      </c>
      <c r="D8" s="6" t="n">
        <f aca="false">IF(ISBLANK(INDEX(Results_Long!$K$2:$K$37,MATCH("G10|panel_es_method|star-bound|cell_mean",Results_Long!$AK$2:$AK$37,0))),"—",INDEX(Results_Long!$K$2:$K$37,MATCH("G10|panel_es_method|star-bound|cell_mean",Results_Long!$AK$2:$AK$37,0)))</f>
        <v>-0.0569614554343989</v>
      </c>
      <c r="E8" s="6" t="n">
        <f aca="false">IF(ISBLANK(INDEX(Results_Long!$P$2:$P$37,MATCH("G10|panel_es_method|star-bound|cell_mean",Results_Long!$AK$2:$AK$37,0))),"—",INDEX(Results_Long!$P$2:$P$37,MATCH("G10|panel_es_method|star-bound|cell_mean",Results_Long!$AK$2:$AK$37,0)))</f>
        <v>-0.136877896944538</v>
      </c>
      <c r="F8" s="6" t="n">
        <f aca="false">IF(ISBLANK(INDEX(Results_Long!$Q$2:$Q$37,MATCH("G10|panel_es_method|star-bound|cell_mean",Results_Long!$AK$2:$AK$37,0))),"—",INDEX(Results_Long!$Q$2:$Q$37,MATCH("G10|panel_es_method|star-bound|cell_mean",Results_Long!$AK$2:$AK$37,0)))</f>
        <v>0.02295498607574</v>
      </c>
      <c r="G8" s="6" t="n">
        <f aca="false">IF(ISBLANK(INDEX(Results_Long!$T$2:$T$37,MATCH("G10|panel_es_method|star-bound|cell_mean",Results_Long!$AK$2:$AK$37,0))),"—",INDEX(Results_Long!$T$2:$T$37,MATCH("G10|panel_es_method|star-bound|cell_mean",Results_Long!$AK$2:$AK$37,0)))</f>
        <v>-0.0568999294308848</v>
      </c>
      <c r="H8" s="6" t="n">
        <f aca="false">IF(ISBLANK(INDEX(Results_Long!$U$2:$U$37,MATCH("G10|panel_es_method|star-bound|cell_mean",Results_Long!$AK$2:$AK$37,0))),"—",INDEX(Results_Long!$U$2:$U$37,MATCH("G10|panel_es_method|star-bound|cell_mean",Results_Long!$AK$2:$AK$37,0)))</f>
        <v>-0.136029427044385</v>
      </c>
      <c r="I8" s="6" t="n">
        <f aca="false">IF(ISBLANK(INDEX(Results_Long!$V$2:$V$37,MATCH("G10|panel_es_method|star-bound|cell_mean",Results_Long!$AK$2:$AK$37,0))),"—",INDEX(Results_Long!$V$2:$V$37,MATCH("G10|panel_es_method|star-bound|cell_mean",Results_Long!$AK$2:$AK$37,0)))</f>
        <v>0.0229509550244987</v>
      </c>
      <c r="J8" s="7" t="n">
        <f aca="false">IF(ISBLANK(INDEX(Results_Long!$N$2:$N$37,MATCH("G10|panel_es_method|star-bound|cell_mean",Results_Long!$AK$2:$AK$37,0))),"—",INDEX(Results_Long!$N$2:$N$37,MATCH("G10|panel_es_method|star-bound|cell_mean",Results_Long!$AK$2:$AK$37,0)))</f>
        <v>7.87231627815642</v>
      </c>
      <c r="K8" s="2" t="n">
        <f aca="false">IF(ISBLANK(INDEX(Results_Long!$O$2:$O$37,MATCH("G10|panel_es_method|star-bound|cell_mean",Results_Long!$AK$2:$AK$37,0))),"—",INDEX(Results_Long!$O$2:$O$37,MATCH("G10|panel_es_method|star-bound|cell_mean",Results_Long!$AK$2:$AK$37,0)))</f>
        <v>0.138519023774995</v>
      </c>
    </row>
    <row r="9" customFormat="false" ht="15" hidden="false" customHeight="false" outlineLevel="0" collapsed="false">
      <c r="A9" s="2" t="s">
        <v>263</v>
      </c>
      <c r="B9" s="5" t="n">
        <f aca="false">IF(ISBLANK(INDEX(Results_Long!$H$2:$H$37,MATCH("G10|panel_es_method|v10-adopted|cell_mean",Results_Long!$AK$2:$AK$37,0))),"—",INDEX(Results_Long!$H$2:$H$37,MATCH("G10|panel_es_method|v10-adopted|cell_mean",Results_Long!$AK$2:$AK$37,0)))</f>
        <v>210</v>
      </c>
      <c r="C9" s="5" t="n">
        <f aca="false">IF(ISBLANK(INDEX(Results_Long!$J$2:$J$37,MATCH("G10|panel_es_method|v10-adopted|cell_mean",Results_Long!$AK$2:$AK$37,0))),"—",INDEX(Results_Long!$J$2:$J$37,MATCH("G10|panel_es_method|v10-adopted|cell_mean",Results_Long!$AK$2:$AK$37,0)))</f>
        <v>29</v>
      </c>
      <c r="D9" s="6" t="n">
        <f aca="false">IF(ISBLANK(INDEX(Results_Long!$K$2:$K$37,MATCH("G10|panel_es_method|v10-adopted|cell_mean",Results_Long!$AK$2:$AK$37,0))),"—",INDEX(Results_Long!$K$2:$K$37,MATCH("G10|panel_es_method|v10-adopted|cell_mean",Results_Long!$AK$2:$AK$37,0)))</f>
        <v>-0.0953523169930491</v>
      </c>
      <c r="E9" s="6" t="n">
        <f aca="false">IF(ISBLANK(INDEX(Results_Long!$P$2:$P$37,MATCH("G10|panel_es_method|v10-adopted|cell_mean",Results_Long!$AK$2:$AK$37,0))),"—",INDEX(Results_Long!$P$2:$P$37,MATCH("G10|panel_es_method|v10-adopted|cell_mean",Results_Long!$AK$2:$AK$37,0)))</f>
        <v>-0.191224925046965</v>
      </c>
      <c r="F9" s="6" t="n">
        <f aca="false">IF(ISBLANK(INDEX(Results_Long!$Q$2:$Q$37,MATCH("G10|panel_es_method|v10-adopted|cell_mean",Results_Long!$AK$2:$AK$37,0))),"—",INDEX(Results_Long!$Q$2:$Q$37,MATCH("G10|panel_es_method|v10-adopted|cell_mean",Results_Long!$AK$2:$AK$37,0)))</f>
        <v>0.0005202910608668</v>
      </c>
      <c r="G9" s="6" t="n">
        <f aca="false">IF(ISBLANK(INDEX(Results_Long!$T$2:$T$37,MATCH("G10|panel_es_method|v10-adopted|cell_mean",Results_Long!$AK$2:$AK$37,0))),"—",INDEX(Results_Long!$T$2:$T$37,MATCH("G10|panel_es_method|v10-adopted|cell_mean",Results_Long!$AK$2:$AK$37,0)))</f>
        <v>-0.0950643809866135</v>
      </c>
      <c r="H9" s="6" t="n">
        <f aca="false">IF(ISBLANK(INDEX(Results_Long!$U$2:$U$37,MATCH("G10|panel_es_method|v10-adopted|cell_mean",Results_Long!$AK$2:$AK$37,0))),"—",INDEX(Results_Long!$U$2:$U$37,MATCH("G10|panel_es_method|v10-adopted|cell_mean",Results_Long!$AK$2:$AK$37,0)))</f>
        <v>-0.18892768167507</v>
      </c>
      <c r="I9" s="6" t="n">
        <f aca="false">IF(ISBLANK(INDEX(Results_Long!$V$2:$V$37,MATCH("G10|panel_es_method|v10-adopted|cell_mean",Results_Long!$AK$2:$AK$37,0))),"—",INDEX(Results_Long!$V$2:$V$37,MATCH("G10|panel_es_method|v10-adopted|cell_mean",Results_Long!$AK$2:$AK$37,0)))</f>
        <v>0.0005202910139187</v>
      </c>
      <c r="J9" s="7" t="n">
        <f aca="false">IF(ISBLANK(INDEX(Results_Long!$N$2:$N$37,MATCH("G10|panel_es_method|v10-adopted|cell_mean",Results_Long!$AK$2:$AK$37,0))),"—",INDEX(Results_Long!$N$2:$N$37,MATCH("G10|panel_es_method|v10-adopted|cell_mean",Results_Long!$AK$2:$AK$37,0)))</f>
        <v>51.2825401706644</v>
      </c>
      <c r="K9" s="2" t="n">
        <f aca="false">IF(ISBLANK(INDEX(Results_Long!$O$2:$O$37,MATCH("G10|panel_es_method|v10-adopted|cell_mean",Results_Long!$AK$2:$AK$37,0))),"—",INDEX(Results_Long!$O$2:$O$37,MATCH("G10|panel_es_method|v10-adopted|cell_mean",Results_Long!$AK$2:$AK$37,0)))</f>
        <v>0.0512099652286971</v>
      </c>
    </row>
    <row r="11" customFormat="false" ht="15" hidden="false" customHeight="false" outlineLevel="0" collapsed="false">
      <c r="A11" s="3" t="s">
        <v>210</v>
      </c>
      <c r="B11" s="3" t="s">
        <v>180</v>
      </c>
      <c r="C11" s="3" t="s">
        <v>181</v>
      </c>
      <c r="D11" s="3" t="s">
        <v>211</v>
      </c>
    </row>
    <row r="12" customFormat="false" ht="46.25" hidden="false" customHeight="false" outlineLevel="0" collapsed="false">
      <c r="A12" s="2" t="s">
        <v>212</v>
      </c>
      <c r="B12" s="7" t="n">
        <f aca="false">IF(ISBLANK(INDEX(Results_Long!$N$2:$N$37,MATCH("G10|panel_es_method|panel|HTZ_omnibus",Results_Long!$AK$2:$AK$37,0))),"—",INDEX(Results_Long!$N$2:$N$37,MATCH("G10|panel_es_method|panel|HTZ_omnibus",Results_Long!$AK$2:$AK$37,0)))</f>
        <v>11.0498088101219</v>
      </c>
      <c r="C12" s="2" t="n">
        <f aca="false">IF(ISBLANK(INDEX(Results_Long!$O$2:$O$37,MATCH("G10|panel_es_method|panel|HTZ_omnibus",Results_Long!$AK$2:$AK$37,0))),"—",INDEX(Results_Long!$O$2:$O$37,MATCH("G10|panel_es_method|panel|HTZ_omnibus",Results_Long!$AK$2:$AK$37,0)))</f>
        <v>0.565437479198861</v>
      </c>
      <c r="D12" s="4" t="str">
        <f aca="false">IF(ISBLANK(INDEX(Results_Long!$AJ$2:$AJ$37,MATCH("G10|panel_es_method|panel|HTZ_omnibus",Results_Long!$AK$2:$AK$37,0))),"—",INDEX(Results_Long!$AJ$2:$AJ$37,MATCH("G10|panel_es_method|panel|HTZ_omnibus",Results_Long!$AK$2:$AK$37,0)))</f>
        <v>F=0.7109, df_num=3.0; descriptive [DEC-047]</v>
      </c>
    </row>
    <row r="14" customFormat="false" ht="15" hidden="false" customHeight="false" outlineLevel="0" collapsed="false">
      <c r="A14" s="3" t="s">
        <v>213</v>
      </c>
      <c r="B14" s="3" t="s">
        <v>214</v>
      </c>
      <c r="C14" s="3" t="s">
        <v>175</v>
      </c>
      <c r="D14" s="3" t="s">
        <v>176</v>
      </c>
      <c r="E14" s="3" t="s">
        <v>180</v>
      </c>
      <c r="F14" s="3" t="s">
        <v>181</v>
      </c>
      <c r="G14" s="3" t="s">
        <v>215</v>
      </c>
    </row>
    <row r="15" customFormat="false" ht="15" hidden="false" customHeight="false" outlineLevel="0" collapsed="false">
      <c r="A15" s="2" t="s">
        <v>264</v>
      </c>
      <c r="B15" s="8" t="n">
        <f aca="false">IF(ISBLANK(INDEX(Results_Long!$K$2:$K$37,MATCH("G10|panel_es_method|computed vs bivariate|pairwise_contrast",Results_Long!$AK$2:$AK$37,0))),"—",INDEX(Results_Long!$K$2:$K$37,MATCH("G10|panel_es_method|computed vs bivariate|pairwise_contrast",Results_Long!$AK$2:$AK$37,0)))</f>
        <v>-0.0359776276917656</v>
      </c>
      <c r="C15" s="6" t="str">
        <f aca="false">IF(ISBLANK(INDEX(Results_Long!$P$2:$P$37,MATCH("G10|panel_es_method|computed vs bivariate|pairwise_contrast",Results_Long!$AK$2:$AK$37,0))),"—",INDEX(Results_Long!$P$2:$P$37,MATCH("G10|panel_es_method|computed vs bivariate|pairwise_contrast",Results_Long!$AK$2:$AK$37,0)))</f>
        <v>—</v>
      </c>
      <c r="D15" s="6" t="str">
        <f aca="false">IF(ISBLANK(INDEX(Results_Long!$Q$2:$Q$37,MATCH("G10|panel_es_method|computed vs bivariate|pairwise_contrast",Results_Long!$AK$2:$AK$37,0))),"—",INDEX(Results_Long!$Q$2:$Q$37,MATCH("G10|panel_es_method|computed vs bivariate|pairwise_contrast",Results_Long!$AK$2:$AK$37,0)))</f>
        <v>—</v>
      </c>
      <c r="E15" s="7" t="n">
        <f aca="false">IF(ISBLANK(INDEX(Results_Long!$N$2:$N$37,MATCH("G10|panel_es_method|computed vs bivariate|pairwise_contrast",Results_Long!$AK$2:$AK$37,0))),"—",INDEX(Results_Long!$N$2:$N$37,MATCH("G10|panel_es_method|computed vs bivariate|pairwise_contrast",Results_Long!$AK$2:$AK$37,0)))</f>
        <v>37.2037767807158</v>
      </c>
      <c r="F15" s="2" t="n">
        <f aca="false">IF(ISBLANK(INDEX(Results_Long!$O$2:$O$37,MATCH("G10|panel_es_method|computed vs bivariate|pairwise_contrast",Results_Long!$AK$2:$AK$37,0))),"—",INDEX(Results_Long!$O$2:$O$37,MATCH("G10|panel_es_method|computed vs bivariate|pairwise_contrast",Results_Long!$AK$2:$AK$37,0)))</f>
        <v>0.237006743631227</v>
      </c>
      <c r="G15" s="2" t="str">
        <f aca="false">IF(INDEX(Results_Long!$N$2:$N$37,MATCH("G10|panel_es_method|computed vs bivariate|pairwise_contrast",Results_Long!$AK$2:$AK$37,0))&lt;5,"df &lt; 5 — descriptive","")</f>
        <v/>
      </c>
    </row>
    <row r="16" customFormat="false" ht="15" hidden="false" customHeight="false" outlineLevel="0" collapsed="false">
      <c r="A16" s="2" t="s">
        <v>265</v>
      </c>
      <c r="B16" s="8" t="n">
        <f aca="false">IF(ISBLANK(INDEX(Results_Long!$K$2:$K$37,MATCH("G10|panel_es_method|computed vs star-bound|pairwise_contrast",Results_Long!$AK$2:$AK$37,0))),"—",INDEX(Results_Long!$K$2:$K$37,MATCH("G10|panel_es_method|computed vs star-bound|pairwise_contrast",Results_Long!$AK$2:$AK$37,0)))</f>
        <v>-0.0010134553609953</v>
      </c>
      <c r="C16" s="6" t="str">
        <f aca="false">IF(ISBLANK(INDEX(Results_Long!$P$2:$P$37,MATCH("G10|panel_es_method|computed vs star-bound|pairwise_contrast",Results_Long!$AK$2:$AK$37,0))),"—",INDEX(Results_Long!$P$2:$P$37,MATCH("G10|panel_es_method|computed vs star-bound|pairwise_contrast",Results_Long!$AK$2:$AK$37,0)))</f>
        <v>—</v>
      </c>
      <c r="D16" s="6" t="str">
        <f aca="false">IF(ISBLANK(INDEX(Results_Long!$Q$2:$Q$37,MATCH("G10|panel_es_method|computed vs star-bound|pairwise_contrast",Results_Long!$AK$2:$AK$37,0))),"—",INDEX(Results_Long!$Q$2:$Q$37,MATCH("G10|panel_es_method|computed vs star-bound|pairwise_contrast",Results_Long!$AK$2:$AK$37,0)))</f>
        <v>—</v>
      </c>
      <c r="E16" s="7" t="n">
        <f aca="false">IF(ISBLANK(INDEX(Results_Long!$N$2:$N$37,MATCH("G10|panel_es_method|computed vs star-bound|pairwise_contrast",Results_Long!$AK$2:$AK$37,0))),"—",INDEX(Results_Long!$N$2:$N$37,MATCH("G10|panel_es_method|computed vs star-bound|pairwise_contrast",Results_Long!$AK$2:$AK$37,0)))</f>
        <v>3.12249984573078</v>
      </c>
      <c r="F16" s="2" t="n">
        <f aca="false">IF(ISBLANK(INDEX(Results_Long!$O$2:$O$37,MATCH("G10|panel_es_method|computed vs star-bound|pairwise_contrast",Results_Long!$AK$2:$AK$37,0))),"—",INDEX(Results_Long!$O$2:$O$37,MATCH("G10|panel_es_method|computed vs star-bound|pairwise_contrast",Results_Long!$AK$2:$AK$37,0)))</f>
        <v>0.978259741494798</v>
      </c>
      <c r="G16" s="2" t="str">
        <f aca="false">IF(INDEX(Results_Long!$N$2:$N$37,MATCH("G10|panel_es_method|computed vs star-bound|pairwise_contrast",Results_Long!$AK$2:$AK$37,0))&lt;5,"df &lt; 5 — descriptive","")</f>
        <v>df &lt; 5 — descriptive</v>
      </c>
    </row>
    <row r="17" customFormat="false" ht="15" hidden="false" customHeight="false" outlineLevel="0" collapsed="false">
      <c r="A17" s="2" t="s">
        <v>266</v>
      </c>
      <c r="B17" s="8" t="n">
        <f aca="false">IF(ISBLANK(INDEX(Results_Long!$K$2:$K$37,MATCH("G10|panel_es_method|computed vs v10-adopted|pairwise_contrast",Results_Long!$AK$2:$AK$37,0))),"—",INDEX(Results_Long!$K$2:$K$37,MATCH("G10|panel_es_method|computed vs v10-adopted|pairwise_contrast",Results_Long!$AK$2:$AK$37,0)))</f>
        <v>0.0373774061976548</v>
      </c>
      <c r="C17" s="6" t="str">
        <f aca="false">IF(ISBLANK(INDEX(Results_Long!$P$2:$P$37,MATCH("G10|panel_es_method|computed vs v10-adopted|pairwise_contrast",Results_Long!$AK$2:$AK$37,0))),"—",INDEX(Results_Long!$P$2:$P$37,MATCH("G10|panel_es_method|computed vs v10-adopted|pairwise_contrast",Results_Long!$AK$2:$AK$37,0)))</f>
        <v>—</v>
      </c>
      <c r="D17" s="6" t="str">
        <f aca="false">IF(ISBLANK(INDEX(Results_Long!$Q$2:$Q$37,MATCH("G10|panel_es_method|computed vs v10-adopted|pairwise_contrast",Results_Long!$AK$2:$AK$37,0))),"—",INDEX(Results_Long!$Q$2:$Q$37,MATCH("G10|panel_es_method|computed vs v10-adopted|pairwise_contrast",Results_Long!$AK$2:$AK$37,0)))</f>
        <v>—</v>
      </c>
      <c r="E17" s="7" t="n">
        <f aca="false">IF(ISBLANK(INDEX(Results_Long!$N$2:$N$37,MATCH("G10|panel_es_method|computed vs v10-adopted|pairwise_contrast",Results_Long!$AK$2:$AK$37,0))),"—",INDEX(Results_Long!$N$2:$N$37,MATCH("G10|panel_es_method|computed vs v10-adopted|pairwise_contrast",Results_Long!$AK$2:$AK$37,0)))</f>
        <v>14.9739917164311</v>
      </c>
      <c r="F17" s="2" t="n">
        <f aca="false">IF(ISBLANK(INDEX(Results_Long!$O$2:$O$37,MATCH("G10|panel_es_method|computed vs v10-adopted|pairwise_contrast",Results_Long!$AK$2:$AK$37,0))),"—",INDEX(Results_Long!$O$2:$O$37,MATCH("G10|panel_es_method|computed vs v10-adopted|pairwise_contrast",Results_Long!$AK$2:$AK$37,0)))</f>
        <v>0.408967203575114</v>
      </c>
      <c r="G17" s="2" t="str">
        <f aca="false">IF(INDEX(Results_Long!$N$2:$N$37,MATCH("G10|panel_es_method|computed vs v10-adopted|pairwise_contrast",Results_Long!$AK$2:$AK$37,0))&lt;5,"df &lt; 5 — descriptive","")</f>
        <v/>
      </c>
    </row>
    <row r="18" customFormat="false" ht="15" hidden="false" customHeight="false" outlineLevel="0" collapsed="false">
      <c r="A18" s="2" t="s">
        <v>267</v>
      </c>
      <c r="B18" s="8" t="n">
        <f aca="false">IF(ISBLANK(INDEX(Results_Long!$K$2:$K$37,MATCH("G10|panel_es_method|bivariate vs star-bound|pairwise_contrast",Results_Long!$AK$2:$AK$37,0))),"—",INDEX(Results_Long!$K$2:$K$37,MATCH("G10|panel_es_method|bivariate vs star-bound|pairwise_contrast",Results_Long!$AK$2:$AK$37,0)))</f>
        <v>0.0349641723307703</v>
      </c>
      <c r="C18" s="6" t="str">
        <f aca="false">IF(ISBLANK(INDEX(Results_Long!$P$2:$P$37,MATCH("G10|panel_es_method|bivariate vs star-bound|pairwise_contrast",Results_Long!$AK$2:$AK$37,0))),"—",INDEX(Results_Long!$P$2:$P$37,MATCH("G10|panel_es_method|bivariate vs star-bound|pairwise_contrast",Results_Long!$AK$2:$AK$37,0)))</f>
        <v>—</v>
      </c>
      <c r="D18" s="6" t="str">
        <f aca="false">IF(ISBLANK(INDEX(Results_Long!$Q$2:$Q$37,MATCH("G10|panel_es_method|bivariate vs star-bound|pairwise_contrast",Results_Long!$AK$2:$AK$37,0))),"—",INDEX(Results_Long!$Q$2:$Q$37,MATCH("G10|panel_es_method|bivariate vs star-bound|pairwise_contrast",Results_Long!$AK$2:$AK$37,0)))</f>
        <v>—</v>
      </c>
      <c r="E18" s="7" t="n">
        <f aca="false">IF(ISBLANK(INDEX(Results_Long!$N$2:$N$37,MATCH("G10|panel_es_method|bivariate vs star-bound|pairwise_contrast",Results_Long!$AK$2:$AK$37,0))),"—",INDEX(Results_Long!$N$2:$N$37,MATCH("G10|panel_es_method|bivariate vs star-bound|pairwise_contrast",Results_Long!$AK$2:$AK$37,0)))</f>
        <v>6.18830603686168</v>
      </c>
      <c r="F18" s="2" t="n">
        <f aca="false">IF(ISBLANK(INDEX(Results_Long!$O$2:$O$37,MATCH("G10|panel_es_method|bivariate vs star-bound|pairwise_contrast",Results_Long!$AK$2:$AK$37,0))),"—",INDEX(Results_Long!$O$2:$O$37,MATCH("G10|panel_es_method|bivariate vs star-bound|pairwise_contrast",Results_Long!$AK$2:$AK$37,0)))</f>
        <v>0.4305945747785</v>
      </c>
      <c r="G18" s="2" t="str">
        <f aca="false">IF(INDEX(Results_Long!$N$2:$N$37,MATCH("G10|panel_es_method|bivariate vs star-bound|pairwise_contrast",Results_Long!$AK$2:$AK$37,0))&lt;5,"df &lt; 5 — descriptive","")</f>
        <v/>
      </c>
    </row>
    <row r="19" customFormat="false" ht="15" hidden="false" customHeight="false" outlineLevel="0" collapsed="false">
      <c r="A19" s="2" t="s">
        <v>268</v>
      </c>
      <c r="B19" s="8" t="n">
        <f aca="false">IF(ISBLANK(INDEX(Results_Long!$K$2:$K$37,MATCH("G10|panel_es_method|bivariate vs v10-adopted|pairwise_contrast",Results_Long!$AK$2:$AK$37,0))),"—",INDEX(Results_Long!$K$2:$K$37,MATCH("G10|panel_es_method|bivariate vs v10-adopted|pairwise_contrast",Results_Long!$AK$2:$AK$37,0)))</f>
        <v>0.0733550338894204</v>
      </c>
      <c r="C19" s="6" t="str">
        <f aca="false">IF(ISBLANK(INDEX(Results_Long!$P$2:$P$37,MATCH("G10|panel_es_method|bivariate vs v10-adopted|pairwise_contrast",Results_Long!$AK$2:$AK$37,0))),"—",INDEX(Results_Long!$P$2:$P$37,MATCH("G10|panel_es_method|bivariate vs v10-adopted|pairwise_contrast",Results_Long!$AK$2:$AK$37,0)))</f>
        <v>—</v>
      </c>
      <c r="D19" s="6" t="str">
        <f aca="false">IF(ISBLANK(INDEX(Results_Long!$Q$2:$Q$37,MATCH("G10|panel_es_method|bivariate vs v10-adopted|pairwise_contrast",Results_Long!$AK$2:$AK$37,0))),"—",INDEX(Results_Long!$Q$2:$Q$37,MATCH("G10|panel_es_method|bivariate vs v10-adopted|pairwise_contrast",Results_Long!$AK$2:$AK$37,0)))</f>
        <v>—</v>
      </c>
      <c r="E19" s="7" t="n">
        <f aca="false">IF(ISBLANK(INDEX(Results_Long!$N$2:$N$37,MATCH("G10|panel_es_method|bivariate vs v10-adopted|pairwise_contrast",Results_Long!$AK$2:$AK$37,0))),"—",INDEX(Results_Long!$N$2:$N$37,MATCH("G10|panel_es_method|bivariate vs v10-adopted|pairwise_contrast",Results_Long!$AK$2:$AK$37,0)))</f>
        <v>31.6676326538473</v>
      </c>
      <c r="F19" s="2" t="n">
        <f aca="false">IF(ISBLANK(INDEX(Results_Long!$O$2:$O$37,MATCH("G10|panel_es_method|bivariate vs v10-adopted|pairwise_contrast",Results_Long!$AK$2:$AK$37,0))),"—",INDEX(Results_Long!$O$2:$O$37,MATCH("G10|panel_es_method|bivariate vs v10-adopted|pairwise_contrast",Results_Long!$AK$2:$AK$37,0)))</f>
        <v>0.149740378117607</v>
      </c>
      <c r="G19" s="2" t="str">
        <f aca="false">IF(INDEX(Results_Long!$N$2:$N$37,MATCH("G10|panel_es_method|bivariate vs v10-adopted|pairwise_contrast",Results_Long!$AK$2:$AK$37,0))&lt;5,"df &lt; 5 — descriptive","")</f>
        <v/>
      </c>
    </row>
    <row r="20" customFormat="false" ht="15" hidden="false" customHeight="false" outlineLevel="0" collapsed="false">
      <c r="A20" s="2" t="s">
        <v>269</v>
      </c>
      <c r="B20" s="8" t="n">
        <f aca="false">IF(ISBLANK(INDEX(Results_Long!$K$2:$K$37,MATCH("G10|panel_es_method|star-bound vs v10-adopted|pairwise_contrast",Results_Long!$AK$2:$AK$37,0))),"—",INDEX(Results_Long!$K$2:$K$37,MATCH("G10|panel_es_method|star-bound vs v10-adopted|pairwise_contrast",Results_Long!$AK$2:$AK$37,0)))</f>
        <v>0.0383908615586501</v>
      </c>
      <c r="C20" s="6" t="str">
        <f aca="false">IF(ISBLANK(INDEX(Results_Long!$P$2:$P$37,MATCH("G10|panel_es_method|star-bound vs v10-adopted|pairwise_contrast",Results_Long!$AK$2:$AK$37,0))),"—",INDEX(Results_Long!$P$2:$P$37,MATCH("G10|panel_es_method|star-bound vs v10-adopted|pairwise_contrast",Results_Long!$AK$2:$AK$37,0)))</f>
        <v>—</v>
      </c>
      <c r="D20" s="6" t="str">
        <f aca="false">IF(ISBLANK(INDEX(Results_Long!$Q$2:$Q$37,MATCH("G10|panel_es_method|star-bound vs v10-adopted|pairwise_contrast",Results_Long!$AK$2:$AK$37,0))),"—",INDEX(Results_Long!$Q$2:$Q$37,MATCH("G10|panel_es_method|star-bound vs v10-adopted|pairwise_contrast",Results_Long!$AK$2:$AK$37,0)))</f>
        <v>—</v>
      </c>
      <c r="E20" s="7" t="n">
        <f aca="false">IF(ISBLANK(INDEX(Results_Long!$N$2:$N$37,MATCH("G10|panel_es_method|star-bound vs v10-adopted|pairwise_contrast",Results_Long!$AK$2:$AK$37,0))),"—",INDEX(Results_Long!$N$2:$N$37,MATCH("G10|panel_es_method|star-bound vs v10-adopted|pairwise_contrast",Results_Long!$AK$2:$AK$37,0)))</f>
        <v>5.88291167568099</v>
      </c>
      <c r="F20" s="2" t="n">
        <f aca="false">IF(ISBLANK(INDEX(Results_Long!$O$2:$O$37,MATCH("G10|panel_es_method|star-bound vs v10-adopted|pairwise_contrast",Results_Long!$AK$2:$AK$37,0))),"—",INDEX(Results_Long!$O$2:$O$37,MATCH("G10|panel_es_method|star-bound vs v10-adopted|pairwise_contrast",Results_Long!$AK$2:$AK$37,0)))</f>
        <v>0.507646886109138</v>
      </c>
      <c r="G20" s="2" t="str">
        <f aca="false">IF(INDEX(Results_Long!$N$2:$N$37,MATCH("G10|panel_es_method|star-bound vs v10-adopted|pairwise_contrast",Results_Long!$AK$2:$AK$37,0))&lt;5,"df &lt; 5 — descriptive","")</f>
        <v/>
      </c>
    </row>
    <row r="22" customFormat="false" ht="15" hidden="false" customHeight="false" outlineLevel="0" collapsed="false">
      <c r="A22" s="1" t="s">
        <v>188</v>
      </c>
    </row>
    <row r="23" customFormat="false" ht="46.25" hidden="false" customHeight="false" outlineLevel="0" collapsed="false">
      <c r="A23" s="4" t="s">
        <v>270</v>
      </c>
    </row>
    <row r="24" customFormat="false" ht="57.45" hidden="false" customHeight="false" outlineLevel="0" collapsed="false">
      <c r="A24" s="4" t="s">
        <v>271</v>
      </c>
    </row>
    <row r="26" customFormat="false" ht="15" hidden="false" customHeight="false" outlineLevel="0" collapsed="false">
      <c r="A26" s="1" t="s">
        <v>192</v>
      </c>
    </row>
    <row r="27" customFormat="false" ht="15" hidden="false" customHeight="false" outlineLevel="0" collapsed="false">
      <c r="A27" s="3" t="s">
        <v>193</v>
      </c>
      <c r="B27" s="3" t="s">
        <v>194</v>
      </c>
    </row>
    <row r="28" customFormat="false" ht="180.55" hidden="false" customHeight="false" outlineLevel="0" collapsed="false">
      <c r="A28" s="4" t="s">
        <v>272</v>
      </c>
      <c r="B28" s="4" t="s">
        <v>273</v>
      </c>
    </row>
    <row r="29" customFormat="false" ht="113.4" hidden="false" customHeight="false" outlineLevel="0" collapsed="false">
      <c r="A29" s="4" t="s">
        <v>274</v>
      </c>
      <c r="B29" s="4" t="s">
        <v>275</v>
      </c>
    </row>
    <row r="31" customFormat="false" ht="15" hidden="false" customHeight="false" outlineLevel="0" collapsed="false">
      <c r="A31" s="1" t="s">
        <v>199</v>
      </c>
    </row>
    <row r="32" customFormat="false" ht="15" hidden="false" customHeight="false" outlineLevel="0" collapsed="false">
      <c r="A32" s="3" t="s">
        <v>193</v>
      </c>
      <c r="B32" s="3" t="s">
        <v>194</v>
      </c>
    </row>
    <row r="33" customFormat="false" ht="158.2" hidden="false" customHeight="false" outlineLevel="0" collapsed="false">
      <c r="A33" s="4" t="s">
        <v>276</v>
      </c>
      <c r="B33" s="4" t="s">
        <v>277</v>
      </c>
    </row>
    <row r="35" customFormat="false" ht="79.85" hidden="false" customHeight="false" outlineLevel="0" collapsed="false">
      <c r="A35" s="9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279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286</v>
      </c>
      <c r="M1" s="3" t="s">
        <v>287</v>
      </c>
      <c r="N1" s="3" t="s">
        <v>180</v>
      </c>
      <c r="O1" s="3" t="s">
        <v>181</v>
      </c>
      <c r="P1" s="3" t="s">
        <v>288</v>
      </c>
      <c r="Q1" s="3" t="s">
        <v>289</v>
      </c>
      <c r="R1" s="3" t="s">
        <v>290</v>
      </c>
      <c r="S1" s="3" t="s">
        <v>291</v>
      </c>
      <c r="T1" s="3" t="s">
        <v>177</v>
      </c>
      <c r="U1" s="3" t="s">
        <v>292</v>
      </c>
      <c r="V1" s="3" t="s">
        <v>293</v>
      </c>
      <c r="W1" s="3" t="s">
        <v>294</v>
      </c>
      <c r="X1" s="3" t="s">
        <v>295</v>
      </c>
      <c r="Y1" s="3" t="s">
        <v>296</v>
      </c>
      <c r="Z1" s="3" t="s">
        <v>297</v>
      </c>
      <c r="AA1" s="3" t="s">
        <v>298</v>
      </c>
      <c r="AB1" s="3" t="s">
        <v>299</v>
      </c>
      <c r="AC1" s="3" t="s">
        <v>300</v>
      </c>
      <c r="AD1" s="3" t="s">
        <v>301</v>
      </c>
      <c r="AE1" s="3" t="s">
        <v>302</v>
      </c>
      <c r="AF1" s="3" t="s">
        <v>303</v>
      </c>
      <c r="AG1" s="3" t="s">
        <v>304</v>
      </c>
      <c r="AH1" s="3" t="s">
        <v>305</v>
      </c>
      <c r="AI1" s="3" t="s">
        <v>306</v>
      </c>
      <c r="AJ1" s="3" t="s">
        <v>307</v>
      </c>
      <c r="AK1" s="3" t="s">
        <v>308</v>
      </c>
    </row>
    <row r="2" customFormat="false" ht="15" hidden="false" customHeight="false" outlineLevel="0" collapsed="false">
      <c r="A2" s="2" t="s">
        <v>309</v>
      </c>
      <c r="B2" s="2" t="s">
        <v>310</v>
      </c>
      <c r="C2" s="2" t="s">
        <v>311</v>
      </c>
      <c r="D2" s="2" t="s">
        <v>312</v>
      </c>
      <c r="E2" s="2"/>
      <c r="F2" s="10" t="b">
        <f aca="false">TRUE()</f>
        <v>1</v>
      </c>
      <c r="G2" s="2"/>
      <c r="H2" s="2" t="n">
        <v>2614</v>
      </c>
      <c r="I2" s="2" t="n">
        <v>112</v>
      </c>
      <c r="J2" s="2" t="n">
        <v>111</v>
      </c>
      <c r="K2" s="2" t="n">
        <v>-0.0579816151336022</v>
      </c>
      <c r="L2" s="2" t="n">
        <v>0.0145220684020619</v>
      </c>
      <c r="M2" s="2"/>
      <c r="N2" s="2" t="n">
        <v>108.653452602814</v>
      </c>
      <c r="O2" s="2" t="n">
        <v>0.0001190629688348</v>
      </c>
      <c r="P2" s="2" t="n">
        <v>-0.0867649129672002</v>
      </c>
      <c r="Q2" s="2" t="n">
        <v>-0.0291983173000043</v>
      </c>
      <c r="R2" s="2"/>
      <c r="S2" s="2"/>
      <c r="T2" s="2" t="n">
        <v>-0.0579167268842443</v>
      </c>
      <c r="U2" s="2" t="n">
        <v>-0.0865478401763457</v>
      </c>
      <c r="V2" s="2" t="n">
        <v>-0.0291900225339678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 t="s">
        <v>313</v>
      </c>
      <c r="AK2" s="2" t="s">
        <v>314</v>
      </c>
    </row>
    <row r="3" customFormat="false" ht="15" hidden="false" customHeight="false" outlineLevel="0" collapsed="false">
      <c r="A3" s="2" t="s">
        <v>315</v>
      </c>
      <c r="B3" s="2" t="s">
        <v>316</v>
      </c>
      <c r="C3" s="2" t="s">
        <v>311</v>
      </c>
      <c r="D3" s="2" t="s">
        <v>312</v>
      </c>
      <c r="E3" s="2"/>
      <c r="F3" s="10" t="b">
        <f aca="false">TRUE()</f>
        <v>1</v>
      </c>
      <c r="G3" s="2"/>
      <c r="H3" s="2" t="n">
        <v>2417</v>
      </c>
      <c r="I3" s="2" t="n">
        <v>109</v>
      </c>
      <c r="J3" s="2" t="n">
        <v>109</v>
      </c>
      <c r="K3" s="2" t="n">
        <v>-0.0381676201344568</v>
      </c>
      <c r="L3" s="2" t="n">
        <v>0.0047370702758367</v>
      </c>
      <c r="M3" s="2"/>
      <c r="N3" s="2" t="n">
        <v>95.8692747571903</v>
      </c>
      <c r="O3" s="2" t="n">
        <v>2.16615475585497E-012</v>
      </c>
      <c r="P3" s="2" t="n">
        <v>-0.0475707939487125</v>
      </c>
      <c r="Q3" s="2" t="n">
        <v>-0.0287644463202012</v>
      </c>
      <c r="R3" s="2"/>
      <c r="S3" s="2"/>
      <c r="T3" s="2" t="n">
        <v>-0.0381490971484755</v>
      </c>
      <c r="U3" s="2" t="n">
        <v>-0.0475349424754777</v>
      </c>
      <c r="V3" s="2" t="n">
        <v>-0.0287565157741174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s">
        <v>317</v>
      </c>
      <c r="AK3" s="2" t="s">
        <v>318</v>
      </c>
    </row>
    <row r="4" customFormat="false" ht="15" hidden="false" customHeight="false" outlineLevel="0" collapsed="false">
      <c r="A4" s="2" t="s">
        <v>319</v>
      </c>
      <c r="B4" s="2" t="s">
        <v>320</v>
      </c>
      <c r="C4" s="2" t="s">
        <v>311</v>
      </c>
      <c r="D4" s="2" t="s">
        <v>312</v>
      </c>
      <c r="E4" s="2"/>
      <c r="F4" s="10" t="b">
        <f aca="false">TRUE()</f>
        <v>1</v>
      </c>
      <c r="G4" s="2"/>
      <c r="H4" s="2" t="n">
        <v>2713</v>
      </c>
      <c r="I4" s="2" t="n">
        <v>115</v>
      </c>
      <c r="J4" s="2" t="n">
        <v>114</v>
      </c>
      <c r="K4" s="2" t="n">
        <v>-0.0513619041756673</v>
      </c>
      <c r="L4" s="2" t="n">
        <v>0.0099606054378995</v>
      </c>
      <c r="M4" s="2"/>
      <c r="N4" s="2" t="n">
        <v>109.896608617746</v>
      </c>
      <c r="O4" s="2" t="n">
        <v>1.12197143364988E-006</v>
      </c>
      <c r="P4" s="2" t="n">
        <v>-0.0711016927457283</v>
      </c>
      <c r="Q4" s="2" t="n">
        <v>-0.0316221156056063</v>
      </c>
      <c r="R4" s="2"/>
      <c r="S4" s="2"/>
      <c r="T4" s="2" t="n">
        <v>-0.0513167867754985</v>
      </c>
      <c r="U4" s="2" t="n">
        <v>-0.0709821175082076</v>
      </c>
      <c r="V4" s="2" t="n">
        <v>-0.0316115795552785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 t="s">
        <v>321</v>
      </c>
      <c r="AK4" s="2" t="s">
        <v>322</v>
      </c>
    </row>
    <row r="5" customFormat="false" ht="15" hidden="false" customHeight="false" outlineLevel="0" collapsed="false">
      <c r="A5" s="2" t="s">
        <v>323</v>
      </c>
      <c r="B5" s="2" t="s">
        <v>324</v>
      </c>
      <c r="C5" s="2" t="s">
        <v>311</v>
      </c>
      <c r="D5" s="2" t="s">
        <v>312</v>
      </c>
      <c r="E5" s="2"/>
      <c r="F5" s="10" t="b">
        <f aca="false">TRUE()</f>
        <v>1</v>
      </c>
      <c r="G5" s="2"/>
      <c r="H5" s="2" t="n">
        <v>104</v>
      </c>
      <c r="I5" s="2" t="n">
        <v>52</v>
      </c>
      <c r="J5" s="2" t="n">
        <v>52</v>
      </c>
      <c r="K5" s="2" t="n">
        <v>-0.0377767354308514</v>
      </c>
      <c r="L5" s="2" t="n">
        <v>0.0241007691042215</v>
      </c>
      <c r="M5" s="2"/>
      <c r="N5" s="2" t="n">
        <v>49.5034247914075</v>
      </c>
      <c r="O5" s="2" t="n">
        <v>0.123380402432223</v>
      </c>
      <c r="P5" s="2" t="n">
        <v>-0.0861965889888257</v>
      </c>
      <c r="Q5" s="2" t="n">
        <v>0.010643118127123</v>
      </c>
      <c r="R5" s="2"/>
      <c r="S5" s="2"/>
      <c r="T5" s="2" t="n">
        <v>-0.0377587755197785</v>
      </c>
      <c r="U5" s="2" t="n">
        <v>-0.0859837455594983</v>
      </c>
      <c r="V5" s="2" t="n">
        <v>0.010642716275511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 t="s">
        <v>325</v>
      </c>
      <c r="AK5" s="2" t="s">
        <v>326</v>
      </c>
    </row>
    <row r="6" customFormat="false" ht="15" hidden="false" customHeight="false" outlineLevel="0" collapsed="false">
      <c r="A6" s="2" t="s">
        <v>327</v>
      </c>
      <c r="B6" s="2" t="s">
        <v>328</v>
      </c>
      <c r="C6" s="2" t="s">
        <v>311</v>
      </c>
      <c r="D6" s="2" t="s">
        <v>312</v>
      </c>
      <c r="E6" s="2"/>
      <c r="F6" s="10" t="b">
        <f aca="false">TRUE()</f>
        <v>1</v>
      </c>
      <c r="G6" s="2"/>
      <c r="H6" s="2" t="n">
        <v>2713</v>
      </c>
      <c r="I6" s="2" t="n">
        <v>115</v>
      </c>
      <c r="J6" s="2" t="n">
        <v>114</v>
      </c>
      <c r="K6" s="2" t="n">
        <v>-0.058528012690399</v>
      </c>
      <c r="L6" s="2" t="n">
        <v>0.0138921466094887</v>
      </c>
      <c r="M6" s="2"/>
      <c r="N6" s="2" t="n">
        <v>111.63275377109</v>
      </c>
      <c r="O6" s="2" t="n">
        <v>5.12972954764919E-005</v>
      </c>
      <c r="P6" s="2" t="n">
        <v>-0.0860545092965546</v>
      </c>
      <c r="Q6" s="2" t="n">
        <v>-0.0310015160842434</v>
      </c>
      <c r="R6" s="2"/>
      <c r="S6" s="2"/>
      <c r="T6" s="2" t="n">
        <v>-0.0584612743471975</v>
      </c>
      <c r="U6" s="2" t="n">
        <v>-0.0858427145694852</v>
      </c>
      <c r="V6" s="2" t="n">
        <v>-0.0309915881105508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329</v>
      </c>
      <c r="AK6" s="2" t="s">
        <v>330</v>
      </c>
    </row>
    <row r="7" customFormat="false" ht="15" hidden="false" customHeight="false" outlineLevel="0" collapsed="false">
      <c r="A7" s="2" t="s">
        <v>327</v>
      </c>
      <c r="B7" s="2" t="s">
        <v>331</v>
      </c>
      <c r="C7" s="2" t="s">
        <v>311</v>
      </c>
      <c r="D7" s="2" t="s">
        <v>312</v>
      </c>
      <c r="E7" s="2"/>
      <c r="F7" s="10" t="b">
        <f aca="false">TRUE()</f>
        <v>1</v>
      </c>
      <c r="G7" s="2"/>
      <c r="H7" s="2" t="n">
        <v>2712</v>
      </c>
      <c r="I7" s="2" t="n">
        <v>115</v>
      </c>
      <c r="J7" s="2" t="n">
        <v>114</v>
      </c>
      <c r="K7" s="2" t="n">
        <v>-0.0580057174134896</v>
      </c>
      <c r="L7" s="2" t="n">
        <v>0.0139361764210233</v>
      </c>
      <c r="M7" s="2"/>
      <c r="N7" s="2" t="n">
        <v>111.573950510187</v>
      </c>
      <c r="O7" s="2" t="n">
        <v>6.22505218504062E-005</v>
      </c>
      <c r="P7" s="2" t="n">
        <v>-0.0856196160328687</v>
      </c>
      <c r="Q7" s="2" t="n">
        <v>-0.0303918187941105</v>
      </c>
      <c r="R7" s="2"/>
      <c r="S7" s="2"/>
      <c r="T7" s="2" t="n">
        <v>-0.0579407482831787</v>
      </c>
      <c r="U7" s="2" t="n">
        <v>-0.0854110099325662</v>
      </c>
      <c r="V7" s="2" t="n">
        <v>-0.0303824649873754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 t="s">
        <v>332</v>
      </c>
      <c r="AK7" s="2" t="s">
        <v>333</v>
      </c>
    </row>
    <row r="8" customFormat="false" ht="15" hidden="false" customHeight="false" outlineLevel="0" collapsed="false">
      <c r="A8" s="2" t="s">
        <v>334</v>
      </c>
      <c r="B8" s="2" t="s">
        <v>335</v>
      </c>
      <c r="C8" s="2" t="s">
        <v>336</v>
      </c>
      <c r="D8" s="2" t="s">
        <v>312</v>
      </c>
      <c r="E8" s="2"/>
      <c r="F8" s="10" t="b">
        <f aca="false">TRUE()</f>
        <v>1</v>
      </c>
      <c r="G8" s="2"/>
      <c r="H8" s="2"/>
      <c r="I8" s="2"/>
      <c r="J8" s="2"/>
      <c r="K8" s="2" t="n">
        <v>-0.06199137628065</v>
      </c>
      <c r="L8" s="2" t="n">
        <v>0.0160772424450326</v>
      </c>
      <c r="M8" s="2"/>
      <c r="N8" s="2" t="n">
        <v>113</v>
      </c>
      <c r="O8" s="2" t="n">
        <v>0.0001921248649832</v>
      </c>
      <c r="P8" s="2" t="n">
        <v>-0.0938432932462963</v>
      </c>
      <c r="Q8" s="2" t="n">
        <v>-0.0301394593150036</v>
      </c>
      <c r="R8" s="2"/>
      <c r="S8" s="2"/>
      <c r="T8" s="2" t="n">
        <v>-0.0619120886354912</v>
      </c>
      <c r="U8" s="2" t="n">
        <v>-0.0935687812292509</v>
      </c>
      <c r="V8" s="2" t="n">
        <v>-0.0301303365320417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 t="s">
        <v>337</v>
      </c>
      <c r="AK8" s="2" t="s">
        <v>338</v>
      </c>
    </row>
    <row r="9" customFormat="false" ht="15" hidden="false" customHeight="false" outlineLevel="0" collapsed="false">
      <c r="A9" s="2" t="s">
        <v>339</v>
      </c>
      <c r="B9" s="2" t="s">
        <v>340</v>
      </c>
      <c r="C9" s="2" t="s">
        <v>207</v>
      </c>
      <c r="D9" s="2" t="s">
        <v>341</v>
      </c>
      <c r="E9" s="2"/>
      <c r="F9" s="10" t="b">
        <f aca="false">TRUE()</f>
        <v>1</v>
      </c>
      <c r="G9" s="2"/>
      <c r="H9" s="2" t="n">
        <v>1591</v>
      </c>
      <c r="I9" s="2" t="n">
        <v>73</v>
      </c>
      <c r="J9" s="2" t="n">
        <v>73</v>
      </c>
      <c r="K9" s="2" t="n">
        <v>-0.0600160510644849</v>
      </c>
      <c r="L9" s="2" t="n">
        <v>0.0204202932084405</v>
      </c>
      <c r="M9" s="2"/>
      <c r="N9" s="2" t="n">
        <v>71.5587822878493</v>
      </c>
      <c r="O9" s="2" t="n">
        <v>0.0044293243417918</v>
      </c>
      <c r="P9" s="2" t="n">
        <v>-0.100727450186185</v>
      </c>
      <c r="Q9" s="2" t="n">
        <v>-0.0193046519427849</v>
      </c>
      <c r="R9" s="2"/>
      <c r="S9" s="2"/>
      <c r="T9" s="2" t="n">
        <v>-0.0599440969328095</v>
      </c>
      <c r="U9" s="2" t="n">
        <v>-0.100388166190574</v>
      </c>
      <c r="V9" s="2" t="n">
        <v>-0.0193022542146552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 t="s">
        <v>342</v>
      </c>
      <c r="AK9" s="2" t="s">
        <v>343</v>
      </c>
    </row>
    <row r="10" customFormat="false" ht="15" hidden="false" customHeight="false" outlineLevel="0" collapsed="false">
      <c r="A10" s="2" t="s">
        <v>339</v>
      </c>
      <c r="B10" s="2" t="s">
        <v>340</v>
      </c>
      <c r="C10" s="2" t="s">
        <v>208</v>
      </c>
      <c r="D10" s="2" t="s">
        <v>341</v>
      </c>
      <c r="E10" s="2"/>
      <c r="F10" s="10" t="b">
        <f aca="false">TRUE()</f>
        <v>1</v>
      </c>
      <c r="G10" s="2"/>
      <c r="H10" s="2" t="n">
        <v>442</v>
      </c>
      <c r="I10" s="2" t="n">
        <v>28</v>
      </c>
      <c r="J10" s="2" t="n">
        <v>27</v>
      </c>
      <c r="K10" s="2" t="n">
        <v>-0.0561966323154083</v>
      </c>
      <c r="L10" s="2" t="n">
        <v>0.0151218513947225</v>
      </c>
      <c r="M10" s="2"/>
      <c r="N10" s="2" t="n">
        <v>25.3127475714484</v>
      </c>
      <c r="O10" s="2" t="n">
        <v>0.0010074756469539</v>
      </c>
      <c r="P10" s="2" t="n">
        <v>-0.0873211685771063</v>
      </c>
      <c r="Q10" s="2" t="n">
        <v>-0.0250720960537103</v>
      </c>
      <c r="R10" s="2"/>
      <c r="S10" s="2"/>
      <c r="T10" s="2" t="n">
        <v>-0.0561375494758411</v>
      </c>
      <c r="U10" s="2" t="n">
        <v>-0.0870999025029524</v>
      </c>
      <c r="V10" s="2" t="n">
        <v>-0.0250668438509034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 t="s">
        <v>342</v>
      </c>
      <c r="AK10" s="2" t="s">
        <v>344</v>
      </c>
    </row>
    <row r="11" customFormat="false" ht="15" hidden="false" customHeight="false" outlineLevel="0" collapsed="false">
      <c r="A11" s="2" t="s">
        <v>339</v>
      </c>
      <c r="B11" s="2" t="s">
        <v>340</v>
      </c>
      <c r="C11" s="2" t="s">
        <v>209</v>
      </c>
      <c r="D11" s="2" t="s">
        <v>341</v>
      </c>
      <c r="E11" s="2"/>
      <c r="F11" s="10" t="b">
        <f aca="false">TRUE()</f>
        <v>1</v>
      </c>
      <c r="G11" s="2"/>
      <c r="H11" s="2" t="n">
        <v>680</v>
      </c>
      <c r="I11" s="2" t="n">
        <v>14</v>
      </c>
      <c r="J11" s="2" t="n">
        <v>14</v>
      </c>
      <c r="K11" s="2" t="n">
        <v>-0.0565581639963162</v>
      </c>
      <c r="L11" s="2" t="n">
        <v>0.0218940985892439</v>
      </c>
      <c r="M11" s="2"/>
      <c r="N11" s="2" t="n">
        <v>12.9880103312741</v>
      </c>
      <c r="O11" s="2" t="n">
        <v>0.0227293848278272</v>
      </c>
      <c r="P11" s="2" t="n">
        <v>-0.103861927270336</v>
      </c>
      <c r="Q11" s="2" t="n">
        <v>-0.0092544007222965</v>
      </c>
      <c r="R11" s="2"/>
      <c r="S11" s="2"/>
      <c r="T11" s="2" t="n">
        <v>-0.0564979344870699</v>
      </c>
      <c r="U11" s="2" t="n">
        <v>-0.103490068475087</v>
      </c>
      <c r="V11" s="2" t="n">
        <v>-0.0092541365369225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 t="s">
        <v>342</v>
      </c>
      <c r="AK11" s="2" t="s">
        <v>345</v>
      </c>
    </row>
    <row r="12" customFormat="false" ht="15" hidden="false" customHeight="false" outlineLevel="0" collapsed="false">
      <c r="A12" s="2" t="s">
        <v>339</v>
      </c>
      <c r="B12" s="2" t="s">
        <v>340</v>
      </c>
      <c r="C12" s="2" t="s">
        <v>346</v>
      </c>
      <c r="D12" s="2" t="s">
        <v>347</v>
      </c>
      <c r="E12" s="2"/>
      <c r="F12" s="10" t="b">
        <f aca="false">TRUE()</f>
        <v>1</v>
      </c>
      <c r="G12" s="2"/>
      <c r="H12" s="2" t="n">
        <v>2713</v>
      </c>
      <c r="I12" s="2" t="n">
        <v>115</v>
      </c>
      <c r="J12" s="2" t="n">
        <v>114</v>
      </c>
      <c r="K12" s="2"/>
      <c r="L12" s="2"/>
      <c r="M12" s="2"/>
      <c r="N12" s="2" t="n">
        <v>34.7475364271227</v>
      </c>
      <c r="O12" s="2" t="n">
        <v>0.988330176120489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 t="s">
        <v>348</v>
      </c>
      <c r="AK12" s="2" t="s">
        <v>349</v>
      </c>
    </row>
    <row r="13" customFormat="false" ht="15" hidden="false" customHeight="false" outlineLevel="0" collapsed="false">
      <c r="A13" s="2" t="s">
        <v>339</v>
      </c>
      <c r="B13" s="2" t="s">
        <v>340</v>
      </c>
      <c r="C13" s="2" t="s">
        <v>216</v>
      </c>
      <c r="D13" s="2" t="s">
        <v>350</v>
      </c>
      <c r="E13" s="2"/>
      <c r="F13" s="10" t="b">
        <f aca="false">TRUE()</f>
        <v>1</v>
      </c>
      <c r="G13" s="2"/>
      <c r="H13" s="2"/>
      <c r="I13" s="2"/>
      <c r="J13" s="2"/>
      <c r="K13" s="2" t="n">
        <v>-0.0038194187490765</v>
      </c>
      <c r="L13" s="2" t="n">
        <v>0.025409816298485</v>
      </c>
      <c r="M13" s="2"/>
      <c r="N13" s="2" t="n">
        <v>43.6007430079486</v>
      </c>
      <c r="O13" s="2" t="n">
        <v>0.881211123260662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 t="s">
        <v>351</v>
      </c>
      <c r="AK13" s="2" t="s">
        <v>352</v>
      </c>
    </row>
    <row r="14" customFormat="false" ht="15" hidden="false" customHeight="false" outlineLevel="0" collapsed="false">
      <c r="A14" s="2" t="s">
        <v>339</v>
      </c>
      <c r="B14" s="2" t="s">
        <v>340</v>
      </c>
      <c r="C14" s="2" t="s">
        <v>217</v>
      </c>
      <c r="D14" s="2" t="s">
        <v>350</v>
      </c>
      <c r="E14" s="2"/>
      <c r="F14" s="10" t="b">
        <f aca="false">TRUE()</f>
        <v>1</v>
      </c>
      <c r="G14" s="2"/>
      <c r="H14" s="2"/>
      <c r="I14" s="2"/>
      <c r="J14" s="2"/>
      <c r="K14" s="2" t="n">
        <v>-0.0034578870681687</v>
      </c>
      <c r="L14" s="2" t="n">
        <v>0.029938936650359</v>
      </c>
      <c r="M14" s="2"/>
      <c r="N14" s="2" t="n">
        <v>18.6135564414487</v>
      </c>
      <c r="O14" s="2" t="n">
        <v>0.909287323154821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 t="s">
        <v>351</v>
      </c>
      <c r="AK14" s="2" t="s">
        <v>353</v>
      </c>
    </row>
    <row r="15" customFormat="false" ht="15" hidden="false" customHeight="false" outlineLevel="0" collapsed="false">
      <c r="A15" s="2" t="s">
        <v>339</v>
      </c>
      <c r="B15" s="2" t="s">
        <v>340</v>
      </c>
      <c r="C15" s="2" t="s">
        <v>218</v>
      </c>
      <c r="D15" s="2" t="s">
        <v>350</v>
      </c>
      <c r="E15" s="2"/>
      <c r="F15" s="10" t="b">
        <f aca="false">TRUE()</f>
        <v>1</v>
      </c>
      <c r="G15" s="2"/>
      <c r="H15" s="2"/>
      <c r="I15" s="2"/>
      <c r="J15" s="2"/>
      <c r="K15" s="2" t="n">
        <v>0.0003615316809078</v>
      </c>
      <c r="L15" s="2" t="n">
        <v>0.026608681715553</v>
      </c>
      <c r="M15" s="2"/>
      <c r="N15" s="2" t="n">
        <v>27.9590925692482</v>
      </c>
      <c r="O15" s="2" t="n">
        <v>0.989255981506258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 t="s">
        <v>351</v>
      </c>
      <c r="AK15" s="2" t="s">
        <v>354</v>
      </c>
    </row>
    <row r="16" customFormat="false" ht="15" hidden="false" customHeight="false" outlineLevel="0" collapsed="false">
      <c r="A16" s="2" t="s">
        <v>355</v>
      </c>
      <c r="B16" s="2" t="s">
        <v>356</v>
      </c>
      <c r="C16" s="2" t="s">
        <v>230</v>
      </c>
      <c r="D16" s="2" t="s">
        <v>341</v>
      </c>
      <c r="E16" s="2"/>
      <c r="F16" s="10" t="b">
        <f aca="false">TRUE()</f>
        <v>1</v>
      </c>
      <c r="G16" s="2"/>
      <c r="H16" s="2" t="n">
        <v>1852</v>
      </c>
      <c r="I16" s="2" t="n">
        <v>67</v>
      </c>
      <c r="J16" s="2" t="n">
        <v>67</v>
      </c>
      <c r="K16" s="2" t="n">
        <v>-0.0455896973469383</v>
      </c>
      <c r="L16" s="2" t="n">
        <v>0.0076840040389472</v>
      </c>
      <c r="M16" s="2"/>
      <c r="N16" s="2" t="n">
        <v>64.8922710899653</v>
      </c>
      <c r="O16" s="2" t="n">
        <v>1.26779497392366E-007</v>
      </c>
      <c r="P16" s="2" t="n">
        <v>-0.0609361960829122</v>
      </c>
      <c r="Q16" s="2" t="n">
        <v>-0.0302431986109645</v>
      </c>
      <c r="R16" s="2"/>
      <c r="S16" s="2"/>
      <c r="T16" s="2" t="n">
        <v>-0.0455581387295945</v>
      </c>
      <c r="U16" s="2" t="n">
        <v>-0.0608608847727211</v>
      </c>
      <c r="V16" s="2" t="n">
        <v>-0.0302339813252784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">
        <v>357</v>
      </c>
    </row>
    <row r="17" customFormat="false" ht="15" hidden="false" customHeight="false" outlineLevel="0" collapsed="false">
      <c r="A17" s="2" t="s">
        <v>355</v>
      </c>
      <c r="B17" s="2" t="s">
        <v>356</v>
      </c>
      <c r="C17" s="2" t="s">
        <v>231</v>
      </c>
      <c r="D17" s="2" t="s">
        <v>341</v>
      </c>
      <c r="E17" s="2"/>
      <c r="F17" s="10" t="b">
        <f aca="false">TRUE()</f>
        <v>1</v>
      </c>
      <c r="G17" s="2"/>
      <c r="H17" s="2" t="n">
        <v>571</v>
      </c>
      <c r="I17" s="2" t="n">
        <v>32</v>
      </c>
      <c r="J17" s="2" t="n">
        <v>32</v>
      </c>
      <c r="K17" s="2" t="n">
        <v>-0.0899033249713821</v>
      </c>
      <c r="L17" s="2" t="n">
        <v>0.0469900424649671</v>
      </c>
      <c r="M17" s="2"/>
      <c r="N17" s="2" t="n">
        <v>30.6056339516052</v>
      </c>
      <c r="O17" s="2" t="n">
        <v>0.0651122107860247</v>
      </c>
      <c r="P17" s="2" t="n">
        <v>-0.185790224932343</v>
      </c>
      <c r="Q17" s="2" t="n">
        <v>0.0059835749895792</v>
      </c>
      <c r="R17" s="2"/>
      <c r="S17" s="2"/>
      <c r="T17" s="2" t="n">
        <v>-0.089661887745204</v>
      </c>
      <c r="U17" s="2" t="n">
        <v>-0.183681631133258</v>
      </c>
      <c r="V17" s="2" t="n">
        <v>0.005983503580285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358</v>
      </c>
    </row>
    <row r="18" customFormat="false" ht="15" hidden="false" customHeight="false" outlineLevel="0" collapsed="false">
      <c r="A18" s="2" t="s">
        <v>355</v>
      </c>
      <c r="B18" s="2" t="s">
        <v>356</v>
      </c>
      <c r="C18" s="2" t="s">
        <v>232</v>
      </c>
      <c r="D18" s="2" t="s">
        <v>341</v>
      </c>
      <c r="E18" s="2"/>
      <c r="F18" s="10" t="b">
        <f aca="false">TRUE()</f>
        <v>1</v>
      </c>
      <c r="G18" s="2"/>
      <c r="H18" s="2" t="n">
        <v>290</v>
      </c>
      <c r="I18" s="2" t="n">
        <v>16</v>
      </c>
      <c r="J18" s="2" t="n">
        <v>16</v>
      </c>
      <c r="K18" s="2" t="n">
        <v>-0.0521609720777986</v>
      </c>
      <c r="L18" s="2" t="n">
        <v>0.0132357174932103</v>
      </c>
      <c r="M18" s="2"/>
      <c r="N18" s="2" t="n">
        <v>13.4693077037424</v>
      </c>
      <c r="O18" s="2" t="n">
        <v>0.0015845348182045</v>
      </c>
      <c r="P18" s="2" t="n">
        <v>-0.0806540542969805</v>
      </c>
      <c r="Q18" s="2" t="n">
        <v>-0.0236678898586168</v>
      </c>
      <c r="R18" s="2"/>
      <c r="S18" s="2"/>
      <c r="T18" s="2" t="n">
        <v>-0.0521137175539057</v>
      </c>
      <c r="U18" s="2" t="n">
        <v>-0.0804796212326995</v>
      </c>
      <c r="V18" s="2" t="n">
        <v>-0.0236634715091433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359</v>
      </c>
    </row>
    <row r="19" customFormat="false" ht="15" hidden="false" customHeight="false" outlineLevel="0" collapsed="false">
      <c r="A19" s="2" t="s">
        <v>355</v>
      </c>
      <c r="B19" s="2" t="s">
        <v>356</v>
      </c>
      <c r="C19" s="2" t="s">
        <v>346</v>
      </c>
      <c r="D19" s="2" t="s">
        <v>347</v>
      </c>
      <c r="E19" s="2"/>
      <c r="F19" s="10" t="b">
        <f aca="false">TRUE()</f>
        <v>1</v>
      </c>
      <c r="G19" s="2"/>
      <c r="H19" s="2" t="n">
        <v>2713</v>
      </c>
      <c r="I19" s="2" t="n">
        <v>115</v>
      </c>
      <c r="J19" s="2" t="n">
        <v>114</v>
      </c>
      <c r="K19" s="2"/>
      <c r="L19" s="2"/>
      <c r="M19" s="2"/>
      <c r="N19" s="2" t="n">
        <v>33.5395490409418</v>
      </c>
      <c r="O19" s="2" t="n">
        <v>0.617243923597484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 t="s">
        <v>360</v>
      </c>
      <c r="AK19" s="2" t="s">
        <v>361</v>
      </c>
    </row>
    <row r="20" customFormat="false" ht="15" hidden="false" customHeight="false" outlineLevel="0" collapsed="false">
      <c r="A20" s="2" t="s">
        <v>355</v>
      </c>
      <c r="B20" s="2" t="s">
        <v>356</v>
      </c>
      <c r="C20" s="2" t="s">
        <v>233</v>
      </c>
      <c r="D20" s="2" t="s">
        <v>350</v>
      </c>
      <c r="E20" s="2"/>
      <c r="F20" s="10" t="b">
        <f aca="false">TRUE()</f>
        <v>1</v>
      </c>
      <c r="G20" s="2"/>
      <c r="H20" s="2"/>
      <c r="I20" s="2"/>
      <c r="J20" s="2"/>
      <c r="K20" s="2" t="n">
        <v>0.0443136276244438</v>
      </c>
      <c r="L20" s="2" t="n">
        <v>0.0476141576522148</v>
      </c>
      <c r="M20" s="2"/>
      <c r="N20" s="2" t="n">
        <v>58.8178418498058</v>
      </c>
      <c r="O20" s="2" t="n">
        <v>0.355822502437559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 t="s">
        <v>351</v>
      </c>
      <c r="AK20" s="2" t="s">
        <v>362</v>
      </c>
    </row>
    <row r="21" customFormat="false" ht="15" hidden="false" customHeight="false" outlineLevel="0" collapsed="false">
      <c r="A21" s="2" t="s">
        <v>355</v>
      </c>
      <c r="B21" s="2" t="s">
        <v>356</v>
      </c>
      <c r="C21" s="2" t="s">
        <v>234</v>
      </c>
      <c r="D21" s="2" t="s">
        <v>350</v>
      </c>
      <c r="E21" s="2"/>
      <c r="F21" s="10" t="b">
        <f aca="false">TRUE()</f>
        <v>1</v>
      </c>
      <c r="G21" s="2"/>
      <c r="H21" s="2"/>
      <c r="I21" s="2"/>
      <c r="J21" s="2"/>
      <c r="K21" s="2" t="n">
        <v>0.0065712747308602</v>
      </c>
      <c r="L21" s="2" t="n">
        <v>0.0148046553379136</v>
      </c>
      <c r="M21" s="2"/>
      <c r="N21" s="2" t="n">
        <v>16.0096993014333</v>
      </c>
      <c r="O21" s="2" t="n">
        <v>0.663080454476772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s">
        <v>351</v>
      </c>
      <c r="AK21" s="2" t="s">
        <v>363</v>
      </c>
    </row>
    <row r="22" customFormat="false" ht="15" hidden="false" customHeight="false" outlineLevel="0" collapsed="false">
      <c r="A22" s="2" t="s">
        <v>355</v>
      </c>
      <c r="B22" s="2" t="s">
        <v>356</v>
      </c>
      <c r="C22" s="2" t="s">
        <v>235</v>
      </c>
      <c r="D22" s="2" t="s">
        <v>350</v>
      </c>
      <c r="E22" s="2"/>
      <c r="F22" s="10" t="b">
        <f aca="false">TRUE()</f>
        <v>1</v>
      </c>
      <c r="G22" s="2"/>
      <c r="H22" s="2"/>
      <c r="I22" s="2"/>
      <c r="J22" s="2"/>
      <c r="K22" s="2" t="n">
        <v>-0.0377423528935835</v>
      </c>
      <c r="L22" s="2" t="n">
        <v>0.0488185242343466</v>
      </c>
      <c r="M22" s="2"/>
      <c r="N22" s="2" t="n">
        <v>27.7404185406412</v>
      </c>
      <c r="O22" s="2" t="n">
        <v>0.445992229140249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 t="s">
        <v>351</v>
      </c>
      <c r="AK22" s="2" t="s">
        <v>364</v>
      </c>
    </row>
    <row r="23" customFormat="false" ht="15" hidden="false" customHeight="false" outlineLevel="0" collapsed="false">
      <c r="A23" s="2" t="s">
        <v>365</v>
      </c>
      <c r="B23" s="2" t="s">
        <v>366</v>
      </c>
      <c r="C23" s="2" t="s">
        <v>245</v>
      </c>
      <c r="D23" s="2" t="s">
        <v>341</v>
      </c>
      <c r="E23" s="2"/>
      <c r="F23" s="10" t="b">
        <f aca="false">TRUE()</f>
        <v>1</v>
      </c>
      <c r="G23" s="2"/>
      <c r="H23" s="2" t="n">
        <v>2607</v>
      </c>
      <c r="I23" s="2" t="n">
        <v>114</v>
      </c>
      <c r="J23" s="2" t="n">
        <v>113</v>
      </c>
      <c r="K23" s="2" t="n">
        <v>-0.062212217606833</v>
      </c>
      <c r="L23" s="2" t="n">
        <v>0.0140720037358924</v>
      </c>
      <c r="M23" s="2"/>
      <c r="N23" s="2" t="n">
        <v>111.422887400499</v>
      </c>
      <c r="O23" s="2" t="n">
        <v>2.2933588976173E-005</v>
      </c>
      <c r="P23" s="2" t="n">
        <v>-0.0900956662660865</v>
      </c>
      <c r="Q23" s="2" t="n">
        <v>-0.0343287689475796</v>
      </c>
      <c r="R23" s="2"/>
      <c r="S23" s="2"/>
      <c r="T23" s="2" t="n">
        <v>-0.0621320804418342</v>
      </c>
      <c r="U23" s="2" t="n">
        <v>-0.0898526794666772</v>
      </c>
      <c r="V23" s="2" t="n">
        <v>-0.0343152902241133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 t="s">
        <v>367</v>
      </c>
      <c r="AK23" s="2" t="s">
        <v>368</v>
      </c>
    </row>
    <row r="24" customFormat="false" ht="15" hidden="false" customHeight="false" outlineLevel="0" collapsed="false">
      <c r="A24" s="2" t="s">
        <v>365</v>
      </c>
      <c r="B24" s="2" t="s">
        <v>366</v>
      </c>
      <c r="C24" s="2" t="s">
        <v>246</v>
      </c>
      <c r="D24" s="2" t="s">
        <v>341</v>
      </c>
      <c r="E24" s="2"/>
      <c r="F24" s="10" t="b">
        <f aca="false">TRUE()</f>
        <v>1</v>
      </c>
      <c r="G24" s="2"/>
      <c r="H24" s="2" t="n">
        <v>106</v>
      </c>
      <c r="I24" s="2" t="n">
        <v>53</v>
      </c>
      <c r="J24" s="2" t="n">
        <v>53</v>
      </c>
      <c r="K24" s="2" t="n">
        <v>-0.0259059366926458</v>
      </c>
      <c r="L24" s="2" t="n">
        <v>0.0300006487456178</v>
      </c>
      <c r="M24" s="2"/>
      <c r="N24" s="2" t="n">
        <v>80.9803552763708</v>
      </c>
      <c r="O24" s="2" t="n">
        <v>0.390406097945211</v>
      </c>
      <c r="P24" s="2" t="n">
        <v>-0.0855980367107051</v>
      </c>
      <c r="Q24" s="2" t="n">
        <v>0.0337861633254135</v>
      </c>
      <c r="R24" s="2"/>
      <c r="S24" s="2"/>
      <c r="T24" s="2" t="n">
        <v>-0.0259001429383179</v>
      </c>
      <c r="U24" s="2" t="n">
        <v>-0.0853895879929546</v>
      </c>
      <c r="V24" s="2" t="n">
        <v>0.033773313503069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 t="s">
        <v>367</v>
      </c>
      <c r="AK24" s="2" t="s">
        <v>369</v>
      </c>
    </row>
    <row r="25" customFormat="false" ht="15" hidden="false" customHeight="false" outlineLevel="0" collapsed="false">
      <c r="A25" s="2" t="s">
        <v>365</v>
      </c>
      <c r="B25" s="2" t="s">
        <v>366</v>
      </c>
      <c r="C25" s="2" t="s">
        <v>346</v>
      </c>
      <c r="D25" s="2" t="s">
        <v>347</v>
      </c>
      <c r="E25" s="2"/>
      <c r="F25" s="10" t="b">
        <f aca="false">TRUE()</f>
        <v>1</v>
      </c>
      <c r="G25" s="2"/>
      <c r="H25" s="2" t="n">
        <v>2713</v>
      </c>
      <c r="I25" s="2" t="n">
        <v>115</v>
      </c>
      <c r="J25" s="2" t="n">
        <v>114</v>
      </c>
      <c r="K25" s="2"/>
      <c r="L25" s="2"/>
      <c r="M25" s="2"/>
      <c r="N25" s="2" t="n">
        <v>36.8971538752436</v>
      </c>
      <c r="O25" s="2" t="n">
        <v>0.218051814404661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 t="s">
        <v>370</v>
      </c>
      <c r="AK25" s="2" t="s">
        <v>371</v>
      </c>
    </row>
    <row r="26" customFormat="false" ht="15" hidden="false" customHeight="false" outlineLevel="0" collapsed="false">
      <c r="A26" s="2" t="s">
        <v>365</v>
      </c>
      <c r="B26" s="2" t="s">
        <v>366</v>
      </c>
      <c r="C26" s="2" t="s">
        <v>247</v>
      </c>
      <c r="D26" s="2" t="s">
        <v>350</v>
      </c>
      <c r="E26" s="2"/>
      <c r="F26" s="10" t="b">
        <f aca="false">TRUE()</f>
        <v>1</v>
      </c>
      <c r="G26" s="2"/>
      <c r="H26" s="2"/>
      <c r="I26" s="2"/>
      <c r="J26" s="2"/>
      <c r="K26" s="2" t="n">
        <v>-0.0363062809141872</v>
      </c>
      <c r="L26" s="2" t="n">
        <v>0.0289731255762102</v>
      </c>
      <c r="M26" s="2"/>
      <c r="N26" s="2" t="n">
        <v>36.8971538752436</v>
      </c>
      <c r="O26" s="2" t="n">
        <v>0.218051814404661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 t="s">
        <v>351</v>
      </c>
      <c r="AK26" s="2" t="s">
        <v>372</v>
      </c>
    </row>
    <row r="27" customFormat="false" ht="15" hidden="false" customHeight="false" outlineLevel="0" collapsed="false">
      <c r="A27" s="2" t="s">
        <v>373</v>
      </c>
      <c r="B27" s="2" t="s">
        <v>374</v>
      </c>
      <c r="C27" s="2" t="s">
        <v>261</v>
      </c>
      <c r="D27" s="2" t="s">
        <v>341</v>
      </c>
      <c r="E27" s="2"/>
      <c r="F27" s="10" t="b">
        <f aca="false">TRUE()</f>
        <v>1</v>
      </c>
      <c r="G27" s="2"/>
      <c r="H27" s="2" t="n">
        <v>2300</v>
      </c>
      <c r="I27" s="2" t="n">
        <v>105</v>
      </c>
      <c r="J27" s="2" t="n">
        <v>104</v>
      </c>
      <c r="K27" s="2" t="n">
        <v>-0.0579749107953942</v>
      </c>
      <c r="L27" s="2" t="n">
        <v>0.012149058257744</v>
      </c>
      <c r="M27" s="2"/>
      <c r="N27" s="2" t="n">
        <v>110.433636687183</v>
      </c>
      <c r="O27" s="2" t="n">
        <v>5.62515949951694E-006</v>
      </c>
      <c r="P27" s="2" t="n">
        <v>-0.0820504413543003</v>
      </c>
      <c r="Q27" s="2" t="n">
        <v>-0.0338993802364882</v>
      </c>
      <c r="R27" s="2"/>
      <c r="S27" s="2"/>
      <c r="T27" s="2" t="n">
        <v>-0.0579100450321204</v>
      </c>
      <c r="U27" s="2" t="n">
        <v>-0.0818668071391831</v>
      </c>
      <c r="V27" s="2" t="n">
        <v>-0.0338864008418828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 t="s">
        <v>375</v>
      </c>
      <c r="AK27" s="2" t="s">
        <v>376</v>
      </c>
    </row>
    <row r="28" customFormat="false" ht="15" hidden="false" customHeight="false" outlineLevel="0" collapsed="false">
      <c r="A28" s="2" t="s">
        <v>373</v>
      </c>
      <c r="B28" s="2" t="s">
        <v>374</v>
      </c>
      <c r="C28" s="2" t="s">
        <v>246</v>
      </c>
      <c r="D28" s="2" t="s">
        <v>341</v>
      </c>
      <c r="E28" s="2"/>
      <c r="F28" s="10" t="b">
        <f aca="false">TRUE()</f>
        <v>1</v>
      </c>
      <c r="G28" s="2"/>
      <c r="H28" s="2" t="n">
        <v>104</v>
      </c>
      <c r="I28" s="2" t="n">
        <v>52</v>
      </c>
      <c r="J28" s="2" t="n">
        <v>52</v>
      </c>
      <c r="K28" s="2" t="n">
        <v>-0.0219972831036286</v>
      </c>
      <c r="L28" s="2" t="n">
        <v>0.0300300757923749</v>
      </c>
      <c r="M28" s="2"/>
      <c r="N28" s="2" t="n">
        <v>79.9035323417947</v>
      </c>
      <c r="O28" s="2" t="n">
        <v>0.466001647545973</v>
      </c>
      <c r="P28" s="2" t="n">
        <v>-0.0817601461167154</v>
      </c>
      <c r="Q28" s="2" t="n">
        <v>0.0377655799094582</v>
      </c>
      <c r="R28" s="2"/>
      <c r="S28" s="2"/>
      <c r="T28" s="2" t="n">
        <v>-0.021993735771703</v>
      </c>
      <c r="U28" s="2" t="n">
        <v>-0.0815784506659757</v>
      </c>
      <c r="V28" s="2" t="n">
        <v>0.0377476358984007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 t="s">
        <v>375</v>
      </c>
      <c r="AK28" s="2" t="s">
        <v>377</v>
      </c>
    </row>
    <row r="29" customFormat="false" ht="15" hidden="false" customHeight="false" outlineLevel="0" collapsed="false">
      <c r="A29" s="2" t="s">
        <v>373</v>
      </c>
      <c r="B29" s="2" t="s">
        <v>374</v>
      </c>
      <c r="C29" s="2" t="s">
        <v>262</v>
      </c>
      <c r="D29" s="2" t="s">
        <v>341</v>
      </c>
      <c r="E29" s="2"/>
      <c r="F29" s="10" t="b">
        <f aca="false">TRUE()</f>
        <v>1</v>
      </c>
      <c r="G29" s="2"/>
      <c r="H29" s="2" t="n">
        <v>99</v>
      </c>
      <c r="I29" s="2" t="n">
        <v>11</v>
      </c>
      <c r="J29" s="2" t="n">
        <v>11</v>
      </c>
      <c r="K29" s="2" t="n">
        <v>-0.0569614554343989</v>
      </c>
      <c r="L29" s="2" t="n">
        <v>0.0345580027109948</v>
      </c>
      <c r="M29" s="2"/>
      <c r="N29" s="2" t="n">
        <v>7.87231627815642</v>
      </c>
      <c r="O29" s="2" t="n">
        <v>0.138519023774995</v>
      </c>
      <c r="P29" s="2" t="n">
        <v>-0.136877896944538</v>
      </c>
      <c r="Q29" s="2" t="n">
        <v>0.02295498607574</v>
      </c>
      <c r="R29" s="2"/>
      <c r="S29" s="2"/>
      <c r="T29" s="2" t="n">
        <v>-0.0568999294308848</v>
      </c>
      <c r="U29" s="2" t="n">
        <v>-0.136029427044385</v>
      </c>
      <c r="V29" s="2" t="n">
        <v>0.0229509550244987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 t="s">
        <v>375</v>
      </c>
      <c r="AK29" s="2" t="s">
        <v>378</v>
      </c>
    </row>
    <row r="30" customFormat="false" ht="15" hidden="false" customHeight="false" outlineLevel="0" collapsed="false">
      <c r="A30" s="2" t="s">
        <v>373</v>
      </c>
      <c r="B30" s="2" t="s">
        <v>374</v>
      </c>
      <c r="C30" s="2" t="s">
        <v>263</v>
      </c>
      <c r="D30" s="2" t="s">
        <v>341</v>
      </c>
      <c r="E30" s="2"/>
      <c r="F30" s="10" t="b">
        <f aca="false">TRUE()</f>
        <v>1</v>
      </c>
      <c r="G30" s="2"/>
      <c r="H30" s="2" t="n">
        <v>210</v>
      </c>
      <c r="I30" s="2" t="n">
        <v>29</v>
      </c>
      <c r="J30" s="2" t="n">
        <v>29</v>
      </c>
      <c r="K30" s="2" t="n">
        <v>-0.0953523169930491</v>
      </c>
      <c r="L30" s="2" t="n">
        <v>0.0477616099718067</v>
      </c>
      <c r="M30" s="2"/>
      <c r="N30" s="2" t="n">
        <v>51.2825401706644</v>
      </c>
      <c r="O30" s="2" t="n">
        <v>0.0512099652286971</v>
      </c>
      <c r="P30" s="2" t="n">
        <v>-0.191224925046965</v>
      </c>
      <c r="Q30" s="2" t="n">
        <v>0.0005202910608668</v>
      </c>
      <c r="R30" s="2"/>
      <c r="S30" s="2"/>
      <c r="T30" s="2" t="n">
        <v>-0.0950643809866135</v>
      </c>
      <c r="U30" s="2" t="n">
        <v>-0.18892768167507</v>
      </c>
      <c r="V30" s="2" t="n">
        <v>0.0005202910139187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 t="s">
        <v>375</v>
      </c>
      <c r="AK30" s="2" t="s">
        <v>379</v>
      </c>
    </row>
    <row r="31" customFormat="false" ht="15" hidden="false" customHeight="false" outlineLevel="0" collapsed="false">
      <c r="A31" s="2" t="s">
        <v>373</v>
      </c>
      <c r="B31" s="2" t="s">
        <v>374</v>
      </c>
      <c r="C31" s="2" t="s">
        <v>346</v>
      </c>
      <c r="D31" s="2" t="s">
        <v>347</v>
      </c>
      <c r="E31" s="2"/>
      <c r="F31" s="10" t="b">
        <f aca="false">TRUE()</f>
        <v>1</v>
      </c>
      <c r="G31" s="2"/>
      <c r="H31" s="2" t="n">
        <v>2713</v>
      </c>
      <c r="I31" s="2" t="n">
        <v>115</v>
      </c>
      <c r="J31" s="2" t="n">
        <v>114</v>
      </c>
      <c r="K31" s="2"/>
      <c r="L31" s="2"/>
      <c r="M31" s="2"/>
      <c r="N31" s="2" t="n">
        <v>11.0498088101219</v>
      </c>
      <c r="O31" s="2" t="n">
        <v>0.565437479198861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 t="s">
        <v>380</v>
      </c>
      <c r="AK31" s="2" t="s">
        <v>381</v>
      </c>
    </row>
    <row r="32" customFormat="false" ht="15" hidden="false" customHeight="false" outlineLevel="0" collapsed="false">
      <c r="A32" s="2" t="s">
        <v>373</v>
      </c>
      <c r="B32" s="2" t="s">
        <v>374</v>
      </c>
      <c r="C32" s="2" t="s">
        <v>264</v>
      </c>
      <c r="D32" s="2" t="s">
        <v>350</v>
      </c>
      <c r="E32" s="2"/>
      <c r="F32" s="10" t="b">
        <f aca="false">TRUE()</f>
        <v>1</v>
      </c>
      <c r="G32" s="2"/>
      <c r="H32" s="2"/>
      <c r="I32" s="2"/>
      <c r="J32" s="2"/>
      <c r="K32" s="2" t="n">
        <v>-0.0359776276917656</v>
      </c>
      <c r="L32" s="2" t="n">
        <v>0.0299345870538923</v>
      </c>
      <c r="M32" s="2"/>
      <c r="N32" s="2" t="n">
        <v>37.2037767807158</v>
      </c>
      <c r="O32" s="2" t="n">
        <v>0.237006743631227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 t="s">
        <v>351</v>
      </c>
      <c r="AK32" s="2" t="s">
        <v>382</v>
      </c>
    </row>
    <row r="33" customFormat="false" ht="15" hidden="false" customHeight="false" outlineLevel="0" collapsed="false">
      <c r="A33" s="2" t="s">
        <v>373</v>
      </c>
      <c r="B33" s="2" t="s">
        <v>374</v>
      </c>
      <c r="C33" s="2" t="s">
        <v>265</v>
      </c>
      <c r="D33" s="2" t="s">
        <v>350</v>
      </c>
      <c r="E33" s="2"/>
      <c r="F33" s="10" t="b">
        <f aca="false">TRUE()</f>
        <v>1</v>
      </c>
      <c r="G33" s="2"/>
      <c r="H33" s="2"/>
      <c r="I33" s="2"/>
      <c r="J33" s="2"/>
      <c r="K33" s="2" t="n">
        <v>-0.0010134553609953</v>
      </c>
      <c r="L33" s="2" t="n">
        <v>0.0343686180016678</v>
      </c>
      <c r="M33" s="2"/>
      <c r="N33" s="2" t="n">
        <v>3.12249984573078</v>
      </c>
      <c r="O33" s="2" t="n">
        <v>0.978259741494798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 t="s">
        <v>351</v>
      </c>
      <c r="AK33" s="2" t="s">
        <v>383</v>
      </c>
    </row>
    <row r="34" customFormat="false" ht="15" hidden="false" customHeight="false" outlineLevel="0" collapsed="false">
      <c r="A34" s="2" t="s">
        <v>373</v>
      </c>
      <c r="B34" s="2" t="s">
        <v>374</v>
      </c>
      <c r="C34" s="2" t="s">
        <v>266</v>
      </c>
      <c r="D34" s="2" t="s">
        <v>350</v>
      </c>
      <c r="E34" s="2"/>
      <c r="F34" s="10" t="b">
        <f aca="false">TRUE()</f>
        <v>1</v>
      </c>
      <c r="G34" s="2"/>
      <c r="H34" s="2"/>
      <c r="I34" s="2"/>
      <c r="J34" s="2"/>
      <c r="K34" s="2" t="n">
        <v>0.0373774061976548</v>
      </c>
      <c r="L34" s="2" t="n">
        <v>0.0439980559512927</v>
      </c>
      <c r="M34" s="2"/>
      <c r="N34" s="2" t="n">
        <v>14.9739917164311</v>
      </c>
      <c r="O34" s="2" t="n">
        <v>0.408967203575114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 t="s">
        <v>351</v>
      </c>
      <c r="AK34" s="2" t="s">
        <v>384</v>
      </c>
    </row>
    <row r="35" customFormat="false" ht="15" hidden="false" customHeight="false" outlineLevel="0" collapsed="false">
      <c r="A35" s="2" t="s">
        <v>373</v>
      </c>
      <c r="B35" s="2" t="s">
        <v>374</v>
      </c>
      <c r="C35" s="2" t="s">
        <v>267</v>
      </c>
      <c r="D35" s="2" t="s">
        <v>350</v>
      </c>
      <c r="E35" s="2"/>
      <c r="F35" s="10" t="b">
        <f aca="false">TRUE()</f>
        <v>1</v>
      </c>
      <c r="G35" s="2"/>
      <c r="H35" s="2"/>
      <c r="I35" s="2"/>
      <c r="J35" s="2"/>
      <c r="K35" s="2" t="n">
        <v>0.0349641723307703</v>
      </c>
      <c r="L35" s="2" t="n">
        <v>0.0414753148466893</v>
      </c>
      <c r="M35" s="2"/>
      <c r="N35" s="2" t="n">
        <v>6.18830603686168</v>
      </c>
      <c r="O35" s="2" t="n">
        <v>0.4305945747785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 t="s">
        <v>351</v>
      </c>
      <c r="AK35" s="2" t="s">
        <v>385</v>
      </c>
    </row>
    <row r="36" customFormat="false" ht="15" hidden="false" customHeight="false" outlineLevel="0" collapsed="false">
      <c r="A36" s="2" t="s">
        <v>373</v>
      </c>
      <c r="B36" s="2" t="s">
        <v>374</v>
      </c>
      <c r="C36" s="2" t="s">
        <v>268</v>
      </c>
      <c r="D36" s="2" t="s">
        <v>350</v>
      </c>
      <c r="E36" s="2"/>
      <c r="F36" s="10" t="b">
        <f aca="false">TRUE()</f>
        <v>1</v>
      </c>
      <c r="G36" s="2"/>
      <c r="H36" s="2"/>
      <c r="I36" s="2"/>
      <c r="J36" s="2"/>
      <c r="K36" s="2" t="n">
        <v>0.0733550338894204</v>
      </c>
      <c r="L36" s="2" t="n">
        <v>0.0496886118819856</v>
      </c>
      <c r="M36" s="2"/>
      <c r="N36" s="2" t="n">
        <v>31.6676326538473</v>
      </c>
      <c r="O36" s="2" t="n">
        <v>0.149740378117607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 t="s">
        <v>351</v>
      </c>
      <c r="AK36" s="2" t="s">
        <v>386</v>
      </c>
    </row>
    <row r="37" customFormat="false" ht="15" hidden="false" customHeight="false" outlineLevel="0" collapsed="false">
      <c r="A37" s="2" t="s">
        <v>373</v>
      </c>
      <c r="B37" s="2" t="s">
        <v>374</v>
      </c>
      <c r="C37" s="2" t="s">
        <v>269</v>
      </c>
      <c r="D37" s="2" t="s">
        <v>350</v>
      </c>
      <c r="E37" s="2"/>
      <c r="F37" s="10" t="b">
        <f aca="false">TRUE()</f>
        <v>1</v>
      </c>
      <c r="G37" s="2"/>
      <c r="H37" s="2"/>
      <c r="I37" s="2"/>
      <c r="J37" s="2"/>
      <c r="K37" s="2" t="n">
        <v>0.0383908615586501</v>
      </c>
      <c r="L37" s="2" t="n">
        <v>0.0544417691197919</v>
      </c>
      <c r="M37" s="2"/>
      <c r="N37" s="2" t="n">
        <v>5.88291167568099</v>
      </c>
      <c r="O37" s="2" t="n">
        <v>0.507646886109138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 t="s">
        <v>351</v>
      </c>
      <c r="AK37" s="2" t="s">
        <v>387</v>
      </c>
    </row>
  </sheetData>
  <autoFilter ref="A1:AK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3" customFormat="false" ht="15" hidden="false" customHeight="false" outlineLevel="0" collapsed="false">
      <c r="A3" s="2" t="s">
        <v>390</v>
      </c>
    </row>
    <row r="5" customFormat="false" ht="15" hidden="false" customHeight="false" outlineLevel="0" collapsed="false">
      <c r="A5" s="3" t="s">
        <v>306</v>
      </c>
      <c r="B5" s="3" t="s">
        <v>391</v>
      </c>
      <c r="C5" s="3" t="s">
        <v>392</v>
      </c>
      <c r="D5" s="3" t="s">
        <v>393</v>
      </c>
      <c r="E5" s="3" t="s">
        <v>394</v>
      </c>
    </row>
    <row r="6" customFormat="false" ht="57.45" hidden="false" customHeight="false" outlineLevel="0" collapsed="false">
      <c r="A6" s="4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10"/>
    <col collapsed="false" customWidth="true" hidden="false" outlineLevel="0" max="5" min="5" style="0" width="32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15" hidden="false" customHeight="false" outlineLevel="0" collapsed="false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</row>
    <row r="5" customFormat="false" ht="120" hidden="false" customHeight="true" outlineLevel="0" collapsed="false">
      <c r="A5" s="1" t="s">
        <v>404</v>
      </c>
      <c r="B5" s="4" t="s">
        <v>405</v>
      </c>
      <c r="C5" s="11" t="s">
        <v>406</v>
      </c>
      <c r="D5" s="4" t="s">
        <v>407</v>
      </c>
      <c r="E5" s="4" t="s">
        <v>408</v>
      </c>
      <c r="F5" s="4" t="s">
        <v>409</v>
      </c>
    </row>
    <row r="6" customFormat="false" ht="120" hidden="false" customHeight="true" outlineLevel="0" collapsed="false">
      <c r="A6" s="1" t="s">
        <v>410</v>
      </c>
      <c r="B6" s="4" t="s">
        <v>411</v>
      </c>
      <c r="C6" s="12" t="s">
        <v>412</v>
      </c>
      <c r="D6" s="4" t="s">
        <v>413</v>
      </c>
      <c r="E6" s="4" t="s">
        <v>414</v>
      </c>
      <c r="F6" s="4"/>
    </row>
    <row r="7" customFormat="false" ht="120" hidden="false" customHeight="true" outlineLevel="0" collapsed="false">
      <c r="A7" s="1" t="s">
        <v>415</v>
      </c>
      <c r="B7" s="4" t="s">
        <v>416</v>
      </c>
      <c r="C7" s="12" t="s">
        <v>412</v>
      </c>
      <c r="D7" s="4" t="s">
        <v>417</v>
      </c>
      <c r="E7" s="4" t="s">
        <v>418</v>
      </c>
      <c r="F7" s="4"/>
    </row>
    <row r="8" customFormat="false" ht="120" hidden="false" customHeight="true" outlineLevel="0" collapsed="false">
      <c r="A8" s="1" t="s">
        <v>419</v>
      </c>
      <c r="B8" s="4" t="s">
        <v>420</v>
      </c>
      <c r="C8" s="12" t="s">
        <v>412</v>
      </c>
      <c r="D8" s="4" t="s">
        <v>421</v>
      </c>
      <c r="E8" s="4" t="s">
        <v>82</v>
      </c>
      <c r="F8" s="4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2026-07-29T19:06:34Z</dcterms:created>
  <dc:creator>openpyxl</dc:creator>
  <dc:description/>
  <dc:language>en-US</dc:language>
  <cp:lastModifiedBy/>
  <dcterms:modified xsi:type="dcterms:W3CDTF">2026-07-29T19:06:35Z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